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STD\Self Learning\Career Projects\Data Analytics\1Stephen Dugbartey_Electronic Bank Fraud Risk Management (Raw Data)\"/>
    </mc:Choice>
  </mc:AlternateContent>
  <bookViews>
    <workbookView xWindow="0" yWindow="0" windowWidth="22188" windowHeight="9000" activeTab="2"/>
  </bookViews>
  <sheets>
    <sheet name="dashboard" sheetId="8" r:id="rId1"/>
    <sheet name="pivot_tables" sheetId="10" r:id="rId2"/>
    <sheet name="data_sets" sheetId="9" r:id="rId3"/>
  </sheets>
  <definedNames>
    <definedName name="Slicer_Account_Type">#N/A</definedName>
    <definedName name="Slicer_Authentication_Type">#N/A</definedName>
    <definedName name="Slicer_Channel">#N/A</definedName>
    <definedName name="Slicer_Customer_ID">#N/A</definedName>
    <definedName name="Slicer_Login_Failure_Count">#N/A</definedName>
    <definedName name="Slicer_Merchant_Category">#N/A</definedName>
  </definedNames>
  <calcPr calcId="162913"/>
  <pivotCaches>
    <pivotCache cacheId="23"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9" l="1"/>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78" i="9"/>
  <c r="P79" i="9"/>
  <c r="P80" i="9"/>
  <c r="P81" i="9"/>
  <c r="P82"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8" i="9"/>
  <c r="P149" i="9"/>
  <c r="P150" i="9"/>
  <c r="P151" i="9"/>
  <c r="P152" i="9"/>
  <c r="P153" i="9"/>
  <c r="P154" i="9"/>
  <c r="P155" i="9"/>
  <c r="P156" i="9"/>
  <c r="P157" i="9"/>
  <c r="P158" i="9"/>
  <c r="P159" i="9"/>
  <c r="P160" i="9"/>
  <c r="P161" i="9"/>
  <c r="P162" i="9"/>
  <c r="P163" i="9"/>
  <c r="P164" i="9"/>
  <c r="P165" i="9"/>
  <c r="P166" i="9"/>
  <c r="P167" i="9"/>
  <c r="P168" i="9"/>
  <c r="P169" i="9"/>
  <c r="P170" i="9"/>
  <c r="P171" i="9"/>
  <c r="P172" i="9"/>
  <c r="P173" i="9"/>
  <c r="P174" i="9"/>
  <c r="P175" i="9"/>
  <c r="P176" i="9"/>
  <c r="P177" i="9"/>
  <c r="P178" i="9"/>
  <c r="P179" i="9"/>
  <c r="P180" i="9"/>
  <c r="P181" i="9"/>
  <c r="P182" i="9"/>
  <c r="P183" i="9"/>
  <c r="P184" i="9"/>
  <c r="P185" i="9"/>
  <c r="P186" i="9"/>
  <c r="P187" i="9"/>
  <c r="P188" i="9"/>
  <c r="P189" i="9"/>
  <c r="P190" i="9"/>
  <c r="P191" i="9"/>
  <c r="P192" i="9"/>
  <c r="P193" i="9"/>
  <c r="P194" i="9"/>
  <c r="P195" i="9"/>
  <c r="P196" i="9"/>
  <c r="P197" i="9"/>
  <c r="P198" i="9"/>
  <c r="P199" i="9"/>
  <c r="P200" i="9"/>
  <c r="P201" i="9"/>
  <c r="P202" i="9"/>
  <c r="P203" i="9"/>
  <c r="P204" i="9"/>
  <c r="P205" i="9"/>
  <c r="P206" i="9"/>
  <c r="P207" i="9"/>
  <c r="P208" i="9"/>
  <c r="P209" i="9"/>
  <c r="P210" i="9"/>
  <c r="P211" i="9"/>
  <c r="P212" i="9"/>
  <c r="P213" i="9"/>
  <c r="P214" i="9"/>
  <c r="P215" i="9"/>
  <c r="P216" i="9"/>
  <c r="P217" i="9"/>
  <c r="P218" i="9"/>
  <c r="P219" i="9"/>
  <c r="P220" i="9"/>
  <c r="P221" i="9"/>
  <c r="P222" i="9"/>
  <c r="P223" i="9"/>
  <c r="P224" i="9"/>
  <c r="P225" i="9"/>
  <c r="P226" i="9"/>
  <c r="P227" i="9"/>
  <c r="P228" i="9"/>
  <c r="P229" i="9"/>
  <c r="P230" i="9"/>
  <c r="P231" i="9"/>
  <c r="P232" i="9"/>
  <c r="P233" i="9"/>
  <c r="P234" i="9"/>
  <c r="P235" i="9"/>
  <c r="P236" i="9"/>
  <c r="P237" i="9"/>
  <c r="P238" i="9"/>
  <c r="P239" i="9"/>
  <c r="P240" i="9"/>
  <c r="P241" i="9"/>
  <c r="P242" i="9"/>
  <c r="P243" i="9"/>
  <c r="P244" i="9"/>
  <c r="P245" i="9"/>
  <c r="P246" i="9"/>
  <c r="P247" i="9"/>
  <c r="P248" i="9"/>
  <c r="P249" i="9"/>
  <c r="P250" i="9"/>
  <c r="P251" i="9"/>
  <c r="P252" i="9"/>
  <c r="P253" i="9"/>
  <c r="P254" i="9"/>
  <c r="P255" i="9"/>
  <c r="P256" i="9"/>
  <c r="P257" i="9"/>
  <c r="P258" i="9"/>
  <c r="P259" i="9"/>
  <c r="P260" i="9"/>
  <c r="P261" i="9"/>
  <c r="P262" i="9"/>
  <c r="P263" i="9"/>
  <c r="P264" i="9"/>
  <c r="P265" i="9"/>
  <c r="P266" i="9"/>
  <c r="P267" i="9"/>
  <c r="P268" i="9"/>
  <c r="P269" i="9"/>
  <c r="P270" i="9"/>
  <c r="P271" i="9"/>
  <c r="P272" i="9"/>
  <c r="P273" i="9"/>
  <c r="P274" i="9"/>
  <c r="P275" i="9"/>
  <c r="P276" i="9"/>
  <c r="P277" i="9"/>
  <c r="P278" i="9"/>
  <c r="P279" i="9"/>
  <c r="P280" i="9"/>
  <c r="P281" i="9"/>
  <c r="P282" i="9"/>
  <c r="P283" i="9"/>
  <c r="P284" i="9"/>
  <c r="P285" i="9"/>
  <c r="P286" i="9"/>
  <c r="P287" i="9"/>
  <c r="P288" i="9"/>
  <c r="P289" i="9"/>
  <c r="P290" i="9"/>
  <c r="P291" i="9"/>
  <c r="P292" i="9"/>
  <c r="P293" i="9"/>
  <c r="P294" i="9"/>
  <c r="P295" i="9"/>
  <c r="P296" i="9"/>
  <c r="P297" i="9"/>
  <c r="P298" i="9"/>
  <c r="P299" i="9"/>
  <c r="P300" i="9"/>
  <c r="P301" i="9"/>
  <c r="P302" i="9"/>
  <c r="P303" i="9"/>
  <c r="P304" i="9"/>
  <c r="P305" i="9"/>
  <c r="P306" i="9"/>
  <c r="P307" i="9"/>
  <c r="P308" i="9"/>
  <c r="P309" i="9"/>
  <c r="P310" i="9"/>
  <c r="P311" i="9"/>
  <c r="P312" i="9"/>
  <c r="P313" i="9"/>
  <c r="P314" i="9"/>
  <c r="P315" i="9"/>
  <c r="P316" i="9"/>
  <c r="P317" i="9"/>
  <c r="P318" i="9"/>
  <c r="P319" i="9"/>
  <c r="P320" i="9"/>
  <c r="P321" i="9"/>
  <c r="P322" i="9"/>
  <c r="P323" i="9"/>
  <c r="P324" i="9"/>
  <c r="P325" i="9"/>
  <c r="P326" i="9"/>
  <c r="P327" i="9"/>
  <c r="P328" i="9"/>
  <c r="P329" i="9"/>
  <c r="P330" i="9"/>
  <c r="P331" i="9"/>
  <c r="P332" i="9"/>
  <c r="P333" i="9"/>
  <c r="P334" i="9"/>
  <c r="P335" i="9"/>
  <c r="P336" i="9"/>
  <c r="P337" i="9"/>
  <c r="P338" i="9"/>
  <c r="P339" i="9"/>
  <c r="P340" i="9"/>
  <c r="P341" i="9"/>
  <c r="P342" i="9"/>
  <c r="P343" i="9"/>
  <c r="P344" i="9"/>
  <c r="P345" i="9"/>
  <c r="P346" i="9"/>
  <c r="P347" i="9"/>
  <c r="P348" i="9"/>
  <c r="P349" i="9"/>
  <c r="P350" i="9"/>
  <c r="P351" i="9"/>
  <c r="P352" i="9"/>
  <c r="P353" i="9"/>
  <c r="P354" i="9"/>
  <c r="P355" i="9"/>
  <c r="P356" i="9"/>
  <c r="P357" i="9"/>
  <c r="P358" i="9"/>
  <c r="P359" i="9"/>
  <c r="P360" i="9"/>
  <c r="P361" i="9"/>
  <c r="P362" i="9"/>
  <c r="P363" i="9"/>
  <c r="P364" i="9"/>
  <c r="P365" i="9"/>
  <c r="P366" i="9"/>
  <c r="P367" i="9"/>
  <c r="P368" i="9"/>
  <c r="P369" i="9"/>
  <c r="P370" i="9"/>
  <c r="P371" i="9"/>
  <c r="P372" i="9"/>
  <c r="P373" i="9"/>
  <c r="P374" i="9"/>
  <c r="P375" i="9"/>
  <c r="P376" i="9"/>
  <c r="P377" i="9"/>
  <c r="P378" i="9"/>
  <c r="P379" i="9"/>
  <c r="P380" i="9"/>
  <c r="P381" i="9"/>
  <c r="P382" i="9"/>
  <c r="P383" i="9"/>
  <c r="P384" i="9"/>
  <c r="P385" i="9"/>
  <c r="P386" i="9"/>
  <c r="P387" i="9"/>
  <c r="P388" i="9"/>
  <c r="P389" i="9"/>
  <c r="P390" i="9"/>
  <c r="P391" i="9"/>
  <c r="P392" i="9"/>
  <c r="P393" i="9"/>
  <c r="P394" i="9"/>
  <c r="P395" i="9"/>
  <c r="P396" i="9"/>
  <c r="P397" i="9"/>
  <c r="P398" i="9"/>
  <c r="P399" i="9"/>
  <c r="P400" i="9"/>
  <c r="P401" i="9"/>
  <c r="P402" i="9"/>
  <c r="P403" i="9"/>
  <c r="P404" i="9"/>
  <c r="P405" i="9"/>
  <c r="P406" i="9"/>
  <c r="P407" i="9"/>
  <c r="P408" i="9"/>
  <c r="P409" i="9"/>
  <c r="P410" i="9"/>
  <c r="P411" i="9"/>
  <c r="P412" i="9"/>
  <c r="P413" i="9"/>
  <c r="P414" i="9"/>
  <c r="P415" i="9"/>
  <c r="P416" i="9"/>
  <c r="P417" i="9"/>
  <c r="P418" i="9"/>
  <c r="P419" i="9"/>
  <c r="P420" i="9"/>
  <c r="P421" i="9"/>
  <c r="P422" i="9"/>
  <c r="P423" i="9"/>
  <c r="P424" i="9"/>
  <c r="P425" i="9"/>
  <c r="P426" i="9"/>
  <c r="P427" i="9"/>
  <c r="P428" i="9"/>
  <c r="P429" i="9"/>
  <c r="P430" i="9"/>
  <c r="P431" i="9"/>
  <c r="P432" i="9"/>
  <c r="P433" i="9"/>
  <c r="P434" i="9"/>
  <c r="P435" i="9"/>
  <c r="P436" i="9"/>
  <c r="P437" i="9"/>
  <c r="P438" i="9"/>
  <c r="P439" i="9"/>
  <c r="P440" i="9"/>
  <c r="P441"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1"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504" i="9"/>
  <c r="P505" i="9"/>
  <c r="P506" i="9"/>
  <c r="P507" i="9"/>
  <c r="P508" i="9"/>
  <c r="P509" i="9"/>
  <c r="P510" i="9"/>
  <c r="P511" i="9"/>
  <c r="P512" i="9"/>
  <c r="P513" i="9"/>
  <c r="P514" i="9"/>
  <c r="P515" i="9"/>
  <c r="P516" i="9"/>
  <c r="P517" i="9"/>
  <c r="P518" i="9"/>
  <c r="P519" i="9"/>
  <c r="P520" i="9"/>
  <c r="P521" i="9"/>
  <c r="P522" i="9"/>
  <c r="P523" i="9"/>
  <c r="P524" i="9"/>
  <c r="P525" i="9"/>
  <c r="P526" i="9"/>
  <c r="P527" i="9"/>
  <c r="P528" i="9"/>
  <c r="P529" i="9"/>
  <c r="P530" i="9"/>
  <c r="P531" i="9"/>
  <c r="P532" i="9"/>
  <c r="P533" i="9"/>
  <c r="P534" i="9"/>
  <c r="P535" i="9"/>
  <c r="P536" i="9"/>
  <c r="P537" i="9"/>
  <c r="P538" i="9"/>
  <c r="P539" i="9"/>
  <c r="P540" i="9"/>
  <c r="P541" i="9"/>
  <c r="P542" i="9"/>
  <c r="P543" i="9"/>
  <c r="P544" i="9"/>
  <c r="P545" i="9"/>
  <c r="P546" i="9"/>
  <c r="P547" i="9"/>
  <c r="P548" i="9"/>
  <c r="P549" i="9"/>
  <c r="P550" i="9"/>
  <c r="P551" i="9"/>
  <c r="P552" i="9"/>
  <c r="P553" i="9"/>
  <c r="P554" i="9"/>
  <c r="P555" i="9"/>
  <c r="P556" i="9"/>
  <c r="P557" i="9"/>
  <c r="P558" i="9"/>
  <c r="P559" i="9"/>
  <c r="P560" i="9"/>
  <c r="P561" i="9"/>
  <c r="P562" i="9"/>
  <c r="P563" i="9"/>
  <c r="P564" i="9"/>
  <c r="P565" i="9"/>
  <c r="P566" i="9"/>
  <c r="P567" i="9"/>
  <c r="P568" i="9"/>
  <c r="P569" i="9"/>
  <c r="P570" i="9"/>
  <c r="P571" i="9"/>
  <c r="P572" i="9"/>
  <c r="P573" i="9"/>
  <c r="P574" i="9"/>
  <c r="P575" i="9"/>
  <c r="P576" i="9"/>
  <c r="P577" i="9"/>
  <c r="P578" i="9"/>
  <c r="P579" i="9"/>
  <c r="P580" i="9"/>
  <c r="P581" i="9"/>
  <c r="P582" i="9"/>
  <c r="P583" i="9"/>
  <c r="P584" i="9"/>
  <c r="P585" i="9"/>
  <c r="P586" i="9"/>
  <c r="P587" i="9"/>
  <c r="P588" i="9"/>
  <c r="P589" i="9"/>
  <c r="P590" i="9"/>
  <c r="P591" i="9"/>
  <c r="P592" i="9"/>
  <c r="P593" i="9"/>
  <c r="P594" i="9"/>
  <c r="P595" i="9"/>
  <c r="P596" i="9"/>
  <c r="P597" i="9"/>
  <c r="P598" i="9"/>
  <c r="P599" i="9"/>
  <c r="P600" i="9"/>
  <c r="P601" i="9"/>
  <c r="P602" i="9"/>
  <c r="P603" i="9"/>
  <c r="P604" i="9"/>
  <c r="P605" i="9"/>
  <c r="P606" i="9"/>
  <c r="P607" i="9"/>
  <c r="P608" i="9"/>
  <c r="P609" i="9"/>
  <c r="P610" i="9"/>
  <c r="P611" i="9"/>
  <c r="P612" i="9"/>
  <c r="P613" i="9"/>
  <c r="P614" i="9"/>
  <c r="P615" i="9"/>
  <c r="P616" i="9"/>
  <c r="P617" i="9"/>
  <c r="P618" i="9"/>
  <c r="P619" i="9"/>
  <c r="P620" i="9"/>
  <c r="P621" i="9"/>
  <c r="P622" i="9"/>
  <c r="P623" i="9"/>
  <c r="P624" i="9"/>
  <c r="P625" i="9"/>
  <c r="P626" i="9"/>
  <c r="P627" i="9"/>
  <c r="P628" i="9"/>
  <c r="P629" i="9"/>
  <c r="P630" i="9"/>
  <c r="P631" i="9"/>
  <c r="P632" i="9"/>
  <c r="P633" i="9"/>
  <c r="P634" i="9"/>
  <c r="P635" i="9"/>
  <c r="P636" i="9"/>
  <c r="P637" i="9"/>
  <c r="P638" i="9"/>
  <c r="P639" i="9"/>
  <c r="P640" i="9"/>
  <c r="P641" i="9"/>
  <c r="P642" i="9"/>
  <c r="P643" i="9"/>
  <c r="P644" i="9"/>
  <c r="P645" i="9"/>
  <c r="P646" i="9"/>
  <c r="P647" i="9"/>
  <c r="P648" i="9"/>
  <c r="P649" i="9"/>
  <c r="P650" i="9"/>
  <c r="P651" i="9"/>
  <c r="P652" i="9"/>
  <c r="P653" i="9"/>
  <c r="P654" i="9"/>
  <c r="P655" i="9"/>
  <c r="P656" i="9"/>
  <c r="P657" i="9"/>
  <c r="P658" i="9"/>
  <c r="P659" i="9"/>
  <c r="P660" i="9"/>
  <c r="P661" i="9"/>
  <c r="P662" i="9"/>
  <c r="P663" i="9"/>
  <c r="P664" i="9"/>
  <c r="P665" i="9"/>
  <c r="P666" i="9"/>
  <c r="P667" i="9"/>
  <c r="P668" i="9"/>
  <c r="P669" i="9"/>
  <c r="P670" i="9"/>
  <c r="P671" i="9"/>
  <c r="P672" i="9"/>
  <c r="P673" i="9"/>
  <c r="P674" i="9"/>
  <c r="P675" i="9"/>
  <c r="P676" i="9"/>
  <c r="P677" i="9"/>
  <c r="P678" i="9"/>
  <c r="P679" i="9"/>
  <c r="P680" i="9"/>
  <c r="P681" i="9"/>
  <c r="P682" i="9"/>
  <c r="P683" i="9"/>
  <c r="P684" i="9"/>
  <c r="P685" i="9"/>
  <c r="P686" i="9"/>
  <c r="P687" i="9"/>
  <c r="P688" i="9"/>
  <c r="P689" i="9"/>
  <c r="P690" i="9"/>
  <c r="P691" i="9"/>
  <c r="P692" i="9"/>
  <c r="P693" i="9"/>
  <c r="P694" i="9"/>
  <c r="P695" i="9"/>
  <c r="P696" i="9"/>
  <c r="P697" i="9"/>
  <c r="P698" i="9"/>
  <c r="P699" i="9"/>
  <c r="P700" i="9"/>
  <c r="P701" i="9"/>
  <c r="P702" i="9"/>
  <c r="P703" i="9"/>
  <c r="P704" i="9"/>
  <c r="P705" i="9"/>
  <c r="P706" i="9"/>
  <c r="P707" i="9"/>
  <c r="P708" i="9"/>
  <c r="P709" i="9"/>
  <c r="P710" i="9"/>
  <c r="P711" i="9"/>
  <c r="P712" i="9"/>
  <c r="P713" i="9"/>
  <c r="P714" i="9"/>
  <c r="P715" i="9"/>
  <c r="P716" i="9"/>
  <c r="P717" i="9"/>
  <c r="P718" i="9"/>
  <c r="P719" i="9"/>
  <c r="P720" i="9"/>
  <c r="P721" i="9"/>
  <c r="P722" i="9"/>
  <c r="P723" i="9"/>
  <c r="P724" i="9"/>
  <c r="P725" i="9"/>
  <c r="P726" i="9"/>
  <c r="P727" i="9"/>
  <c r="P728" i="9"/>
  <c r="P729" i="9"/>
  <c r="P730" i="9"/>
  <c r="P731" i="9"/>
  <c r="P732" i="9"/>
  <c r="P733" i="9"/>
  <c r="P734" i="9"/>
  <c r="P735" i="9"/>
  <c r="P736" i="9"/>
  <c r="P737" i="9"/>
  <c r="P738" i="9"/>
  <c r="P739" i="9"/>
  <c r="P740" i="9"/>
  <c r="P741" i="9"/>
  <c r="P742" i="9"/>
  <c r="P743" i="9"/>
  <c r="P744" i="9"/>
  <c r="P745" i="9"/>
  <c r="P746" i="9"/>
  <c r="P747" i="9"/>
  <c r="P748" i="9"/>
  <c r="P749" i="9"/>
  <c r="P750" i="9"/>
  <c r="P751" i="9"/>
  <c r="P752" i="9"/>
  <c r="P753" i="9"/>
  <c r="P754" i="9"/>
  <c r="P755" i="9"/>
  <c r="P756" i="9"/>
  <c r="P757" i="9"/>
  <c r="P758" i="9"/>
  <c r="P759" i="9"/>
  <c r="P760" i="9"/>
  <c r="P761" i="9"/>
  <c r="P762" i="9"/>
  <c r="P763" i="9"/>
  <c r="P764" i="9"/>
  <c r="P765" i="9"/>
  <c r="P766" i="9"/>
  <c r="P767" i="9"/>
  <c r="P768" i="9"/>
  <c r="P769" i="9"/>
  <c r="P770" i="9"/>
  <c r="P771" i="9"/>
  <c r="P772" i="9"/>
  <c r="P773" i="9"/>
  <c r="P774" i="9"/>
  <c r="P775" i="9"/>
  <c r="P776" i="9"/>
  <c r="P777" i="9"/>
  <c r="P778" i="9"/>
  <c r="P779" i="9"/>
  <c r="P780" i="9"/>
  <c r="P781" i="9"/>
  <c r="P782" i="9"/>
  <c r="P783" i="9"/>
  <c r="P784" i="9"/>
  <c r="P785" i="9"/>
  <c r="P786" i="9"/>
  <c r="P787" i="9"/>
  <c r="P788" i="9"/>
  <c r="P789" i="9"/>
  <c r="P790" i="9"/>
  <c r="P791" i="9"/>
  <c r="P792" i="9"/>
  <c r="P793" i="9"/>
  <c r="P794" i="9"/>
  <c r="P795" i="9"/>
  <c r="P796" i="9"/>
  <c r="P797" i="9"/>
  <c r="P798" i="9"/>
  <c r="P799" i="9"/>
  <c r="P800" i="9"/>
  <c r="P801" i="9"/>
  <c r="P802" i="9"/>
  <c r="P803" i="9"/>
  <c r="P804" i="9"/>
  <c r="P805" i="9"/>
  <c r="P806" i="9"/>
  <c r="P807" i="9"/>
  <c r="P808" i="9"/>
  <c r="P809" i="9"/>
  <c r="P810" i="9"/>
  <c r="P811" i="9"/>
  <c r="P812" i="9"/>
  <c r="P813" i="9"/>
  <c r="P814" i="9"/>
  <c r="P815" i="9"/>
  <c r="P816" i="9"/>
  <c r="P817" i="9"/>
  <c r="P818" i="9"/>
  <c r="P819" i="9"/>
  <c r="P820" i="9"/>
  <c r="P821" i="9"/>
  <c r="P822" i="9"/>
  <c r="P823" i="9"/>
  <c r="P824" i="9"/>
  <c r="P825" i="9"/>
  <c r="P826" i="9"/>
  <c r="P827" i="9"/>
  <c r="P828" i="9"/>
  <c r="P829" i="9"/>
  <c r="P830" i="9"/>
  <c r="P831" i="9"/>
  <c r="P832" i="9"/>
  <c r="P833" i="9"/>
  <c r="P834" i="9"/>
  <c r="P835" i="9"/>
  <c r="P836" i="9"/>
  <c r="P837" i="9"/>
  <c r="P838" i="9"/>
  <c r="P839" i="9"/>
  <c r="P840" i="9"/>
  <c r="P841" i="9"/>
  <c r="P842" i="9"/>
  <c r="P843" i="9"/>
  <c r="P844" i="9"/>
  <c r="P845" i="9"/>
  <c r="P846" i="9"/>
  <c r="P847" i="9"/>
  <c r="P848" i="9"/>
  <c r="P849" i="9"/>
  <c r="P850" i="9"/>
  <c r="P851" i="9"/>
  <c r="P852" i="9"/>
  <c r="P853" i="9"/>
  <c r="P854" i="9"/>
  <c r="P855" i="9"/>
  <c r="P856" i="9"/>
  <c r="P857" i="9"/>
  <c r="P858" i="9"/>
  <c r="P859" i="9"/>
  <c r="P860" i="9"/>
  <c r="P861" i="9"/>
  <c r="P862" i="9"/>
  <c r="P863" i="9"/>
  <c r="P864" i="9"/>
  <c r="P865" i="9"/>
  <c r="P866" i="9"/>
  <c r="P867" i="9"/>
  <c r="P868" i="9"/>
  <c r="P869" i="9"/>
  <c r="P870" i="9"/>
  <c r="P871" i="9"/>
  <c r="P872" i="9"/>
  <c r="P873" i="9"/>
  <c r="P874" i="9"/>
  <c r="P875" i="9"/>
  <c r="P876" i="9"/>
  <c r="P877" i="9"/>
  <c r="P878" i="9"/>
  <c r="P879" i="9"/>
  <c r="P880" i="9"/>
  <c r="P881" i="9"/>
  <c r="P882" i="9"/>
  <c r="P883" i="9"/>
  <c r="P884" i="9"/>
  <c r="P885" i="9"/>
  <c r="P886" i="9"/>
  <c r="P887" i="9"/>
  <c r="P888" i="9"/>
  <c r="P889" i="9"/>
  <c r="P890" i="9"/>
  <c r="P891" i="9"/>
  <c r="P892" i="9"/>
  <c r="P893" i="9"/>
  <c r="P894" i="9"/>
  <c r="P895" i="9"/>
  <c r="P896" i="9"/>
  <c r="P897" i="9"/>
  <c r="P898" i="9"/>
  <c r="P899" i="9"/>
  <c r="P900" i="9"/>
  <c r="P901" i="9"/>
  <c r="P902" i="9"/>
  <c r="P903" i="9"/>
  <c r="P904" i="9"/>
  <c r="P905" i="9"/>
  <c r="P906" i="9"/>
  <c r="P907" i="9"/>
  <c r="P908" i="9"/>
  <c r="P909" i="9"/>
  <c r="P910" i="9"/>
  <c r="P911" i="9"/>
  <c r="P912" i="9"/>
  <c r="P913" i="9"/>
  <c r="P914" i="9"/>
  <c r="P915" i="9"/>
  <c r="P916" i="9"/>
  <c r="P917" i="9"/>
  <c r="P918" i="9"/>
  <c r="P919" i="9"/>
  <c r="P920" i="9"/>
  <c r="P921" i="9"/>
  <c r="P922" i="9"/>
  <c r="P923" i="9"/>
  <c r="P924" i="9"/>
  <c r="P925" i="9"/>
  <c r="P926" i="9"/>
  <c r="P927" i="9"/>
  <c r="P928" i="9"/>
  <c r="P929" i="9"/>
  <c r="P930" i="9"/>
  <c r="P931" i="9"/>
  <c r="P932" i="9"/>
  <c r="P933" i="9"/>
  <c r="P934" i="9"/>
  <c r="P935" i="9"/>
  <c r="P936" i="9"/>
  <c r="P937" i="9"/>
  <c r="P938" i="9"/>
  <c r="P939" i="9"/>
  <c r="P940" i="9"/>
  <c r="P941" i="9"/>
  <c r="P942" i="9"/>
  <c r="P943" i="9"/>
  <c r="P944" i="9"/>
  <c r="P945" i="9"/>
  <c r="P946" i="9"/>
  <c r="P947" i="9"/>
  <c r="P948" i="9"/>
  <c r="P949" i="9"/>
  <c r="P950" i="9"/>
  <c r="P951" i="9"/>
  <c r="P952" i="9"/>
  <c r="P953" i="9"/>
  <c r="P954" i="9"/>
  <c r="P955" i="9"/>
  <c r="P956" i="9"/>
  <c r="P957" i="9"/>
  <c r="P958" i="9"/>
  <c r="P959" i="9"/>
  <c r="P960" i="9"/>
  <c r="P961" i="9"/>
  <c r="P962" i="9"/>
  <c r="P963" i="9"/>
  <c r="P964" i="9"/>
  <c r="P965" i="9"/>
  <c r="P966" i="9"/>
  <c r="P967" i="9"/>
  <c r="P968" i="9"/>
  <c r="P969" i="9"/>
  <c r="P970" i="9"/>
  <c r="P971" i="9"/>
  <c r="P972" i="9"/>
  <c r="P973" i="9"/>
  <c r="P974" i="9"/>
  <c r="P975" i="9"/>
  <c r="P976" i="9"/>
  <c r="P977" i="9"/>
  <c r="P978" i="9"/>
  <c r="P979" i="9"/>
  <c r="P980" i="9"/>
  <c r="P981" i="9"/>
  <c r="P982" i="9"/>
  <c r="P983" i="9"/>
  <c r="P984" i="9"/>
  <c r="P985" i="9"/>
  <c r="P986" i="9"/>
  <c r="P987" i="9"/>
  <c r="P988" i="9"/>
  <c r="P989" i="9"/>
  <c r="P990" i="9"/>
  <c r="P991" i="9"/>
  <c r="P992" i="9"/>
  <c r="P993" i="9"/>
  <c r="P994" i="9"/>
  <c r="P995" i="9"/>
  <c r="P996" i="9"/>
  <c r="P997" i="9"/>
  <c r="P998" i="9"/>
  <c r="P999" i="9"/>
  <c r="P1000" i="9"/>
  <c r="P1001" i="9"/>
  <c r="P1002" i="9"/>
  <c r="P1003" i="9"/>
  <c r="P1004" i="9"/>
  <c r="P1005" i="9"/>
  <c r="P1006" i="9"/>
  <c r="P1007" i="9"/>
  <c r="P1008" i="9"/>
  <c r="P1009" i="9"/>
  <c r="P1010" i="9"/>
  <c r="P1011" i="9"/>
  <c r="P1012" i="9"/>
  <c r="P1013" i="9"/>
  <c r="P1014" i="9"/>
  <c r="P1015" i="9"/>
  <c r="P1016" i="9"/>
  <c r="P1017" i="9"/>
  <c r="P1018" i="9"/>
  <c r="P1019" i="9"/>
  <c r="P1020" i="9"/>
  <c r="P1021" i="9"/>
  <c r="P1022" i="9"/>
  <c r="P1023" i="9"/>
  <c r="P1024" i="9"/>
  <c r="P1025" i="9"/>
  <c r="P1026" i="9"/>
  <c r="P1027" i="9"/>
  <c r="P1028" i="9"/>
  <c r="P1029" i="9"/>
  <c r="P1030" i="9"/>
  <c r="P1031" i="9"/>
  <c r="P1032" i="9"/>
  <c r="P1033" i="9"/>
  <c r="P1034" i="9"/>
  <c r="P1035" i="9"/>
  <c r="P1036" i="9"/>
  <c r="P1037" i="9"/>
  <c r="P1038" i="9"/>
  <c r="P1039" i="9"/>
  <c r="P1040" i="9"/>
  <c r="P1041" i="9"/>
  <c r="P1042" i="9"/>
  <c r="P1043" i="9"/>
  <c r="P1044" i="9"/>
  <c r="P1045" i="9"/>
  <c r="P1046" i="9"/>
  <c r="P1047" i="9"/>
  <c r="P1048" i="9"/>
  <c r="P1049" i="9"/>
  <c r="P1050" i="9"/>
  <c r="P1051" i="9"/>
  <c r="P1052" i="9"/>
  <c r="P1053" i="9"/>
  <c r="P1054" i="9"/>
  <c r="P1055" i="9"/>
  <c r="P1056" i="9"/>
  <c r="P1057" i="9"/>
  <c r="P1058" i="9"/>
  <c r="P1059" i="9"/>
  <c r="P1060" i="9"/>
  <c r="P1061" i="9"/>
  <c r="P1062" i="9"/>
  <c r="P1063" i="9"/>
  <c r="P1064" i="9"/>
  <c r="P1065" i="9"/>
  <c r="P1066" i="9"/>
  <c r="P1067" i="9"/>
  <c r="P1068" i="9"/>
  <c r="P1069" i="9"/>
  <c r="P1070" i="9"/>
  <c r="P1071" i="9"/>
  <c r="P1072" i="9"/>
  <c r="P1073" i="9"/>
  <c r="P1074" i="9"/>
  <c r="P1075" i="9"/>
  <c r="P1076" i="9"/>
  <c r="P1077" i="9"/>
  <c r="P1078" i="9"/>
  <c r="P1079" i="9"/>
  <c r="P1080" i="9"/>
  <c r="P1081" i="9"/>
  <c r="P1082" i="9"/>
  <c r="P1083" i="9"/>
  <c r="P1084" i="9"/>
  <c r="P1085" i="9"/>
  <c r="P1086" i="9"/>
  <c r="P1087" i="9"/>
  <c r="P1088" i="9"/>
  <c r="P1089" i="9"/>
  <c r="P1090" i="9"/>
  <c r="P1091" i="9"/>
  <c r="P1092" i="9"/>
  <c r="P1093" i="9"/>
  <c r="P1094" i="9"/>
  <c r="P1095" i="9"/>
  <c r="P1096" i="9"/>
  <c r="P1097" i="9"/>
  <c r="P1098" i="9"/>
  <c r="P1099" i="9"/>
  <c r="P1100" i="9"/>
  <c r="P1101" i="9"/>
  <c r="P1102" i="9"/>
  <c r="P1103" i="9"/>
  <c r="P1104" i="9"/>
  <c r="P1105" i="9"/>
  <c r="P1106" i="9"/>
  <c r="P1107" i="9"/>
  <c r="P1108" i="9"/>
  <c r="P1109" i="9"/>
  <c r="P1110" i="9"/>
  <c r="P1111" i="9"/>
  <c r="P1112" i="9"/>
  <c r="P1113" i="9"/>
  <c r="P1114" i="9"/>
  <c r="P1115" i="9"/>
  <c r="P1116" i="9"/>
  <c r="P1117" i="9"/>
  <c r="P1118" i="9"/>
  <c r="P1119" i="9"/>
  <c r="P1120" i="9"/>
  <c r="P1121" i="9"/>
  <c r="P1122" i="9"/>
  <c r="P1123" i="9"/>
  <c r="P1124" i="9"/>
  <c r="P1125" i="9"/>
  <c r="P1126" i="9"/>
  <c r="P1127" i="9"/>
  <c r="P1128" i="9"/>
  <c r="P1129" i="9"/>
  <c r="P1130" i="9"/>
  <c r="P1131" i="9"/>
  <c r="P1132" i="9"/>
  <c r="P1133" i="9"/>
  <c r="P1134" i="9"/>
  <c r="P1135" i="9"/>
  <c r="P1136" i="9"/>
  <c r="P1137" i="9"/>
  <c r="P1138" i="9"/>
  <c r="P1139" i="9"/>
  <c r="P1140" i="9"/>
  <c r="P1141" i="9"/>
  <c r="P1142" i="9"/>
  <c r="P1143" i="9"/>
  <c r="P1144" i="9"/>
  <c r="P1145" i="9"/>
  <c r="P1146" i="9"/>
  <c r="P1147" i="9"/>
  <c r="P1148" i="9"/>
  <c r="P1149" i="9"/>
  <c r="P1150" i="9"/>
  <c r="P1151" i="9"/>
  <c r="P1152" i="9"/>
  <c r="P1153" i="9"/>
  <c r="P1154" i="9"/>
  <c r="P1155" i="9"/>
  <c r="P1156" i="9"/>
  <c r="P1157" i="9"/>
  <c r="P1158" i="9"/>
  <c r="P1159" i="9"/>
  <c r="P1160" i="9"/>
  <c r="P1161" i="9"/>
  <c r="P1162" i="9"/>
  <c r="P1163" i="9"/>
  <c r="P1164" i="9"/>
  <c r="P1165" i="9"/>
  <c r="P1166" i="9"/>
  <c r="P1167" i="9"/>
  <c r="P1168" i="9"/>
  <c r="P1169" i="9"/>
  <c r="P1170" i="9"/>
  <c r="P1171" i="9"/>
  <c r="P1172" i="9"/>
  <c r="P1173" i="9"/>
  <c r="P1174" i="9"/>
  <c r="P1175" i="9"/>
  <c r="P1176" i="9"/>
  <c r="P1177" i="9"/>
  <c r="P1178" i="9"/>
  <c r="P1179" i="9"/>
  <c r="P1180" i="9"/>
  <c r="P1181" i="9"/>
  <c r="P1182" i="9"/>
  <c r="P1183" i="9"/>
  <c r="P1184" i="9"/>
  <c r="P1185" i="9"/>
  <c r="P1186" i="9"/>
  <c r="P1187" i="9"/>
  <c r="P1188" i="9"/>
  <c r="P1189" i="9"/>
  <c r="P1190" i="9"/>
  <c r="P1191" i="9"/>
  <c r="P1192" i="9"/>
  <c r="P1193" i="9"/>
  <c r="P1194" i="9"/>
  <c r="P1195" i="9"/>
  <c r="P1196" i="9"/>
  <c r="P1197" i="9"/>
  <c r="P1198" i="9"/>
  <c r="P1199" i="9"/>
  <c r="P1200" i="9"/>
  <c r="P1201" i="9"/>
  <c r="P1202" i="9"/>
  <c r="P1203" i="9"/>
  <c r="P1204" i="9"/>
  <c r="P1205" i="9"/>
  <c r="P1206" i="9"/>
  <c r="P1207" i="9"/>
  <c r="P1208" i="9"/>
  <c r="P1209" i="9"/>
  <c r="P1210" i="9"/>
  <c r="P1211" i="9"/>
  <c r="P1212" i="9"/>
  <c r="P1213" i="9"/>
  <c r="P1214" i="9"/>
  <c r="P1215" i="9"/>
  <c r="P1216" i="9"/>
  <c r="P1217" i="9"/>
  <c r="P1218" i="9"/>
  <c r="P1219" i="9"/>
  <c r="P1220" i="9"/>
  <c r="P1221" i="9"/>
  <c r="P1222" i="9"/>
  <c r="P1223" i="9"/>
  <c r="P1224" i="9"/>
  <c r="P1225" i="9"/>
  <c r="P1226" i="9"/>
  <c r="P1227" i="9"/>
  <c r="P1228" i="9"/>
  <c r="P1229" i="9"/>
  <c r="P1230" i="9"/>
  <c r="P1231" i="9"/>
  <c r="P1232" i="9"/>
  <c r="P1233" i="9"/>
  <c r="P1234" i="9"/>
  <c r="P1235" i="9"/>
  <c r="P1236" i="9"/>
  <c r="P1237" i="9"/>
  <c r="P1238" i="9"/>
  <c r="P1239" i="9"/>
  <c r="P1240" i="9"/>
  <c r="P1241" i="9"/>
  <c r="P1242" i="9"/>
  <c r="P1243" i="9"/>
  <c r="P1244" i="9"/>
  <c r="P1245" i="9"/>
  <c r="P1246" i="9"/>
  <c r="P1247" i="9"/>
  <c r="P1248" i="9"/>
  <c r="P1249" i="9"/>
  <c r="P1250" i="9"/>
  <c r="P1251" i="9"/>
  <c r="P1252" i="9"/>
  <c r="P1253" i="9"/>
  <c r="P1254" i="9"/>
  <c r="P1255" i="9"/>
  <c r="P1256" i="9"/>
  <c r="P1257" i="9"/>
  <c r="P1258" i="9"/>
  <c r="P1259" i="9"/>
  <c r="P1260" i="9"/>
  <c r="P1261" i="9"/>
  <c r="P1262" i="9"/>
  <c r="P1263" i="9"/>
  <c r="P1264" i="9"/>
  <c r="P1265" i="9"/>
  <c r="P1266" i="9"/>
  <c r="P1267" i="9"/>
  <c r="P1268" i="9"/>
  <c r="P1269" i="9"/>
  <c r="P1270" i="9"/>
  <c r="P1271" i="9"/>
  <c r="P1272" i="9"/>
  <c r="P1273" i="9"/>
  <c r="P1274" i="9"/>
  <c r="P1275" i="9"/>
  <c r="P1276" i="9"/>
  <c r="P1277" i="9"/>
  <c r="P1278" i="9"/>
  <c r="P1279" i="9"/>
  <c r="P1280" i="9"/>
  <c r="P1281" i="9"/>
  <c r="P1282" i="9"/>
  <c r="P1283" i="9"/>
  <c r="P1284" i="9"/>
  <c r="P1285" i="9"/>
  <c r="P1286" i="9"/>
  <c r="P1287" i="9"/>
  <c r="P1288" i="9"/>
  <c r="P1289" i="9"/>
  <c r="P1290" i="9"/>
  <c r="P1291" i="9"/>
  <c r="P1292" i="9"/>
  <c r="P1293" i="9"/>
  <c r="P1294" i="9"/>
  <c r="P1295" i="9"/>
  <c r="P1296" i="9"/>
  <c r="P1297" i="9"/>
  <c r="P1298" i="9"/>
  <c r="P1299" i="9"/>
  <c r="P1300" i="9"/>
  <c r="P1301" i="9"/>
  <c r="P1302" i="9"/>
  <c r="P1303" i="9"/>
  <c r="P1304" i="9"/>
  <c r="P1305" i="9"/>
  <c r="P1306" i="9"/>
  <c r="P1307" i="9"/>
  <c r="P1308" i="9"/>
  <c r="P1309" i="9"/>
  <c r="P1310" i="9"/>
  <c r="P1311" i="9"/>
  <c r="P1312" i="9"/>
  <c r="P1313" i="9"/>
  <c r="P1314" i="9"/>
  <c r="P1315" i="9"/>
  <c r="P1316" i="9"/>
  <c r="P1317" i="9"/>
  <c r="P1318" i="9"/>
  <c r="P1319" i="9"/>
  <c r="P1320" i="9"/>
  <c r="P1321" i="9"/>
  <c r="P1322" i="9"/>
  <c r="P1323" i="9"/>
  <c r="P1324" i="9"/>
  <c r="P1325" i="9"/>
  <c r="P1326" i="9"/>
  <c r="P1327" i="9"/>
  <c r="P1328" i="9"/>
  <c r="P1329" i="9"/>
  <c r="P1330" i="9"/>
  <c r="P1331" i="9"/>
  <c r="P1332" i="9"/>
  <c r="P1333" i="9"/>
  <c r="P1334" i="9"/>
  <c r="P1335" i="9"/>
  <c r="P1336" i="9"/>
  <c r="P1337" i="9"/>
  <c r="P1338" i="9"/>
  <c r="P1339" i="9"/>
  <c r="P1340" i="9"/>
  <c r="P1341" i="9"/>
  <c r="P1342" i="9"/>
  <c r="P1343" i="9"/>
  <c r="P1344" i="9"/>
  <c r="P1345" i="9"/>
  <c r="P1346" i="9"/>
  <c r="P1347" i="9"/>
  <c r="P1348" i="9"/>
  <c r="P1349" i="9"/>
  <c r="P1350" i="9"/>
  <c r="P1351" i="9"/>
  <c r="P1352" i="9"/>
  <c r="P1353" i="9"/>
  <c r="P1354" i="9"/>
  <c r="P1355" i="9"/>
  <c r="P1356" i="9"/>
  <c r="P1357" i="9"/>
  <c r="P1358" i="9"/>
  <c r="P1359" i="9"/>
  <c r="P1360" i="9"/>
  <c r="P1361" i="9"/>
  <c r="P1362" i="9"/>
  <c r="P1363" i="9"/>
  <c r="P1364" i="9"/>
  <c r="P1365" i="9"/>
  <c r="P1366" i="9"/>
  <c r="P1367" i="9"/>
  <c r="P1368" i="9"/>
  <c r="P1369" i="9"/>
  <c r="P1370" i="9"/>
  <c r="P1371" i="9"/>
  <c r="P1372" i="9"/>
  <c r="P1373" i="9"/>
  <c r="P1374" i="9"/>
  <c r="P1375" i="9"/>
  <c r="P1376" i="9"/>
  <c r="P1377" i="9"/>
  <c r="P1378" i="9"/>
  <c r="P1379" i="9"/>
  <c r="P1380" i="9"/>
  <c r="P1381" i="9"/>
  <c r="P1382" i="9"/>
  <c r="P1383" i="9"/>
  <c r="P1384" i="9"/>
  <c r="P1385" i="9"/>
  <c r="P1386" i="9"/>
  <c r="P1387" i="9"/>
  <c r="P1388" i="9"/>
  <c r="P1389" i="9"/>
  <c r="P1390" i="9"/>
  <c r="P1391" i="9"/>
  <c r="P1392" i="9"/>
  <c r="P1393" i="9"/>
  <c r="P1394" i="9"/>
  <c r="P1395" i="9"/>
  <c r="P1396" i="9"/>
  <c r="P1397" i="9"/>
  <c r="P1398" i="9"/>
  <c r="P1399" i="9"/>
  <c r="P1400" i="9"/>
  <c r="P1401" i="9"/>
  <c r="P1402" i="9"/>
  <c r="P1403" i="9"/>
  <c r="P1404" i="9"/>
  <c r="P1405" i="9"/>
  <c r="P1406" i="9"/>
  <c r="P1407" i="9"/>
  <c r="P1408" i="9"/>
  <c r="P1409" i="9"/>
  <c r="P1410" i="9"/>
  <c r="P1411" i="9"/>
  <c r="P1412" i="9"/>
  <c r="P1413" i="9"/>
  <c r="P1414" i="9"/>
  <c r="P1415" i="9"/>
  <c r="P1416" i="9"/>
  <c r="P1417" i="9"/>
  <c r="P1418" i="9"/>
  <c r="P1419" i="9"/>
  <c r="P1420" i="9"/>
  <c r="P1421" i="9"/>
  <c r="P1422" i="9"/>
  <c r="P1423" i="9"/>
  <c r="P1424" i="9"/>
  <c r="P1425" i="9"/>
  <c r="P1426" i="9"/>
  <c r="P1427" i="9"/>
  <c r="P1428" i="9"/>
  <c r="P1429" i="9"/>
  <c r="P1430" i="9"/>
  <c r="P1431" i="9"/>
  <c r="P1432" i="9"/>
  <c r="P1433" i="9"/>
  <c r="P1434" i="9"/>
  <c r="P1435" i="9"/>
  <c r="P1436" i="9"/>
  <c r="P1437" i="9"/>
  <c r="P1438" i="9"/>
  <c r="P1439" i="9"/>
  <c r="P1440" i="9"/>
  <c r="P1441" i="9"/>
  <c r="P1442" i="9"/>
  <c r="P1443" i="9"/>
  <c r="P1444" i="9"/>
  <c r="P1445" i="9"/>
  <c r="P1446" i="9"/>
  <c r="P1447" i="9"/>
  <c r="P1448" i="9"/>
  <c r="P1449" i="9"/>
  <c r="P1450" i="9"/>
  <c r="P1451" i="9"/>
  <c r="P1452" i="9"/>
  <c r="P1453" i="9"/>
  <c r="P1454" i="9"/>
  <c r="P1455" i="9"/>
  <c r="P1456" i="9"/>
  <c r="P1457" i="9"/>
  <c r="P1458" i="9"/>
  <c r="P1459" i="9"/>
  <c r="P1460" i="9"/>
  <c r="P1461" i="9"/>
  <c r="P1462" i="9"/>
  <c r="P1463" i="9"/>
  <c r="P1464" i="9"/>
  <c r="P1465" i="9"/>
  <c r="P1466" i="9"/>
  <c r="P1467" i="9"/>
  <c r="P1468" i="9"/>
  <c r="P1469" i="9"/>
  <c r="P1470" i="9"/>
  <c r="P1471" i="9"/>
  <c r="P1472" i="9"/>
  <c r="P1473" i="9"/>
  <c r="P1474" i="9"/>
  <c r="P1475" i="9"/>
  <c r="P1476" i="9"/>
  <c r="P1477" i="9"/>
  <c r="P1478" i="9"/>
  <c r="P1479" i="9"/>
  <c r="P1480" i="9"/>
  <c r="P1481" i="9"/>
  <c r="P1482" i="9"/>
  <c r="P1483" i="9"/>
  <c r="P1484" i="9"/>
  <c r="P1485" i="9"/>
  <c r="P1486" i="9"/>
  <c r="P1487" i="9"/>
  <c r="P1488" i="9"/>
  <c r="P1489" i="9"/>
  <c r="P1490" i="9"/>
  <c r="P1491" i="9"/>
  <c r="P1492" i="9"/>
  <c r="P1493" i="9"/>
  <c r="P1494" i="9"/>
  <c r="P1495" i="9"/>
  <c r="P1496" i="9"/>
  <c r="P1497" i="9"/>
  <c r="P1498" i="9"/>
  <c r="P1499" i="9"/>
  <c r="P1500" i="9"/>
  <c r="P1501" i="9"/>
  <c r="P1502" i="9"/>
  <c r="P1503" i="9"/>
  <c r="P1504" i="9"/>
  <c r="P1505" i="9"/>
  <c r="P1506" i="9"/>
  <c r="P1507" i="9"/>
  <c r="P1508" i="9"/>
  <c r="P1509" i="9"/>
  <c r="P1510" i="9"/>
  <c r="P1511" i="9"/>
  <c r="P1512" i="9"/>
  <c r="P1513" i="9"/>
  <c r="P1514" i="9"/>
  <c r="P1515" i="9"/>
  <c r="P1516" i="9"/>
  <c r="P1517" i="9"/>
  <c r="P1518" i="9"/>
  <c r="P1519" i="9"/>
  <c r="P1520" i="9"/>
  <c r="P1521" i="9"/>
  <c r="P1522" i="9"/>
  <c r="P1523" i="9"/>
  <c r="P1524" i="9"/>
  <c r="P1525" i="9"/>
  <c r="P1526" i="9"/>
  <c r="P1527" i="9"/>
  <c r="P1528" i="9"/>
  <c r="P1529" i="9"/>
  <c r="P1530" i="9"/>
  <c r="P1531" i="9"/>
  <c r="P1532" i="9"/>
  <c r="P1533" i="9"/>
  <c r="P1534" i="9"/>
  <c r="P1535" i="9"/>
  <c r="P1536" i="9"/>
  <c r="P1537" i="9"/>
  <c r="P1538" i="9"/>
  <c r="P1539" i="9"/>
  <c r="P1540" i="9"/>
  <c r="P1541" i="9"/>
  <c r="P1542" i="9"/>
  <c r="P1543" i="9"/>
  <c r="P1544" i="9"/>
  <c r="P1545" i="9"/>
  <c r="P1546" i="9"/>
  <c r="P1547" i="9"/>
  <c r="P1548" i="9"/>
  <c r="P1549" i="9"/>
  <c r="P1550" i="9"/>
  <c r="P1551" i="9"/>
  <c r="P1552" i="9"/>
  <c r="P1553" i="9"/>
  <c r="P1554" i="9"/>
  <c r="P1555" i="9"/>
  <c r="P1556" i="9"/>
  <c r="P1557" i="9"/>
  <c r="P1558" i="9"/>
  <c r="P1559" i="9"/>
  <c r="P1560" i="9"/>
  <c r="P1561" i="9"/>
  <c r="P1562" i="9"/>
  <c r="P1563" i="9"/>
  <c r="P1564" i="9"/>
  <c r="P1565" i="9"/>
  <c r="P1566" i="9"/>
  <c r="P1567" i="9"/>
  <c r="P1568" i="9"/>
  <c r="P1569" i="9"/>
  <c r="P1570" i="9"/>
  <c r="P1571" i="9"/>
  <c r="P1572" i="9"/>
  <c r="P1573" i="9"/>
  <c r="P1574" i="9"/>
  <c r="P1575" i="9"/>
  <c r="P1576" i="9"/>
  <c r="P1577" i="9"/>
  <c r="P1578" i="9"/>
  <c r="P1579" i="9"/>
  <c r="P1580" i="9"/>
  <c r="P1581" i="9"/>
  <c r="P1582" i="9"/>
  <c r="P1583" i="9"/>
  <c r="P1584" i="9"/>
  <c r="P1585" i="9"/>
  <c r="P1586" i="9"/>
  <c r="P1587" i="9"/>
  <c r="P1588" i="9"/>
  <c r="P1589" i="9"/>
  <c r="P1590" i="9"/>
  <c r="P1591" i="9"/>
  <c r="P1592" i="9"/>
  <c r="P1593" i="9"/>
  <c r="P1594" i="9"/>
  <c r="P1595" i="9"/>
  <c r="P1596" i="9"/>
  <c r="P1597" i="9"/>
  <c r="P1598" i="9"/>
  <c r="P1599" i="9"/>
  <c r="P1600" i="9"/>
  <c r="P1601" i="9"/>
  <c r="P1602" i="9"/>
  <c r="P1603" i="9"/>
  <c r="P1604" i="9"/>
  <c r="P1605" i="9"/>
  <c r="P1606" i="9"/>
  <c r="P1607" i="9"/>
  <c r="P1608" i="9"/>
  <c r="P1609" i="9"/>
  <c r="P1610" i="9"/>
  <c r="P1611" i="9"/>
  <c r="P1612" i="9"/>
  <c r="P1613" i="9"/>
  <c r="P1614" i="9"/>
  <c r="P1615" i="9"/>
  <c r="P1616" i="9"/>
  <c r="P1617" i="9"/>
  <c r="P1618" i="9"/>
  <c r="P1619" i="9"/>
  <c r="P1620" i="9"/>
  <c r="P1621" i="9"/>
  <c r="P1622" i="9"/>
  <c r="P1623" i="9"/>
  <c r="P1624" i="9"/>
  <c r="P1625" i="9"/>
  <c r="P1626" i="9"/>
  <c r="P1627" i="9"/>
  <c r="P1628" i="9"/>
  <c r="P1629" i="9"/>
  <c r="P1630" i="9"/>
  <c r="P1631" i="9"/>
  <c r="P1632" i="9"/>
  <c r="P1633" i="9"/>
  <c r="P1634" i="9"/>
  <c r="P1635" i="9"/>
  <c r="P1636" i="9"/>
  <c r="P1637" i="9"/>
  <c r="P1638" i="9"/>
  <c r="P1639" i="9"/>
  <c r="P1640" i="9"/>
  <c r="P1641" i="9"/>
  <c r="P1642" i="9"/>
  <c r="P1643" i="9"/>
  <c r="P1644" i="9"/>
  <c r="P1645" i="9"/>
  <c r="P1646" i="9"/>
  <c r="P1647" i="9"/>
  <c r="P1648" i="9"/>
  <c r="P1649" i="9"/>
  <c r="P1650" i="9"/>
  <c r="P1651" i="9"/>
  <c r="P1652" i="9"/>
  <c r="P1653" i="9"/>
  <c r="P1654" i="9"/>
  <c r="P1655" i="9"/>
  <c r="P1656" i="9"/>
  <c r="P1657" i="9"/>
  <c r="P1658" i="9"/>
  <c r="P1659" i="9"/>
  <c r="P1660" i="9"/>
  <c r="P1661" i="9"/>
  <c r="P1662" i="9"/>
  <c r="P1663" i="9"/>
  <c r="P1664" i="9"/>
  <c r="P1665" i="9"/>
  <c r="P1666" i="9"/>
  <c r="P1667" i="9"/>
  <c r="P1668" i="9"/>
  <c r="P1669" i="9"/>
  <c r="P1670" i="9"/>
  <c r="P1671" i="9"/>
  <c r="P1672" i="9"/>
  <c r="P1673" i="9"/>
  <c r="P1674" i="9"/>
  <c r="P1675" i="9"/>
  <c r="P1676" i="9"/>
  <c r="P1677" i="9"/>
  <c r="P1678" i="9"/>
  <c r="P1679" i="9"/>
  <c r="P1680" i="9"/>
  <c r="P1681" i="9"/>
  <c r="P1682" i="9"/>
  <c r="P1683" i="9"/>
  <c r="P1684" i="9"/>
  <c r="P1685" i="9"/>
  <c r="P1686" i="9"/>
  <c r="P1687" i="9"/>
  <c r="P1688" i="9"/>
  <c r="P1689" i="9"/>
  <c r="P1690" i="9"/>
  <c r="P1691" i="9"/>
  <c r="P1692" i="9"/>
  <c r="P1693" i="9"/>
  <c r="P1694" i="9"/>
  <c r="P1695" i="9"/>
  <c r="P1696" i="9"/>
  <c r="P1697" i="9"/>
  <c r="P1698" i="9"/>
  <c r="P1699" i="9"/>
  <c r="P1700" i="9"/>
  <c r="P1701" i="9"/>
  <c r="P1702" i="9"/>
  <c r="P1703" i="9"/>
  <c r="P1704" i="9"/>
  <c r="P1705" i="9"/>
  <c r="P1706" i="9"/>
  <c r="P1707" i="9"/>
  <c r="P1708" i="9"/>
  <c r="P1709" i="9"/>
  <c r="P1710" i="9"/>
  <c r="P1711" i="9"/>
  <c r="P1712" i="9"/>
  <c r="P1713" i="9"/>
  <c r="P1714" i="9"/>
  <c r="P1715" i="9"/>
  <c r="P1716" i="9"/>
  <c r="P1717" i="9"/>
  <c r="P1718" i="9"/>
  <c r="P1719" i="9"/>
  <c r="P1720" i="9"/>
  <c r="P1721" i="9"/>
  <c r="P1722" i="9"/>
  <c r="P1723" i="9"/>
  <c r="P1724" i="9"/>
  <c r="P1725" i="9"/>
  <c r="P1726" i="9"/>
  <c r="P1727" i="9"/>
  <c r="P1728" i="9"/>
  <c r="P1729" i="9"/>
  <c r="P1730" i="9"/>
  <c r="P1731" i="9"/>
  <c r="P1732" i="9"/>
  <c r="P1733" i="9"/>
  <c r="P1734" i="9"/>
  <c r="P1735" i="9"/>
  <c r="P1736" i="9"/>
  <c r="P1737" i="9"/>
  <c r="P1738" i="9"/>
  <c r="P1739" i="9"/>
  <c r="P1740" i="9"/>
  <c r="P1741" i="9"/>
  <c r="P1742" i="9"/>
  <c r="P1743" i="9"/>
  <c r="P1744" i="9"/>
  <c r="P1745" i="9"/>
  <c r="P1746" i="9"/>
  <c r="P1747" i="9"/>
  <c r="P1748" i="9"/>
  <c r="P1749" i="9"/>
  <c r="P1750" i="9"/>
  <c r="P1751" i="9"/>
  <c r="P1752" i="9"/>
  <c r="P1753" i="9"/>
  <c r="P1754" i="9"/>
  <c r="P1755" i="9"/>
  <c r="P1756" i="9"/>
  <c r="P1757" i="9"/>
  <c r="P1758" i="9"/>
  <c r="P1759" i="9"/>
  <c r="P1760" i="9"/>
  <c r="P1761" i="9"/>
  <c r="P1762" i="9"/>
  <c r="P1763" i="9"/>
  <c r="P1764" i="9"/>
  <c r="P1765" i="9"/>
  <c r="P1766" i="9"/>
  <c r="P1767" i="9"/>
  <c r="P1768" i="9"/>
  <c r="P1769" i="9"/>
  <c r="P1770" i="9"/>
  <c r="P1771" i="9"/>
  <c r="P1772" i="9"/>
  <c r="P1773" i="9"/>
  <c r="P1774" i="9"/>
  <c r="P1775" i="9"/>
  <c r="P1776" i="9"/>
  <c r="P1777" i="9"/>
  <c r="P1778" i="9"/>
  <c r="P1779" i="9"/>
  <c r="P1780" i="9"/>
  <c r="P1781" i="9"/>
  <c r="P1782" i="9"/>
  <c r="P1783" i="9"/>
  <c r="P1784" i="9"/>
  <c r="P1785" i="9"/>
  <c r="P1786" i="9"/>
  <c r="P1787" i="9"/>
  <c r="P1788" i="9"/>
  <c r="P1789" i="9"/>
  <c r="P1790" i="9"/>
  <c r="P1791" i="9"/>
  <c r="P1792" i="9"/>
  <c r="P1793" i="9"/>
  <c r="P1794" i="9"/>
  <c r="P1795" i="9"/>
  <c r="P1796" i="9"/>
  <c r="P1797" i="9"/>
  <c r="P1798" i="9"/>
  <c r="P1799" i="9"/>
  <c r="P1800" i="9"/>
  <c r="P1801" i="9"/>
  <c r="P1802" i="9"/>
  <c r="P1803" i="9"/>
  <c r="P1804" i="9"/>
  <c r="P1805" i="9"/>
  <c r="P1806" i="9"/>
  <c r="P1807" i="9"/>
  <c r="P1808" i="9"/>
  <c r="P1809" i="9"/>
  <c r="P1810" i="9"/>
  <c r="P1811" i="9"/>
  <c r="P1812" i="9"/>
  <c r="P1813" i="9"/>
  <c r="P1814" i="9"/>
  <c r="P1815" i="9"/>
  <c r="P1816" i="9"/>
  <c r="P1817" i="9"/>
  <c r="P1818" i="9"/>
  <c r="P1819" i="9"/>
  <c r="P1820" i="9"/>
  <c r="P1821" i="9"/>
  <c r="P1822" i="9"/>
  <c r="P1823" i="9"/>
  <c r="P1824" i="9"/>
  <c r="P1825" i="9"/>
  <c r="P1826" i="9"/>
  <c r="P1827" i="9"/>
  <c r="P1828" i="9"/>
  <c r="P1829" i="9"/>
  <c r="P1830" i="9"/>
  <c r="P1831" i="9"/>
  <c r="P1832" i="9"/>
  <c r="P1833" i="9"/>
  <c r="P1834" i="9"/>
  <c r="P1835" i="9"/>
  <c r="P1836" i="9"/>
  <c r="P1837" i="9"/>
  <c r="P1838" i="9"/>
  <c r="P1839" i="9"/>
  <c r="P1840" i="9"/>
  <c r="P1841" i="9"/>
  <c r="P1842" i="9"/>
  <c r="P1843" i="9"/>
  <c r="P1844" i="9"/>
  <c r="P1845" i="9"/>
  <c r="P1846" i="9"/>
  <c r="P1847" i="9"/>
  <c r="P1848" i="9"/>
  <c r="P1849" i="9"/>
  <c r="P1850" i="9"/>
  <c r="P1851" i="9"/>
  <c r="P1852" i="9"/>
  <c r="P1853" i="9"/>
  <c r="P1854" i="9"/>
  <c r="P1855" i="9"/>
  <c r="P1856" i="9"/>
  <c r="P1857" i="9"/>
  <c r="P1858" i="9"/>
  <c r="P1859" i="9"/>
  <c r="P1860" i="9"/>
  <c r="P1861" i="9"/>
  <c r="P1862" i="9"/>
  <c r="P1863" i="9"/>
  <c r="P1864" i="9"/>
  <c r="P1865" i="9"/>
  <c r="P1866" i="9"/>
  <c r="P1867" i="9"/>
  <c r="P1868" i="9"/>
  <c r="P1869" i="9"/>
  <c r="P1870" i="9"/>
  <c r="P1871" i="9"/>
  <c r="P1872" i="9"/>
  <c r="P1873" i="9"/>
  <c r="P1874" i="9"/>
  <c r="P1875" i="9"/>
  <c r="P1876" i="9"/>
  <c r="P1877" i="9"/>
  <c r="P1878" i="9"/>
  <c r="P1879" i="9"/>
  <c r="P1880" i="9"/>
  <c r="P1881" i="9"/>
  <c r="P1882" i="9"/>
  <c r="P1883" i="9"/>
  <c r="P1884" i="9"/>
  <c r="P1885" i="9"/>
  <c r="P1886" i="9"/>
  <c r="P1887" i="9"/>
  <c r="P1888" i="9"/>
  <c r="P1889" i="9"/>
  <c r="P1890" i="9"/>
  <c r="P1891" i="9"/>
  <c r="P1892" i="9"/>
  <c r="P1893" i="9"/>
  <c r="P1894" i="9"/>
  <c r="P1895" i="9"/>
  <c r="P1896" i="9"/>
  <c r="P1897" i="9"/>
  <c r="P1898" i="9"/>
  <c r="P1899" i="9"/>
  <c r="P1900" i="9"/>
  <c r="P1901" i="9"/>
  <c r="P1902" i="9"/>
  <c r="P1903" i="9"/>
  <c r="P1904" i="9"/>
  <c r="P1905" i="9"/>
  <c r="P1906" i="9"/>
  <c r="P1907" i="9"/>
  <c r="P1908" i="9"/>
  <c r="P1909" i="9"/>
  <c r="P1910" i="9"/>
  <c r="P1911" i="9"/>
  <c r="P1912" i="9"/>
  <c r="P1913" i="9"/>
  <c r="P1914" i="9"/>
  <c r="P1915" i="9"/>
  <c r="P1916" i="9"/>
  <c r="P1917" i="9"/>
  <c r="P1918" i="9"/>
  <c r="P1919" i="9"/>
  <c r="P1920" i="9"/>
  <c r="P1921" i="9"/>
  <c r="P1922" i="9"/>
  <c r="P1923" i="9"/>
  <c r="P1924" i="9"/>
  <c r="P1925" i="9"/>
  <c r="P1926" i="9"/>
  <c r="P1927" i="9"/>
  <c r="P1928" i="9"/>
  <c r="P1929" i="9"/>
  <c r="P1930" i="9"/>
  <c r="P1931" i="9"/>
  <c r="P1932" i="9"/>
  <c r="P1933" i="9"/>
  <c r="P1934" i="9"/>
  <c r="P1935" i="9"/>
  <c r="P1936" i="9"/>
  <c r="P1937" i="9"/>
  <c r="P1938" i="9"/>
  <c r="P1939" i="9"/>
  <c r="P1940" i="9"/>
  <c r="P1941" i="9"/>
  <c r="P1942" i="9"/>
  <c r="P1943" i="9"/>
  <c r="P1944" i="9"/>
  <c r="P1945" i="9"/>
  <c r="P1946" i="9"/>
  <c r="P1947" i="9"/>
  <c r="P1948" i="9"/>
  <c r="P1949" i="9"/>
  <c r="P1950" i="9"/>
  <c r="P1951" i="9"/>
  <c r="P1952" i="9"/>
  <c r="P1953" i="9"/>
  <c r="P1954" i="9"/>
  <c r="P1955" i="9"/>
  <c r="P1956" i="9"/>
  <c r="P1957" i="9"/>
  <c r="P1958" i="9"/>
  <c r="P1959" i="9"/>
  <c r="P1960" i="9"/>
  <c r="P1961" i="9"/>
  <c r="P1962" i="9"/>
  <c r="P1963" i="9"/>
  <c r="P1964" i="9"/>
  <c r="P1965" i="9"/>
  <c r="P1966" i="9"/>
  <c r="P1967" i="9"/>
  <c r="P1968" i="9"/>
  <c r="P1969" i="9"/>
  <c r="P1970" i="9"/>
  <c r="P1971" i="9"/>
  <c r="P1972" i="9"/>
  <c r="P1973" i="9"/>
  <c r="P1974" i="9"/>
  <c r="P1975" i="9"/>
  <c r="P1976" i="9"/>
  <c r="P1977" i="9"/>
  <c r="P1978" i="9"/>
  <c r="P1979" i="9"/>
  <c r="P1980" i="9"/>
  <c r="P1981" i="9"/>
  <c r="P1982" i="9"/>
  <c r="P1983" i="9"/>
  <c r="P1984" i="9"/>
  <c r="P1985" i="9"/>
  <c r="P1986" i="9"/>
  <c r="P1987" i="9"/>
  <c r="P1988" i="9"/>
  <c r="P1989" i="9"/>
  <c r="P1990" i="9"/>
  <c r="P1991" i="9"/>
  <c r="P1992" i="9"/>
  <c r="P1993" i="9"/>
  <c r="P1994" i="9"/>
  <c r="P1995" i="9"/>
  <c r="P1996" i="9"/>
  <c r="P1997" i="9"/>
  <c r="P1998" i="9"/>
  <c r="P1999" i="9"/>
  <c r="P2000" i="9"/>
  <c r="P2001" i="9"/>
  <c r="P2002" i="9"/>
  <c r="P2003" i="9"/>
  <c r="P2004" i="9"/>
  <c r="P2005" i="9"/>
  <c r="P2006" i="9"/>
  <c r="P2007" i="9"/>
  <c r="P2008" i="9"/>
  <c r="P2009" i="9"/>
  <c r="P2010" i="9"/>
  <c r="P2011" i="9"/>
  <c r="P2012" i="9"/>
  <c r="P2013" i="9"/>
  <c r="P2014" i="9"/>
  <c r="P2015" i="9"/>
  <c r="P2016" i="9"/>
  <c r="P2017" i="9"/>
  <c r="P2018" i="9"/>
  <c r="P2019" i="9"/>
  <c r="P2020" i="9"/>
  <c r="P2021" i="9"/>
  <c r="P2022" i="9"/>
  <c r="P2023" i="9"/>
  <c r="P2024" i="9"/>
  <c r="P2025" i="9"/>
  <c r="P2026" i="9"/>
  <c r="P2027" i="9"/>
  <c r="P2028" i="9"/>
  <c r="P2029" i="9"/>
  <c r="P2030" i="9"/>
  <c r="P2031" i="9"/>
  <c r="P2032" i="9"/>
  <c r="P2033" i="9"/>
  <c r="P2034" i="9"/>
  <c r="P2035" i="9"/>
  <c r="P2036" i="9"/>
  <c r="P2037" i="9"/>
  <c r="P2038" i="9"/>
  <c r="P2039" i="9"/>
  <c r="P2040" i="9"/>
  <c r="P2041" i="9"/>
  <c r="P2042" i="9"/>
  <c r="P2043" i="9"/>
  <c r="P2044" i="9"/>
  <c r="P2045" i="9"/>
  <c r="P2046" i="9"/>
  <c r="P2047" i="9"/>
  <c r="P2048" i="9"/>
  <c r="P2049" i="9"/>
  <c r="P2050" i="9"/>
  <c r="P2051" i="9"/>
  <c r="P2052" i="9"/>
  <c r="P2053" i="9"/>
  <c r="P2054" i="9"/>
  <c r="P2055" i="9"/>
  <c r="P2056" i="9"/>
  <c r="P2057" i="9"/>
  <c r="P2058" i="9"/>
  <c r="P2059" i="9"/>
  <c r="P2060" i="9"/>
  <c r="P2061" i="9"/>
  <c r="P2062" i="9"/>
  <c r="P2063" i="9"/>
  <c r="P2064" i="9"/>
  <c r="P2065" i="9"/>
  <c r="P2066" i="9"/>
  <c r="P2067" i="9"/>
  <c r="P2068" i="9"/>
  <c r="P2069" i="9"/>
  <c r="P2070" i="9"/>
  <c r="P2071" i="9"/>
  <c r="P2072" i="9"/>
  <c r="P2073" i="9"/>
  <c r="P2074" i="9"/>
  <c r="P2075" i="9"/>
  <c r="P2076" i="9"/>
  <c r="P2077" i="9"/>
  <c r="P2078" i="9"/>
  <c r="P2079" i="9"/>
  <c r="P2080" i="9"/>
  <c r="P2081" i="9"/>
  <c r="P2082" i="9"/>
  <c r="P2083" i="9"/>
  <c r="P2084" i="9"/>
  <c r="P2085" i="9"/>
  <c r="P2086" i="9"/>
  <c r="P2087" i="9"/>
  <c r="P2088" i="9"/>
  <c r="P2089" i="9"/>
  <c r="P2090" i="9"/>
  <c r="P2091" i="9"/>
  <c r="P2092" i="9"/>
  <c r="P2093" i="9"/>
  <c r="P2094" i="9"/>
  <c r="P2095" i="9"/>
  <c r="P2096" i="9"/>
  <c r="P2097" i="9"/>
  <c r="P2098" i="9"/>
  <c r="P2099" i="9"/>
  <c r="P2100" i="9"/>
  <c r="P2101" i="9"/>
  <c r="P2102" i="9"/>
  <c r="P2103" i="9"/>
  <c r="P2104" i="9"/>
  <c r="P2105" i="9"/>
  <c r="P2106" i="9"/>
  <c r="P2107" i="9"/>
  <c r="P2108" i="9"/>
  <c r="P2109" i="9"/>
  <c r="P2110" i="9"/>
  <c r="P2111" i="9"/>
  <c r="P2112" i="9"/>
  <c r="P2113" i="9"/>
  <c r="P2114" i="9"/>
  <c r="P2115" i="9"/>
  <c r="P2116" i="9"/>
  <c r="P2117" i="9"/>
  <c r="P2118" i="9"/>
  <c r="P2119" i="9"/>
  <c r="P2120" i="9"/>
  <c r="P2121" i="9"/>
  <c r="P2122" i="9"/>
  <c r="P2123" i="9"/>
  <c r="P2124" i="9"/>
  <c r="P2125" i="9"/>
  <c r="P2126" i="9"/>
  <c r="P2127" i="9"/>
  <c r="P2128" i="9"/>
  <c r="P2129" i="9"/>
  <c r="P2130" i="9"/>
  <c r="P2131" i="9"/>
  <c r="P2132" i="9"/>
  <c r="P2133" i="9"/>
  <c r="P2134" i="9"/>
  <c r="P2135" i="9"/>
  <c r="P2136" i="9"/>
  <c r="P2137" i="9"/>
  <c r="P2138" i="9"/>
  <c r="P2139" i="9"/>
  <c r="P2140" i="9"/>
  <c r="P2141" i="9"/>
  <c r="P2142" i="9"/>
  <c r="P2143" i="9"/>
  <c r="P2144" i="9"/>
  <c r="P2145" i="9"/>
  <c r="P2146" i="9"/>
  <c r="P2147" i="9"/>
  <c r="P2148" i="9"/>
  <c r="P2149" i="9"/>
  <c r="P2150" i="9"/>
  <c r="P2151" i="9"/>
  <c r="P2152" i="9"/>
  <c r="P2153" i="9"/>
  <c r="P2154" i="9"/>
  <c r="P2155" i="9"/>
  <c r="P2156" i="9"/>
  <c r="P2157" i="9"/>
  <c r="P2158" i="9"/>
  <c r="P2159" i="9"/>
  <c r="P2160" i="9"/>
  <c r="P2161" i="9"/>
  <c r="P2162" i="9"/>
  <c r="P2163" i="9"/>
  <c r="P2164" i="9"/>
  <c r="P2165" i="9"/>
  <c r="P2166" i="9"/>
  <c r="P2167" i="9"/>
  <c r="P2168" i="9"/>
  <c r="P2169" i="9"/>
  <c r="P2170" i="9"/>
  <c r="P2171" i="9"/>
  <c r="P2172" i="9"/>
  <c r="P2173" i="9"/>
  <c r="P2174" i="9"/>
  <c r="P2175" i="9"/>
  <c r="P2176" i="9"/>
  <c r="P2177" i="9"/>
  <c r="P2178" i="9"/>
  <c r="P2179" i="9"/>
  <c r="P2180" i="9"/>
  <c r="P2181" i="9"/>
  <c r="P2182" i="9"/>
  <c r="P2183" i="9"/>
  <c r="P2184" i="9"/>
  <c r="P2185" i="9"/>
  <c r="P2186" i="9"/>
  <c r="P2187" i="9"/>
  <c r="P2188" i="9"/>
  <c r="P2189" i="9"/>
  <c r="P2190" i="9"/>
  <c r="P2191" i="9"/>
  <c r="P2192" i="9"/>
  <c r="P2193" i="9"/>
  <c r="P2194" i="9"/>
  <c r="P2195" i="9"/>
  <c r="P2196" i="9"/>
  <c r="P2197" i="9"/>
  <c r="P2198" i="9"/>
  <c r="P2199" i="9"/>
  <c r="P2200" i="9"/>
  <c r="P2201" i="9"/>
  <c r="P2202" i="9"/>
  <c r="P2203" i="9"/>
  <c r="P2204" i="9"/>
  <c r="P2205" i="9"/>
  <c r="P2206" i="9"/>
  <c r="P2207" i="9"/>
  <c r="P2208" i="9"/>
  <c r="P2209" i="9"/>
  <c r="P2210" i="9"/>
  <c r="P2211" i="9"/>
  <c r="P2212" i="9"/>
  <c r="P2213" i="9"/>
  <c r="P2214" i="9"/>
  <c r="P2215" i="9"/>
  <c r="P2216" i="9"/>
  <c r="P2217" i="9"/>
  <c r="P2218" i="9"/>
  <c r="P2219" i="9"/>
  <c r="P2220" i="9"/>
  <c r="P2221" i="9"/>
  <c r="P2222" i="9"/>
  <c r="P2223" i="9"/>
  <c r="P2224" i="9"/>
  <c r="P2225" i="9"/>
  <c r="P2226" i="9"/>
  <c r="P2227" i="9"/>
  <c r="P2228" i="9"/>
  <c r="P2229" i="9"/>
  <c r="P2230" i="9"/>
  <c r="P2231" i="9"/>
  <c r="P2232" i="9"/>
  <c r="P2233" i="9"/>
  <c r="P2234" i="9"/>
  <c r="P2235" i="9"/>
  <c r="P2236" i="9"/>
  <c r="P2237" i="9"/>
  <c r="P2238" i="9"/>
  <c r="P2239" i="9"/>
  <c r="P2240" i="9"/>
  <c r="P2241" i="9"/>
  <c r="P2242" i="9"/>
  <c r="P2243" i="9"/>
  <c r="P2244" i="9"/>
  <c r="P2245" i="9"/>
  <c r="P2246" i="9"/>
  <c r="P2247" i="9"/>
  <c r="P2248" i="9"/>
  <c r="P2249" i="9"/>
  <c r="P2250" i="9"/>
  <c r="P2251" i="9"/>
  <c r="P2252" i="9"/>
  <c r="P2253" i="9"/>
  <c r="P2254" i="9"/>
  <c r="P2255" i="9"/>
  <c r="P2256" i="9"/>
  <c r="P2257" i="9"/>
  <c r="P2258" i="9"/>
  <c r="P2259" i="9"/>
  <c r="P2260" i="9"/>
  <c r="P2261" i="9"/>
  <c r="P2262" i="9"/>
  <c r="P2263" i="9"/>
  <c r="P2264" i="9"/>
  <c r="P2265" i="9"/>
  <c r="P2266" i="9"/>
  <c r="P2267" i="9"/>
  <c r="P2268" i="9"/>
  <c r="P2269" i="9"/>
  <c r="P2270" i="9"/>
  <c r="P2271" i="9"/>
  <c r="P2272" i="9"/>
  <c r="P2273" i="9"/>
  <c r="P2274" i="9"/>
  <c r="P2275" i="9"/>
  <c r="P2276" i="9"/>
  <c r="P2277" i="9"/>
  <c r="P2278" i="9"/>
  <c r="P2279" i="9"/>
  <c r="P2280" i="9"/>
  <c r="P2281" i="9"/>
  <c r="P2282" i="9"/>
  <c r="P2283" i="9"/>
  <c r="P2284" i="9"/>
  <c r="P2285" i="9"/>
  <c r="P2286" i="9"/>
  <c r="P2287" i="9"/>
  <c r="P2288" i="9"/>
  <c r="P2289" i="9"/>
  <c r="P2290" i="9"/>
  <c r="P2291" i="9"/>
  <c r="P2292" i="9"/>
  <c r="P2293" i="9"/>
  <c r="P2294" i="9"/>
  <c r="P2295" i="9"/>
  <c r="P2296" i="9"/>
  <c r="P2297" i="9"/>
  <c r="P2298" i="9"/>
  <c r="P2299" i="9"/>
  <c r="P2300" i="9"/>
  <c r="P2301" i="9"/>
  <c r="P2302" i="9"/>
  <c r="P2303" i="9"/>
  <c r="P2304" i="9"/>
  <c r="P2305" i="9"/>
  <c r="P2306" i="9"/>
  <c r="P2307" i="9"/>
  <c r="P2308" i="9"/>
  <c r="P2309" i="9"/>
  <c r="P2310" i="9"/>
  <c r="P2311" i="9"/>
  <c r="P2312" i="9"/>
  <c r="P2313" i="9"/>
  <c r="P2314" i="9"/>
  <c r="P2315" i="9"/>
  <c r="P2316" i="9"/>
  <c r="P2317" i="9"/>
  <c r="P2318" i="9"/>
  <c r="P2319" i="9"/>
  <c r="P2320" i="9"/>
  <c r="P2321" i="9"/>
  <c r="P2322" i="9"/>
  <c r="P2323" i="9"/>
  <c r="P2324" i="9"/>
  <c r="P2325" i="9"/>
  <c r="P2326" i="9"/>
  <c r="P2327" i="9"/>
  <c r="P2328" i="9"/>
  <c r="P2329" i="9"/>
  <c r="P2330" i="9"/>
  <c r="P2331" i="9"/>
  <c r="P2332" i="9"/>
  <c r="P2333" i="9"/>
  <c r="P2334" i="9"/>
  <c r="P2335" i="9"/>
  <c r="P2336" i="9"/>
  <c r="P2337" i="9"/>
  <c r="P2338" i="9"/>
  <c r="P2339" i="9"/>
  <c r="P2340" i="9"/>
  <c r="P2341" i="9"/>
  <c r="P2342" i="9"/>
  <c r="P2343" i="9"/>
  <c r="P2344" i="9"/>
  <c r="P2345" i="9"/>
  <c r="P2346" i="9"/>
  <c r="P2347" i="9"/>
  <c r="P2348" i="9"/>
  <c r="P2349" i="9"/>
  <c r="P2350" i="9"/>
  <c r="P2351" i="9"/>
  <c r="P2352" i="9"/>
  <c r="P2353" i="9"/>
  <c r="P2354" i="9"/>
  <c r="P2355" i="9"/>
  <c r="P2356" i="9"/>
  <c r="P2357" i="9"/>
  <c r="P2358" i="9"/>
  <c r="P2359" i="9"/>
  <c r="P2360" i="9"/>
  <c r="P2361" i="9"/>
  <c r="P2362" i="9"/>
  <c r="P2363" i="9"/>
  <c r="P2364" i="9"/>
  <c r="P2365" i="9"/>
  <c r="P2366" i="9"/>
  <c r="P2367" i="9"/>
  <c r="P2368" i="9"/>
  <c r="P2369" i="9"/>
  <c r="P2370" i="9"/>
  <c r="P2371" i="9"/>
  <c r="P2372" i="9"/>
  <c r="P2373" i="9"/>
  <c r="P2374" i="9"/>
  <c r="P2375" i="9"/>
  <c r="P2376" i="9"/>
  <c r="P2377" i="9"/>
  <c r="P2378" i="9"/>
  <c r="P2379" i="9"/>
  <c r="P2380" i="9"/>
  <c r="P2381" i="9"/>
  <c r="P2382" i="9"/>
  <c r="P2383" i="9"/>
  <c r="P2384" i="9"/>
  <c r="P2385" i="9"/>
  <c r="P2386" i="9"/>
  <c r="P2387" i="9"/>
  <c r="P2388" i="9"/>
  <c r="P2389" i="9"/>
  <c r="P2390" i="9"/>
  <c r="P2391" i="9"/>
  <c r="P2392" i="9"/>
  <c r="P2393" i="9"/>
  <c r="P2394" i="9"/>
  <c r="P2395" i="9"/>
  <c r="P2396" i="9"/>
  <c r="P2397" i="9"/>
  <c r="P2398" i="9"/>
  <c r="P2399" i="9"/>
  <c r="P2400" i="9"/>
  <c r="P2401" i="9"/>
  <c r="P2402" i="9"/>
  <c r="P2403" i="9"/>
  <c r="P2404" i="9"/>
  <c r="P2405" i="9"/>
  <c r="P2406" i="9"/>
  <c r="P2407" i="9"/>
  <c r="P2408" i="9"/>
  <c r="P2409" i="9"/>
  <c r="P2410" i="9"/>
  <c r="P2411" i="9"/>
  <c r="P2412" i="9"/>
  <c r="P2413" i="9"/>
  <c r="P2414" i="9"/>
  <c r="P2415" i="9"/>
  <c r="P2416" i="9"/>
  <c r="P2417" i="9"/>
  <c r="P2418" i="9"/>
  <c r="P2419" i="9"/>
  <c r="P2420" i="9"/>
  <c r="P2421" i="9"/>
  <c r="P2422" i="9"/>
  <c r="P2423" i="9"/>
  <c r="P2424" i="9"/>
  <c r="P2425" i="9"/>
  <c r="P2426" i="9"/>
  <c r="P2427" i="9"/>
  <c r="P2428" i="9"/>
  <c r="P2429" i="9"/>
  <c r="P2430" i="9"/>
  <c r="P2431" i="9"/>
  <c r="P2432" i="9"/>
  <c r="P2433" i="9"/>
  <c r="P2434" i="9"/>
  <c r="P2435" i="9"/>
  <c r="P2436" i="9"/>
  <c r="P2437" i="9"/>
  <c r="P2438" i="9"/>
  <c r="P2439" i="9"/>
  <c r="P2440" i="9"/>
  <c r="P2441" i="9"/>
  <c r="P2442" i="9"/>
  <c r="P2443" i="9"/>
  <c r="P2444" i="9"/>
  <c r="P2445" i="9"/>
  <c r="P2446" i="9"/>
  <c r="P2447" i="9"/>
  <c r="P2448" i="9"/>
  <c r="P2449" i="9"/>
  <c r="P2450" i="9"/>
  <c r="P2451" i="9"/>
  <c r="P2452" i="9"/>
  <c r="P2453" i="9"/>
  <c r="P2454" i="9"/>
  <c r="P2455" i="9"/>
  <c r="P2456" i="9"/>
  <c r="P2457" i="9"/>
  <c r="P2458" i="9"/>
  <c r="P2459" i="9"/>
  <c r="P2460" i="9"/>
  <c r="P2461" i="9"/>
  <c r="P2462" i="9"/>
  <c r="P2463" i="9"/>
  <c r="P2464" i="9"/>
  <c r="P2465" i="9"/>
  <c r="P2466" i="9"/>
  <c r="P2467" i="9"/>
  <c r="P2468" i="9"/>
  <c r="P2469" i="9"/>
  <c r="P2470" i="9"/>
  <c r="P2471" i="9"/>
  <c r="P2472" i="9"/>
  <c r="P2473" i="9"/>
  <c r="P2474" i="9"/>
  <c r="P2475" i="9"/>
  <c r="P2476" i="9"/>
  <c r="P2477" i="9"/>
  <c r="P2478" i="9"/>
  <c r="P2479" i="9"/>
  <c r="P2480" i="9"/>
  <c r="P2481" i="9"/>
  <c r="P2482" i="9"/>
  <c r="P2483" i="9"/>
  <c r="P2484" i="9"/>
  <c r="P2485" i="9"/>
  <c r="P2486" i="9"/>
  <c r="P2487" i="9"/>
  <c r="P2488" i="9"/>
  <c r="P2489" i="9"/>
  <c r="P2490" i="9"/>
  <c r="P2491" i="9"/>
  <c r="P2492" i="9"/>
  <c r="P2493" i="9"/>
  <c r="P2494" i="9"/>
  <c r="P2495" i="9"/>
  <c r="P2496" i="9"/>
  <c r="P2497" i="9"/>
  <c r="P2498" i="9"/>
  <c r="P2499" i="9"/>
  <c r="P2500" i="9"/>
  <c r="P2501" i="9"/>
  <c r="P2502" i="9"/>
  <c r="P2503" i="9"/>
  <c r="P2504" i="9"/>
  <c r="P2505" i="9"/>
  <c r="P2506" i="9"/>
  <c r="P2507" i="9"/>
  <c r="P2508" i="9"/>
  <c r="P2509" i="9"/>
  <c r="P2510" i="9"/>
  <c r="P2511" i="9"/>
  <c r="P2512" i="9"/>
  <c r="P2513" i="9"/>
  <c r="P2514" i="9"/>
  <c r="P2515" i="9"/>
  <c r="P2516" i="9"/>
  <c r="P2517" i="9"/>
  <c r="P2518" i="9"/>
  <c r="P2519" i="9"/>
  <c r="P2520" i="9"/>
  <c r="P2521" i="9"/>
  <c r="P2522" i="9"/>
  <c r="P2523" i="9"/>
  <c r="P2524" i="9"/>
  <c r="P2525" i="9"/>
  <c r="P2526" i="9"/>
  <c r="P2527" i="9"/>
  <c r="P2528" i="9"/>
  <c r="P2529" i="9"/>
  <c r="P2530" i="9"/>
  <c r="P2531" i="9"/>
  <c r="P2532" i="9"/>
  <c r="P2533" i="9"/>
  <c r="P2534" i="9"/>
  <c r="P2535" i="9"/>
  <c r="P2536" i="9"/>
  <c r="P2537" i="9"/>
  <c r="P2538" i="9"/>
  <c r="P2539" i="9"/>
  <c r="P2540" i="9"/>
  <c r="P2541" i="9"/>
  <c r="P2542" i="9"/>
  <c r="P2543" i="9"/>
  <c r="P2544" i="9"/>
  <c r="P2545" i="9"/>
  <c r="P2546" i="9"/>
  <c r="P2547" i="9"/>
  <c r="P2548" i="9"/>
  <c r="P2549" i="9"/>
  <c r="P2550" i="9"/>
  <c r="P2551" i="9"/>
  <c r="P2552" i="9"/>
  <c r="P2553" i="9"/>
  <c r="P2554" i="9"/>
  <c r="P2555" i="9"/>
  <c r="P2556" i="9"/>
  <c r="P2557" i="9"/>
  <c r="P2558" i="9"/>
  <c r="P2559" i="9"/>
  <c r="P2560" i="9"/>
  <c r="P2561" i="9"/>
  <c r="P2562" i="9"/>
  <c r="P2563" i="9"/>
  <c r="P2564" i="9"/>
  <c r="P2565" i="9"/>
  <c r="P2566" i="9"/>
  <c r="P2567" i="9"/>
  <c r="P2568" i="9"/>
  <c r="P2569" i="9"/>
  <c r="P2570" i="9"/>
  <c r="P2571" i="9"/>
  <c r="P2572" i="9"/>
  <c r="P2573" i="9"/>
  <c r="P2574" i="9"/>
  <c r="P2575" i="9"/>
  <c r="P2576" i="9"/>
  <c r="P2577" i="9"/>
  <c r="P2578" i="9"/>
  <c r="P2579" i="9"/>
  <c r="P2580" i="9"/>
  <c r="P2581" i="9"/>
  <c r="P2582" i="9"/>
  <c r="P2583" i="9"/>
  <c r="P2584" i="9"/>
  <c r="P2585" i="9"/>
  <c r="P2586" i="9"/>
  <c r="P2587" i="9"/>
  <c r="P2588" i="9"/>
  <c r="P2589" i="9"/>
  <c r="P2590" i="9"/>
  <c r="P2591" i="9"/>
  <c r="P2592" i="9"/>
  <c r="P2593" i="9"/>
  <c r="P2594" i="9"/>
  <c r="P2595" i="9"/>
  <c r="P2596" i="9"/>
  <c r="P2597" i="9"/>
  <c r="P2598" i="9"/>
  <c r="P2599" i="9"/>
  <c r="P2600" i="9"/>
  <c r="P2601" i="9"/>
  <c r="P2602" i="9"/>
  <c r="P2603" i="9"/>
  <c r="P2604" i="9"/>
  <c r="P2605" i="9"/>
  <c r="P2606" i="9"/>
  <c r="P2607" i="9"/>
  <c r="P2608" i="9"/>
  <c r="P2609" i="9"/>
  <c r="P2610" i="9"/>
  <c r="P2611" i="9"/>
  <c r="P2612" i="9"/>
  <c r="P2613" i="9"/>
  <c r="P2614" i="9"/>
  <c r="P2615" i="9"/>
  <c r="P2616" i="9"/>
  <c r="P2617" i="9"/>
  <c r="P2618" i="9"/>
  <c r="P2619" i="9"/>
  <c r="P2620" i="9"/>
  <c r="P2621" i="9"/>
  <c r="P2622" i="9"/>
  <c r="P2623" i="9"/>
  <c r="P2624" i="9"/>
  <c r="P2625" i="9"/>
  <c r="P2626" i="9"/>
  <c r="P2627" i="9"/>
  <c r="P2628" i="9"/>
  <c r="P2629" i="9"/>
  <c r="P2630" i="9"/>
  <c r="P2631" i="9"/>
  <c r="P2632" i="9"/>
  <c r="P2633" i="9"/>
  <c r="P2634" i="9"/>
  <c r="P2635" i="9"/>
  <c r="P2636" i="9"/>
  <c r="P2637" i="9"/>
  <c r="P2638" i="9"/>
  <c r="P2639" i="9"/>
  <c r="P2640" i="9"/>
  <c r="P2641" i="9"/>
  <c r="P2642" i="9"/>
  <c r="P2643" i="9"/>
  <c r="P2644" i="9"/>
  <c r="P2645" i="9"/>
  <c r="P2646" i="9"/>
  <c r="P2647" i="9"/>
  <c r="P2648" i="9"/>
  <c r="P2649" i="9"/>
  <c r="P2650" i="9"/>
  <c r="P2651" i="9"/>
  <c r="P2652" i="9"/>
  <c r="P2653" i="9"/>
  <c r="P2654" i="9"/>
  <c r="P2655" i="9"/>
  <c r="P2656" i="9"/>
  <c r="P2657" i="9"/>
  <c r="P2658" i="9"/>
  <c r="P2659" i="9"/>
  <c r="P2660" i="9"/>
  <c r="P2661" i="9"/>
  <c r="P2662" i="9"/>
  <c r="P2663" i="9"/>
  <c r="P2664" i="9"/>
  <c r="P2665" i="9"/>
  <c r="P2666" i="9"/>
  <c r="P2667" i="9"/>
  <c r="P2668" i="9"/>
  <c r="P2669" i="9"/>
  <c r="P2670" i="9"/>
  <c r="P2671" i="9"/>
  <c r="P2672" i="9"/>
  <c r="P2673" i="9"/>
  <c r="P2674" i="9"/>
  <c r="P2675" i="9"/>
  <c r="P2676" i="9"/>
  <c r="P2677" i="9"/>
  <c r="P2678" i="9"/>
  <c r="P2679" i="9"/>
  <c r="P2680" i="9"/>
  <c r="P2681" i="9"/>
  <c r="P2682" i="9"/>
  <c r="P2683" i="9"/>
  <c r="P2684" i="9"/>
  <c r="P2685" i="9"/>
  <c r="P2686" i="9"/>
  <c r="P2687" i="9"/>
  <c r="P2688" i="9"/>
  <c r="P2689" i="9"/>
  <c r="P2690" i="9"/>
  <c r="P2691" i="9"/>
  <c r="P2692" i="9"/>
  <c r="P2693" i="9"/>
  <c r="P2694" i="9"/>
  <c r="P2695" i="9"/>
  <c r="P2696" i="9"/>
  <c r="P2697" i="9"/>
  <c r="P2698" i="9"/>
  <c r="P2699" i="9"/>
  <c r="P2700" i="9"/>
  <c r="P2701" i="9"/>
  <c r="P2702" i="9"/>
  <c r="P2703" i="9"/>
  <c r="P2704" i="9"/>
  <c r="P2705" i="9"/>
  <c r="P2706" i="9"/>
  <c r="P2707" i="9"/>
  <c r="P2708" i="9"/>
  <c r="P2709" i="9"/>
  <c r="P2710" i="9"/>
  <c r="P2711" i="9"/>
  <c r="P2712" i="9"/>
  <c r="P2713" i="9"/>
  <c r="P2714" i="9"/>
  <c r="P2715" i="9"/>
  <c r="P2716" i="9"/>
  <c r="P2717" i="9"/>
  <c r="P2718" i="9"/>
  <c r="P2719" i="9"/>
  <c r="P2720" i="9"/>
  <c r="P2721" i="9"/>
  <c r="P2722" i="9"/>
  <c r="P2723" i="9"/>
  <c r="P2724" i="9"/>
  <c r="P2725" i="9"/>
  <c r="P2726" i="9"/>
  <c r="P2727" i="9"/>
  <c r="P2728" i="9"/>
  <c r="P2729" i="9"/>
  <c r="P2730" i="9"/>
  <c r="P2731" i="9"/>
  <c r="P2732" i="9"/>
  <c r="P2733" i="9"/>
  <c r="P2734" i="9"/>
  <c r="P2735" i="9"/>
  <c r="P2736" i="9"/>
  <c r="P2737" i="9"/>
  <c r="P2738" i="9"/>
  <c r="P2739" i="9"/>
  <c r="P2740" i="9"/>
  <c r="P2741" i="9"/>
  <c r="P2742" i="9"/>
  <c r="P2743" i="9"/>
  <c r="P2744" i="9"/>
  <c r="P2745" i="9"/>
  <c r="P2746" i="9"/>
  <c r="P2747" i="9"/>
  <c r="P2748" i="9"/>
  <c r="P2749" i="9"/>
  <c r="P2750" i="9"/>
  <c r="P2751" i="9"/>
  <c r="P2752" i="9"/>
  <c r="P2753" i="9"/>
  <c r="P2754" i="9"/>
  <c r="P2755" i="9"/>
  <c r="P2756" i="9"/>
  <c r="P2757" i="9"/>
  <c r="P2758" i="9"/>
  <c r="P2759" i="9"/>
  <c r="P2760" i="9"/>
  <c r="P2761" i="9"/>
  <c r="P2762" i="9"/>
  <c r="P2763" i="9"/>
  <c r="P2764" i="9"/>
  <c r="P2765" i="9"/>
  <c r="P2766" i="9"/>
  <c r="P2767" i="9"/>
  <c r="P2768" i="9"/>
  <c r="P2769" i="9"/>
  <c r="P2770" i="9"/>
  <c r="P2771" i="9"/>
  <c r="P2772" i="9"/>
  <c r="P2773" i="9"/>
  <c r="P2774" i="9"/>
  <c r="P2775" i="9"/>
  <c r="P2776" i="9"/>
  <c r="P2777" i="9"/>
  <c r="P2778" i="9"/>
  <c r="P2779" i="9"/>
  <c r="P2780" i="9"/>
  <c r="P2781" i="9"/>
  <c r="P2782" i="9"/>
  <c r="P2783" i="9"/>
  <c r="P2784" i="9"/>
  <c r="P2785" i="9"/>
  <c r="P2786" i="9"/>
  <c r="P2787" i="9"/>
  <c r="P2788" i="9"/>
  <c r="P2789" i="9"/>
  <c r="P2790" i="9"/>
  <c r="P2791" i="9"/>
  <c r="P2792" i="9"/>
  <c r="P2793" i="9"/>
  <c r="P2794" i="9"/>
  <c r="P2795" i="9"/>
  <c r="P2796" i="9"/>
  <c r="P2797" i="9"/>
  <c r="P2798" i="9"/>
  <c r="P2799" i="9"/>
  <c r="P2800" i="9"/>
  <c r="P2801" i="9"/>
  <c r="P2802" i="9"/>
  <c r="P2803" i="9"/>
  <c r="P2804" i="9"/>
  <c r="P2805" i="9"/>
  <c r="P2806" i="9"/>
  <c r="P2807" i="9"/>
  <c r="P2808" i="9"/>
  <c r="P2809" i="9"/>
  <c r="P2810" i="9"/>
  <c r="P2811" i="9"/>
  <c r="P2812" i="9"/>
  <c r="P2813" i="9"/>
  <c r="P2814" i="9"/>
  <c r="P2815" i="9"/>
  <c r="P2816" i="9"/>
  <c r="P2817" i="9"/>
  <c r="P2818" i="9"/>
  <c r="P2819" i="9"/>
  <c r="P2820" i="9"/>
  <c r="P2821" i="9"/>
  <c r="P2822" i="9"/>
  <c r="P2823" i="9"/>
  <c r="P2824" i="9"/>
  <c r="P2825" i="9"/>
  <c r="P2826" i="9"/>
  <c r="P2827" i="9"/>
  <c r="P2828" i="9"/>
  <c r="P2829" i="9"/>
  <c r="P2830" i="9"/>
  <c r="P2831" i="9"/>
  <c r="P2832" i="9"/>
  <c r="P2833" i="9"/>
  <c r="P2834" i="9"/>
  <c r="P2835" i="9"/>
  <c r="P2836" i="9"/>
  <c r="P2837" i="9"/>
  <c r="P2838" i="9"/>
  <c r="P2839" i="9"/>
  <c r="P2840" i="9"/>
  <c r="P2841" i="9"/>
  <c r="P2842" i="9"/>
  <c r="P2843" i="9"/>
  <c r="P2844" i="9"/>
  <c r="P2845" i="9"/>
  <c r="P2846" i="9"/>
  <c r="P2847" i="9"/>
  <c r="P2848" i="9"/>
  <c r="P2849" i="9"/>
  <c r="P2850" i="9"/>
  <c r="P2851"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337" i="9"/>
  <c r="H2338" i="9"/>
  <c r="H2339" i="9"/>
  <c r="H2340" i="9"/>
  <c r="H2341" i="9"/>
  <c r="H2342" i="9"/>
  <c r="H2343" i="9"/>
  <c r="H2344" i="9"/>
  <c r="H2345" i="9"/>
  <c r="H2346" i="9"/>
  <c r="H2347" i="9"/>
  <c r="H2348" i="9"/>
  <c r="H2349" i="9"/>
  <c r="H2350" i="9"/>
  <c r="H2351" i="9"/>
  <c r="H2352" i="9"/>
  <c r="H2353" i="9"/>
  <c r="H2354" i="9"/>
  <c r="H2355" i="9"/>
  <c r="H2356" i="9"/>
  <c r="H2357" i="9"/>
  <c r="H2358" i="9"/>
  <c r="H2359" i="9"/>
  <c r="H2360" i="9"/>
  <c r="H2361" i="9"/>
  <c r="H2362" i="9"/>
  <c r="H2363" i="9"/>
  <c r="H2364" i="9"/>
  <c r="H2365" i="9"/>
  <c r="H2366" i="9"/>
  <c r="H2367" i="9"/>
  <c r="H2368" i="9"/>
  <c r="H2369" i="9"/>
  <c r="H2370" i="9"/>
  <c r="H2371" i="9"/>
  <c r="H2372" i="9"/>
  <c r="H2373" i="9"/>
  <c r="H2374" i="9"/>
  <c r="H2375" i="9"/>
  <c r="H2376" i="9"/>
  <c r="H2377" i="9"/>
  <c r="H2378" i="9"/>
  <c r="H2379" i="9"/>
  <c r="H2380" i="9"/>
  <c r="H2381" i="9"/>
  <c r="H2382" i="9"/>
  <c r="H2383" i="9"/>
  <c r="H2384" i="9"/>
  <c r="H2385" i="9"/>
  <c r="H2386" i="9"/>
  <c r="H2387" i="9"/>
  <c r="H2388" i="9"/>
  <c r="H2389" i="9"/>
  <c r="H2390" i="9"/>
  <c r="H2391" i="9"/>
  <c r="H2392" i="9"/>
  <c r="H2393" i="9"/>
  <c r="H2394" i="9"/>
  <c r="H2395" i="9"/>
  <c r="H2396" i="9"/>
  <c r="H2397" i="9"/>
  <c r="H2398" i="9"/>
  <c r="H2399" i="9"/>
  <c r="H2400" i="9"/>
  <c r="H2401" i="9"/>
  <c r="H2402" i="9"/>
  <c r="H2403" i="9"/>
  <c r="H2404" i="9"/>
  <c r="H2405" i="9"/>
  <c r="H2406" i="9"/>
  <c r="H2407" i="9"/>
  <c r="H2408" i="9"/>
  <c r="H2409" i="9"/>
  <c r="H2410" i="9"/>
  <c r="H2411" i="9"/>
  <c r="H2412" i="9"/>
  <c r="H2413" i="9"/>
  <c r="H2414" i="9"/>
  <c r="H2415" i="9"/>
  <c r="H2416" i="9"/>
  <c r="H2417" i="9"/>
  <c r="H2418" i="9"/>
  <c r="H2419" i="9"/>
  <c r="H2420" i="9"/>
  <c r="H2421" i="9"/>
  <c r="H2422" i="9"/>
  <c r="H2423" i="9"/>
  <c r="H2424" i="9"/>
  <c r="H2425" i="9"/>
  <c r="H2426" i="9"/>
  <c r="H2427" i="9"/>
  <c r="H2428" i="9"/>
  <c r="H2429" i="9"/>
  <c r="H2430" i="9"/>
  <c r="H2431" i="9"/>
  <c r="H2432" i="9"/>
  <c r="H2433" i="9"/>
  <c r="H2434" i="9"/>
  <c r="H2435" i="9"/>
  <c r="H2436" i="9"/>
  <c r="H2437" i="9"/>
  <c r="H2438" i="9"/>
  <c r="H2439" i="9"/>
  <c r="H2440" i="9"/>
  <c r="H2441" i="9"/>
  <c r="H2442" i="9"/>
  <c r="H2443" i="9"/>
  <c r="H2444" i="9"/>
  <c r="H2445" i="9"/>
  <c r="H2446" i="9"/>
  <c r="H2447" i="9"/>
  <c r="H2448" i="9"/>
  <c r="H2449" i="9"/>
  <c r="H2450" i="9"/>
  <c r="H2451" i="9"/>
  <c r="H2452" i="9"/>
  <c r="H2453" i="9"/>
  <c r="H2454" i="9"/>
  <c r="H2455" i="9"/>
  <c r="H2456" i="9"/>
  <c r="H2457" i="9"/>
  <c r="H2458" i="9"/>
  <c r="H2459" i="9"/>
  <c r="H2460" i="9"/>
  <c r="H2461" i="9"/>
  <c r="H2462" i="9"/>
  <c r="H2463" i="9"/>
  <c r="H2464" i="9"/>
  <c r="H2465" i="9"/>
  <c r="H2466" i="9"/>
  <c r="H2467" i="9"/>
  <c r="H2468" i="9"/>
  <c r="H2469" i="9"/>
  <c r="H2470" i="9"/>
  <c r="H2471" i="9"/>
  <c r="H2472" i="9"/>
  <c r="H2473" i="9"/>
  <c r="H2474" i="9"/>
  <c r="H2475" i="9"/>
  <c r="H2476" i="9"/>
  <c r="H2477" i="9"/>
  <c r="H2478" i="9"/>
  <c r="H2479" i="9"/>
  <c r="H2480" i="9"/>
  <c r="H2481" i="9"/>
  <c r="H2482" i="9"/>
  <c r="H2483" i="9"/>
  <c r="H2484" i="9"/>
  <c r="H2485" i="9"/>
  <c r="H2486" i="9"/>
  <c r="H2487" i="9"/>
  <c r="H2488" i="9"/>
  <c r="H2489" i="9"/>
  <c r="H2490" i="9"/>
  <c r="H2491" i="9"/>
  <c r="H2492" i="9"/>
  <c r="H2493" i="9"/>
  <c r="H2494" i="9"/>
  <c r="H2495" i="9"/>
  <c r="H2496" i="9"/>
  <c r="H2497" i="9"/>
  <c r="H2498" i="9"/>
  <c r="H2499" i="9"/>
  <c r="H2500" i="9"/>
  <c r="H2501" i="9"/>
  <c r="H2502" i="9"/>
  <c r="H2503" i="9"/>
  <c r="H2504" i="9"/>
  <c r="H2505" i="9"/>
  <c r="H2506" i="9"/>
  <c r="H2507" i="9"/>
  <c r="H2508" i="9"/>
  <c r="H2509" i="9"/>
  <c r="H2510" i="9"/>
  <c r="H2511" i="9"/>
  <c r="H2512" i="9"/>
  <c r="H2513" i="9"/>
  <c r="H2514" i="9"/>
  <c r="H2515" i="9"/>
  <c r="H2516" i="9"/>
  <c r="H2517" i="9"/>
  <c r="H2518" i="9"/>
  <c r="H2519" i="9"/>
  <c r="H2520" i="9"/>
  <c r="H2521" i="9"/>
  <c r="H2522" i="9"/>
  <c r="H2523" i="9"/>
  <c r="H2524" i="9"/>
  <c r="H2525" i="9"/>
  <c r="H2526" i="9"/>
  <c r="H2527" i="9"/>
  <c r="H2528" i="9"/>
  <c r="H2529" i="9"/>
  <c r="H2530" i="9"/>
  <c r="H2531" i="9"/>
  <c r="H2532" i="9"/>
  <c r="H2533" i="9"/>
  <c r="H2534" i="9"/>
  <c r="H2535" i="9"/>
  <c r="H2536" i="9"/>
  <c r="H2537" i="9"/>
  <c r="H2538" i="9"/>
  <c r="H2539" i="9"/>
  <c r="H2540" i="9"/>
  <c r="H2541" i="9"/>
  <c r="H2542" i="9"/>
  <c r="H2543" i="9"/>
  <c r="H2544" i="9"/>
  <c r="H2545" i="9"/>
  <c r="H2546" i="9"/>
  <c r="H2547" i="9"/>
  <c r="H2548" i="9"/>
  <c r="H2549" i="9"/>
  <c r="H2550" i="9"/>
  <c r="H2551" i="9"/>
  <c r="H2552" i="9"/>
  <c r="H2553" i="9"/>
  <c r="H2554" i="9"/>
  <c r="H2555" i="9"/>
  <c r="H2556" i="9"/>
  <c r="H2557" i="9"/>
  <c r="H2558" i="9"/>
  <c r="H2559" i="9"/>
  <c r="H2560" i="9"/>
  <c r="H2561" i="9"/>
  <c r="H2562" i="9"/>
  <c r="H2563" i="9"/>
  <c r="H2564" i="9"/>
  <c r="H2565" i="9"/>
  <c r="H2566" i="9"/>
  <c r="H2567" i="9"/>
  <c r="H2568" i="9"/>
  <c r="H2569" i="9"/>
  <c r="H2570" i="9"/>
  <c r="H2571" i="9"/>
  <c r="H2572" i="9"/>
  <c r="H2573" i="9"/>
  <c r="H2574" i="9"/>
  <c r="H2575" i="9"/>
  <c r="H2576" i="9"/>
  <c r="H2577" i="9"/>
  <c r="H2578" i="9"/>
  <c r="H2579" i="9"/>
  <c r="H2580" i="9"/>
  <c r="H2581" i="9"/>
  <c r="H2582" i="9"/>
  <c r="H2583" i="9"/>
  <c r="H2584" i="9"/>
  <c r="H2585" i="9"/>
  <c r="H2586" i="9"/>
  <c r="H2587" i="9"/>
  <c r="H2588" i="9"/>
  <c r="H2589" i="9"/>
  <c r="H2590" i="9"/>
  <c r="H2591" i="9"/>
  <c r="H2592" i="9"/>
  <c r="H2593" i="9"/>
  <c r="H2594" i="9"/>
  <c r="H2595" i="9"/>
  <c r="H2596" i="9"/>
  <c r="H2597" i="9"/>
  <c r="H2598" i="9"/>
  <c r="H2599" i="9"/>
  <c r="H2600" i="9"/>
  <c r="H2601" i="9"/>
  <c r="H2602" i="9"/>
  <c r="H2603" i="9"/>
  <c r="H2604" i="9"/>
  <c r="H2605" i="9"/>
  <c r="H2606" i="9"/>
  <c r="H2607" i="9"/>
  <c r="H2608" i="9"/>
  <c r="H2609" i="9"/>
  <c r="H2610" i="9"/>
  <c r="H2611" i="9"/>
  <c r="H2612" i="9"/>
  <c r="H2613" i="9"/>
  <c r="H2614" i="9"/>
  <c r="H2615" i="9"/>
  <c r="H2616" i="9"/>
  <c r="H2617" i="9"/>
  <c r="H2618" i="9"/>
  <c r="H2619" i="9"/>
  <c r="H2620" i="9"/>
  <c r="H2621" i="9"/>
  <c r="H2622" i="9"/>
  <c r="H2623" i="9"/>
  <c r="H2624" i="9"/>
  <c r="H2625" i="9"/>
  <c r="H2626" i="9"/>
  <c r="H2627" i="9"/>
  <c r="H2628" i="9"/>
  <c r="H2629" i="9"/>
  <c r="H2630" i="9"/>
  <c r="H2631" i="9"/>
  <c r="H2632" i="9"/>
  <c r="H2633" i="9"/>
  <c r="H2634" i="9"/>
  <c r="H2635" i="9"/>
  <c r="H2636" i="9"/>
  <c r="H2637" i="9"/>
  <c r="H2638" i="9"/>
  <c r="H2639" i="9"/>
  <c r="H2640" i="9"/>
  <c r="H2641" i="9"/>
  <c r="H2642" i="9"/>
  <c r="H2643" i="9"/>
  <c r="H2644" i="9"/>
  <c r="H2645" i="9"/>
  <c r="H2646" i="9"/>
  <c r="H2647" i="9"/>
  <c r="H2648" i="9"/>
  <c r="H2649" i="9"/>
  <c r="H2650" i="9"/>
  <c r="H2651" i="9"/>
  <c r="H2652" i="9"/>
  <c r="H2653" i="9"/>
  <c r="H2654" i="9"/>
  <c r="H2655" i="9"/>
  <c r="H2656" i="9"/>
  <c r="H2657" i="9"/>
  <c r="H2658" i="9"/>
  <c r="H2659" i="9"/>
  <c r="H2660" i="9"/>
  <c r="H2661" i="9"/>
  <c r="H2662" i="9"/>
  <c r="H2663" i="9"/>
  <c r="H2664" i="9"/>
  <c r="H2665" i="9"/>
  <c r="H2666" i="9"/>
  <c r="H2667" i="9"/>
  <c r="H2668" i="9"/>
  <c r="H2669" i="9"/>
  <c r="H2670" i="9"/>
  <c r="H2671" i="9"/>
  <c r="H2672" i="9"/>
  <c r="H2673" i="9"/>
  <c r="H2674" i="9"/>
  <c r="H2675" i="9"/>
  <c r="H2676" i="9"/>
  <c r="H2677" i="9"/>
  <c r="H2678" i="9"/>
  <c r="H2679" i="9"/>
  <c r="H2680" i="9"/>
  <c r="H2681" i="9"/>
  <c r="H2682" i="9"/>
  <c r="H2683" i="9"/>
  <c r="H2684" i="9"/>
  <c r="H2685" i="9"/>
  <c r="H2686" i="9"/>
  <c r="H2687" i="9"/>
  <c r="H2688" i="9"/>
  <c r="H2689" i="9"/>
  <c r="H2690" i="9"/>
  <c r="H2691" i="9"/>
  <c r="H2692" i="9"/>
  <c r="H2693" i="9"/>
  <c r="H2694" i="9"/>
  <c r="H2695" i="9"/>
  <c r="H2696" i="9"/>
  <c r="H2697" i="9"/>
  <c r="H2698" i="9"/>
  <c r="H2699" i="9"/>
  <c r="H2700" i="9"/>
  <c r="H2701" i="9"/>
  <c r="H2702" i="9"/>
  <c r="H2703" i="9"/>
  <c r="H2704" i="9"/>
  <c r="H2705" i="9"/>
  <c r="H2706" i="9"/>
  <c r="H2707" i="9"/>
  <c r="H2708" i="9"/>
  <c r="H2709" i="9"/>
  <c r="H2710" i="9"/>
  <c r="H2711" i="9"/>
  <c r="H2712" i="9"/>
  <c r="H2713" i="9"/>
  <c r="H2714" i="9"/>
  <c r="H2715" i="9"/>
  <c r="H2716" i="9"/>
  <c r="H2717" i="9"/>
  <c r="H2718" i="9"/>
  <c r="H2719" i="9"/>
  <c r="H2720" i="9"/>
  <c r="H2721" i="9"/>
  <c r="H2722" i="9"/>
  <c r="H2723" i="9"/>
  <c r="H2724" i="9"/>
  <c r="H2725" i="9"/>
  <c r="H2726" i="9"/>
  <c r="H2727" i="9"/>
  <c r="H2728" i="9"/>
  <c r="H2729" i="9"/>
  <c r="H2730" i="9"/>
  <c r="H2731" i="9"/>
  <c r="H2732" i="9"/>
  <c r="H2733" i="9"/>
  <c r="H2734" i="9"/>
  <c r="H2735" i="9"/>
  <c r="H2736" i="9"/>
  <c r="H2737" i="9"/>
  <c r="H2738" i="9"/>
  <c r="H2739" i="9"/>
  <c r="H2740" i="9"/>
  <c r="H2741" i="9"/>
  <c r="H2742" i="9"/>
  <c r="H2743" i="9"/>
  <c r="H2744" i="9"/>
  <c r="H2745" i="9"/>
  <c r="H2746" i="9"/>
  <c r="H2747" i="9"/>
  <c r="H2748" i="9"/>
  <c r="H2749" i="9"/>
  <c r="H2750" i="9"/>
  <c r="H2751" i="9"/>
  <c r="H2752" i="9"/>
  <c r="H2753" i="9"/>
  <c r="H2754" i="9"/>
  <c r="H2755" i="9"/>
  <c r="H2756" i="9"/>
  <c r="H2757" i="9"/>
  <c r="H2758" i="9"/>
  <c r="H2759" i="9"/>
  <c r="H2760" i="9"/>
  <c r="H2761" i="9"/>
  <c r="H2762" i="9"/>
  <c r="H2763" i="9"/>
  <c r="H2764" i="9"/>
  <c r="H2765" i="9"/>
  <c r="H2766" i="9"/>
  <c r="H2767" i="9"/>
  <c r="H2768" i="9"/>
  <c r="H2769" i="9"/>
  <c r="H2770" i="9"/>
  <c r="H2771" i="9"/>
  <c r="H2772" i="9"/>
  <c r="H2773" i="9"/>
  <c r="H2774" i="9"/>
  <c r="H2775" i="9"/>
  <c r="H2776" i="9"/>
  <c r="H2777" i="9"/>
  <c r="H2778" i="9"/>
  <c r="H2779" i="9"/>
  <c r="H2780" i="9"/>
  <c r="H2781" i="9"/>
  <c r="H2782" i="9"/>
  <c r="H2783" i="9"/>
  <c r="H2784" i="9"/>
  <c r="H2785" i="9"/>
  <c r="H2786" i="9"/>
  <c r="H2787" i="9"/>
  <c r="H2788" i="9"/>
  <c r="H2789" i="9"/>
  <c r="H2790" i="9"/>
  <c r="H2791" i="9"/>
  <c r="H2792" i="9"/>
  <c r="H2793" i="9"/>
  <c r="H2794" i="9"/>
  <c r="H2795" i="9"/>
  <c r="H2796" i="9"/>
  <c r="H2797" i="9"/>
  <c r="H2798" i="9"/>
  <c r="H2799" i="9"/>
  <c r="H2800" i="9"/>
  <c r="H2801" i="9"/>
  <c r="H2802" i="9"/>
  <c r="H2803" i="9"/>
  <c r="H2804" i="9"/>
  <c r="H2805" i="9"/>
  <c r="H2806" i="9"/>
  <c r="H2807" i="9"/>
  <c r="H2808" i="9"/>
  <c r="H2809" i="9"/>
  <c r="H2810" i="9"/>
  <c r="H2811" i="9"/>
  <c r="H2812" i="9"/>
  <c r="H2813" i="9"/>
  <c r="H2814" i="9"/>
  <c r="H2815" i="9"/>
  <c r="H2816" i="9"/>
  <c r="H2817" i="9"/>
  <c r="H2818" i="9"/>
  <c r="H2819" i="9"/>
  <c r="H2820" i="9"/>
  <c r="H2821" i="9"/>
  <c r="H2822" i="9"/>
  <c r="H2823" i="9"/>
  <c r="H2824" i="9"/>
  <c r="H2825" i="9"/>
  <c r="H2826" i="9"/>
  <c r="H2827" i="9"/>
  <c r="H2828" i="9"/>
  <c r="H2829" i="9"/>
  <c r="H2830" i="9"/>
  <c r="H2831" i="9"/>
  <c r="H2832" i="9"/>
  <c r="H2833" i="9"/>
  <c r="H2834" i="9"/>
  <c r="H2835" i="9"/>
  <c r="H2836" i="9"/>
  <c r="H2837" i="9"/>
  <c r="H2838" i="9"/>
  <c r="H2839" i="9"/>
  <c r="H2840" i="9"/>
  <c r="H2841" i="9"/>
  <c r="H2842" i="9"/>
  <c r="H2843" i="9"/>
  <c r="H2844" i="9"/>
  <c r="H2845" i="9"/>
  <c r="H2846" i="9"/>
  <c r="H2847" i="9"/>
  <c r="H2848" i="9"/>
  <c r="H2849" i="9"/>
  <c r="H2850" i="9"/>
  <c r="H2851" i="9"/>
  <c r="R2851" i="9" l="1"/>
  <c r="Q2851" i="9"/>
  <c r="R2850" i="9"/>
  <c r="Q2850" i="9"/>
  <c r="R2849" i="9"/>
  <c r="Q2849" i="9"/>
  <c r="R2848" i="9"/>
  <c r="Q2848" i="9"/>
  <c r="R2847" i="9"/>
  <c r="Q2847" i="9"/>
  <c r="R2846" i="9"/>
  <c r="Q2846" i="9"/>
  <c r="R2845" i="9"/>
  <c r="Q2845" i="9"/>
  <c r="R2844" i="9"/>
  <c r="Q2844" i="9"/>
  <c r="R2843" i="9"/>
  <c r="Q2843" i="9"/>
  <c r="R2842" i="9"/>
  <c r="Q2842" i="9"/>
  <c r="R2841" i="9"/>
  <c r="Q2841" i="9"/>
  <c r="R2840" i="9"/>
  <c r="Q2840" i="9"/>
  <c r="R2839" i="9"/>
  <c r="Q2839" i="9"/>
  <c r="R2838" i="9"/>
  <c r="Q2838" i="9"/>
  <c r="R2837" i="9"/>
  <c r="Q2837" i="9"/>
  <c r="R2836" i="9"/>
  <c r="Q2836" i="9"/>
  <c r="R2835" i="9"/>
  <c r="Q2835" i="9"/>
  <c r="R2834" i="9"/>
  <c r="Q2834" i="9"/>
  <c r="R2833" i="9"/>
  <c r="Q2833" i="9"/>
  <c r="R2832" i="9"/>
  <c r="Q2832" i="9"/>
  <c r="R2831" i="9"/>
  <c r="Q2831" i="9"/>
  <c r="R2830" i="9"/>
  <c r="Q2830" i="9"/>
  <c r="R2829" i="9"/>
  <c r="Q2829" i="9"/>
  <c r="R2828" i="9"/>
  <c r="Q2828" i="9"/>
  <c r="R2827" i="9"/>
  <c r="Q2827" i="9"/>
  <c r="R2826" i="9"/>
  <c r="Q2826" i="9"/>
  <c r="R2825" i="9"/>
  <c r="Q2825" i="9"/>
  <c r="R2824" i="9"/>
  <c r="Q2824" i="9"/>
  <c r="R2823" i="9"/>
  <c r="Q2823" i="9"/>
  <c r="R2822" i="9"/>
  <c r="Q2822" i="9"/>
  <c r="R2821" i="9"/>
  <c r="Q2821" i="9"/>
  <c r="R2820" i="9"/>
  <c r="Q2820" i="9"/>
  <c r="R2819" i="9"/>
  <c r="Q2819" i="9"/>
  <c r="R2818" i="9"/>
  <c r="Q2818" i="9"/>
  <c r="R2817" i="9"/>
  <c r="Q2817" i="9"/>
  <c r="R2816" i="9"/>
  <c r="Q2816" i="9"/>
  <c r="R2815" i="9"/>
  <c r="Q2815" i="9"/>
  <c r="R2814" i="9"/>
  <c r="Q2814" i="9"/>
  <c r="R2813" i="9"/>
  <c r="Q2813" i="9"/>
  <c r="R2812" i="9"/>
  <c r="Q2812" i="9"/>
  <c r="R2811" i="9"/>
  <c r="Q2811" i="9"/>
  <c r="R2810" i="9"/>
  <c r="Q2810" i="9"/>
  <c r="R2809" i="9"/>
  <c r="Q2809" i="9"/>
  <c r="R2808" i="9"/>
  <c r="Q2808" i="9"/>
  <c r="R2807" i="9"/>
  <c r="Q2807" i="9"/>
  <c r="R2806" i="9"/>
  <c r="Q2806" i="9"/>
  <c r="R2805" i="9"/>
  <c r="Q2805" i="9"/>
  <c r="R2804" i="9"/>
  <c r="Q2804" i="9"/>
  <c r="R2803" i="9"/>
  <c r="Q2803" i="9"/>
  <c r="R2802" i="9"/>
  <c r="Q2802" i="9"/>
  <c r="R2801" i="9"/>
  <c r="Q2801" i="9"/>
  <c r="R2800" i="9"/>
  <c r="Q2800" i="9"/>
  <c r="R2799" i="9"/>
  <c r="Q2799" i="9"/>
  <c r="R2798" i="9"/>
  <c r="Q2798" i="9"/>
  <c r="R2797" i="9"/>
  <c r="Q2797" i="9"/>
  <c r="R2796" i="9"/>
  <c r="Q2796" i="9"/>
  <c r="R2795" i="9"/>
  <c r="Q2795" i="9"/>
  <c r="R2794" i="9"/>
  <c r="Q2794" i="9"/>
  <c r="R2793" i="9"/>
  <c r="Q2793" i="9"/>
  <c r="R2792" i="9"/>
  <c r="Q2792" i="9"/>
  <c r="R2791" i="9"/>
  <c r="Q2791" i="9"/>
  <c r="R2790" i="9"/>
  <c r="Q2790" i="9"/>
  <c r="R2789" i="9"/>
  <c r="Q2789" i="9"/>
  <c r="R2788" i="9"/>
  <c r="Q2788" i="9"/>
  <c r="R2787" i="9"/>
  <c r="Q2787" i="9"/>
  <c r="R2786" i="9"/>
  <c r="Q2786" i="9"/>
  <c r="R2785" i="9"/>
  <c r="Q2785" i="9"/>
  <c r="R2784" i="9"/>
  <c r="Q2784" i="9"/>
  <c r="R2783" i="9"/>
  <c r="Q2783" i="9"/>
  <c r="R2782" i="9"/>
  <c r="Q2782" i="9"/>
  <c r="R2781" i="9"/>
  <c r="Q2781" i="9"/>
  <c r="R2780" i="9"/>
  <c r="Q2780" i="9"/>
  <c r="R2779" i="9"/>
  <c r="Q2779" i="9"/>
  <c r="R2778" i="9"/>
  <c r="Q2778" i="9"/>
  <c r="R2777" i="9"/>
  <c r="Q2777" i="9"/>
  <c r="R2776" i="9"/>
  <c r="Q2776" i="9"/>
  <c r="R2775" i="9"/>
  <c r="Q2775" i="9"/>
  <c r="R2774" i="9"/>
  <c r="Q2774" i="9"/>
  <c r="R2773" i="9"/>
  <c r="Q2773" i="9"/>
  <c r="R2772" i="9"/>
  <c r="Q2772" i="9"/>
  <c r="R2771" i="9"/>
  <c r="Q2771" i="9"/>
  <c r="R2770" i="9"/>
  <c r="Q2770" i="9"/>
  <c r="R2769" i="9"/>
  <c r="Q2769" i="9"/>
  <c r="R2768" i="9"/>
  <c r="Q2768" i="9"/>
  <c r="R2767" i="9"/>
  <c r="Q2767" i="9"/>
  <c r="R2766" i="9"/>
  <c r="Q2766" i="9"/>
  <c r="R2765" i="9"/>
  <c r="Q2765" i="9"/>
  <c r="R2764" i="9"/>
  <c r="Q2764" i="9"/>
  <c r="R2763" i="9"/>
  <c r="Q2763" i="9"/>
  <c r="R2762" i="9"/>
  <c r="Q2762" i="9"/>
  <c r="R2761" i="9"/>
  <c r="Q2761" i="9"/>
  <c r="R2760" i="9"/>
  <c r="Q2760" i="9"/>
  <c r="R2759" i="9"/>
  <c r="Q2759" i="9"/>
  <c r="R2758" i="9"/>
  <c r="Q2758" i="9"/>
  <c r="R2757" i="9"/>
  <c r="Q2757" i="9"/>
  <c r="R2756" i="9"/>
  <c r="Q2756" i="9"/>
  <c r="R2755" i="9"/>
  <c r="Q2755" i="9"/>
  <c r="R2754" i="9"/>
  <c r="Q2754" i="9"/>
  <c r="R2753" i="9"/>
  <c r="Q2753" i="9"/>
  <c r="R2752" i="9"/>
  <c r="Q2752" i="9"/>
  <c r="R2751" i="9"/>
  <c r="Q2751" i="9"/>
  <c r="R2750" i="9"/>
  <c r="Q2750" i="9"/>
  <c r="R2749" i="9"/>
  <c r="Q2749" i="9"/>
  <c r="R2748" i="9"/>
  <c r="Q2748" i="9"/>
  <c r="R2747" i="9"/>
  <c r="Q2747" i="9"/>
  <c r="R2746" i="9"/>
  <c r="Q2746" i="9"/>
  <c r="R2745" i="9"/>
  <c r="Q2745" i="9"/>
  <c r="R2744" i="9"/>
  <c r="Q2744" i="9"/>
  <c r="R2743" i="9"/>
  <c r="Q2743" i="9"/>
  <c r="R2742" i="9"/>
  <c r="Q2742" i="9"/>
  <c r="R2741" i="9"/>
  <c r="Q2741" i="9"/>
  <c r="R2740" i="9"/>
  <c r="Q2740" i="9"/>
  <c r="R2739" i="9"/>
  <c r="Q2739" i="9"/>
  <c r="R2738" i="9"/>
  <c r="Q2738" i="9"/>
  <c r="R2737" i="9"/>
  <c r="Q2737" i="9"/>
  <c r="R2736" i="9"/>
  <c r="Q2736" i="9"/>
  <c r="R2735" i="9"/>
  <c r="Q2735" i="9"/>
  <c r="R2734" i="9"/>
  <c r="Q2734" i="9"/>
  <c r="R2733" i="9"/>
  <c r="Q2733" i="9"/>
  <c r="R2732" i="9"/>
  <c r="Q2732" i="9"/>
  <c r="R2731" i="9"/>
  <c r="Q2731" i="9"/>
  <c r="R2730" i="9"/>
  <c r="Q2730" i="9"/>
  <c r="R2729" i="9"/>
  <c r="Q2729" i="9"/>
  <c r="R2728" i="9"/>
  <c r="Q2728" i="9"/>
  <c r="R2727" i="9"/>
  <c r="Q2727" i="9"/>
  <c r="R2726" i="9"/>
  <c r="Q2726" i="9"/>
  <c r="R2725" i="9"/>
  <c r="Q2725" i="9"/>
  <c r="R2724" i="9"/>
  <c r="Q2724" i="9"/>
  <c r="R2723" i="9"/>
  <c r="Q2723" i="9"/>
  <c r="R2722" i="9"/>
  <c r="Q2722" i="9"/>
  <c r="R2721" i="9"/>
  <c r="Q2721" i="9"/>
  <c r="R2720" i="9"/>
  <c r="Q2720" i="9"/>
  <c r="R2719" i="9"/>
  <c r="Q2719" i="9"/>
  <c r="R2718" i="9"/>
  <c r="Q2718" i="9"/>
  <c r="R2717" i="9"/>
  <c r="Q2717" i="9"/>
  <c r="R2716" i="9"/>
  <c r="Q2716" i="9"/>
  <c r="R2715" i="9"/>
  <c r="Q2715" i="9"/>
  <c r="R2714" i="9"/>
  <c r="Q2714" i="9"/>
  <c r="R2713" i="9"/>
  <c r="Q2713" i="9"/>
  <c r="R2712" i="9"/>
  <c r="Q2712" i="9"/>
  <c r="R2711" i="9"/>
  <c r="Q2711" i="9"/>
  <c r="R2710" i="9"/>
  <c r="Q2710" i="9"/>
  <c r="R2709" i="9"/>
  <c r="Q2709" i="9"/>
  <c r="R2708" i="9"/>
  <c r="Q2708" i="9"/>
  <c r="R2707" i="9"/>
  <c r="Q2707" i="9"/>
  <c r="R2706" i="9"/>
  <c r="Q2706" i="9"/>
  <c r="R2705" i="9"/>
  <c r="Q2705" i="9"/>
  <c r="R2704" i="9"/>
  <c r="Q2704" i="9"/>
  <c r="R2703" i="9"/>
  <c r="Q2703" i="9"/>
  <c r="R2702" i="9"/>
  <c r="Q2702" i="9"/>
  <c r="R2701" i="9"/>
  <c r="Q2701" i="9"/>
  <c r="R2700" i="9"/>
  <c r="Q2700" i="9"/>
  <c r="R2699" i="9"/>
  <c r="Q2699" i="9"/>
  <c r="R2698" i="9"/>
  <c r="Q2698" i="9"/>
  <c r="R2697" i="9"/>
  <c r="Q2697" i="9"/>
  <c r="R2696" i="9"/>
  <c r="Q2696" i="9"/>
  <c r="R2695" i="9"/>
  <c r="Q2695" i="9"/>
  <c r="R2694" i="9"/>
  <c r="Q2694" i="9"/>
  <c r="R2693" i="9"/>
  <c r="Q2693" i="9"/>
  <c r="R2692" i="9"/>
  <c r="Q2692" i="9"/>
  <c r="R2691" i="9"/>
  <c r="Q2691" i="9"/>
  <c r="R2690" i="9"/>
  <c r="Q2690" i="9"/>
  <c r="R2689" i="9"/>
  <c r="Q2689" i="9"/>
  <c r="R2688" i="9"/>
  <c r="Q2688" i="9"/>
  <c r="R2687" i="9"/>
  <c r="Q2687" i="9"/>
  <c r="R2686" i="9"/>
  <c r="Q2686" i="9"/>
  <c r="R2685" i="9"/>
  <c r="Q2685" i="9"/>
  <c r="R2684" i="9"/>
  <c r="Q2684" i="9"/>
  <c r="R2683" i="9"/>
  <c r="Q2683" i="9"/>
  <c r="R2682" i="9"/>
  <c r="Q2682" i="9"/>
  <c r="R2681" i="9"/>
  <c r="Q2681" i="9"/>
  <c r="R2680" i="9"/>
  <c r="Q2680" i="9"/>
  <c r="R2679" i="9"/>
  <c r="Q2679" i="9"/>
  <c r="R2678" i="9"/>
  <c r="Q2678" i="9"/>
  <c r="R2677" i="9"/>
  <c r="Q2677" i="9"/>
  <c r="R2676" i="9"/>
  <c r="Q2676" i="9"/>
  <c r="R2675" i="9"/>
  <c r="Q2675" i="9"/>
  <c r="R2674" i="9"/>
  <c r="Q2674" i="9"/>
  <c r="R2673" i="9"/>
  <c r="Q2673" i="9"/>
  <c r="R2672" i="9"/>
  <c r="Q2672" i="9"/>
  <c r="R2671" i="9"/>
  <c r="Q2671" i="9"/>
  <c r="R2670" i="9"/>
  <c r="Q2670" i="9"/>
  <c r="R2669" i="9"/>
  <c r="Q2669" i="9"/>
  <c r="R2668" i="9"/>
  <c r="Q2668" i="9"/>
  <c r="R2667" i="9"/>
  <c r="Q2667" i="9"/>
  <c r="R2666" i="9"/>
  <c r="Q2666" i="9"/>
  <c r="R2665" i="9"/>
  <c r="Q2665" i="9"/>
  <c r="R2664" i="9"/>
  <c r="Q2664" i="9"/>
  <c r="R2663" i="9"/>
  <c r="Q2663" i="9"/>
  <c r="R2662" i="9"/>
  <c r="Q2662" i="9"/>
  <c r="R2661" i="9"/>
  <c r="Q2661" i="9"/>
  <c r="R2660" i="9"/>
  <c r="Q2660" i="9"/>
  <c r="R2659" i="9"/>
  <c r="Q2659" i="9"/>
  <c r="R2658" i="9"/>
  <c r="Q2658" i="9"/>
  <c r="R2657" i="9"/>
  <c r="Q2657" i="9"/>
  <c r="R2656" i="9"/>
  <c r="Q2656" i="9"/>
  <c r="R2655" i="9"/>
  <c r="Q2655" i="9"/>
  <c r="R2654" i="9"/>
  <c r="Q2654" i="9"/>
  <c r="R2653" i="9"/>
  <c r="Q2653" i="9"/>
  <c r="R2652" i="9"/>
  <c r="Q2652" i="9"/>
  <c r="R2651" i="9"/>
  <c r="Q2651" i="9"/>
  <c r="R2650" i="9"/>
  <c r="Q2650" i="9"/>
  <c r="R2649" i="9"/>
  <c r="Q2649" i="9"/>
  <c r="R2648" i="9"/>
  <c r="Q2648" i="9"/>
  <c r="R2647" i="9"/>
  <c r="Q2647" i="9"/>
  <c r="R2646" i="9"/>
  <c r="Q2646" i="9"/>
  <c r="R2645" i="9"/>
  <c r="Q2645" i="9"/>
  <c r="R2644" i="9"/>
  <c r="Q2644" i="9"/>
  <c r="R2643" i="9"/>
  <c r="Q2643" i="9"/>
  <c r="R2642" i="9"/>
  <c r="Q2642" i="9"/>
  <c r="R2641" i="9"/>
  <c r="Q2641" i="9"/>
  <c r="R2640" i="9"/>
  <c r="Q2640" i="9"/>
  <c r="R2639" i="9"/>
  <c r="Q2639" i="9"/>
  <c r="R2638" i="9"/>
  <c r="Q2638" i="9"/>
  <c r="R2637" i="9"/>
  <c r="Q2637" i="9"/>
  <c r="R2636" i="9"/>
  <c r="Q2636" i="9"/>
  <c r="R2635" i="9"/>
  <c r="Q2635" i="9"/>
  <c r="R2634" i="9"/>
  <c r="Q2634" i="9"/>
  <c r="R2633" i="9"/>
  <c r="Q2633" i="9"/>
  <c r="R2632" i="9"/>
  <c r="Q2632" i="9"/>
  <c r="R2631" i="9"/>
  <c r="Q2631" i="9"/>
  <c r="R2630" i="9"/>
  <c r="Q2630" i="9"/>
  <c r="R2629" i="9"/>
  <c r="Q2629" i="9"/>
  <c r="R2628" i="9"/>
  <c r="Q2628" i="9"/>
  <c r="R2627" i="9"/>
  <c r="Q2627" i="9"/>
  <c r="R2626" i="9"/>
  <c r="Q2626" i="9"/>
  <c r="R2625" i="9"/>
  <c r="Q2625" i="9"/>
  <c r="R2624" i="9"/>
  <c r="Q2624" i="9"/>
  <c r="R2623" i="9"/>
  <c r="Q2623" i="9"/>
  <c r="R2622" i="9"/>
  <c r="Q2622" i="9"/>
  <c r="R2621" i="9"/>
  <c r="Q2621" i="9"/>
  <c r="R2620" i="9"/>
  <c r="Q2620" i="9"/>
  <c r="R2619" i="9"/>
  <c r="Q2619" i="9"/>
  <c r="R2618" i="9"/>
  <c r="Q2618" i="9"/>
  <c r="R2617" i="9"/>
  <c r="Q2617" i="9"/>
  <c r="R2616" i="9"/>
  <c r="Q2616" i="9"/>
  <c r="R2615" i="9"/>
  <c r="Q2615" i="9"/>
  <c r="R2614" i="9"/>
  <c r="Q2614" i="9"/>
  <c r="R2613" i="9"/>
  <c r="Q2613" i="9"/>
  <c r="R2612" i="9"/>
  <c r="Q2612" i="9"/>
  <c r="R2611" i="9"/>
  <c r="Q2611" i="9"/>
  <c r="R2610" i="9"/>
  <c r="Q2610" i="9"/>
  <c r="R2609" i="9"/>
  <c r="Q2609" i="9"/>
  <c r="R2608" i="9"/>
  <c r="Q2608" i="9"/>
  <c r="R2607" i="9"/>
  <c r="Q2607" i="9"/>
  <c r="R2606" i="9"/>
  <c r="Q2606" i="9"/>
  <c r="R2605" i="9"/>
  <c r="Q2605" i="9"/>
  <c r="R2604" i="9"/>
  <c r="Q2604" i="9"/>
  <c r="R2603" i="9"/>
  <c r="Q2603" i="9"/>
  <c r="R2602" i="9"/>
  <c r="Q2602" i="9"/>
  <c r="R2601" i="9"/>
  <c r="Q2601" i="9"/>
  <c r="R2600" i="9"/>
  <c r="Q2600" i="9"/>
  <c r="R2599" i="9"/>
  <c r="Q2599" i="9"/>
  <c r="R2598" i="9"/>
  <c r="Q2598" i="9"/>
  <c r="R2597" i="9"/>
  <c r="Q2597" i="9"/>
  <c r="R2596" i="9"/>
  <c r="Q2596" i="9"/>
  <c r="R2595" i="9"/>
  <c r="Q2595" i="9"/>
  <c r="R2594" i="9"/>
  <c r="Q2594" i="9"/>
  <c r="R2593" i="9"/>
  <c r="Q2593" i="9"/>
  <c r="R2592" i="9"/>
  <c r="Q2592" i="9"/>
  <c r="R2591" i="9"/>
  <c r="Q2591" i="9"/>
  <c r="R2590" i="9"/>
  <c r="Q2590" i="9"/>
  <c r="R2589" i="9"/>
  <c r="Q2589" i="9"/>
  <c r="R2588" i="9"/>
  <c r="Q2588" i="9"/>
  <c r="R2587" i="9"/>
  <c r="Q2587" i="9"/>
  <c r="R2586" i="9"/>
  <c r="Q2586" i="9"/>
  <c r="R2585" i="9"/>
  <c r="Q2585" i="9"/>
  <c r="R2584" i="9"/>
  <c r="Q2584" i="9"/>
  <c r="R2583" i="9"/>
  <c r="Q2583" i="9"/>
  <c r="R2582" i="9"/>
  <c r="Q2582" i="9"/>
  <c r="R2581" i="9"/>
  <c r="Q2581" i="9"/>
  <c r="R2580" i="9"/>
  <c r="Q2580" i="9"/>
  <c r="R2579" i="9"/>
  <c r="Q2579" i="9"/>
  <c r="R2578" i="9"/>
  <c r="Q2578" i="9"/>
  <c r="R2577" i="9"/>
  <c r="Q2577" i="9"/>
  <c r="R2576" i="9"/>
  <c r="Q2576" i="9"/>
  <c r="R2575" i="9"/>
  <c r="Q2575" i="9"/>
  <c r="R2574" i="9"/>
  <c r="Q2574" i="9"/>
  <c r="R2573" i="9"/>
  <c r="Q2573" i="9"/>
  <c r="R2572" i="9"/>
  <c r="Q2572" i="9"/>
  <c r="R2571" i="9"/>
  <c r="Q2571" i="9"/>
  <c r="R2570" i="9"/>
  <c r="Q2570" i="9"/>
  <c r="R2569" i="9"/>
  <c r="Q2569" i="9"/>
  <c r="R2568" i="9"/>
  <c r="Q2568" i="9"/>
  <c r="R2567" i="9"/>
  <c r="Q2567" i="9"/>
  <c r="R2566" i="9"/>
  <c r="Q2566" i="9"/>
  <c r="R2565" i="9"/>
  <c r="Q2565" i="9"/>
  <c r="R2564" i="9"/>
  <c r="Q2564" i="9"/>
  <c r="R2563" i="9"/>
  <c r="Q2563" i="9"/>
  <c r="R2562" i="9"/>
  <c r="Q2562" i="9"/>
  <c r="R2561" i="9"/>
  <c r="Q2561" i="9"/>
  <c r="R2560" i="9"/>
  <c r="Q2560" i="9"/>
  <c r="R2559" i="9"/>
  <c r="Q2559" i="9"/>
  <c r="R2558" i="9"/>
  <c r="Q2558" i="9"/>
  <c r="R2557" i="9"/>
  <c r="Q2557" i="9"/>
  <c r="R2556" i="9"/>
  <c r="Q2556" i="9"/>
  <c r="R2555" i="9"/>
  <c r="Q2555" i="9"/>
  <c r="R2554" i="9"/>
  <c r="Q2554" i="9"/>
  <c r="R2553" i="9"/>
  <c r="Q2553" i="9"/>
  <c r="R2552" i="9"/>
  <c r="Q2552" i="9"/>
  <c r="R2551" i="9"/>
  <c r="Q2551" i="9"/>
  <c r="R2550" i="9"/>
  <c r="Q2550" i="9"/>
  <c r="R2549" i="9"/>
  <c r="Q2549" i="9"/>
  <c r="R2548" i="9"/>
  <c r="Q2548" i="9"/>
  <c r="R2547" i="9"/>
  <c r="Q2547" i="9"/>
  <c r="R2546" i="9"/>
  <c r="Q2546" i="9"/>
  <c r="R2545" i="9"/>
  <c r="Q2545" i="9"/>
  <c r="R2544" i="9"/>
  <c r="Q2544" i="9"/>
  <c r="R2543" i="9"/>
  <c r="Q2543" i="9"/>
  <c r="R2542" i="9"/>
  <c r="Q2542" i="9"/>
  <c r="R2541" i="9"/>
  <c r="Q2541" i="9"/>
  <c r="R2540" i="9"/>
  <c r="Q2540" i="9"/>
  <c r="R2539" i="9"/>
  <c r="Q2539" i="9"/>
  <c r="R2538" i="9"/>
  <c r="Q2538" i="9"/>
  <c r="R2537" i="9"/>
  <c r="Q2537" i="9"/>
  <c r="R2536" i="9"/>
  <c r="Q2536" i="9"/>
  <c r="R2535" i="9"/>
  <c r="Q2535" i="9"/>
  <c r="R2534" i="9"/>
  <c r="Q2534" i="9"/>
  <c r="R2533" i="9"/>
  <c r="Q2533" i="9"/>
  <c r="R2532" i="9"/>
  <c r="Q2532" i="9"/>
  <c r="R2531" i="9"/>
  <c r="Q2531" i="9"/>
  <c r="R2530" i="9"/>
  <c r="Q2530" i="9"/>
  <c r="R2529" i="9"/>
  <c r="Q2529" i="9"/>
  <c r="R2528" i="9"/>
  <c r="Q2528" i="9"/>
  <c r="R2527" i="9"/>
  <c r="Q2527" i="9"/>
  <c r="R2526" i="9"/>
  <c r="Q2526" i="9"/>
  <c r="R2525" i="9"/>
  <c r="Q2525" i="9"/>
  <c r="R2524" i="9"/>
  <c r="Q2524" i="9"/>
  <c r="R2523" i="9"/>
  <c r="Q2523" i="9"/>
  <c r="R2522" i="9"/>
  <c r="Q2522" i="9"/>
  <c r="R2521" i="9"/>
  <c r="Q2521" i="9"/>
  <c r="R2520" i="9"/>
  <c r="Q2520" i="9"/>
  <c r="R2519" i="9"/>
  <c r="Q2519" i="9"/>
  <c r="R2518" i="9"/>
  <c r="Q2518" i="9"/>
  <c r="R2517" i="9"/>
  <c r="Q2517" i="9"/>
  <c r="R2516" i="9"/>
  <c r="Q2516" i="9"/>
  <c r="R2515" i="9"/>
  <c r="Q2515" i="9"/>
  <c r="R2514" i="9"/>
  <c r="Q2514" i="9"/>
  <c r="R2513" i="9"/>
  <c r="Q2513" i="9"/>
  <c r="R2512" i="9"/>
  <c r="Q2512" i="9"/>
  <c r="R2511" i="9"/>
  <c r="Q2511" i="9"/>
  <c r="R2510" i="9"/>
  <c r="Q2510" i="9"/>
  <c r="R2509" i="9"/>
  <c r="Q2509" i="9"/>
  <c r="R2508" i="9"/>
  <c r="Q2508" i="9"/>
  <c r="R2507" i="9"/>
  <c r="Q2507" i="9"/>
  <c r="R2506" i="9"/>
  <c r="Q2506" i="9"/>
  <c r="R2505" i="9"/>
  <c r="Q2505" i="9"/>
  <c r="R2504" i="9"/>
  <c r="Q2504" i="9"/>
  <c r="R2503" i="9"/>
  <c r="Q2503" i="9"/>
  <c r="R2502" i="9"/>
  <c r="Q2502" i="9"/>
  <c r="R2501" i="9"/>
  <c r="Q2501" i="9"/>
  <c r="R2500" i="9"/>
  <c r="Q2500" i="9"/>
  <c r="R2499" i="9"/>
  <c r="Q2499" i="9"/>
  <c r="R2498" i="9"/>
  <c r="Q2498" i="9"/>
  <c r="R2497" i="9"/>
  <c r="Q2497" i="9"/>
  <c r="R2496" i="9"/>
  <c r="Q2496" i="9"/>
  <c r="R2495" i="9"/>
  <c r="Q2495" i="9"/>
  <c r="R2494" i="9"/>
  <c r="Q2494" i="9"/>
  <c r="R2493" i="9"/>
  <c r="Q2493" i="9"/>
  <c r="R2492" i="9"/>
  <c r="Q2492" i="9"/>
  <c r="R2491" i="9"/>
  <c r="Q2491" i="9"/>
  <c r="R2490" i="9"/>
  <c r="Q2490" i="9"/>
  <c r="R2489" i="9"/>
  <c r="Q2489" i="9"/>
  <c r="R2488" i="9"/>
  <c r="Q2488" i="9"/>
  <c r="R2487" i="9"/>
  <c r="Q2487" i="9"/>
  <c r="R2486" i="9"/>
  <c r="Q2486" i="9"/>
  <c r="R2485" i="9"/>
  <c r="Q2485" i="9"/>
  <c r="R2484" i="9"/>
  <c r="Q2484" i="9"/>
  <c r="R2483" i="9"/>
  <c r="Q2483" i="9"/>
  <c r="R2482" i="9"/>
  <c r="Q2482" i="9"/>
  <c r="R2481" i="9"/>
  <c r="Q2481" i="9"/>
  <c r="R2480" i="9"/>
  <c r="Q2480" i="9"/>
  <c r="R2479" i="9"/>
  <c r="Q2479" i="9"/>
  <c r="R2478" i="9"/>
  <c r="Q2478" i="9"/>
  <c r="R2477" i="9"/>
  <c r="Q2477" i="9"/>
  <c r="R2476" i="9"/>
  <c r="Q2476" i="9"/>
  <c r="R2475" i="9"/>
  <c r="Q2475" i="9"/>
  <c r="R2474" i="9"/>
  <c r="Q2474" i="9"/>
  <c r="R2473" i="9"/>
  <c r="Q2473" i="9"/>
  <c r="R2472" i="9"/>
  <c r="Q2472" i="9"/>
  <c r="R2471" i="9"/>
  <c r="Q2471" i="9"/>
  <c r="R2470" i="9"/>
  <c r="Q2470" i="9"/>
  <c r="R2469" i="9"/>
  <c r="Q2469" i="9"/>
  <c r="R2468" i="9"/>
  <c r="Q2468" i="9"/>
  <c r="R2467" i="9"/>
  <c r="Q2467" i="9"/>
  <c r="R2466" i="9"/>
  <c r="Q2466" i="9"/>
  <c r="R2465" i="9"/>
  <c r="Q2465" i="9"/>
  <c r="R2464" i="9"/>
  <c r="Q2464" i="9"/>
  <c r="R2463" i="9"/>
  <c r="Q2463" i="9"/>
  <c r="R2462" i="9"/>
  <c r="Q2462" i="9"/>
  <c r="R2461" i="9"/>
  <c r="Q2461" i="9"/>
  <c r="R2460" i="9"/>
  <c r="Q2460" i="9"/>
  <c r="R2459" i="9"/>
  <c r="Q2459" i="9"/>
  <c r="R2458" i="9"/>
  <c r="Q2458" i="9"/>
  <c r="R2457" i="9"/>
  <c r="Q2457" i="9"/>
  <c r="R2456" i="9"/>
  <c r="Q2456" i="9"/>
  <c r="R2455" i="9"/>
  <c r="Q2455" i="9"/>
  <c r="R2454" i="9"/>
  <c r="Q2454" i="9"/>
  <c r="R2453" i="9"/>
  <c r="Q2453" i="9"/>
  <c r="R2452" i="9"/>
  <c r="Q2452" i="9"/>
  <c r="R2451" i="9"/>
  <c r="Q2451" i="9"/>
  <c r="R2450" i="9"/>
  <c r="Q2450" i="9"/>
  <c r="R2449" i="9"/>
  <c r="Q2449" i="9"/>
  <c r="R2448" i="9"/>
  <c r="Q2448" i="9"/>
  <c r="R2447" i="9"/>
  <c r="Q2447" i="9"/>
  <c r="R2446" i="9"/>
  <c r="Q2446" i="9"/>
  <c r="R2445" i="9"/>
  <c r="Q2445" i="9"/>
  <c r="R2444" i="9"/>
  <c r="Q2444" i="9"/>
  <c r="R2443" i="9"/>
  <c r="Q2443" i="9"/>
  <c r="R2442" i="9"/>
  <c r="Q2442" i="9"/>
  <c r="R2441" i="9"/>
  <c r="Q2441" i="9"/>
  <c r="R2440" i="9"/>
  <c r="Q2440" i="9"/>
  <c r="R2439" i="9"/>
  <c r="Q2439" i="9"/>
  <c r="R2438" i="9"/>
  <c r="Q2438" i="9"/>
  <c r="R2437" i="9"/>
  <c r="Q2437" i="9"/>
  <c r="R2436" i="9"/>
  <c r="Q2436" i="9"/>
  <c r="R2435" i="9"/>
  <c r="Q2435" i="9"/>
  <c r="R2434" i="9"/>
  <c r="Q2434" i="9"/>
  <c r="R2433" i="9"/>
  <c r="Q2433" i="9"/>
  <c r="R2432" i="9"/>
  <c r="Q2432" i="9"/>
  <c r="R2431" i="9"/>
  <c r="Q2431" i="9"/>
  <c r="R2430" i="9"/>
  <c r="Q2430" i="9"/>
  <c r="R2429" i="9"/>
  <c r="Q2429" i="9"/>
  <c r="R2428" i="9"/>
  <c r="Q2428" i="9"/>
  <c r="R2427" i="9"/>
  <c r="Q2427" i="9"/>
  <c r="R2426" i="9"/>
  <c r="Q2426" i="9"/>
  <c r="R2425" i="9"/>
  <c r="Q2425" i="9"/>
  <c r="R2424" i="9"/>
  <c r="Q2424" i="9"/>
  <c r="R2423" i="9"/>
  <c r="Q2423" i="9"/>
  <c r="R2422" i="9"/>
  <c r="Q2422" i="9"/>
  <c r="R2421" i="9"/>
  <c r="Q2421" i="9"/>
  <c r="R2420" i="9"/>
  <c r="Q2420" i="9"/>
  <c r="R2419" i="9"/>
  <c r="Q2419" i="9"/>
  <c r="R2418" i="9"/>
  <c r="Q2418" i="9"/>
  <c r="R2417" i="9"/>
  <c r="Q2417" i="9"/>
  <c r="R2416" i="9"/>
  <c r="Q2416" i="9"/>
  <c r="R2415" i="9"/>
  <c r="Q2415" i="9"/>
  <c r="R2414" i="9"/>
  <c r="Q2414" i="9"/>
  <c r="R2413" i="9"/>
  <c r="Q2413" i="9"/>
  <c r="R2412" i="9"/>
  <c r="Q2412" i="9"/>
  <c r="R2411" i="9"/>
  <c r="Q2411" i="9"/>
  <c r="R2410" i="9"/>
  <c r="Q2410" i="9"/>
  <c r="R2409" i="9"/>
  <c r="Q2409" i="9"/>
  <c r="R2408" i="9"/>
  <c r="Q2408" i="9"/>
  <c r="R2407" i="9"/>
  <c r="Q2407" i="9"/>
  <c r="R2406" i="9"/>
  <c r="Q2406" i="9"/>
  <c r="R2405" i="9"/>
  <c r="Q2405" i="9"/>
  <c r="R2404" i="9"/>
  <c r="Q2404" i="9"/>
  <c r="R2403" i="9"/>
  <c r="Q2403" i="9"/>
  <c r="R2402" i="9"/>
  <c r="Q2402" i="9"/>
  <c r="R2401" i="9"/>
  <c r="Q2401" i="9"/>
  <c r="R2400" i="9"/>
  <c r="Q2400" i="9"/>
  <c r="R2399" i="9"/>
  <c r="Q2399" i="9"/>
  <c r="R2398" i="9"/>
  <c r="Q2398" i="9"/>
  <c r="R2397" i="9"/>
  <c r="Q2397" i="9"/>
  <c r="R2396" i="9"/>
  <c r="Q2396" i="9"/>
  <c r="R2395" i="9"/>
  <c r="Q2395" i="9"/>
  <c r="R2394" i="9"/>
  <c r="Q2394" i="9"/>
  <c r="R2393" i="9"/>
  <c r="Q2393" i="9"/>
  <c r="R2392" i="9"/>
  <c r="Q2392" i="9"/>
  <c r="R2391" i="9"/>
  <c r="Q2391" i="9"/>
  <c r="R2390" i="9"/>
  <c r="Q2390" i="9"/>
  <c r="R2389" i="9"/>
  <c r="Q2389" i="9"/>
  <c r="R2388" i="9"/>
  <c r="Q2388" i="9"/>
  <c r="R2387" i="9"/>
  <c r="Q2387" i="9"/>
  <c r="R2386" i="9"/>
  <c r="Q2386" i="9"/>
  <c r="R2385" i="9"/>
  <c r="Q2385" i="9"/>
  <c r="R2384" i="9"/>
  <c r="Q2384" i="9"/>
  <c r="R2383" i="9"/>
  <c r="Q2383" i="9"/>
  <c r="R2382" i="9"/>
  <c r="Q2382" i="9"/>
  <c r="R2381" i="9"/>
  <c r="Q2381" i="9"/>
  <c r="R2380" i="9"/>
  <c r="Q2380" i="9"/>
  <c r="R2379" i="9"/>
  <c r="Q2379" i="9"/>
  <c r="R2378" i="9"/>
  <c r="Q2378" i="9"/>
  <c r="R2377" i="9"/>
  <c r="Q2377" i="9"/>
  <c r="R2376" i="9"/>
  <c r="Q2376" i="9"/>
  <c r="R2375" i="9"/>
  <c r="Q2375" i="9"/>
  <c r="R2374" i="9"/>
  <c r="Q2374" i="9"/>
  <c r="R2373" i="9"/>
  <c r="Q2373" i="9"/>
  <c r="R2372" i="9"/>
  <c r="Q2372" i="9"/>
  <c r="R2371" i="9"/>
  <c r="Q2371" i="9"/>
  <c r="R2370" i="9"/>
  <c r="Q2370" i="9"/>
  <c r="R2369" i="9"/>
  <c r="Q2369" i="9"/>
  <c r="R2368" i="9"/>
  <c r="Q2368" i="9"/>
  <c r="R2367" i="9"/>
  <c r="Q2367" i="9"/>
  <c r="R2366" i="9"/>
  <c r="Q2366" i="9"/>
  <c r="R2365" i="9"/>
  <c r="Q2365" i="9"/>
  <c r="R2364" i="9"/>
  <c r="Q2364" i="9"/>
  <c r="R2363" i="9"/>
  <c r="Q2363" i="9"/>
  <c r="R2362" i="9"/>
  <c r="Q2362" i="9"/>
  <c r="R2361" i="9"/>
  <c r="Q2361" i="9"/>
  <c r="R2360" i="9"/>
  <c r="Q2360" i="9"/>
  <c r="R2359" i="9"/>
  <c r="Q2359" i="9"/>
  <c r="R2358" i="9"/>
  <c r="Q2358" i="9"/>
  <c r="R2357" i="9"/>
  <c r="Q2357" i="9"/>
  <c r="R2356" i="9"/>
  <c r="Q2356" i="9"/>
  <c r="R2355" i="9"/>
  <c r="Q2355" i="9"/>
  <c r="R2354" i="9"/>
  <c r="Q2354" i="9"/>
  <c r="R2353" i="9"/>
  <c r="Q2353" i="9"/>
  <c r="R2352" i="9"/>
  <c r="Q2352" i="9"/>
  <c r="R2351" i="9"/>
  <c r="Q2351" i="9"/>
  <c r="R2350" i="9"/>
  <c r="Q2350" i="9"/>
  <c r="R2349" i="9"/>
  <c r="Q2349" i="9"/>
  <c r="R2348" i="9"/>
  <c r="Q2348" i="9"/>
  <c r="R2347" i="9"/>
  <c r="Q2347" i="9"/>
  <c r="R2346" i="9"/>
  <c r="Q2346" i="9"/>
  <c r="R2345" i="9"/>
  <c r="Q2345" i="9"/>
  <c r="R2344" i="9"/>
  <c r="Q2344" i="9"/>
  <c r="R2343" i="9"/>
  <c r="Q2343" i="9"/>
  <c r="R2342" i="9"/>
  <c r="Q2342" i="9"/>
  <c r="R2341" i="9"/>
  <c r="Q2341" i="9"/>
  <c r="R2340" i="9"/>
  <c r="Q2340" i="9"/>
  <c r="R2339" i="9"/>
  <c r="Q2339" i="9"/>
  <c r="R2338" i="9"/>
  <c r="Q2338" i="9"/>
  <c r="R2337" i="9"/>
  <c r="Q2337" i="9"/>
  <c r="R2336" i="9"/>
  <c r="Q2336" i="9"/>
  <c r="R2335" i="9"/>
  <c r="Q2335" i="9"/>
  <c r="R2334" i="9"/>
  <c r="Q2334" i="9"/>
  <c r="R2333" i="9"/>
  <c r="Q2333" i="9"/>
  <c r="R2332" i="9"/>
  <c r="Q2332" i="9"/>
  <c r="R2331" i="9"/>
  <c r="Q2331" i="9"/>
  <c r="R2330" i="9"/>
  <c r="Q2330" i="9"/>
  <c r="R2329" i="9"/>
  <c r="Q2329" i="9"/>
  <c r="R2328" i="9"/>
  <c r="Q2328" i="9"/>
  <c r="R2327" i="9"/>
  <c r="Q2327" i="9"/>
  <c r="R2326" i="9"/>
  <c r="Q2326" i="9"/>
  <c r="R2325" i="9"/>
  <c r="Q2325" i="9"/>
  <c r="R2324" i="9"/>
  <c r="Q2324" i="9"/>
  <c r="R2323" i="9"/>
  <c r="Q2323" i="9"/>
  <c r="R2322" i="9"/>
  <c r="Q2322" i="9"/>
  <c r="R2321" i="9"/>
  <c r="Q2321" i="9"/>
  <c r="R2320" i="9"/>
  <c r="Q2320" i="9"/>
  <c r="R2319" i="9"/>
  <c r="Q2319" i="9"/>
  <c r="R2318" i="9"/>
  <c r="Q2318" i="9"/>
  <c r="R2317" i="9"/>
  <c r="Q2317" i="9"/>
  <c r="R2316" i="9"/>
  <c r="Q2316" i="9"/>
  <c r="R2315" i="9"/>
  <c r="Q2315" i="9"/>
  <c r="R2314" i="9"/>
  <c r="Q2314" i="9"/>
  <c r="R2313" i="9"/>
  <c r="Q2313" i="9"/>
  <c r="R2312" i="9"/>
  <c r="Q2312" i="9"/>
  <c r="R2311" i="9"/>
  <c r="Q2311" i="9"/>
  <c r="R2310" i="9"/>
  <c r="Q2310" i="9"/>
  <c r="R2309" i="9"/>
  <c r="Q2309" i="9"/>
  <c r="R2308" i="9"/>
  <c r="Q2308" i="9"/>
  <c r="R2307" i="9"/>
  <c r="Q2307" i="9"/>
  <c r="R2306" i="9"/>
  <c r="Q2306" i="9"/>
  <c r="R2305" i="9"/>
  <c r="Q2305" i="9"/>
  <c r="R2304" i="9"/>
  <c r="Q2304" i="9"/>
  <c r="R2303" i="9"/>
  <c r="Q2303" i="9"/>
  <c r="R2302" i="9"/>
  <c r="Q2302" i="9"/>
  <c r="R2301" i="9"/>
  <c r="Q2301" i="9"/>
  <c r="R2300" i="9"/>
  <c r="Q2300" i="9"/>
  <c r="R2299" i="9"/>
  <c r="Q2299" i="9"/>
  <c r="R2298" i="9"/>
  <c r="Q2298" i="9"/>
  <c r="R2297" i="9"/>
  <c r="Q2297" i="9"/>
  <c r="R2296" i="9"/>
  <c r="Q2296" i="9"/>
  <c r="R2295" i="9"/>
  <c r="Q2295" i="9"/>
  <c r="R2294" i="9"/>
  <c r="Q2294" i="9"/>
  <c r="R2293" i="9"/>
  <c r="Q2293" i="9"/>
  <c r="R2292" i="9"/>
  <c r="Q2292" i="9"/>
  <c r="R2291" i="9"/>
  <c r="Q2291" i="9"/>
  <c r="R2290" i="9"/>
  <c r="Q2290" i="9"/>
  <c r="R2289" i="9"/>
  <c r="Q2289" i="9"/>
  <c r="R2288" i="9"/>
  <c r="Q2288" i="9"/>
  <c r="R2287" i="9"/>
  <c r="Q2287" i="9"/>
  <c r="R2286" i="9"/>
  <c r="Q2286" i="9"/>
  <c r="R2285" i="9"/>
  <c r="Q2285" i="9"/>
  <c r="R2284" i="9"/>
  <c r="Q2284" i="9"/>
  <c r="R2283" i="9"/>
  <c r="Q2283" i="9"/>
  <c r="R2282" i="9"/>
  <c r="Q2282" i="9"/>
  <c r="R2281" i="9"/>
  <c r="Q2281" i="9"/>
  <c r="R2280" i="9"/>
  <c r="Q2280" i="9"/>
  <c r="R2279" i="9"/>
  <c r="Q2279" i="9"/>
  <c r="R2278" i="9"/>
  <c r="Q2278" i="9"/>
  <c r="R2277" i="9"/>
  <c r="Q2277" i="9"/>
  <c r="R2276" i="9"/>
  <c r="Q2276" i="9"/>
  <c r="R2275" i="9"/>
  <c r="Q2275" i="9"/>
  <c r="R2274" i="9"/>
  <c r="Q2274" i="9"/>
  <c r="R2273" i="9"/>
  <c r="Q2273" i="9"/>
  <c r="R2272" i="9"/>
  <c r="Q2272" i="9"/>
  <c r="R2271" i="9"/>
  <c r="Q2271" i="9"/>
  <c r="R2270" i="9"/>
  <c r="Q2270" i="9"/>
  <c r="R2269" i="9"/>
  <c r="Q2269" i="9"/>
  <c r="R2268" i="9"/>
  <c r="Q2268" i="9"/>
  <c r="R2267" i="9"/>
  <c r="Q2267" i="9"/>
  <c r="R2266" i="9"/>
  <c r="Q2266" i="9"/>
  <c r="R2265" i="9"/>
  <c r="Q2265" i="9"/>
  <c r="R2264" i="9"/>
  <c r="Q2264" i="9"/>
  <c r="R2263" i="9"/>
  <c r="Q2263" i="9"/>
  <c r="R2262" i="9"/>
  <c r="Q2262" i="9"/>
  <c r="R2261" i="9"/>
  <c r="Q2261" i="9"/>
  <c r="R2260" i="9"/>
  <c r="Q2260" i="9"/>
  <c r="R2259" i="9"/>
  <c r="Q2259" i="9"/>
  <c r="R2258" i="9"/>
  <c r="Q2258" i="9"/>
  <c r="R2257" i="9"/>
  <c r="Q2257" i="9"/>
  <c r="R2256" i="9"/>
  <c r="Q2256" i="9"/>
  <c r="R2255" i="9"/>
  <c r="Q2255" i="9"/>
  <c r="R2254" i="9"/>
  <c r="Q2254" i="9"/>
  <c r="R2253" i="9"/>
  <c r="Q2253" i="9"/>
  <c r="R2252" i="9"/>
  <c r="Q2252" i="9"/>
  <c r="R2251" i="9"/>
  <c r="Q2251" i="9"/>
  <c r="R2250" i="9"/>
  <c r="Q2250" i="9"/>
  <c r="R2249" i="9"/>
  <c r="Q2249" i="9"/>
  <c r="R2248" i="9"/>
  <c r="Q2248" i="9"/>
  <c r="R2247" i="9"/>
  <c r="Q2247" i="9"/>
  <c r="R2246" i="9"/>
  <c r="Q2246" i="9"/>
  <c r="R2245" i="9"/>
  <c r="Q2245" i="9"/>
  <c r="R2244" i="9"/>
  <c r="Q2244" i="9"/>
  <c r="R2243" i="9"/>
  <c r="Q2243" i="9"/>
  <c r="R2242" i="9"/>
  <c r="Q2242" i="9"/>
  <c r="R2241" i="9"/>
  <c r="Q2241" i="9"/>
  <c r="R2240" i="9"/>
  <c r="Q2240" i="9"/>
  <c r="R2239" i="9"/>
  <c r="Q2239" i="9"/>
  <c r="R2238" i="9"/>
  <c r="Q2238" i="9"/>
  <c r="R2237" i="9"/>
  <c r="Q2237" i="9"/>
  <c r="R2236" i="9"/>
  <c r="Q2236" i="9"/>
  <c r="R2235" i="9"/>
  <c r="Q2235" i="9"/>
  <c r="R2234" i="9"/>
  <c r="Q2234" i="9"/>
  <c r="R2233" i="9"/>
  <c r="Q2233" i="9"/>
  <c r="R2232" i="9"/>
  <c r="Q2232" i="9"/>
  <c r="R2231" i="9"/>
  <c r="Q2231" i="9"/>
  <c r="R2230" i="9"/>
  <c r="Q2230" i="9"/>
  <c r="R2229" i="9"/>
  <c r="Q2229" i="9"/>
  <c r="R2228" i="9"/>
  <c r="Q2228" i="9"/>
  <c r="R2227" i="9"/>
  <c r="Q2227" i="9"/>
  <c r="R2226" i="9"/>
  <c r="Q2226" i="9"/>
  <c r="R2225" i="9"/>
  <c r="Q2225" i="9"/>
  <c r="R2224" i="9"/>
  <c r="Q2224" i="9"/>
  <c r="R2223" i="9"/>
  <c r="Q2223" i="9"/>
  <c r="R2222" i="9"/>
  <c r="Q2222" i="9"/>
  <c r="R2221" i="9"/>
  <c r="Q2221" i="9"/>
  <c r="R2220" i="9"/>
  <c r="Q2220" i="9"/>
  <c r="R2219" i="9"/>
  <c r="Q2219" i="9"/>
  <c r="R2218" i="9"/>
  <c r="Q2218" i="9"/>
  <c r="R2217" i="9"/>
  <c r="Q2217" i="9"/>
  <c r="R2216" i="9"/>
  <c r="Q2216" i="9"/>
  <c r="R2215" i="9"/>
  <c r="Q2215" i="9"/>
  <c r="R2214" i="9"/>
  <c r="Q2214" i="9"/>
  <c r="R2213" i="9"/>
  <c r="Q2213" i="9"/>
  <c r="R2212" i="9"/>
  <c r="Q2212" i="9"/>
  <c r="R2211" i="9"/>
  <c r="Q2211" i="9"/>
  <c r="R2210" i="9"/>
  <c r="Q2210" i="9"/>
  <c r="R2209" i="9"/>
  <c r="Q2209" i="9"/>
  <c r="R2208" i="9"/>
  <c r="Q2208" i="9"/>
  <c r="R2207" i="9"/>
  <c r="Q2207" i="9"/>
  <c r="R2206" i="9"/>
  <c r="Q2206" i="9"/>
  <c r="R2205" i="9"/>
  <c r="Q2205" i="9"/>
  <c r="R2204" i="9"/>
  <c r="Q2204" i="9"/>
  <c r="R2203" i="9"/>
  <c r="Q2203" i="9"/>
  <c r="R2202" i="9"/>
  <c r="Q2202" i="9"/>
  <c r="R2201" i="9"/>
  <c r="Q2201" i="9"/>
  <c r="R2200" i="9"/>
  <c r="Q2200" i="9"/>
  <c r="R2199" i="9"/>
  <c r="Q2199" i="9"/>
  <c r="R2198" i="9"/>
  <c r="Q2198" i="9"/>
  <c r="R2197" i="9"/>
  <c r="Q2197" i="9"/>
  <c r="R2196" i="9"/>
  <c r="Q2196" i="9"/>
  <c r="R2195" i="9"/>
  <c r="Q2195" i="9"/>
  <c r="R2194" i="9"/>
  <c r="Q2194" i="9"/>
  <c r="R2193" i="9"/>
  <c r="Q2193" i="9"/>
  <c r="R2192" i="9"/>
  <c r="Q2192" i="9"/>
  <c r="R2191" i="9"/>
  <c r="Q2191" i="9"/>
  <c r="R2190" i="9"/>
  <c r="Q2190" i="9"/>
  <c r="R2189" i="9"/>
  <c r="Q2189" i="9"/>
  <c r="R2188" i="9"/>
  <c r="Q2188" i="9"/>
  <c r="R2187" i="9"/>
  <c r="Q2187" i="9"/>
  <c r="R2186" i="9"/>
  <c r="Q2186" i="9"/>
  <c r="R2185" i="9"/>
  <c r="Q2185" i="9"/>
  <c r="R2184" i="9"/>
  <c r="Q2184" i="9"/>
  <c r="R2183" i="9"/>
  <c r="Q2183" i="9"/>
  <c r="R2182" i="9"/>
  <c r="Q2182" i="9"/>
  <c r="R2181" i="9"/>
  <c r="Q2181" i="9"/>
  <c r="R2180" i="9"/>
  <c r="Q2180" i="9"/>
  <c r="R2179" i="9"/>
  <c r="Q2179" i="9"/>
  <c r="R2178" i="9"/>
  <c r="Q2178" i="9"/>
  <c r="R2177" i="9"/>
  <c r="Q2177" i="9"/>
  <c r="R2176" i="9"/>
  <c r="Q2176" i="9"/>
  <c r="R2175" i="9"/>
  <c r="Q2175" i="9"/>
  <c r="R2174" i="9"/>
  <c r="Q2174" i="9"/>
  <c r="R2173" i="9"/>
  <c r="Q2173" i="9"/>
  <c r="R2172" i="9"/>
  <c r="Q2172" i="9"/>
  <c r="R2171" i="9"/>
  <c r="Q2171" i="9"/>
  <c r="R2170" i="9"/>
  <c r="Q2170" i="9"/>
  <c r="R2169" i="9"/>
  <c r="Q2169" i="9"/>
  <c r="R2168" i="9"/>
  <c r="Q2168" i="9"/>
  <c r="R2167" i="9"/>
  <c r="Q2167" i="9"/>
  <c r="R2166" i="9"/>
  <c r="Q2166" i="9"/>
  <c r="R2165" i="9"/>
  <c r="Q2165" i="9"/>
  <c r="R2164" i="9"/>
  <c r="Q2164" i="9"/>
  <c r="R2163" i="9"/>
  <c r="Q2163" i="9"/>
  <c r="R2162" i="9"/>
  <c r="Q2162" i="9"/>
  <c r="R2161" i="9"/>
  <c r="Q2161" i="9"/>
  <c r="R2160" i="9"/>
  <c r="Q2160" i="9"/>
  <c r="R2159" i="9"/>
  <c r="Q2159" i="9"/>
  <c r="R2158" i="9"/>
  <c r="Q2158" i="9"/>
  <c r="R2157" i="9"/>
  <c r="Q2157" i="9"/>
  <c r="R2156" i="9"/>
  <c r="Q2156" i="9"/>
  <c r="R2155" i="9"/>
  <c r="Q2155" i="9"/>
  <c r="R2154" i="9"/>
  <c r="Q2154" i="9"/>
  <c r="R2153" i="9"/>
  <c r="Q2153" i="9"/>
  <c r="R2152" i="9"/>
  <c r="Q2152" i="9"/>
  <c r="R2151" i="9"/>
  <c r="Q2151" i="9"/>
  <c r="R2150" i="9"/>
  <c r="Q2150" i="9"/>
  <c r="R2149" i="9"/>
  <c r="Q2149" i="9"/>
  <c r="R2148" i="9"/>
  <c r="Q2148" i="9"/>
  <c r="R2147" i="9"/>
  <c r="Q2147" i="9"/>
  <c r="R2146" i="9"/>
  <c r="Q2146" i="9"/>
  <c r="R2145" i="9"/>
  <c r="Q2145" i="9"/>
  <c r="R2144" i="9"/>
  <c r="Q2144" i="9"/>
  <c r="R2143" i="9"/>
  <c r="Q2143" i="9"/>
  <c r="R2142" i="9"/>
  <c r="Q2142" i="9"/>
  <c r="R2141" i="9"/>
  <c r="Q2141" i="9"/>
  <c r="R2140" i="9"/>
  <c r="Q2140" i="9"/>
  <c r="R2139" i="9"/>
  <c r="Q2139" i="9"/>
  <c r="R2138" i="9"/>
  <c r="Q2138" i="9"/>
  <c r="R2137" i="9"/>
  <c r="Q2137" i="9"/>
  <c r="R2136" i="9"/>
  <c r="Q2136" i="9"/>
  <c r="R2135" i="9"/>
  <c r="Q2135" i="9"/>
  <c r="R2134" i="9"/>
  <c r="Q2134" i="9"/>
  <c r="R2133" i="9"/>
  <c r="Q2133" i="9"/>
  <c r="R2132" i="9"/>
  <c r="Q2132" i="9"/>
  <c r="R2131" i="9"/>
  <c r="Q2131" i="9"/>
  <c r="R2130" i="9"/>
  <c r="Q2130" i="9"/>
  <c r="R2129" i="9"/>
  <c r="Q2129" i="9"/>
  <c r="R2128" i="9"/>
  <c r="Q2128" i="9"/>
  <c r="R2127" i="9"/>
  <c r="Q2127" i="9"/>
  <c r="R2126" i="9"/>
  <c r="Q2126" i="9"/>
  <c r="R2125" i="9"/>
  <c r="Q2125" i="9"/>
  <c r="R2124" i="9"/>
  <c r="Q2124" i="9"/>
  <c r="R2123" i="9"/>
  <c r="Q2123" i="9"/>
  <c r="R2122" i="9"/>
  <c r="Q2122" i="9"/>
  <c r="R2121" i="9"/>
  <c r="Q2121" i="9"/>
  <c r="R2120" i="9"/>
  <c r="Q2120" i="9"/>
  <c r="R2119" i="9"/>
  <c r="Q2119" i="9"/>
  <c r="R2118" i="9"/>
  <c r="Q2118" i="9"/>
  <c r="R2117" i="9"/>
  <c r="Q2117" i="9"/>
  <c r="R2116" i="9"/>
  <c r="Q2116" i="9"/>
  <c r="R2115" i="9"/>
  <c r="Q2115" i="9"/>
  <c r="R2114" i="9"/>
  <c r="Q2114" i="9"/>
  <c r="R2113" i="9"/>
  <c r="Q2113" i="9"/>
  <c r="R2112" i="9"/>
  <c r="Q2112" i="9"/>
  <c r="R2111" i="9"/>
  <c r="Q2111" i="9"/>
  <c r="R2110" i="9"/>
  <c r="Q2110" i="9"/>
  <c r="R2109" i="9"/>
  <c r="Q2109" i="9"/>
  <c r="R2108" i="9"/>
  <c r="Q2108" i="9"/>
  <c r="R2107" i="9"/>
  <c r="Q2107" i="9"/>
  <c r="R2106" i="9"/>
  <c r="Q2106" i="9"/>
  <c r="R2105" i="9"/>
  <c r="Q2105" i="9"/>
  <c r="R2104" i="9"/>
  <c r="Q2104" i="9"/>
  <c r="R2103" i="9"/>
  <c r="Q2103" i="9"/>
  <c r="R2102" i="9"/>
  <c r="Q2102" i="9"/>
  <c r="R2101" i="9"/>
  <c r="Q2101" i="9"/>
  <c r="R2100" i="9"/>
  <c r="Q2100" i="9"/>
  <c r="R2099" i="9"/>
  <c r="Q2099" i="9"/>
  <c r="R2098" i="9"/>
  <c r="Q2098" i="9"/>
  <c r="R2097" i="9"/>
  <c r="Q2097" i="9"/>
  <c r="R2096" i="9"/>
  <c r="Q2096" i="9"/>
  <c r="R2095" i="9"/>
  <c r="Q2095" i="9"/>
  <c r="R2094" i="9"/>
  <c r="Q2094" i="9"/>
  <c r="R2093" i="9"/>
  <c r="Q2093" i="9"/>
  <c r="R2092" i="9"/>
  <c r="Q2092" i="9"/>
  <c r="R2091" i="9"/>
  <c r="Q2091" i="9"/>
  <c r="R2090" i="9"/>
  <c r="Q2090" i="9"/>
  <c r="R2089" i="9"/>
  <c r="Q2089" i="9"/>
  <c r="R2088" i="9"/>
  <c r="Q2088" i="9"/>
  <c r="R2087" i="9"/>
  <c r="Q2087" i="9"/>
  <c r="R2086" i="9"/>
  <c r="Q2086" i="9"/>
  <c r="R2085" i="9"/>
  <c r="Q2085" i="9"/>
  <c r="R2084" i="9"/>
  <c r="Q2084" i="9"/>
  <c r="R2083" i="9"/>
  <c r="Q2083" i="9"/>
  <c r="R2082" i="9"/>
  <c r="Q2082" i="9"/>
  <c r="R2081" i="9"/>
  <c r="Q2081" i="9"/>
  <c r="R2080" i="9"/>
  <c r="Q2080" i="9"/>
  <c r="R2079" i="9"/>
  <c r="Q2079" i="9"/>
  <c r="R2078" i="9"/>
  <c r="Q2078" i="9"/>
  <c r="R2077" i="9"/>
  <c r="Q2077" i="9"/>
  <c r="R2076" i="9"/>
  <c r="Q2076" i="9"/>
  <c r="R2075" i="9"/>
  <c r="Q2075" i="9"/>
  <c r="R2074" i="9"/>
  <c r="Q2074" i="9"/>
  <c r="R2073" i="9"/>
  <c r="Q2073" i="9"/>
  <c r="R2072" i="9"/>
  <c r="Q2072" i="9"/>
  <c r="R2071" i="9"/>
  <c r="Q2071" i="9"/>
  <c r="R2070" i="9"/>
  <c r="Q2070" i="9"/>
  <c r="R2069" i="9"/>
  <c r="Q2069" i="9"/>
  <c r="R2068" i="9"/>
  <c r="Q2068" i="9"/>
  <c r="R2067" i="9"/>
  <c r="Q2067" i="9"/>
  <c r="R2066" i="9"/>
  <c r="Q2066" i="9"/>
  <c r="R2065" i="9"/>
  <c r="Q2065" i="9"/>
  <c r="R2064" i="9"/>
  <c r="Q2064" i="9"/>
  <c r="R2063" i="9"/>
  <c r="Q2063" i="9"/>
  <c r="R2062" i="9"/>
  <c r="Q2062" i="9"/>
  <c r="R2061" i="9"/>
  <c r="Q2061" i="9"/>
  <c r="R2060" i="9"/>
  <c r="Q2060" i="9"/>
  <c r="R2059" i="9"/>
  <c r="Q2059" i="9"/>
  <c r="R2058" i="9"/>
  <c r="Q2058" i="9"/>
  <c r="R2057" i="9"/>
  <c r="Q2057" i="9"/>
  <c r="R2056" i="9"/>
  <c r="Q2056" i="9"/>
  <c r="R2055" i="9"/>
  <c r="Q2055" i="9"/>
  <c r="R2054" i="9"/>
  <c r="Q2054" i="9"/>
  <c r="R2053" i="9"/>
  <c r="Q2053" i="9"/>
  <c r="R2052" i="9"/>
  <c r="Q2052" i="9"/>
  <c r="R2051" i="9"/>
  <c r="Q2051" i="9"/>
  <c r="R2050" i="9"/>
  <c r="Q2050" i="9"/>
  <c r="R2049" i="9"/>
  <c r="Q2049" i="9"/>
  <c r="R2048" i="9"/>
  <c r="Q2048" i="9"/>
  <c r="R2047" i="9"/>
  <c r="Q2047" i="9"/>
  <c r="R2046" i="9"/>
  <c r="Q2046" i="9"/>
  <c r="R2045" i="9"/>
  <c r="Q2045" i="9"/>
  <c r="R2044" i="9"/>
  <c r="Q2044" i="9"/>
  <c r="R2043" i="9"/>
  <c r="Q2043" i="9"/>
  <c r="R2042" i="9"/>
  <c r="Q2042" i="9"/>
  <c r="R2041" i="9"/>
  <c r="Q2041" i="9"/>
  <c r="R2040" i="9"/>
  <c r="Q2040" i="9"/>
  <c r="R2039" i="9"/>
  <c r="Q2039" i="9"/>
  <c r="R2038" i="9"/>
  <c r="Q2038" i="9"/>
  <c r="R2037" i="9"/>
  <c r="Q2037" i="9"/>
  <c r="R2036" i="9"/>
  <c r="Q2036" i="9"/>
  <c r="R2035" i="9"/>
  <c r="Q2035" i="9"/>
  <c r="R2034" i="9"/>
  <c r="Q2034" i="9"/>
  <c r="R2033" i="9"/>
  <c r="Q2033" i="9"/>
  <c r="R2032" i="9"/>
  <c r="Q2032" i="9"/>
  <c r="R2031" i="9"/>
  <c r="Q2031" i="9"/>
  <c r="R2030" i="9"/>
  <c r="Q2030" i="9"/>
  <c r="R2029" i="9"/>
  <c r="Q2029" i="9"/>
  <c r="R2028" i="9"/>
  <c r="Q2028" i="9"/>
  <c r="R2027" i="9"/>
  <c r="Q2027" i="9"/>
  <c r="R2026" i="9"/>
  <c r="Q2026" i="9"/>
  <c r="R2025" i="9"/>
  <c r="Q2025" i="9"/>
  <c r="R2024" i="9"/>
  <c r="Q2024" i="9"/>
  <c r="R2023" i="9"/>
  <c r="Q2023" i="9"/>
  <c r="R2022" i="9"/>
  <c r="Q2022" i="9"/>
  <c r="R2021" i="9"/>
  <c r="Q2021" i="9"/>
  <c r="R2020" i="9"/>
  <c r="Q2020" i="9"/>
  <c r="R2019" i="9"/>
  <c r="Q2019" i="9"/>
  <c r="R2018" i="9"/>
  <c r="Q2018" i="9"/>
  <c r="R2017" i="9"/>
  <c r="Q2017" i="9"/>
  <c r="R2016" i="9"/>
  <c r="Q2016" i="9"/>
  <c r="R2015" i="9"/>
  <c r="Q2015" i="9"/>
  <c r="R2014" i="9"/>
  <c r="Q2014" i="9"/>
  <c r="R2013" i="9"/>
  <c r="Q2013" i="9"/>
  <c r="R2012" i="9"/>
  <c r="Q2012" i="9"/>
  <c r="R2011" i="9"/>
  <c r="Q2011" i="9"/>
  <c r="R2010" i="9"/>
  <c r="Q2010" i="9"/>
  <c r="R2009" i="9"/>
  <c r="Q2009" i="9"/>
  <c r="R2008" i="9"/>
  <c r="Q2008" i="9"/>
  <c r="R2007" i="9"/>
  <c r="Q2007" i="9"/>
  <c r="R2006" i="9"/>
  <c r="Q2006" i="9"/>
  <c r="R2005" i="9"/>
  <c r="Q2005" i="9"/>
  <c r="R2004" i="9"/>
  <c r="Q2004" i="9"/>
  <c r="R2003" i="9"/>
  <c r="Q2003" i="9"/>
  <c r="R2002" i="9"/>
  <c r="Q2002" i="9"/>
  <c r="R2001" i="9"/>
  <c r="Q2001" i="9"/>
  <c r="R2000" i="9"/>
  <c r="Q2000" i="9"/>
  <c r="R1999" i="9"/>
  <c r="Q1999" i="9"/>
  <c r="R1998" i="9"/>
  <c r="Q1998" i="9"/>
  <c r="R1997" i="9"/>
  <c r="Q1997" i="9"/>
  <c r="R1996" i="9"/>
  <c r="Q1996" i="9"/>
  <c r="R1995" i="9"/>
  <c r="Q1995" i="9"/>
  <c r="R1994" i="9"/>
  <c r="Q1994" i="9"/>
  <c r="R1993" i="9"/>
  <c r="Q1993" i="9"/>
  <c r="R1992" i="9"/>
  <c r="Q1992" i="9"/>
  <c r="R1991" i="9"/>
  <c r="Q1991" i="9"/>
  <c r="R1990" i="9"/>
  <c r="Q1990" i="9"/>
  <c r="R1989" i="9"/>
  <c r="Q1989" i="9"/>
  <c r="R1988" i="9"/>
  <c r="Q1988" i="9"/>
  <c r="R1987" i="9"/>
  <c r="Q1987" i="9"/>
  <c r="R1986" i="9"/>
  <c r="Q1986" i="9"/>
  <c r="R1985" i="9"/>
  <c r="Q1985" i="9"/>
  <c r="R1984" i="9"/>
  <c r="Q1984" i="9"/>
  <c r="R1983" i="9"/>
  <c r="Q1983" i="9"/>
  <c r="R1982" i="9"/>
  <c r="Q1982" i="9"/>
  <c r="R1981" i="9"/>
  <c r="Q1981" i="9"/>
  <c r="R1980" i="9"/>
  <c r="Q1980" i="9"/>
  <c r="R1979" i="9"/>
  <c r="Q1979" i="9"/>
  <c r="R1978" i="9"/>
  <c r="Q1978" i="9"/>
  <c r="R1977" i="9"/>
  <c r="Q1977" i="9"/>
  <c r="R1976" i="9"/>
  <c r="Q1976" i="9"/>
  <c r="R1975" i="9"/>
  <c r="Q1975" i="9"/>
  <c r="R1974" i="9"/>
  <c r="Q1974" i="9"/>
  <c r="R1973" i="9"/>
  <c r="Q1973" i="9"/>
  <c r="R1972" i="9"/>
  <c r="Q1972" i="9"/>
  <c r="R1971" i="9"/>
  <c r="Q1971" i="9"/>
  <c r="R1970" i="9"/>
  <c r="Q1970" i="9"/>
  <c r="R1969" i="9"/>
  <c r="Q1969" i="9"/>
  <c r="R1968" i="9"/>
  <c r="Q1968" i="9"/>
  <c r="R1967" i="9"/>
  <c r="Q1967" i="9"/>
  <c r="R1966" i="9"/>
  <c r="Q1966" i="9"/>
  <c r="R1965" i="9"/>
  <c r="Q1965" i="9"/>
  <c r="R1964" i="9"/>
  <c r="Q1964" i="9"/>
  <c r="R1963" i="9"/>
  <c r="Q1963" i="9"/>
  <c r="R1962" i="9"/>
  <c r="Q1962" i="9"/>
  <c r="R1961" i="9"/>
  <c r="Q1961" i="9"/>
  <c r="R1960" i="9"/>
  <c r="Q1960" i="9"/>
  <c r="R1959" i="9"/>
  <c r="Q1959" i="9"/>
  <c r="R1958" i="9"/>
  <c r="Q1958" i="9"/>
  <c r="R1957" i="9"/>
  <c r="Q1957" i="9"/>
  <c r="R1956" i="9"/>
  <c r="Q1956" i="9"/>
  <c r="R1955" i="9"/>
  <c r="Q1955" i="9"/>
  <c r="R1954" i="9"/>
  <c r="Q1954" i="9"/>
  <c r="R1953" i="9"/>
  <c r="Q1953" i="9"/>
  <c r="R1952" i="9"/>
  <c r="Q1952" i="9"/>
  <c r="R1951" i="9"/>
  <c r="Q1951" i="9"/>
  <c r="R1950" i="9"/>
  <c r="Q1950" i="9"/>
  <c r="R1949" i="9"/>
  <c r="Q1949" i="9"/>
  <c r="R1948" i="9"/>
  <c r="Q1948" i="9"/>
  <c r="R1947" i="9"/>
  <c r="Q1947" i="9"/>
  <c r="R1946" i="9"/>
  <c r="Q1946" i="9"/>
  <c r="R1945" i="9"/>
  <c r="Q1945" i="9"/>
  <c r="R1944" i="9"/>
  <c r="Q1944" i="9"/>
  <c r="R1943" i="9"/>
  <c r="Q1943" i="9"/>
  <c r="R1942" i="9"/>
  <c r="Q1942" i="9"/>
  <c r="R1941" i="9"/>
  <c r="Q1941" i="9"/>
  <c r="R1940" i="9"/>
  <c r="Q1940" i="9"/>
  <c r="R1939" i="9"/>
  <c r="Q1939" i="9"/>
  <c r="R1938" i="9"/>
  <c r="Q1938" i="9"/>
  <c r="R1937" i="9"/>
  <c r="Q1937" i="9"/>
  <c r="R1936" i="9"/>
  <c r="Q1936" i="9"/>
  <c r="R1935" i="9"/>
  <c r="Q1935" i="9"/>
  <c r="R1934" i="9"/>
  <c r="Q1934" i="9"/>
  <c r="R1933" i="9"/>
  <c r="Q1933" i="9"/>
  <c r="R1932" i="9"/>
  <c r="Q1932" i="9"/>
  <c r="R1931" i="9"/>
  <c r="Q1931" i="9"/>
  <c r="R1930" i="9"/>
  <c r="Q1930" i="9"/>
  <c r="R1929" i="9"/>
  <c r="Q1929" i="9"/>
  <c r="R1928" i="9"/>
  <c r="Q1928" i="9"/>
  <c r="R1927" i="9"/>
  <c r="Q1927" i="9"/>
  <c r="R1926" i="9"/>
  <c r="Q1926" i="9"/>
  <c r="R1925" i="9"/>
  <c r="Q1925" i="9"/>
  <c r="R1924" i="9"/>
  <c r="Q1924" i="9"/>
  <c r="R1923" i="9"/>
  <c r="Q1923" i="9"/>
  <c r="R1922" i="9"/>
  <c r="Q1922" i="9"/>
  <c r="R1921" i="9"/>
  <c r="Q1921" i="9"/>
  <c r="R1920" i="9"/>
  <c r="Q1920" i="9"/>
  <c r="R1919" i="9"/>
  <c r="Q1919" i="9"/>
  <c r="R1918" i="9"/>
  <c r="Q1918" i="9"/>
  <c r="R1917" i="9"/>
  <c r="Q1917" i="9"/>
  <c r="R1916" i="9"/>
  <c r="Q1916" i="9"/>
  <c r="R1915" i="9"/>
  <c r="Q1915" i="9"/>
  <c r="R1914" i="9"/>
  <c r="Q1914" i="9"/>
  <c r="R1913" i="9"/>
  <c r="Q1913" i="9"/>
  <c r="R1912" i="9"/>
  <c r="Q1912" i="9"/>
  <c r="R1911" i="9"/>
  <c r="Q1911" i="9"/>
  <c r="R1910" i="9"/>
  <c r="Q1910" i="9"/>
  <c r="R1909" i="9"/>
  <c r="Q1909" i="9"/>
  <c r="R1908" i="9"/>
  <c r="Q1908" i="9"/>
  <c r="R1907" i="9"/>
  <c r="Q1907" i="9"/>
  <c r="R1906" i="9"/>
  <c r="Q1906" i="9"/>
  <c r="R1905" i="9"/>
  <c r="Q1905" i="9"/>
  <c r="R1904" i="9"/>
  <c r="Q1904" i="9"/>
  <c r="R1903" i="9"/>
  <c r="Q1903" i="9"/>
  <c r="R1902" i="9"/>
  <c r="Q1902" i="9"/>
  <c r="R1901" i="9"/>
  <c r="Q1901" i="9"/>
  <c r="R1900" i="9"/>
  <c r="Q1900" i="9"/>
  <c r="R1899" i="9"/>
  <c r="Q1899" i="9"/>
  <c r="R1898" i="9"/>
  <c r="Q1898" i="9"/>
  <c r="R1897" i="9"/>
  <c r="Q1897" i="9"/>
  <c r="R1896" i="9"/>
  <c r="Q1896" i="9"/>
  <c r="R1895" i="9"/>
  <c r="Q1895" i="9"/>
  <c r="R1894" i="9"/>
  <c r="Q1894" i="9"/>
  <c r="R1893" i="9"/>
  <c r="Q1893" i="9"/>
  <c r="R1892" i="9"/>
  <c r="Q1892" i="9"/>
  <c r="R1891" i="9"/>
  <c r="Q1891" i="9"/>
  <c r="R1890" i="9"/>
  <c r="Q1890" i="9"/>
  <c r="R1889" i="9"/>
  <c r="Q1889" i="9"/>
  <c r="R1888" i="9"/>
  <c r="Q1888" i="9"/>
  <c r="R1887" i="9"/>
  <c r="Q1887" i="9"/>
  <c r="R1886" i="9"/>
  <c r="Q1886" i="9"/>
  <c r="R1885" i="9"/>
  <c r="Q1885" i="9"/>
  <c r="R1884" i="9"/>
  <c r="Q1884" i="9"/>
  <c r="R1883" i="9"/>
  <c r="Q1883" i="9"/>
  <c r="R1882" i="9"/>
  <c r="Q1882" i="9"/>
  <c r="R1881" i="9"/>
  <c r="Q1881" i="9"/>
  <c r="R1880" i="9"/>
  <c r="Q1880" i="9"/>
  <c r="R1879" i="9"/>
  <c r="Q1879" i="9"/>
  <c r="R1878" i="9"/>
  <c r="Q1878" i="9"/>
  <c r="R1877" i="9"/>
  <c r="Q1877" i="9"/>
  <c r="R1876" i="9"/>
  <c r="Q1876" i="9"/>
  <c r="R1875" i="9"/>
  <c r="Q1875" i="9"/>
  <c r="R1874" i="9"/>
  <c r="Q1874" i="9"/>
  <c r="R1873" i="9"/>
  <c r="Q1873" i="9"/>
  <c r="R1872" i="9"/>
  <c r="Q1872" i="9"/>
  <c r="R1871" i="9"/>
  <c r="Q1871" i="9"/>
  <c r="R1870" i="9"/>
  <c r="Q1870" i="9"/>
  <c r="R1869" i="9"/>
  <c r="Q1869" i="9"/>
  <c r="R1868" i="9"/>
  <c r="Q1868" i="9"/>
  <c r="R1867" i="9"/>
  <c r="Q1867" i="9"/>
  <c r="R1866" i="9"/>
  <c r="Q1866" i="9"/>
  <c r="R1865" i="9"/>
  <c r="Q1865" i="9"/>
  <c r="R1864" i="9"/>
  <c r="Q1864" i="9"/>
  <c r="R1863" i="9"/>
  <c r="Q1863" i="9"/>
  <c r="R1862" i="9"/>
  <c r="Q1862" i="9"/>
  <c r="R1861" i="9"/>
  <c r="Q1861" i="9"/>
  <c r="R1860" i="9"/>
  <c r="Q1860" i="9"/>
  <c r="R1859" i="9"/>
  <c r="Q1859" i="9"/>
  <c r="R1858" i="9"/>
  <c r="Q1858" i="9"/>
  <c r="R1857" i="9"/>
  <c r="Q1857" i="9"/>
  <c r="R1856" i="9"/>
  <c r="Q1856" i="9"/>
  <c r="R1855" i="9"/>
  <c r="Q1855" i="9"/>
  <c r="R1854" i="9"/>
  <c r="Q1854" i="9"/>
  <c r="R1853" i="9"/>
  <c r="Q1853" i="9"/>
  <c r="R1852" i="9"/>
  <c r="Q1852" i="9"/>
  <c r="R1851" i="9"/>
  <c r="Q1851" i="9"/>
  <c r="R1850" i="9"/>
  <c r="Q1850" i="9"/>
  <c r="R1849" i="9"/>
  <c r="Q1849" i="9"/>
  <c r="R1848" i="9"/>
  <c r="Q1848" i="9"/>
  <c r="R1847" i="9"/>
  <c r="Q1847" i="9"/>
  <c r="R1846" i="9"/>
  <c r="Q1846" i="9"/>
  <c r="R1845" i="9"/>
  <c r="Q1845" i="9"/>
  <c r="R1844" i="9"/>
  <c r="Q1844" i="9"/>
  <c r="R1843" i="9"/>
  <c r="Q1843" i="9"/>
  <c r="R1842" i="9"/>
  <c r="Q1842" i="9"/>
  <c r="R1841" i="9"/>
  <c r="Q1841" i="9"/>
  <c r="R1840" i="9"/>
  <c r="Q1840" i="9"/>
  <c r="R1839" i="9"/>
  <c r="Q1839" i="9"/>
  <c r="R1838" i="9"/>
  <c r="Q1838" i="9"/>
  <c r="R1837" i="9"/>
  <c r="Q1837" i="9"/>
  <c r="R1836" i="9"/>
  <c r="Q1836" i="9"/>
  <c r="R1835" i="9"/>
  <c r="Q1835" i="9"/>
  <c r="R1834" i="9"/>
  <c r="Q1834" i="9"/>
  <c r="R1833" i="9"/>
  <c r="Q1833" i="9"/>
  <c r="R1832" i="9"/>
  <c r="Q1832" i="9"/>
  <c r="R1831" i="9"/>
  <c r="Q1831" i="9"/>
  <c r="R1830" i="9"/>
  <c r="Q1830" i="9"/>
  <c r="R1829" i="9"/>
  <c r="Q1829" i="9"/>
  <c r="R1828" i="9"/>
  <c r="Q1828" i="9"/>
  <c r="R1827" i="9"/>
  <c r="Q1827" i="9"/>
  <c r="R1826" i="9"/>
  <c r="Q1826" i="9"/>
  <c r="R1825" i="9"/>
  <c r="Q1825" i="9"/>
  <c r="R1824" i="9"/>
  <c r="Q1824" i="9"/>
  <c r="R1823" i="9"/>
  <c r="Q1823" i="9"/>
  <c r="R1822" i="9"/>
  <c r="Q1822" i="9"/>
  <c r="R1821" i="9"/>
  <c r="Q1821" i="9"/>
  <c r="R1820" i="9"/>
  <c r="Q1820" i="9"/>
  <c r="R1819" i="9"/>
  <c r="Q1819" i="9"/>
  <c r="R1818" i="9"/>
  <c r="Q1818" i="9"/>
  <c r="R1817" i="9"/>
  <c r="Q1817" i="9"/>
  <c r="R1816" i="9"/>
  <c r="Q1816" i="9"/>
  <c r="R1815" i="9"/>
  <c r="Q1815" i="9"/>
  <c r="R1814" i="9"/>
  <c r="Q1814" i="9"/>
  <c r="R1813" i="9"/>
  <c r="Q1813" i="9"/>
  <c r="R1812" i="9"/>
  <c r="Q1812" i="9"/>
  <c r="R1811" i="9"/>
  <c r="Q1811" i="9"/>
  <c r="R1810" i="9"/>
  <c r="Q1810" i="9"/>
  <c r="R1809" i="9"/>
  <c r="Q1809" i="9"/>
  <c r="R1808" i="9"/>
  <c r="Q1808" i="9"/>
  <c r="R1807" i="9"/>
  <c r="Q1807" i="9"/>
  <c r="R1806" i="9"/>
  <c r="Q1806" i="9"/>
  <c r="R1805" i="9"/>
  <c r="Q1805" i="9"/>
  <c r="R1804" i="9"/>
  <c r="Q1804" i="9"/>
  <c r="R1803" i="9"/>
  <c r="Q1803" i="9"/>
  <c r="R1802" i="9"/>
  <c r="Q1802" i="9"/>
  <c r="R1801" i="9"/>
  <c r="Q1801" i="9"/>
  <c r="R1800" i="9"/>
  <c r="Q1800" i="9"/>
  <c r="R1799" i="9"/>
  <c r="Q1799" i="9"/>
  <c r="R1798" i="9"/>
  <c r="Q1798" i="9"/>
  <c r="R1797" i="9"/>
  <c r="Q1797" i="9"/>
  <c r="R1796" i="9"/>
  <c r="Q1796" i="9"/>
  <c r="R1795" i="9"/>
  <c r="Q1795" i="9"/>
  <c r="R1794" i="9"/>
  <c r="Q1794" i="9"/>
  <c r="R1793" i="9"/>
  <c r="Q1793" i="9"/>
  <c r="R1792" i="9"/>
  <c r="Q1792" i="9"/>
  <c r="R1791" i="9"/>
  <c r="Q1791" i="9"/>
  <c r="R1790" i="9"/>
  <c r="Q1790" i="9"/>
  <c r="R1789" i="9"/>
  <c r="Q1789" i="9"/>
  <c r="R1788" i="9"/>
  <c r="Q1788" i="9"/>
  <c r="R1787" i="9"/>
  <c r="Q1787" i="9"/>
  <c r="R1786" i="9"/>
  <c r="Q1786" i="9"/>
  <c r="R1785" i="9"/>
  <c r="Q1785" i="9"/>
  <c r="R1784" i="9"/>
  <c r="Q1784" i="9"/>
  <c r="R1783" i="9"/>
  <c r="Q1783" i="9"/>
  <c r="R1782" i="9"/>
  <c r="Q1782" i="9"/>
  <c r="R1781" i="9"/>
  <c r="Q1781" i="9"/>
  <c r="R1780" i="9"/>
  <c r="Q1780" i="9"/>
  <c r="R1779" i="9"/>
  <c r="Q1779" i="9"/>
  <c r="R1778" i="9"/>
  <c r="Q1778" i="9"/>
  <c r="R1777" i="9"/>
  <c r="Q1777" i="9"/>
  <c r="R1776" i="9"/>
  <c r="Q1776" i="9"/>
  <c r="R1775" i="9"/>
  <c r="Q1775" i="9"/>
  <c r="R1774" i="9"/>
  <c r="Q1774" i="9"/>
  <c r="R1773" i="9"/>
  <c r="Q1773" i="9"/>
  <c r="R1772" i="9"/>
  <c r="Q1772" i="9"/>
  <c r="R1771" i="9"/>
  <c r="Q1771" i="9"/>
  <c r="R1770" i="9"/>
  <c r="Q1770" i="9"/>
  <c r="R1769" i="9"/>
  <c r="Q1769" i="9"/>
  <c r="R1768" i="9"/>
  <c r="Q1768" i="9"/>
  <c r="R1767" i="9"/>
  <c r="Q1767" i="9"/>
  <c r="R1766" i="9"/>
  <c r="Q1766" i="9"/>
  <c r="R1765" i="9"/>
  <c r="Q1765" i="9"/>
  <c r="R1764" i="9"/>
  <c r="Q1764" i="9"/>
  <c r="R1763" i="9"/>
  <c r="Q1763" i="9"/>
  <c r="R1762" i="9"/>
  <c r="Q1762" i="9"/>
  <c r="R1761" i="9"/>
  <c r="Q1761" i="9"/>
  <c r="R1760" i="9"/>
  <c r="Q1760" i="9"/>
  <c r="R1759" i="9"/>
  <c r="Q1759" i="9"/>
  <c r="R1758" i="9"/>
  <c r="Q1758" i="9"/>
  <c r="R1757" i="9"/>
  <c r="Q1757" i="9"/>
  <c r="R1756" i="9"/>
  <c r="Q1756" i="9"/>
  <c r="R1755" i="9"/>
  <c r="Q1755" i="9"/>
  <c r="R1754" i="9"/>
  <c r="Q1754" i="9"/>
  <c r="R1753" i="9"/>
  <c r="Q1753" i="9"/>
  <c r="R1752" i="9"/>
  <c r="Q1752" i="9"/>
  <c r="R1751" i="9"/>
  <c r="Q1751" i="9"/>
  <c r="R1750" i="9"/>
  <c r="Q1750" i="9"/>
  <c r="R1749" i="9"/>
  <c r="Q1749" i="9"/>
  <c r="R1748" i="9"/>
  <c r="Q1748" i="9"/>
  <c r="R1747" i="9"/>
  <c r="Q1747" i="9"/>
  <c r="R1746" i="9"/>
  <c r="Q1746" i="9"/>
  <c r="R1745" i="9"/>
  <c r="Q1745" i="9"/>
  <c r="R1744" i="9"/>
  <c r="Q1744" i="9"/>
  <c r="R1743" i="9"/>
  <c r="Q1743" i="9"/>
  <c r="R1742" i="9"/>
  <c r="Q1742" i="9"/>
  <c r="R1741" i="9"/>
  <c r="Q1741" i="9"/>
  <c r="R1740" i="9"/>
  <c r="Q1740" i="9"/>
  <c r="R1739" i="9"/>
  <c r="Q1739" i="9"/>
  <c r="R1738" i="9"/>
  <c r="Q1738" i="9"/>
  <c r="R1737" i="9"/>
  <c r="Q1737" i="9"/>
  <c r="R1736" i="9"/>
  <c r="Q1736" i="9"/>
  <c r="R1735" i="9"/>
  <c r="Q1735" i="9"/>
  <c r="R1734" i="9"/>
  <c r="Q1734" i="9"/>
  <c r="R1733" i="9"/>
  <c r="Q1733" i="9"/>
  <c r="R1732" i="9"/>
  <c r="Q1732" i="9"/>
  <c r="R1731" i="9"/>
  <c r="Q1731" i="9"/>
  <c r="R1730" i="9"/>
  <c r="Q1730" i="9"/>
  <c r="R1729" i="9"/>
  <c r="Q1729" i="9"/>
  <c r="R1728" i="9"/>
  <c r="Q1728" i="9"/>
  <c r="R1727" i="9"/>
  <c r="Q1727" i="9"/>
  <c r="R1726" i="9"/>
  <c r="Q1726" i="9"/>
  <c r="R1725" i="9"/>
  <c r="Q1725" i="9"/>
  <c r="R1724" i="9"/>
  <c r="Q1724" i="9"/>
  <c r="R1723" i="9"/>
  <c r="Q1723" i="9"/>
  <c r="R1722" i="9"/>
  <c r="Q1722" i="9"/>
  <c r="R1721" i="9"/>
  <c r="Q1721" i="9"/>
  <c r="R1720" i="9"/>
  <c r="Q1720" i="9"/>
  <c r="R1719" i="9"/>
  <c r="Q1719" i="9"/>
  <c r="R1718" i="9"/>
  <c r="Q1718" i="9"/>
  <c r="R1717" i="9"/>
  <c r="Q1717" i="9"/>
  <c r="R1716" i="9"/>
  <c r="Q1716" i="9"/>
  <c r="R1715" i="9"/>
  <c r="Q1715" i="9"/>
  <c r="R1714" i="9"/>
  <c r="Q1714" i="9"/>
  <c r="R1713" i="9"/>
  <c r="Q1713" i="9"/>
  <c r="R1712" i="9"/>
  <c r="Q1712" i="9"/>
  <c r="R1711" i="9"/>
  <c r="Q1711" i="9"/>
  <c r="R1710" i="9"/>
  <c r="Q1710" i="9"/>
  <c r="R1709" i="9"/>
  <c r="Q1709" i="9"/>
  <c r="R1708" i="9"/>
  <c r="Q1708" i="9"/>
  <c r="R1707" i="9"/>
  <c r="Q1707" i="9"/>
  <c r="R1706" i="9"/>
  <c r="Q1706" i="9"/>
  <c r="R1705" i="9"/>
  <c r="Q1705" i="9"/>
  <c r="R1704" i="9"/>
  <c r="Q1704" i="9"/>
  <c r="R1703" i="9"/>
  <c r="Q1703" i="9"/>
  <c r="R1702" i="9"/>
  <c r="Q1702" i="9"/>
  <c r="R1701" i="9"/>
  <c r="Q1701" i="9"/>
  <c r="R1700" i="9"/>
  <c r="Q1700" i="9"/>
  <c r="R1699" i="9"/>
  <c r="Q1699" i="9"/>
  <c r="R1698" i="9"/>
  <c r="Q1698" i="9"/>
  <c r="R1697" i="9"/>
  <c r="Q1697" i="9"/>
  <c r="R1696" i="9"/>
  <c r="Q1696" i="9"/>
  <c r="R1695" i="9"/>
  <c r="Q1695" i="9"/>
  <c r="R1694" i="9"/>
  <c r="Q1694" i="9"/>
  <c r="R1693" i="9"/>
  <c r="Q1693" i="9"/>
  <c r="R1692" i="9"/>
  <c r="Q1692" i="9"/>
  <c r="R1691" i="9"/>
  <c r="Q1691" i="9"/>
  <c r="R1690" i="9"/>
  <c r="Q1690" i="9"/>
  <c r="R1689" i="9"/>
  <c r="Q1689" i="9"/>
  <c r="R1688" i="9"/>
  <c r="Q1688" i="9"/>
  <c r="R1687" i="9"/>
  <c r="Q1687" i="9"/>
  <c r="R1686" i="9"/>
  <c r="Q1686" i="9"/>
  <c r="R1685" i="9"/>
  <c r="Q1685" i="9"/>
  <c r="R1684" i="9"/>
  <c r="Q1684" i="9"/>
  <c r="R1683" i="9"/>
  <c r="Q1683" i="9"/>
  <c r="R1682" i="9"/>
  <c r="Q1682" i="9"/>
  <c r="R1681" i="9"/>
  <c r="Q1681" i="9"/>
  <c r="R1680" i="9"/>
  <c r="Q1680" i="9"/>
  <c r="R1679" i="9"/>
  <c r="Q1679" i="9"/>
  <c r="R1678" i="9"/>
  <c r="Q1678" i="9"/>
  <c r="R1677" i="9"/>
  <c r="Q1677" i="9"/>
  <c r="R1676" i="9"/>
  <c r="Q1676" i="9"/>
  <c r="R1675" i="9"/>
  <c r="Q1675" i="9"/>
  <c r="R1674" i="9"/>
  <c r="Q1674" i="9"/>
  <c r="R1673" i="9"/>
  <c r="Q1673" i="9"/>
  <c r="R1672" i="9"/>
  <c r="Q1672" i="9"/>
  <c r="R1671" i="9"/>
  <c r="Q1671" i="9"/>
  <c r="R1670" i="9"/>
  <c r="Q1670" i="9"/>
  <c r="R1669" i="9"/>
  <c r="Q1669" i="9"/>
  <c r="R1668" i="9"/>
  <c r="Q1668" i="9"/>
  <c r="R1667" i="9"/>
  <c r="Q1667" i="9"/>
  <c r="R1666" i="9"/>
  <c r="Q1666" i="9"/>
  <c r="R1665" i="9"/>
  <c r="Q1665" i="9"/>
  <c r="R1664" i="9"/>
  <c r="Q1664" i="9"/>
  <c r="R1663" i="9"/>
  <c r="Q1663" i="9"/>
  <c r="R1662" i="9"/>
  <c r="Q1662" i="9"/>
  <c r="R1661" i="9"/>
  <c r="Q1661" i="9"/>
  <c r="R1660" i="9"/>
  <c r="Q1660" i="9"/>
  <c r="R1659" i="9"/>
  <c r="Q1659" i="9"/>
  <c r="R1658" i="9"/>
  <c r="Q1658" i="9"/>
  <c r="R1657" i="9"/>
  <c r="Q1657" i="9"/>
  <c r="R1656" i="9"/>
  <c r="Q1656" i="9"/>
  <c r="R1655" i="9"/>
  <c r="Q1655" i="9"/>
  <c r="R1654" i="9"/>
  <c r="Q1654" i="9"/>
  <c r="R1653" i="9"/>
  <c r="Q1653" i="9"/>
  <c r="R1652" i="9"/>
  <c r="Q1652" i="9"/>
  <c r="R1651" i="9"/>
  <c r="Q1651" i="9"/>
  <c r="R1650" i="9"/>
  <c r="Q1650" i="9"/>
  <c r="R1649" i="9"/>
  <c r="Q1649" i="9"/>
  <c r="R1648" i="9"/>
  <c r="Q1648" i="9"/>
  <c r="R1647" i="9"/>
  <c r="Q1647" i="9"/>
  <c r="R1646" i="9"/>
  <c r="Q1646" i="9"/>
  <c r="R1645" i="9"/>
  <c r="Q1645" i="9"/>
  <c r="R1644" i="9"/>
  <c r="Q1644" i="9"/>
  <c r="R1643" i="9"/>
  <c r="Q1643" i="9"/>
  <c r="R1642" i="9"/>
  <c r="Q1642" i="9"/>
  <c r="R1641" i="9"/>
  <c r="Q1641" i="9"/>
  <c r="R1640" i="9"/>
  <c r="Q1640" i="9"/>
  <c r="R1639" i="9"/>
  <c r="Q1639" i="9"/>
  <c r="R1638" i="9"/>
  <c r="Q1638" i="9"/>
  <c r="R1637" i="9"/>
  <c r="Q1637" i="9"/>
  <c r="R1636" i="9"/>
  <c r="Q1636" i="9"/>
  <c r="R1635" i="9"/>
  <c r="Q1635" i="9"/>
  <c r="R1634" i="9"/>
  <c r="Q1634" i="9"/>
  <c r="R1633" i="9"/>
  <c r="Q1633" i="9"/>
  <c r="R1632" i="9"/>
  <c r="Q1632" i="9"/>
  <c r="R1631" i="9"/>
  <c r="Q1631" i="9"/>
  <c r="R1630" i="9"/>
  <c r="Q1630" i="9"/>
  <c r="R1629" i="9"/>
  <c r="Q1629" i="9"/>
  <c r="R1628" i="9"/>
  <c r="Q1628" i="9"/>
  <c r="R1627" i="9"/>
  <c r="Q1627" i="9"/>
  <c r="R1626" i="9"/>
  <c r="Q1626" i="9"/>
  <c r="R1625" i="9"/>
  <c r="Q1625" i="9"/>
  <c r="R1624" i="9"/>
  <c r="Q1624" i="9"/>
  <c r="R1623" i="9"/>
  <c r="Q1623" i="9"/>
  <c r="R1622" i="9"/>
  <c r="Q1622" i="9"/>
  <c r="R1621" i="9"/>
  <c r="Q1621" i="9"/>
  <c r="R1620" i="9"/>
  <c r="Q1620" i="9"/>
  <c r="R1619" i="9"/>
  <c r="Q1619" i="9"/>
  <c r="R1618" i="9"/>
  <c r="Q1618" i="9"/>
  <c r="R1617" i="9"/>
  <c r="Q1617" i="9"/>
  <c r="R1616" i="9"/>
  <c r="Q1616" i="9"/>
  <c r="R1615" i="9"/>
  <c r="Q1615" i="9"/>
  <c r="R1614" i="9"/>
  <c r="Q1614" i="9"/>
  <c r="R1613" i="9"/>
  <c r="Q1613" i="9"/>
  <c r="R1612" i="9"/>
  <c r="Q1612" i="9"/>
  <c r="R1611" i="9"/>
  <c r="Q1611" i="9"/>
  <c r="R1610" i="9"/>
  <c r="Q1610" i="9"/>
  <c r="R1609" i="9"/>
  <c r="Q1609" i="9"/>
  <c r="R1608" i="9"/>
  <c r="Q1608" i="9"/>
  <c r="R1607" i="9"/>
  <c r="Q1607" i="9"/>
  <c r="R1606" i="9"/>
  <c r="Q1606" i="9"/>
  <c r="R1605" i="9"/>
  <c r="Q1605" i="9"/>
  <c r="R1604" i="9"/>
  <c r="Q1604" i="9"/>
  <c r="R1603" i="9"/>
  <c r="Q1603" i="9"/>
  <c r="R1602" i="9"/>
  <c r="Q1602" i="9"/>
  <c r="R1601" i="9"/>
  <c r="Q1601" i="9"/>
  <c r="R1600" i="9"/>
  <c r="Q1600" i="9"/>
  <c r="R1599" i="9"/>
  <c r="Q1599" i="9"/>
  <c r="R1598" i="9"/>
  <c r="Q1598" i="9"/>
  <c r="R1597" i="9"/>
  <c r="Q1597" i="9"/>
  <c r="R1596" i="9"/>
  <c r="Q1596" i="9"/>
  <c r="R1595" i="9"/>
  <c r="Q1595" i="9"/>
  <c r="R1594" i="9"/>
  <c r="Q1594" i="9"/>
  <c r="R1593" i="9"/>
  <c r="Q1593" i="9"/>
  <c r="R1592" i="9"/>
  <c r="Q1592" i="9"/>
  <c r="R1591" i="9"/>
  <c r="Q1591" i="9"/>
  <c r="R1590" i="9"/>
  <c r="Q1590" i="9"/>
  <c r="R1589" i="9"/>
  <c r="Q1589" i="9"/>
  <c r="R1588" i="9"/>
  <c r="Q1588" i="9"/>
  <c r="R1587" i="9"/>
  <c r="Q1587" i="9"/>
  <c r="R1586" i="9"/>
  <c r="Q1586" i="9"/>
  <c r="R1585" i="9"/>
  <c r="Q1585" i="9"/>
  <c r="R1584" i="9"/>
  <c r="Q1584" i="9"/>
  <c r="R1583" i="9"/>
  <c r="Q1583" i="9"/>
  <c r="R1582" i="9"/>
  <c r="Q1582" i="9"/>
  <c r="R1581" i="9"/>
  <c r="Q1581" i="9"/>
  <c r="R1580" i="9"/>
  <c r="Q1580" i="9"/>
  <c r="R1579" i="9"/>
  <c r="Q1579" i="9"/>
  <c r="R1578" i="9"/>
  <c r="Q1578" i="9"/>
  <c r="R1577" i="9"/>
  <c r="Q1577" i="9"/>
  <c r="R1576" i="9"/>
  <c r="Q1576" i="9"/>
  <c r="R1575" i="9"/>
  <c r="Q1575" i="9"/>
  <c r="R1574" i="9"/>
  <c r="Q1574" i="9"/>
  <c r="R1573" i="9"/>
  <c r="Q1573" i="9"/>
  <c r="R1572" i="9"/>
  <c r="Q1572" i="9"/>
  <c r="R1571" i="9"/>
  <c r="Q1571" i="9"/>
  <c r="R1570" i="9"/>
  <c r="Q1570" i="9"/>
  <c r="R1569" i="9"/>
  <c r="Q1569" i="9"/>
  <c r="R1568" i="9"/>
  <c r="Q1568" i="9"/>
  <c r="R1567" i="9"/>
  <c r="Q1567" i="9"/>
  <c r="R1566" i="9"/>
  <c r="Q1566" i="9"/>
  <c r="R1565" i="9"/>
  <c r="Q1565" i="9"/>
  <c r="R1564" i="9"/>
  <c r="Q1564" i="9"/>
  <c r="R1563" i="9"/>
  <c r="Q1563" i="9"/>
  <c r="R1562" i="9"/>
  <c r="Q1562" i="9"/>
  <c r="R1561" i="9"/>
  <c r="Q1561" i="9"/>
  <c r="R1560" i="9"/>
  <c r="Q1560" i="9"/>
  <c r="R1559" i="9"/>
  <c r="Q1559" i="9"/>
  <c r="R1558" i="9"/>
  <c r="Q1558" i="9"/>
  <c r="R1557" i="9"/>
  <c r="Q1557" i="9"/>
  <c r="R1556" i="9"/>
  <c r="Q1556" i="9"/>
  <c r="R1555" i="9"/>
  <c r="Q1555" i="9"/>
  <c r="R1554" i="9"/>
  <c r="Q1554" i="9"/>
  <c r="R1553" i="9"/>
  <c r="Q1553" i="9"/>
  <c r="R1552" i="9"/>
  <c r="Q1552" i="9"/>
  <c r="R1551" i="9"/>
  <c r="Q1551" i="9"/>
  <c r="R1550" i="9"/>
  <c r="Q1550" i="9"/>
  <c r="R1549" i="9"/>
  <c r="Q1549" i="9"/>
  <c r="R1548" i="9"/>
  <c r="Q1548" i="9"/>
  <c r="R1547" i="9"/>
  <c r="Q1547" i="9"/>
  <c r="R1546" i="9"/>
  <c r="Q1546" i="9"/>
  <c r="R1545" i="9"/>
  <c r="Q1545" i="9"/>
  <c r="R1544" i="9"/>
  <c r="Q1544" i="9"/>
  <c r="R1543" i="9"/>
  <c r="Q1543" i="9"/>
  <c r="R1542" i="9"/>
  <c r="Q1542" i="9"/>
  <c r="R1541" i="9"/>
  <c r="Q1541" i="9"/>
  <c r="R1540" i="9"/>
  <c r="Q1540" i="9"/>
  <c r="R1539" i="9"/>
  <c r="Q1539" i="9"/>
  <c r="R1538" i="9"/>
  <c r="Q1538" i="9"/>
  <c r="R1537" i="9"/>
  <c r="Q1537" i="9"/>
  <c r="R1536" i="9"/>
  <c r="Q1536" i="9"/>
  <c r="R1535" i="9"/>
  <c r="Q1535" i="9"/>
  <c r="R1534" i="9"/>
  <c r="Q1534" i="9"/>
  <c r="R1533" i="9"/>
  <c r="Q1533" i="9"/>
  <c r="R1532" i="9"/>
  <c r="Q1532" i="9"/>
  <c r="R1531" i="9"/>
  <c r="Q1531" i="9"/>
  <c r="R1530" i="9"/>
  <c r="Q1530" i="9"/>
  <c r="R1529" i="9"/>
  <c r="Q1529" i="9"/>
  <c r="R1528" i="9"/>
  <c r="Q1528" i="9"/>
  <c r="R1527" i="9"/>
  <c r="Q1527" i="9"/>
  <c r="R1526" i="9"/>
  <c r="Q1526" i="9"/>
  <c r="R1525" i="9"/>
  <c r="Q1525" i="9"/>
  <c r="R1524" i="9"/>
  <c r="Q1524" i="9"/>
  <c r="R1523" i="9"/>
  <c r="Q1523" i="9"/>
  <c r="R1522" i="9"/>
  <c r="Q1522" i="9"/>
  <c r="R1521" i="9"/>
  <c r="Q1521" i="9"/>
  <c r="R1520" i="9"/>
  <c r="Q1520" i="9"/>
  <c r="R1519" i="9"/>
  <c r="Q1519" i="9"/>
  <c r="R1518" i="9"/>
  <c r="Q1518" i="9"/>
  <c r="R1517" i="9"/>
  <c r="Q1517" i="9"/>
  <c r="R1516" i="9"/>
  <c r="Q1516" i="9"/>
  <c r="R1515" i="9"/>
  <c r="Q1515" i="9"/>
  <c r="R1514" i="9"/>
  <c r="Q1514" i="9"/>
  <c r="R1513" i="9"/>
  <c r="Q1513" i="9"/>
  <c r="R1512" i="9"/>
  <c r="Q1512" i="9"/>
  <c r="R1511" i="9"/>
  <c r="Q1511" i="9"/>
  <c r="R1510" i="9"/>
  <c r="Q1510" i="9"/>
  <c r="R1509" i="9"/>
  <c r="Q1509" i="9"/>
  <c r="R1508" i="9"/>
  <c r="Q1508" i="9"/>
  <c r="R1507" i="9"/>
  <c r="Q1507" i="9"/>
  <c r="R1506" i="9"/>
  <c r="Q1506" i="9"/>
  <c r="R1505" i="9"/>
  <c r="Q1505" i="9"/>
  <c r="R1504" i="9"/>
  <c r="Q1504" i="9"/>
  <c r="R1503" i="9"/>
  <c r="Q1503" i="9"/>
  <c r="R1502" i="9"/>
  <c r="Q1502" i="9"/>
  <c r="R1501" i="9"/>
  <c r="Q1501" i="9"/>
  <c r="R1500" i="9"/>
  <c r="Q1500" i="9"/>
  <c r="R1499" i="9"/>
  <c r="Q1499" i="9"/>
  <c r="R1498" i="9"/>
  <c r="Q1498" i="9"/>
  <c r="R1497" i="9"/>
  <c r="Q1497" i="9"/>
  <c r="R1496" i="9"/>
  <c r="Q1496" i="9"/>
  <c r="R1495" i="9"/>
  <c r="Q1495" i="9"/>
  <c r="R1494" i="9"/>
  <c r="Q1494" i="9"/>
  <c r="R1493" i="9"/>
  <c r="Q1493" i="9"/>
  <c r="R1492" i="9"/>
  <c r="Q1492" i="9"/>
  <c r="R1491" i="9"/>
  <c r="Q1491" i="9"/>
  <c r="R1490" i="9"/>
  <c r="Q1490" i="9"/>
  <c r="R1489" i="9"/>
  <c r="Q1489" i="9"/>
  <c r="R1488" i="9"/>
  <c r="Q1488" i="9"/>
  <c r="R1487" i="9"/>
  <c r="Q1487" i="9"/>
  <c r="R1486" i="9"/>
  <c r="Q1486" i="9"/>
  <c r="R1485" i="9"/>
  <c r="Q1485" i="9"/>
  <c r="R1484" i="9"/>
  <c r="Q1484" i="9"/>
  <c r="R1483" i="9"/>
  <c r="Q1483" i="9"/>
  <c r="R1482" i="9"/>
  <c r="Q1482" i="9"/>
  <c r="R1481" i="9"/>
  <c r="Q1481" i="9"/>
  <c r="R1480" i="9"/>
  <c r="Q1480" i="9"/>
  <c r="R1479" i="9"/>
  <c r="Q1479" i="9"/>
  <c r="R1478" i="9"/>
  <c r="Q1478" i="9"/>
  <c r="R1477" i="9"/>
  <c r="Q1477" i="9"/>
  <c r="R1476" i="9"/>
  <c r="Q1476" i="9"/>
  <c r="R1475" i="9"/>
  <c r="Q1475" i="9"/>
  <c r="R1474" i="9"/>
  <c r="Q1474" i="9"/>
  <c r="R1473" i="9"/>
  <c r="Q1473" i="9"/>
  <c r="R1472" i="9"/>
  <c r="Q1472" i="9"/>
  <c r="R1471" i="9"/>
  <c r="Q1471" i="9"/>
  <c r="R1470" i="9"/>
  <c r="Q1470" i="9"/>
  <c r="R1469" i="9"/>
  <c r="Q1469" i="9"/>
  <c r="R1468" i="9"/>
  <c r="Q1468" i="9"/>
  <c r="R1467" i="9"/>
  <c r="Q1467" i="9"/>
  <c r="R1466" i="9"/>
  <c r="Q1466" i="9"/>
  <c r="R1465" i="9"/>
  <c r="Q1465" i="9"/>
  <c r="R1464" i="9"/>
  <c r="Q1464" i="9"/>
  <c r="R1463" i="9"/>
  <c r="Q1463" i="9"/>
  <c r="R1462" i="9"/>
  <c r="Q1462" i="9"/>
  <c r="R1461" i="9"/>
  <c r="Q1461" i="9"/>
  <c r="R1460" i="9"/>
  <c r="Q1460" i="9"/>
  <c r="R1459" i="9"/>
  <c r="Q1459" i="9"/>
  <c r="R1458" i="9"/>
  <c r="Q1458" i="9"/>
  <c r="R1457" i="9"/>
  <c r="Q1457" i="9"/>
  <c r="R1456" i="9"/>
  <c r="Q1456" i="9"/>
  <c r="R1455" i="9"/>
  <c r="Q1455" i="9"/>
  <c r="R1454" i="9"/>
  <c r="Q1454" i="9"/>
  <c r="R1453" i="9"/>
  <c r="Q1453" i="9"/>
  <c r="R1452" i="9"/>
  <c r="Q1452" i="9"/>
  <c r="R1451" i="9"/>
  <c r="Q1451" i="9"/>
  <c r="R1450" i="9"/>
  <c r="Q1450" i="9"/>
  <c r="R1449" i="9"/>
  <c r="Q1449" i="9"/>
  <c r="R1448" i="9"/>
  <c r="Q1448" i="9"/>
  <c r="R1447" i="9"/>
  <c r="Q1447" i="9"/>
  <c r="R1446" i="9"/>
  <c r="Q1446" i="9"/>
  <c r="R1445" i="9"/>
  <c r="Q1445" i="9"/>
  <c r="R1444" i="9"/>
  <c r="Q1444" i="9"/>
  <c r="R1443" i="9"/>
  <c r="Q1443" i="9"/>
  <c r="R1442" i="9"/>
  <c r="Q1442" i="9"/>
  <c r="R1441" i="9"/>
  <c r="Q1441" i="9"/>
  <c r="R1440" i="9"/>
  <c r="Q1440" i="9"/>
  <c r="R1439" i="9"/>
  <c r="Q1439" i="9"/>
  <c r="R1438" i="9"/>
  <c r="Q1438" i="9"/>
  <c r="R1437" i="9"/>
  <c r="Q1437" i="9"/>
  <c r="R1436" i="9"/>
  <c r="Q1436" i="9"/>
  <c r="R1435" i="9"/>
  <c r="Q1435" i="9"/>
  <c r="R1434" i="9"/>
  <c r="Q1434" i="9"/>
  <c r="R1433" i="9"/>
  <c r="Q1433" i="9"/>
  <c r="R1432" i="9"/>
  <c r="Q1432" i="9"/>
  <c r="R1431" i="9"/>
  <c r="Q1431" i="9"/>
  <c r="R1430" i="9"/>
  <c r="Q1430" i="9"/>
  <c r="R1429" i="9"/>
  <c r="Q1429" i="9"/>
  <c r="R1428" i="9"/>
  <c r="Q1428" i="9"/>
  <c r="R1427" i="9"/>
  <c r="Q1427" i="9"/>
  <c r="R1426" i="9"/>
  <c r="Q1426" i="9"/>
  <c r="R1425" i="9"/>
  <c r="Q1425" i="9"/>
  <c r="R1424" i="9"/>
  <c r="Q1424" i="9"/>
  <c r="R1423" i="9"/>
  <c r="Q1423" i="9"/>
  <c r="R1422" i="9"/>
  <c r="Q1422" i="9"/>
  <c r="R1421" i="9"/>
  <c r="Q1421" i="9"/>
  <c r="R1420" i="9"/>
  <c r="Q1420" i="9"/>
  <c r="R1419" i="9"/>
  <c r="Q1419" i="9"/>
  <c r="R1418" i="9"/>
  <c r="Q1418" i="9"/>
  <c r="R1417" i="9"/>
  <c r="Q1417" i="9"/>
  <c r="R1416" i="9"/>
  <c r="Q1416" i="9"/>
  <c r="R1415" i="9"/>
  <c r="Q1415" i="9"/>
  <c r="R1414" i="9"/>
  <c r="Q1414" i="9"/>
  <c r="R1413" i="9"/>
  <c r="Q1413" i="9"/>
  <c r="R1412" i="9"/>
  <c r="Q1412" i="9"/>
  <c r="R1411" i="9"/>
  <c r="Q1411" i="9"/>
  <c r="R1410" i="9"/>
  <c r="Q1410" i="9"/>
  <c r="R1409" i="9"/>
  <c r="Q1409" i="9"/>
  <c r="R1408" i="9"/>
  <c r="Q1408" i="9"/>
  <c r="R1407" i="9"/>
  <c r="Q1407" i="9"/>
  <c r="R1406" i="9"/>
  <c r="Q1406" i="9"/>
  <c r="R1405" i="9"/>
  <c r="Q1405" i="9"/>
  <c r="R1404" i="9"/>
  <c r="Q1404" i="9"/>
  <c r="R1403" i="9"/>
  <c r="Q1403" i="9"/>
  <c r="R1402" i="9"/>
  <c r="Q1402" i="9"/>
  <c r="R1401" i="9"/>
  <c r="Q1401" i="9"/>
  <c r="R1400" i="9"/>
  <c r="Q1400" i="9"/>
  <c r="R1399" i="9"/>
  <c r="Q1399" i="9"/>
  <c r="R1398" i="9"/>
  <c r="Q1398" i="9"/>
  <c r="R1397" i="9"/>
  <c r="Q1397" i="9"/>
  <c r="R1396" i="9"/>
  <c r="Q1396" i="9"/>
  <c r="R1395" i="9"/>
  <c r="Q1395" i="9"/>
  <c r="R1394" i="9"/>
  <c r="Q1394" i="9"/>
  <c r="R1393" i="9"/>
  <c r="Q1393" i="9"/>
  <c r="R1392" i="9"/>
  <c r="Q1392" i="9"/>
  <c r="R1391" i="9"/>
  <c r="Q1391" i="9"/>
  <c r="R1390" i="9"/>
  <c r="Q1390" i="9"/>
  <c r="R1389" i="9"/>
  <c r="Q1389" i="9"/>
  <c r="R1388" i="9"/>
  <c r="Q1388" i="9"/>
  <c r="R1387" i="9"/>
  <c r="Q1387" i="9"/>
  <c r="R1386" i="9"/>
  <c r="Q1386" i="9"/>
  <c r="R1385" i="9"/>
  <c r="Q1385" i="9"/>
  <c r="R1384" i="9"/>
  <c r="Q1384" i="9"/>
  <c r="R1383" i="9"/>
  <c r="Q1383" i="9"/>
  <c r="R1382" i="9"/>
  <c r="Q1382" i="9"/>
  <c r="R1381" i="9"/>
  <c r="Q1381" i="9"/>
  <c r="R1380" i="9"/>
  <c r="Q1380" i="9"/>
  <c r="R1379" i="9"/>
  <c r="Q1379" i="9"/>
  <c r="R1378" i="9"/>
  <c r="Q1378" i="9"/>
  <c r="R1377" i="9"/>
  <c r="Q1377" i="9"/>
  <c r="R1376" i="9"/>
  <c r="Q1376" i="9"/>
  <c r="R1375" i="9"/>
  <c r="Q1375" i="9"/>
  <c r="R1374" i="9"/>
  <c r="Q1374" i="9"/>
  <c r="R1373" i="9"/>
  <c r="Q1373" i="9"/>
  <c r="R1372" i="9"/>
  <c r="Q1372" i="9"/>
  <c r="R1371" i="9"/>
  <c r="Q1371" i="9"/>
  <c r="R1370" i="9"/>
  <c r="Q1370" i="9"/>
  <c r="R1369" i="9"/>
  <c r="Q1369" i="9"/>
  <c r="R1368" i="9"/>
  <c r="Q1368" i="9"/>
  <c r="R1367" i="9"/>
  <c r="Q1367" i="9"/>
  <c r="R1366" i="9"/>
  <c r="Q1366" i="9"/>
  <c r="R1365" i="9"/>
  <c r="Q1365" i="9"/>
  <c r="R1364" i="9"/>
  <c r="Q1364" i="9"/>
  <c r="R1363" i="9"/>
  <c r="Q1363" i="9"/>
  <c r="R1362" i="9"/>
  <c r="Q1362" i="9"/>
  <c r="R1361" i="9"/>
  <c r="Q1361" i="9"/>
  <c r="R1360" i="9"/>
  <c r="Q1360" i="9"/>
  <c r="R1359" i="9"/>
  <c r="Q1359" i="9"/>
  <c r="R1358" i="9"/>
  <c r="Q1358" i="9"/>
  <c r="R1357" i="9"/>
  <c r="Q1357" i="9"/>
  <c r="R1356" i="9"/>
  <c r="Q1356" i="9"/>
  <c r="R1355" i="9"/>
  <c r="Q1355" i="9"/>
  <c r="R1354" i="9"/>
  <c r="Q1354" i="9"/>
  <c r="R1353" i="9"/>
  <c r="Q1353" i="9"/>
  <c r="R1352" i="9"/>
  <c r="Q1352" i="9"/>
  <c r="R1351" i="9"/>
  <c r="Q1351" i="9"/>
  <c r="R1350" i="9"/>
  <c r="Q1350" i="9"/>
  <c r="R1349" i="9"/>
  <c r="Q1349" i="9"/>
  <c r="R1348" i="9"/>
  <c r="Q1348" i="9"/>
  <c r="R1347" i="9"/>
  <c r="Q1347" i="9"/>
  <c r="R1346" i="9"/>
  <c r="Q1346" i="9"/>
  <c r="R1345" i="9"/>
  <c r="Q1345" i="9"/>
  <c r="R1344" i="9"/>
  <c r="Q1344" i="9"/>
  <c r="R1343" i="9"/>
  <c r="Q1343" i="9"/>
  <c r="R1342" i="9"/>
  <c r="Q1342" i="9"/>
  <c r="R1341" i="9"/>
  <c r="Q1341" i="9"/>
  <c r="R1340" i="9"/>
  <c r="Q1340" i="9"/>
  <c r="R1339" i="9"/>
  <c r="Q1339" i="9"/>
  <c r="R1338" i="9"/>
  <c r="Q1338" i="9"/>
  <c r="R1337" i="9"/>
  <c r="Q1337" i="9"/>
  <c r="R1336" i="9"/>
  <c r="Q1336" i="9"/>
  <c r="R1335" i="9"/>
  <c r="Q1335" i="9"/>
  <c r="R1334" i="9"/>
  <c r="Q1334" i="9"/>
  <c r="R1333" i="9"/>
  <c r="Q1333" i="9"/>
  <c r="R1332" i="9"/>
  <c r="Q1332" i="9"/>
  <c r="R1331" i="9"/>
  <c r="Q1331" i="9"/>
  <c r="R1330" i="9"/>
  <c r="Q1330" i="9"/>
  <c r="R1329" i="9"/>
  <c r="Q1329" i="9"/>
  <c r="R1328" i="9"/>
  <c r="Q1328" i="9"/>
  <c r="R1327" i="9"/>
  <c r="Q1327" i="9"/>
  <c r="R1326" i="9"/>
  <c r="Q1326" i="9"/>
  <c r="R1325" i="9"/>
  <c r="Q1325" i="9"/>
  <c r="R1324" i="9"/>
  <c r="Q1324" i="9"/>
  <c r="R1323" i="9"/>
  <c r="Q1323" i="9"/>
  <c r="R1322" i="9"/>
  <c r="Q1322" i="9"/>
  <c r="R1321" i="9"/>
  <c r="Q1321" i="9"/>
  <c r="R1320" i="9"/>
  <c r="Q1320" i="9"/>
  <c r="R1319" i="9"/>
  <c r="Q1319" i="9"/>
  <c r="R1318" i="9"/>
  <c r="Q1318" i="9"/>
  <c r="R1317" i="9"/>
  <c r="Q1317" i="9"/>
  <c r="R1316" i="9"/>
  <c r="Q1316" i="9"/>
  <c r="R1315" i="9"/>
  <c r="Q1315" i="9"/>
  <c r="R1314" i="9"/>
  <c r="Q1314" i="9"/>
  <c r="R1313" i="9"/>
  <c r="Q1313" i="9"/>
  <c r="R1312" i="9"/>
  <c r="Q1312" i="9"/>
  <c r="R1311" i="9"/>
  <c r="Q1311" i="9"/>
  <c r="R1310" i="9"/>
  <c r="Q1310" i="9"/>
  <c r="R1309" i="9"/>
  <c r="Q1309" i="9"/>
  <c r="R1308" i="9"/>
  <c r="Q1308" i="9"/>
  <c r="R1307" i="9"/>
  <c r="Q1307" i="9"/>
  <c r="R1306" i="9"/>
  <c r="Q1306" i="9"/>
  <c r="R1305" i="9"/>
  <c r="Q1305" i="9"/>
  <c r="R1304" i="9"/>
  <c r="Q1304" i="9"/>
  <c r="R1303" i="9"/>
  <c r="Q1303" i="9"/>
  <c r="R1302" i="9"/>
  <c r="Q1302" i="9"/>
  <c r="R1301" i="9"/>
  <c r="Q1301" i="9"/>
  <c r="R1300" i="9"/>
  <c r="Q1300" i="9"/>
  <c r="R1299" i="9"/>
  <c r="Q1299" i="9"/>
  <c r="R1298" i="9"/>
  <c r="Q1298" i="9"/>
  <c r="R1297" i="9"/>
  <c r="Q1297" i="9"/>
  <c r="R1296" i="9"/>
  <c r="Q1296" i="9"/>
  <c r="R1295" i="9"/>
  <c r="Q1295" i="9"/>
  <c r="R1294" i="9"/>
  <c r="Q1294" i="9"/>
  <c r="R1293" i="9"/>
  <c r="Q1293" i="9"/>
  <c r="R1292" i="9"/>
  <c r="Q1292" i="9"/>
  <c r="R1291" i="9"/>
  <c r="Q1291" i="9"/>
  <c r="R1290" i="9"/>
  <c r="Q1290" i="9"/>
  <c r="R1289" i="9"/>
  <c r="Q1289" i="9"/>
  <c r="R1288" i="9"/>
  <c r="Q1288" i="9"/>
  <c r="R1287" i="9"/>
  <c r="Q1287" i="9"/>
  <c r="R1286" i="9"/>
  <c r="Q1286" i="9"/>
  <c r="R1285" i="9"/>
  <c r="Q1285" i="9"/>
  <c r="R1284" i="9"/>
  <c r="Q1284" i="9"/>
  <c r="R1283" i="9"/>
  <c r="Q1283" i="9"/>
  <c r="R1282" i="9"/>
  <c r="Q1282" i="9"/>
  <c r="R1281" i="9"/>
  <c r="Q1281" i="9"/>
  <c r="R1280" i="9"/>
  <c r="Q1280" i="9"/>
  <c r="R1279" i="9"/>
  <c r="Q1279" i="9"/>
  <c r="R1278" i="9"/>
  <c r="Q1278" i="9"/>
  <c r="R1277" i="9"/>
  <c r="Q1277" i="9"/>
  <c r="R1276" i="9"/>
  <c r="Q1276" i="9"/>
  <c r="R1275" i="9"/>
  <c r="Q1275" i="9"/>
  <c r="R1274" i="9"/>
  <c r="Q1274" i="9"/>
  <c r="R1273" i="9"/>
  <c r="Q1273" i="9"/>
  <c r="R1272" i="9"/>
  <c r="Q1272" i="9"/>
  <c r="R1271" i="9"/>
  <c r="Q1271" i="9"/>
  <c r="R1270" i="9"/>
  <c r="Q1270" i="9"/>
  <c r="R1269" i="9"/>
  <c r="Q1269" i="9"/>
  <c r="R1268" i="9"/>
  <c r="Q1268" i="9"/>
  <c r="R1267" i="9"/>
  <c r="Q1267" i="9"/>
  <c r="R1266" i="9"/>
  <c r="Q1266" i="9"/>
  <c r="R1265" i="9"/>
  <c r="Q1265" i="9"/>
  <c r="R1264" i="9"/>
  <c r="Q1264" i="9"/>
  <c r="R1263" i="9"/>
  <c r="Q1263" i="9"/>
  <c r="R1262" i="9"/>
  <c r="Q1262" i="9"/>
  <c r="R1261" i="9"/>
  <c r="Q1261" i="9"/>
  <c r="R1260" i="9"/>
  <c r="Q1260" i="9"/>
  <c r="R1259" i="9"/>
  <c r="Q1259" i="9"/>
  <c r="R1258" i="9"/>
  <c r="Q1258" i="9"/>
  <c r="R1257" i="9"/>
  <c r="Q1257" i="9"/>
  <c r="R1256" i="9"/>
  <c r="Q1256" i="9"/>
  <c r="R1255" i="9"/>
  <c r="Q1255" i="9"/>
  <c r="R1254" i="9"/>
  <c r="Q1254" i="9"/>
  <c r="R1253" i="9"/>
  <c r="Q1253" i="9"/>
  <c r="R1252" i="9"/>
  <c r="Q1252" i="9"/>
  <c r="R1251" i="9"/>
  <c r="Q1251" i="9"/>
  <c r="R1250" i="9"/>
  <c r="Q1250" i="9"/>
  <c r="R1249" i="9"/>
  <c r="Q1249" i="9"/>
  <c r="R1248" i="9"/>
  <c r="Q1248" i="9"/>
  <c r="R1247" i="9"/>
  <c r="Q1247" i="9"/>
  <c r="R1246" i="9"/>
  <c r="Q1246" i="9"/>
  <c r="R1245" i="9"/>
  <c r="Q1245" i="9"/>
  <c r="R1244" i="9"/>
  <c r="Q1244" i="9"/>
  <c r="R1243" i="9"/>
  <c r="Q1243" i="9"/>
  <c r="R1242" i="9"/>
  <c r="Q1242" i="9"/>
  <c r="R1241" i="9"/>
  <c r="Q1241" i="9"/>
  <c r="R1240" i="9"/>
  <c r="Q1240" i="9"/>
  <c r="R1239" i="9"/>
  <c r="Q1239" i="9"/>
  <c r="R1238" i="9"/>
  <c r="Q1238" i="9"/>
  <c r="R1237" i="9"/>
  <c r="Q1237" i="9"/>
  <c r="R1236" i="9"/>
  <c r="Q1236" i="9"/>
  <c r="R1235" i="9"/>
  <c r="Q1235" i="9"/>
  <c r="R1234" i="9"/>
  <c r="Q1234" i="9"/>
  <c r="R1233" i="9"/>
  <c r="Q1233" i="9"/>
  <c r="R1232" i="9"/>
  <c r="Q1232" i="9"/>
  <c r="R1231" i="9"/>
  <c r="Q1231" i="9"/>
  <c r="R1230" i="9"/>
  <c r="Q1230" i="9"/>
  <c r="R1229" i="9"/>
  <c r="Q1229" i="9"/>
  <c r="R1228" i="9"/>
  <c r="Q1228" i="9"/>
  <c r="R1227" i="9"/>
  <c r="Q1227" i="9"/>
  <c r="R1226" i="9"/>
  <c r="Q1226" i="9"/>
  <c r="R1225" i="9"/>
  <c r="Q1225" i="9"/>
  <c r="R1224" i="9"/>
  <c r="Q1224" i="9"/>
  <c r="R1223" i="9"/>
  <c r="Q1223" i="9"/>
  <c r="R1222" i="9"/>
  <c r="Q1222" i="9"/>
  <c r="R1221" i="9"/>
  <c r="Q1221" i="9"/>
  <c r="R1220" i="9"/>
  <c r="Q1220" i="9"/>
  <c r="R1219" i="9"/>
  <c r="Q1219" i="9"/>
  <c r="R1218" i="9"/>
  <c r="Q1218" i="9"/>
  <c r="R1217" i="9"/>
  <c r="Q1217" i="9"/>
  <c r="R1216" i="9"/>
  <c r="Q1216" i="9"/>
  <c r="R1215" i="9"/>
  <c r="Q1215" i="9"/>
  <c r="R1214" i="9"/>
  <c r="Q1214" i="9"/>
  <c r="R1213" i="9"/>
  <c r="Q1213" i="9"/>
  <c r="R1212" i="9"/>
  <c r="Q1212" i="9"/>
  <c r="R1211" i="9"/>
  <c r="Q1211" i="9"/>
  <c r="R1210" i="9"/>
  <c r="Q1210" i="9"/>
  <c r="R1209" i="9"/>
  <c r="Q1209" i="9"/>
  <c r="R1208" i="9"/>
  <c r="Q1208" i="9"/>
  <c r="R1207" i="9"/>
  <c r="Q1207" i="9"/>
  <c r="R1206" i="9"/>
  <c r="Q1206" i="9"/>
  <c r="R1205" i="9"/>
  <c r="Q1205" i="9"/>
  <c r="R1204" i="9"/>
  <c r="Q1204" i="9"/>
  <c r="R1203" i="9"/>
  <c r="Q1203" i="9"/>
  <c r="R1202" i="9"/>
  <c r="Q1202" i="9"/>
  <c r="R1201" i="9"/>
  <c r="Q1201" i="9"/>
  <c r="R1200" i="9"/>
  <c r="Q1200" i="9"/>
  <c r="R1199" i="9"/>
  <c r="Q1199" i="9"/>
  <c r="R1198" i="9"/>
  <c r="Q1198" i="9"/>
  <c r="R1197" i="9"/>
  <c r="Q1197" i="9"/>
  <c r="R1196" i="9"/>
  <c r="Q1196" i="9"/>
  <c r="R1195" i="9"/>
  <c r="Q1195" i="9"/>
  <c r="R1194" i="9"/>
  <c r="Q1194" i="9"/>
  <c r="R1193" i="9"/>
  <c r="Q1193" i="9"/>
  <c r="R1192" i="9"/>
  <c r="Q1192" i="9"/>
  <c r="R1191" i="9"/>
  <c r="Q1191" i="9"/>
  <c r="R1190" i="9"/>
  <c r="Q1190" i="9"/>
  <c r="R1189" i="9"/>
  <c r="Q1189" i="9"/>
  <c r="R1188" i="9"/>
  <c r="Q1188" i="9"/>
  <c r="R1187" i="9"/>
  <c r="Q1187" i="9"/>
  <c r="R1186" i="9"/>
  <c r="Q1186" i="9"/>
  <c r="R1185" i="9"/>
  <c r="Q1185" i="9"/>
  <c r="R1184" i="9"/>
  <c r="Q1184" i="9"/>
  <c r="R1183" i="9"/>
  <c r="Q1183" i="9"/>
  <c r="R1182" i="9"/>
  <c r="Q1182" i="9"/>
  <c r="R1181" i="9"/>
  <c r="Q1181" i="9"/>
  <c r="R1180" i="9"/>
  <c r="Q1180" i="9"/>
  <c r="R1179" i="9"/>
  <c r="Q1179" i="9"/>
  <c r="R1178" i="9"/>
  <c r="Q1178" i="9"/>
  <c r="R1177" i="9"/>
  <c r="Q1177" i="9"/>
  <c r="R1176" i="9"/>
  <c r="Q1176" i="9"/>
  <c r="R1175" i="9"/>
  <c r="Q1175" i="9"/>
  <c r="R1174" i="9"/>
  <c r="Q1174" i="9"/>
  <c r="R1173" i="9"/>
  <c r="Q1173" i="9"/>
  <c r="R1172" i="9"/>
  <c r="Q1172" i="9"/>
  <c r="R1171" i="9"/>
  <c r="Q1171" i="9"/>
  <c r="R1170" i="9"/>
  <c r="Q1170" i="9"/>
  <c r="R1169" i="9"/>
  <c r="Q1169" i="9"/>
  <c r="R1168" i="9"/>
  <c r="Q1168" i="9"/>
  <c r="R1167" i="9"/>
  <c r="Q1167" i="9"/>
  <c r="R1166" i="9"/>
  <c r="Q1166" i="9"/>
  <c r="R1165" i="9"/>
  <c r="Q1165" i="9"/>
  <c r="R1164" i="9"/>
  <c r="Q1164" i="9"/>
  <c r="R1163" i="9"/>
  <c r="Q1163" i="9"/>
  <c r="R1162" i="9"/>
  <c r="Q1162" i="9"/>
  <c r="R1161" i="9"/>
  <c r="Q1161" i="9"/>
  <c r="R1160" i="9"/>
  <c r="Q1160" i="9"/>
  <c r="R1159" i="9"/>
  <c r="Q1159" i="9"/>
  <c r="R1158" i="9"/>
  <c r="Q1158" i="9"/>
  <c r="R1157" i="9"/>
  <c r="Q1157" i="9"/>
  <c r="R1156" i="9"/>
  <c r="Q1156" i="9"/>
  <c r="R1155" i="9"/>
  <c r="Q1155" i="9"/>
  <c r="R1154" i="9"/>
  <c r="Q1154" i="9"/>
  <c r="R1153" i="9"/>
  <c r="Q1153" i="9"/>
  <c r="R1152" i="9"/>
  <c r="Q1152" i="9"/>
  <c r="R1151" i="9"/>
  <c r="Q1151" i="9"/>
  <c r="R1150" i="9"/>
  <c r="Q1150" i="9"/>
  <c r="R1149" i="9"/>
  <c r="Q1149" i="9"/>
  <c r="R1148" i="9"/>
  <c r="Q1148" i="9"/>
  <c r="R1147" i="9"/>
  <c r="Q1147" i="9"/>
  <c r="R1146" i="9"/>
  <c r="Q1146" i="9"/>
  <c r="R1145" i="9"/>
  <c r="Q1145" i="9"/>
  <c r="R1144" i="9"/>
  <c r="Q1144" i="9"/>
  <c r="R1143" i="9"/>
  <c r="Q1143" i="9"/>
  <c r="R1142" i="9"/>
  <c r="Q1142" i="9"/>
  <c r="R1141" i="9"/>
  <c r="Q1141" i="9"/>
  <c r="R1140" i="9"/>
  <c r="Q1140" i="9"/>
  <c r="R1139" i="9"/>
  <c r="Q1139" i="9"/>
  <c r="R1138" i="9"/>
  <c r="Q1138" i="9"/>
  <c r="R1137" i="9"/>
  <c r="Q1137" i="9"/>
  <c r="R1136" i="9"/>
  <c r="Q1136" i="9"/>
  <c r="R1135" i="9"/>
  <c r="Q1135" i="9"/>
  <c r="R1134" i="9"/>
  <c r="Q1134" i="9"/>
  <c r="R1133" i="9"/>
  <c r="Q1133" i="9"/>
  <c r="R1132" i="9"/>
  <c r="Q1132" i="9"/>
  <c r="R1131" i="9"/>
  <c r="Q1131" i="9"/>
  <c r="R1130" i="9"/>
  <c r="Q1130" i="9"/>
  <c r="R1129" i="9"/>
  <c r="Q1129" i="9"/>
  <c r="R1128" i="9"/>
  <c r="Q1128" i="9"/>
  <c r="R1127" i="9"/>
  <c r="Q1127" i="9"/>
  <c r="R1126" i="9"/>
  <c r="Q1126" i="9"/>
  <c r="R1125" i="9"/>
  <c r="Q1125" i="9"/>
  <c r="R1124" i="9"/>
  <c r="Q1124" i="9"/>
  <c r="R1123" i="9"/>
  <c r="Q1123" i="9"/>
  <c r="R1122" i="9"/>
  <c r="Q1122" i="9"/>
  <c r="R1121" i="9"/>
  <c r="Q1121" i="9"/>
  <c r="R1120" i="9"/>
  <c r="Q1120" i="9"/>
  <c r="R1119" i="9"/>
  <c r="Q1119" i="9"/>
  <c r="R1118" i="9"/>
  <c r="Q1118" i="9"/>
  <c r="R1117" i="9"/>
  <c r="Q1117" i="9"/>
  <c r="R1116" i="9"/>
  <c r="Q1116" i="9"/>
  <c r="R1115" i="9"/>
  <c r="Q1115" i="9"/>
  <c r="R1114" i="9"/>
  <c r="Q1114" i="9"/>
  <c r="R1113" i="9"/>
  <c r="Q1113" i="9"/>
  <c r="R1112" i="9"/>
  <c r="Q1112" i="9"/>
  <c r="R1111" i="9"/>
  <c r="Q1111" i="9"/>
  <c r="R1110" i="9"/>
  <c r="Q1110" i="9"/>
  <c r="R1109" i="9"/>
  <c r="Q1109" i="9"/>
  <c r="R1108" i="9"/>
  <c r="Q1108" i="9"/>
  <c r="R1107" i="9"/>
  <c r="Q1107" i="9"/>
  <c r="R1106" i="9"/>
  <c r="Q1106" i="9"/>
  <c r="R1105" i="9"/>
  <c r="Q1105" i="9"/>
  <c r="R1104" i="9"/>
  <c r="Q1104" i="9"/>
  <c r="R1103" i="9"/>
  <c r="Q1103" i="9"/>
  <c r="R1102" i="9"/>
  <c r="Q1102" i="9"/>
  <c r="R1101" i="9"/>
  <c r="Q1101" i="9"/>
  <c r="R1100" i="9"/>
  <c r="Q1100" i="9"/>
  <c r="R1099" i="9"/>
  <c r="Q1099" i="9"/>
  <c r="R1098" i="9"/>
  <c r="Q1098" i="9"/>
  <c r="R1097" i="9"/>
  <c r="Q1097" i="9"/>
  <c r="R1096" i="9"/>
  <c r="Q1096" i="9"/>
  <c r="R1095" i="9"/>
  <c r="Q1095" i="9"/>
  <c r="R1094" i="9"/>
  <c r="Q1094" i="9"/>
  <c r="R1093" i="9"/>
  <c r="Q1093" i="9"/>
  <c r="R1092" i="9"/>
  <c r="Q1092" i="9"/>
  <c r="R1091" i="9"/>
  <c r="Q1091" i="9"/>
  <c r="R1090" i="9"/>
  <c r="Q1090" i="9"/>
  <c r="R1089" i="9"/>
  <c r="Q1089" i="9"/>
  <c r="R1088" i="9"/>
  <c r="Q1088" i="9"/>
  <c r="R1087" i="9"/>
  <c r="Q1087" i="9"/>
  <c r="R1086" i="9"/>
  <c r="Q1086" i="9"/>
  <c r="R1085" i="9"/>
  <c r="Q1085" i="9"/>
  <c r="R1084" i="9"/>
  <c r="Q1084" i="9"/>
  <c r="R1083" i="9"/>
  <c r="Q1083" i="9"/>
  <c r="R1082" i="9"/>
  <c r="Q1082" i="9"/>
  <c r="R1081" i="9"/>
  <c r="Q1081" i="9"/>
  <c r="R1080" i="9"/>
  <c r="Q1080" i="9"/>
  <c r="R1079" i="9"/>
  <c r="Q1079" i="9"/>
  <c r="R1078" i="9"/>
  <c r="Q1078" i="9"/>
  <c r="R1077" i="9"/>
  <c r="Q1077" i="9"/>
  <c r="R1076" i="9"/>
  <c r="Q1076" i="9"/>
  <c r="R1075" i="9"/>
  <c r="Q1075" i="9"/>
  <c r="R1074" i="9"/>
  <c r="Q1074" i="9"/>
  <c r="R1073" i="9"/>
  <c r="Q1073" i="9"/>
  <c r="R1072" i="9"/>
  <c r="Q1072" i="9"/>
  <c r="R1071" i="9"/>
  <c r="Q1071" i="9"/>
  <c r="R1070" i="9"/>
  <c r="Q1070" i="9"/>
  <c r="R1069" i="9"/>
  <c r="Q1069" i="9"/>
  <c r="R1068" i="9"/>
  <c r="Q1068" i="9"/>
  <c r="R1067" i="9"/>
  <c r="Q1067" i="9"/>
  <c r="R1066" i="9"/>
  <c r="Q1066" i="9"/>
  <c r="R1065" i="9"/>
  <c r="Q1065" i="9"/>
  <c r="R1064" i="9"/>
  <c r="Q1064" i="9"/>
  <c r="R1063" i="9"/>
  <c r="Q1063" i="9"/>
  <c r="R1062" i="9"/>
  <c r="Q1062" i="9"/>
  <c r="R1061" i="9"/>
  <c r="Q1061" i="9"/>
  <c r="R1060" i="9"/>
  <c r="Q1060" i="9"/>
  <c r="R1059" i="9"/>
  <c r="Q1059" i="9"/>
  <c r="R1058" i="9"/>
  <c r="Q1058" i="9"/>
  <c r="R1057" i="9"/>
  <c r="Q1057" i="9"/>
  <c r="R1056" i="9"/>
  <c r="Q1056" i="9"/>
  <c r="R1055" i="9"/>
  <c r="Q1055" i="9"/>
  <c r="R1054" i="9"/>
  <c r="Q1054" i="9"/>
  <c r="R1053" i="9"/>
  <c r="Q1053" i="9"/>
  <c r="R1052" i="9"/>
  <c r="Q1052" i="9"/>
  <c r="R1051" i="9"/>
  <c r="Q1051" i="9"/>
  <c r="R1050" i="9"/>
  <c r="Q1050" i="9"/>
  <c r="R1049" i="9"/>
  <c r="Q1049" i="9"/>
  <c r="R1048" i="9"/>
  <c r="Q1048" i="9"/>
  <c r="R1047" i="9"/>
  <c r="Q1047" i="9"/>
  <c r="R1046" i="9"/>
  <c r="Q1046" i="9"/>
  <c r="R1045" i="9"/>
  <c r="Q1045" i="9"/>
  <c r="R1044" i="9"/>
  <c r="Q1044" i="9"/>
  <c r="R1043" i="9"/>
  <c r="Q1043" i="9"/>
  <c r="R1042" i="9"/>
  <c r="Q1042" i="9"/>
  <c r="R1041" i="9"/>
  <c r="Q1041" i="9"/>
  <c r="R1040" i="9"/>
  <c r="Q1040" i="9"/>
  <c r="R1039" i="9"/>
  <c r="Q1039" i="9"/>
  <c r="R1038" i="9"/>
  <c r="Q1038" i="9"/>
  <c r="R1037" i="9"/>
  <c r="Q1037" i="9"/>
  <c r="R1036" i="9"/>
  <c r="Q1036" i="9"/>
  <c r="R1035" i="9"/>
  <c r="Q1035" i="9"/>
  <c r="R1034" i="9"/>
  <c r="Q1034" i="9"/>
  <c r="R1033" i="9"/>
  <c r="Q1033" i="9"/>
  <c r="R1032" i="9"/>
  <c r="Q1032" i="9"/>
  <c r="R1031" i="9"/>
  <c r="Q1031" i="9"/>
  <c r="R1030" i="9"/>
  <c r="Q1030" i="9"/>
  <c r="R1029" i="9"/>
  <c r="Q1029" i="9"/>
  <c r="R1028" i="9"/>
  <c r="Q1028" i="9"/>
  <c r="R1027" i="9"/>
  <c r="Q1027" i="9"/>
  <c r="R1026" i="9"/>
  <c r="Q1026" i="9"/>
  <c r="R1025" i="9"/>
  <c r="Q1025" i="9"/>
  <c r="R1024" i="9"/>
  <c r="Q1024" i="9"/>
  <c r="R1023" i="9"/>
  <c r="Q1023" i="9"/>
  <c r="R1022" i="9"/>
  <c r="Q1022" i="9"/>
  <c r="R1021" i="9"/>
  <c r="Q1021" i="9"/>
  <c r="R1020" i="9"/>
  <c r="Q1020" i="9"/>
  <c r="R1019" i="9"/>
  <c r="Q1019" i="9"/>
  <c r="R1018" i="9"/>
  <c r="Q1018" i="9"/>
  <c r="R1017" i="9"/>
  <c r="Q1017" i="9"/>
  <c r="R1016" i="9"/>
  <c r="Q1016" i="9"/>
  <c r="R1015" i="9"/>
  <c r="Q1015" i="9"/>
  <c r="R1014" i="9"/>
  <c r="Q1014" i="9"/>
  <c r="R1013" i="9"/>
  <c r="Q1013" i="9"/>
  <c r="R1012" i="9"/>
  <c r="Q1012" i="9"/>
  <c r="R1011" i="9"/>
  <c r="Q1011" i="9"/>
  <c r="R1010" i="9"/>
  <c r="Q1010" i="9"/>
  <c r="R1009" i="9"/>
  <c r="Q1009" i="9"/>
  <c r="R1008" i="9"/>
  <c r="Q1008" i="9"/>
  <c r="R1007" i="9"/>
  <c r="Q1007" i="9"/>
  <c r="R1006" i="9"/>
  <c r="Q1006" i="9"/>
  <c r="R1005" i="9"/>
  <c r="Q1005" i="9"/>
  <c r="R1004" i="9"/>
  <c r="Q1004" i="9"/>
  <c r="R1003" i="9"/>
  <c r="Q1003" i="9"/>
  <c r="R1002" i="9"/>
  <c r="Q1002" i="9"/>
  <c r="R1001" i="9"/>
  <c r="Q1001" i="9"/>
  <c r="R1000" i="9"/>
  <c r="Q1000" i="9"/>
  <c r="R999" i="9"/>
  <c r="Q999" i="9"/>
  <c r="R998" i="9"/>
  <c r="Q998" i="9"/>
  <c r="R997" i="9"/>
  <c r="Q997" i="9"/>
  <c r="R996" i="9"/>
  <c r="Q996" i="9"/>
  <c r="R995" i="9"/>
  <c r="Q995" i="9"/>
  <c r="R994" i="9"/>
  <c r="Q994" i="9"/>
  <c r="R993" i="9"/>
  <c r="Q993" i="9"/>
  <c r="R992" i="9"/>
  <c r="Q992" i="9"/>
  <c r="R991" i="9"/>
  <c r="Q991" i="9"/>
  <c r="R990" i="9"/>
  <c r="Q990" i="9"/>
  <c r="R989" i="9"/>
  <c r="Q989" i="9"/>
  <c r="R988" i="9"/>
  <c r="Q988" i="9"/>
  <c r="R987" i="9"/>
  <c r="Q987" i="9"/>
  <c r="R986" i="9"/>
  <c r="Q986" i="9"/>
  <c r="R985" i="9"/>
  <c r="Q985" i="9"/>
  <c r="R984" i="9"/>
  <c r="Q984" i="9"/>
  <c r="R983" i="9"/>
  <c r="Q983" i="9"/>
  <c r="R982" i="9"/>
  <c r="Q982" i="9"/>
  <c r="R981" i="9"/>
  <c r="Q981" i="9"/>
  <c r="R980" i="9"/>
  <c r="Q980" i="9"/>
  <c r="R979" i="9"/>
  <c r="Q979" i="9"/>
  <c r="R978" i="9"/>
  <c r="Q978" i="9"/>
  <c r="R977" i="9"/>
  <c r="Q977" i="9"/>
  <c r="R976" i="9"/>
  <c r="Q976" i="9"/>
  <c r="R975" i="9"/>
  <c r="Q975" i="9"/>
  <c r="R974" i="9"/>
  <c r="Q974" i="9"/>
  <c r="R973" i="9"/>
  <c r="Q973" i="9"/>
  <c r="R972" i="9"/>
  <c r="Q972" i="9"/>
  <c r="R971" i="9"/>
  <c r="Q971" i="9"/>
  <c r="R970" i="9"/>
  <c r="Q970" i="9"/>
  <c r="R969" i="9"/>
  <c r="Q969" i="9"/>
  <c r="R968" i="9"/>
  <c r="Q968" i="9"/>
  <c r="R967" i="9"/>
  <c r="Q967" i="9"/>
  <c r="R966" i="9"/>
  <c r="Q966" i="9"/>
  <c r="R965" i="9"/>
  <c r="Q965" i="9"/>
  <c r="R964" i="9"/>
  <c r="Q964" i="9"/>
  <c r="R963" i="9"/>
  <c r="Q963" i="9"/>
  <c r="R962" i="9"/>
  <c r="Q962" i="9"/>
  <c r="R961" i="9"/>
  <c r="Q961" i="9"/>
  <c r="R960" i="9"/>
  <c r="Q960" i="9"/>
  <c r="R959" i="9"/>
  <c r="Q959" i="9"/>
  <c r="R958" i="9"/>
  <c r="Q958" i="9"/>
  <c r="R957" i="9"/>
  <c r="Q957" i="9"/>
  <c r="R956" i="9"/>
  <c r="Q956" i="9"/>
  <c r="R955" i="9"/>
  <c r="Q955" i="9"/>
  <c r="R954" i="9"/>
  <c r="Q954" i="9"/>
  <c r="R953" i="9"/>
  <c r="Q953" i="9"/>
  <c r="R952" i="9"/>
  <c r="Q952" i="9"/>
  <c r="R951" i="9"/>
  <c r="Q951" i="9"/>
  <c r="R950" i="9"/>
  <c r="Q950" i="9"/>
  <c r="R949" i="9"/>
  <c r="Q949" i="9"/>
  <c r="R948" i="9"/>
  <c r="Q948" i="9"/>
  <c r="R947" i="9"/>
  <c r="Q947" i="9"/>
  <c r="R946" i="9"/>
  <c r="Q946" i="9"/>
  <c r="R945" i="9"/>
  <c r="Q945" i="9"/>
  <c r="R944" i="9"/>
  <c r="Q944" i="9"/>
  <c r="R943" i="9"/>
  <c r="Q943" i="9"/>
  <c r="R942" i="9"/>
  <c r="Q942" i="9"/>
  <c r="R941" i="9"/>
  <c r="Q941" i="9"/>
  <c r="R940" i="9"/>
  <c r="Q940" i="9"/>
  <c r="R939" i="9"/>
  <c r="Q939" i="9"/>
  <c r="R938" i="9"/>
  <c r="Q938" i="9"/>
  <c r="R937" i="9"/>
  <c r="Q937" i="9"/>
  <c r="R936" i="9"/>
  <c r="Q936" i="9"/>
  <c r="R935" i="9"/>
  <c r="Q935" i="9"/>
  <c r="R934" i="9"/>
  <c r="Q934" i="9"/>
  <c r="R933" i="9"/>
  <c r="Q933" i="9"/>
  <c r="R932" i="9"/>
  <c r="Q932" i="9"/>
  <c r="R931" i="9"/>
  <c r="Q931" i="9"/>
  <c r="R930" i="9"/>
  <c r="Q930" i="9"/>
  <c r="R929" i="9"/>
  <c r="Q929" i="9"/>
  <c r="R928" i="9"/>
  <c r="Q928" i="9"/>
  <c r="R927" i="9"/>
  <c r="Q927" i="9"/>
  <c r="R926" i="9"/>
  <c r="Q926" i="9"/>
  <c r="R925" i="9"/>
  <c r="Q925" i="9"/>
  <c r="R924" i="9"/>
  <c r="Q924" i="9"/>
  <c r="R923" i="9"/>
  <c r="Q923" i="9"/>
  <c r="R922" i="9"/>
  <c r="Q922" i="9"/>
  <c r="R921" i="9"/>
  <c r="Q921" i="9"/>
  <c r="R920" i="9"/>
  <c r="Q920" i="9"/>
  <c r="R919" i="9"/>
  <c r="Q919" i="9"/>
  <c r="R918" i="9"/>
  <c r="Q918" i="9"/>
  <c r="R917" i="9"/>
  <c r="Q917" i="9"/>
  <c r="R916" i="9"/>
  <c r="Q916" i="9"/>
  <c r="R915" i="9"/>
  <c r="Q915" i="9"/>
  <c r="R914" i="9"/>
  <c r="Q914" i="9"/>
  <c r="R913" i="9"/>
  <c r="Q913" i="9"/>
  <c r="R912" i="9"/>
  <c r="Q912" i="9"/>
  <c r="R911" i="9"/>
  <c r="Q911" i="9"/>
  <c r="R910" i="9"/>
  <c r="Q910" i="9"/>
  <c r="R909" i="9"/>
  <c r="Q909" i="9"/>
  <c r="R908" i="9"/>
  <c r="Q908" i="9"/>
  <c r="R907" i="9"/>
  <c r="Q907" i="9"/>
  <c r="R906" i="9"/>
  <c r="Q906" i="9"/>
  <c r="R905" i="9"/>
  <c r="Q905" i="9"/>
  <c r="R904" i="9"/>
  <c r="Q904" i="9"/>
  <c r="R903" i="9"/>
  <c r="Q903" i="9"/>
  <c r="R902" i="9"/>
  <c r="Q902" i="9"/>
  <c r="R901" i="9"/>
  <c r="Q901" i="9"/>
  <c r="R900" i="9"/>
  <c r="Q900" i="9"/>
  <c r="R899" i="9"/>
  <c r="Q899" i="9"/>
  <c r="R898" i="9"/>
  <c r="Q898" i="9"/>
  <c r="R897" i="9"/>
  <c r="Q897" i="9"/>
  <c r="R896" i="9"/>
  <c r="Q896" i="9"/>
  <c r="R895" i="9"/>
  <c r="Q895" i="9"/>
  <c r="R894" i="9"/>
  <c r="Q894" i="9"/>
  <c r="R893" i="9"/>
  <c r="Q893" i="9"/>
  <c r="R892" i="9"/>
  <c r="Q892" i="9"/>
  <c r="R891" i="9"/>
  <c r="Q891" i="9"/>
  <c r="R890" i="9"/>
  <c r="Q890" i="9"/>
  <c r="R889" i="9"/>
  <c r="Q889" i="9"/>
  <c r="R888" i="9"/>
  <c r="Q888" i="9"/>
  <c r="R887" i="9"/>
  <c r="Q887" i="9"/>
  <c r="R886" i="9"/>
  <c r="Q886" i="9"/>
  <c r="R885" i="9"/>
  <c r="Q885" i="9"/>
  <c r="R884" i="9"/>
  <c r="Q884" i="9"/>
  <c r="R883" i="9"/>
  <c r="Q883" i="9"/>
  <c r="R882" i="9"/>
  <c r="Q882" i="9"/>
  <c r="R881" i="9"/>
  <c r="Q881" i="9"/>
  <c r="R880" i="9"/>
  <c r="Q880" i="9"/>
  <c r="R879" i="9"/>
  <c r="Q879" i="9"/>
  <c r="R878" i="9"/>
  <c r="Q878" i="9"/>
  <c r="R877" i="9"/>
  <c r="Q877" i="9"/>
  <c r="R876" i="9"/>
  <c r="Q876" i="9"/>
  <c r="R875" i="9"/>
  <c r="Q875" i="9"/>
  <c r="R874" i="9"/>
  <c r="Q874" i="9"/>
  <c r="R873" i="9"/>
  <c r="Q873" i="9"/>
  <c r="R872" i="9"/>
  <c r="Q872" i="9"/>
  <c r="R871" i="9"/>
  <c r="Q871" i="9"/>
  <c r="R870" i="9"/>
  <c r="Q870" i="9"/>
  <c r="R869" i="9"/>
  <c r="Q869" i="9"/>
  <c r="R868" i="9"/>
  <c r="Q868" i="9"/>
  <c r="R867" i="9"/>
  <c r="Q867" i="9"/>
  <c r="R866" i="9"/>
  <c r="Q866" i="9"/>
  <c r="R865" i="9"/>
  <c r="Q865" i="9"/>
  <c r="R864" i="9"/>
  <c r="Q864" i="9"/>
  <c r="R863" i="9"/>
  <c r="Q863" i="9"/>
  <c r="R862" i="9"/>
  <c r="Q862" i="9"/>
  <c r="R861" i="9"/>
  <c r="Q861" i="9"/>
  <c r="R860" i="9"/>
  <c r="Q860" i="9"/>
  <c r="R859" i="9"/>
  <c r="Q859" i="9"/>
  <c r="R858" i="9"/>
  <c r="Q858" i="9"/>
  <c r="R857" i="9"/>
  <c r="Q857" i="9"/>
  <c r="R856" i="9"/>
  <c r="Q856" i="9"/>
  <c r="R855" i="9"/>
  <c r="Q855" i="9"/>
  <c r="R854" i="9"/>
  <c r="Q854" i="9"/>
  <c r="R853" i="9"/>
  <c r="Q853" i="9"/>
  <c r="R852" i="9"/>
  <c r="Q852" i="9"/>
  <c r="R851" i="9"/>
  <c r="Q851" i="9"/>
  <c r="R850" i="9"/>
  <c r="Q850" i="9"/>
  <c r="R849" i="9"/>
  <c r="Q849" i="9"/>
  <c r="R848" i="9"/>
  <c r="Q848" i="9"/>
  <c r="R847" i="9"/>
  <c r="Q847" i="9"/>
  <c r="R846" i="9"/>
  <c r="Q846" i="9"/>
  <c r="R845" i="9"/>
  <c r="Q845" i="9"/>
  <c r="R844" i="9"/>
  <c r="Q844" i="9"/>
  <c r="R843" i="9"/>
  <c r="Q843" i="9"/>
  <c r="R842" i="9"/>
  <c r="Q842" i="9"/>
  <c r="R841" i="9"/>
  <c r="Q841" i="9"/>
  <c r="R840" i="9"/>
  <c r="Q840" i="9"/>
  <c r="R839" i="9"/>
  <c r="Q839" i="9"/>
  <c r="R838" i="9"/>
  <c r="Q838" i="9"/>
  <c r="R837" i="9"/>
  <c r="Q837" i="9"/>
  <c r="R836" i="9"/>
  <c r="Q836" i="9"/>
  <c r="R835" i="9"/>
  <c r="Q835" i="9"/>
  <c r="R834" i="9"/>
  <c r="Q834" i="9"/>
  <c r="R833" i="9"/>
  <c r="Q833" i="9"/>
  <c r="R832" i="9"/>
  <c r="Q832" i="9"/>
  <c r="R831" i="9"/>
  <c r="Q831" i="9"/>
  <c r="R830" i="9"/>
  <c r="Q830" i="9"/>
  <c r="R829" i="9"/>
  <c r="Q829" i="9"/>
  <c r="R828" i="9"/>
  <c r="Q828" i="9"/>
  <c r="R827" i="9"/>
  <c r="Q827" i="9"/>
  <c r="R826" i="9"/>
  <c r="Q826" i="9"/>
  <c r="R825" i="9"/>
  <c r="Q825" i="9"/>
  <c r="R824" i="9"/>
  <c r="Q824" i="9"/>
  <c r="R823" i="9"/>
  <c r="Q823" i="9"/>
  <c r="R822" i="9"/>
  <c r="Q822" i="9"/>
  <c r="R821" i="9"/>
  <c r="Q821" i="9"/>
  <c r="R820" i="9"/>
  <c r="Q820" i="9"/>
  <c r="R819" i="9"/>
  <c r="Q819" i="9"/>
  <c r="R818" i="9"/>
  <c r="Q818" i="9"/>
  <c r="R817" i="9"/>
  <c r="Q817" i="9"/>
  <c r="R816" i="9"/>
  <c r="Q816" i="9"/>
  <c r="R815" i="9"/>
  <c r="Q815" i="9"/>
  <c r="R814" i="9"/>
  <c r="Q814" i="9"/>
  <c r="R813" i="9"/>
  <c r="Q813" i="9"/>
  <c r="R812" i="9"/>
  <c r="Q812" i="9"/>
  <c r="R811" i="9"/>
  <c r="Q811" i="9"/>
  <c r="R810" i="9"/>
  <c r="Q810" i="9"/>
  <c r="R809" i="9"/>
  <c r="Q809" i="9"/>
  <c r="R808" i="9"/>
  <c r="Q808" i="9"/>
  <c r="R807" i="9"/>
  <c r="Q807" i="9"/>
  <c r="R806" i="9"/>
  <c r="Q806" i="9"/>
  <c r="R805" i="9"/>
  <c r="Q805" i="9"/>
  <c r="R804" i="9"/>
  <c r="Q804" i="9"/>
  <c r="R803" i="9"/>
  <c r="Q803" i="9"/>
  <c r="R802" i="9"/>
  <c r="Q802" i="9"/>
  <c r="R801" i="9"/>
  <c r="Q801" i="9"/>
  <c r="R800" i="9"/>
  <c r="Q800" i="9"/>
  <c r="R799" i="9"/>
  <c r="Q799" i="9"/>
  <c r="R798" i="9"/>
  <c r="Q798" i="9"/>
  <c r="R797" i="9"/>
  <c r="Q797" i="9"/>
  <c r="R796" i="9"/>
  <c r="Q796" i="9"/>
  <c r="R795" i="9"/>
  <c r="Q795" i="9"/>
  <c r="R794" i="9"/>
  <c r="Q794" i="9"/>
  <c r="R793" i="9"/>
  <c r="Q793" i="9"/>
  <c r="R792" i="9"/>
  <c r="Q792" i="9"/>
  <c r="R791" i="9"/>
  <c r="Q791" i="9"/>
  <c r="R790" i="9"/>
  <c r="Q790" i="9"/>
  <c r="R789" i="9"/>
  <c r="Q789" i="9"/>
  <c r="R788" i="9"/>
  <c r="Q788" i="9"/>
  <c r="R787" i="9"/>
  <c r="Q787" i="9"/>
  <c r="R786" i="9"/>
  <c r="Q786" i="9"/>
  <c r="R785" i="9"/>
  <c r="Q785" i="9"/>
  <c r="R784" i="9"/>
  <c r="Q784" i="9"/>
  <c r="R783" i="9"/>
  <c r="Q783" i="9"/>
  <c r="R782" i="9"/>
  <c r="Q782" i="9"/>
  <c r="R781" i="9"/>
  <c r="Q781" i="9"/>
  <c r="R780" i="9"/>
  <c r="Q780" i="9"/>
  <c r="R779" i="9"/>
  <c r="Q779" i="9"/>
  <c r="R778" i="9"/>
  <c r="Q778" i="9"/>
  <c r="R777" i="9"/>
  <c r="Q777" i="9"/>
  <c r="R776" i="9"/>
  <c r="Q776" i="9"/>
  <c r="R775" i="9"/>
  <c r="Q775" i="9"/>
  <c r="R774" i="9"/>
  <c r="Q774" i="9"/>
  <c r="R773" i="9"/>
  <c r="Q773" i="9"/>
  <c r="R772" i="9"/>
  <c r="Q772" i="9"/>
  <c r="R771" i="9"/>
  <c r="Q771" i="9"/>
  <c r="R770" i="9"/>
  <c r="Q770" i="9"/>
  <c r="R769" i="9"/>
  <c r="Q769" i="9"/>
  <c r="R768" i="9"/>
  <c r="Q768" i="9"/>
  <c r="R767" i="9"/>
  <c r="Q767" i="9"/>
  <c r="R766" i="9"/>
  <c r="Q766" i="9"/>
  <c r="R765" i="9"/>
  <c r="Q765" i="9"/>
  <c r="R764" i="9"/>
  <c r="Q764" i="9"/>
  <c r="R763" i="9"/>
  <c r="Q763" i="9"/>
  <c r="R762" i="9"/>
  <c r="Q762" i="9"/>
  <c r="R761" i="9"/>
  <c r="Q761" i="9"/>
  <c r="R760" i="9"/>
  <c r="Q760" i="9"/>
  <c r="R759" i="9"/>
  <c r="Q759" i="9"/>
  <c r="R758" i="9"/>
  <c r="Q758" i="9"/>
  <c r="R757" i="9"/>
  <c r="Q757" i="9"/>
  <c r="R756" i="9"/>
  <c r="Q756" i="9"/>
  <c r="R755" i="9"/>
  <c r="Q755" i="9"/>
  <c r="R754" i="9"/>
  <c r="Q754" i="9"/>
  <c r="R753" i="9"/>
  <c r="Q753" i="9"/>
  <c r="R752" i="9"/>
  <c r="Q752" i="9"/>
  <c r="R751" i="9"/>
  <c r="Q751" i="9"/>
  <c r="R750" i="9"/>
  <c r="Q750" i="9"/>
  <c r="R749" i="9"/>
  <c r="Q749" i="9"/>
  <c r="R748" i="9"/>
  <c r="Q748" i="9"/>
  <c r="R747" i="9"/>
  <c r="Q747" i="9"/>
  <c r="R746" i="9"/>
  <c r="Q746" i="9"/>
  <c r="R745" i="9"/>
  <c r="Q745" i="9"/>
  <c r="R744" i="9"/>
  <c r="Q744" i="9"/>
  <c r="R743" i="9"/>
  <c r="Q743" i="9"/>
  <c r="R742" i="9"/>
  <c r="Q742" i="9"/>
  <c r="R741" i="9"/>
  <c r="Q741" i="9"/>
  <c r="R740" i="9"/>
  <c r="Q740" i="9"/>
  <c r="R739" i="9"/>
  <c r="Q739" i="9"/>
  <c r="R738" i="9"/>
  <c r="Q738" i="9"/>
  <c r="R737" i="9"/>
  <c r="Q737" i="9"/>
  <c r="R736" i="9"/>
  <c r="Q736" i="9"/>
  <c r="R735" i="9"/>
  <c r="Q735" i="9"/>
  <c r="R734" i="9"/>
  <c r="Q734" i="9"/>
  <c r="R733" i="9"/>
  <c r="Q733" i="9"/>
  <c r="R732" i="9"/>
  <c r="Q732" i="9"/>
  <c r="R731" i="9"/>
  <c r="Q731" i="9"/>
  <c r="R730" i="9"/>
  <c r="Q730" i="9"/>
  <c r="R729" i="9"/>
  <c r="Q729" i="9"/>
  <c r="R728" i="9"/>
  <c r="Q728" i="9"/>
  <c r="R727" i="9"/>
  <c r="Q727" i="9"/>
  <c r="R726" i="9"/>
  <c r="Q726" i="9"/>
  <c r="R725" i="9"/>
  <c r="Q725" i="9"/>
  <c r="R724" i="9"/>
  <c r="Q724" i="9"/>
  <c r="R723" i="9"/>
  <c r="Q723" i="9"/>
  <c r="R722" i="9"/>
  <c r="Q722" i="9"/>
  <c r="R721" i="9"/>
  <c r="Q721" i="9"/>
  <c r="R720" i="9"/>
  <c r="Q720" i="9"/>
  <c r="R719" i="9"/>
  <c r="Q719" i="9"/>
  <c r="R718" i="9"/>
  <c r="Q718" i="9"/>
  <c r="R717" i="9"/>
  <c r="Q717" i="9"/>
  <c r="R716" i="9"/>
  <c r="Q716" i="9"/>
  <c r="R715" i="9"/>
  <c r="Q715" i="9"/>
  <c r="R714" i="9"/>
  <c r="Q714" i="9"/>
  <c r="R713" i="9"/>
  <c r="Q713" i="9"/>
  <c r="R712" i="9"/>
  <c r="Q712" i="9"/>
  <c r="R711" i="9"/>
  <c r="Q711" i="9"/>
  <c r="R710" i="9"/>
  <c r="Q710" i="9"/>
  <c r="R709" i="9"/>
  <c r="Q709" i="9"/>
  <c r="R708" i="9"/>
  <c r="Q708" i="9"/>
  <c r="R707" i="9"/>
  <c r="Q707" i="9"/>
  <c r="R706" i="9"/>
  <c r="Q706" i="9"/>
  <c r="R705" i="9"/>
  <c r="Q705" i="9"/>
  <c r="R704" i="9"/>
  <c r="Q704" i="9"/>
  <c r="R703" i="9"/>
  <c r="Q703" i="9"/>
  <c r="R702" i="9"/>
  <c r="Q702" i="9"/>
  <c r="R701" i="9"/>
  <c r="Q701" i="9"/>
  <c r="R700" i="9"/>
  <c r="Q700" i="9"/>
  <c r="R699" i="9"/>
  <c r="Q699" i="9"/>
  <c r="R698" i="9"/>
  <c r="Q698" i="9"/>
  <c r="R697" i="9"/>
  <c r="Q697" i="9"/>
  <c r="R696" i="9"/>
  <c r="Q696" i="9"/>
  <c r="R695" i="9"/>
  <c r="Q695" i="9"/>
  <c r="R694" i="9"/>
  <c r="Q694" i="9"/>
  <c r="R693" i="9"/>
  <c r="Q693" i="9"/>
  <c r="R692" i="9"/>
  <c r="Q692" i="9"/>
  <c r="R691" i="9"/>
  <c r="Q691" i="9"/>
  <c r="R690" i="9"/>
  <c r="Q690" i="9"/>
  <c r="R689" i="9"/>
  <c r="Q689" i="9"/>
  <c r="R688" i="9"/>
  <c r="Q688" i="9"/>
  <c r="R687" i="9"/>
  <c r="Q687" i="9"/>
  <c r="R686" i="9"/>
  <c r="Q686" i="9"/>
  <c r="R685" i="9"/>
  <c r="Q685" i="9"/>
  <c r="R684" i="9"/>
  <c r="Q684" i="9"/>
  <c r="R683" i="9"/>
  <c r="Q683" i="9"/>
  <c r="R682" i="9"/>
  <c r="Q682" i="9"/>
  <c r="R681" i="9"/>
  <c r="Q681" i="9"/>
  <c r="R680" i="9"/>
  <c r="Q680" i="9"/>
  <c r="R679" i="9"/>
  <c r="Q679" i="9"/>
  <c r="R678" i="9"/>
  <c r="Q678" i="9"/>
  <c r="R677" i="9"/>
  <c r="Q677" i="9"/>
  <c r="R676" i="9"/>
  <c r="Q676" i="9"/>
  <c r="R675" i="9"/>
  <c r="Q675" i="9"/>
  <c r="R674" i="9"/>
  <c r="Q674" i="9"/>
  <c r="R673" i="9"/>
  <c r="Q673" i="9"/>
  <c r="R672" i="9"/>
  <c r="Q672" i="9"/>
  <c r="R671" i="9"/>
  <c r="Q671" i="9"/>
  <c r="R670" i="9"/>
  <c r="Q670" i="9"/>
  <c r="R669" i="9"/>
  <c r="Q669" i="9"/>
  <c r="R668" i="9"/>
  <c r="Q668" i="9"/>
  <c r="R667" i="9"/>
  <c r="Q667" i="9"/>
  <c r="R666" i="9"/>
  <c r="Q666" i="9"/>
  <c r="R665" i="9"/>
  <c r="Q665" i="9"/>
  <c r="R664" i="9"/>
  <c r="Q664" i="9"/>
  <c r="R663" i="9"/>
  <c r="Q663" i="9"/>
  <c r="R662" i="9"/>
  <c r="Q662" i="9"/>
  <c r="R661" i="9"/>
  <c r="Q661" i="9"/>
  <c r="R660" i="9"/>
  <c r="Q660" i="9"/>
  <c r="R659" i="9"/>
  <c r="Q659" i="9"/>
  <c r="R658" i="9"/>
  <c r="Q658" i="9"/>
  <c r="R657" i="9"/>
  <c r="Q657" i="9"/>
  <c r="R656" i="9"/>
  <c r="Q656" i="9"/>
  <c r="R655" i="9"/>
  <c r="Q655" i="9"/>
  <c r="R654" i="9"/>
  <c r="Q654" i="9"/>
  <c r="R653" i="9"/>
  <c r="Q653" i="9"/>
  <c r="R652" i="9"/>
  <c r="Q652" i="9"/>
  <c r="R651" i="9"/>
  <c r="Q651" i="9"/>
  <c r="R650" i="9"/>
  <c r="Q650" i="9"/>
  <c r="R649" i="9"/>
  <c r="Q649" i="9"/>
  <c r="R648" i="9"/>
  <c r="Q648" i="9"/>
  <c r="R647" i="9"/>
  <c r="Q647" i="9"/>
  <c r="R646" i="9"/>
  <c r="Q646" i="9"/>
  <c r="R645" i="9"/>
  <c r="Q645" i="9"/>
  <c r="R644" i="9"/>
  <c r="Q644" i="9"/>
  <c r="R643" i="9"/>
  <c r="Q643" i="9"/>
  <c r="R642" i="9"/>
  <c r="Q642" i="9"/>
  <c r="R641" i="9"/>
  <c r="Q641" i="9"/>
  <c r="R640" i="9"/>
  <c r="Q640" i="9"/>
  <c r="R639" i="9"/>
  <c r="Q639" i="9"/>
  <c r="R638" i="9"/>
  <c r="Q638" i="9"/>
  <c r="R637" i="9"/>
  <c r="Q637" i="9"/>
  <c r="R636" i="9"/>
  <c r="Q636" i="9"/>
  <c r="R635" i="9"/>
  <c r="Q635" i="9"/>
  <c r="R634" i="9"/>
  <c r="Q634" i="9"/>
  <c r="R633" i="9"/>
  <c r="Q633" i="9"/>
  <c r="R632" i="9"/>
  <c r="Q632" i="9"/>
  <c r="R631" i="9"/>
  <c r="Q631" i="9"/>
  <c r="R630" i="9"/>
  <c r="Q630" i="9"/>
  <c r="R629" i="9"/>
  <c r="Q629" i="9"/>
  <c r="R628" i="9"/>
  <c r="Q628" i="9"/>
  <c r="R627" i="9"/>
  <c r="Q627" i="9"/>
  <c r="R626" i="9"/>
  <c r="Q626" i="9"/>
  <c r="R625" i="9"/>
  <c r="Q625" i="9"/>
  <c r="R624" i="9"/>
  <c r="Q624" i="9"/>
  <c r="R623" i="9"/>
  <c r="Q623" i="9"/>
  <c r="R622" i="9"/>
  <c r="Q622" i="9"/>
  <c r="R621" i="9"/>
  <c r="Q621" i="9"/>
  <c r="R620" i="9"/>
  <c r="Q620" i="9"/>
  <c r="R619" i="9"/>
  <c r="Q619" i="9"/>
  <c r="R618" i="9"/>
  <c r="Q618" i="9"/>
  <c r="R617" i="9"/>
  <c r="Q617" i="9"/>
  <c r="R616" i="9"/>
  <c r="Q616" i="9"/>
  <c r="R615" i="9"/>
  <c r="Q615" i="9"/>
  <c r="R614" i="9"/>
  <c r="Q614" i="9"/>
  <c r="R613" i="9"/>
  <c r="Q613" i="9"/>
  <c r="R612" i="9"/>
  <c r="Q612" i="9"/>
  <c r="R611" i="9"/>
  <c r="Q611" i="9"/>
  <c r="R610" i="9"/>
  <c r="Q610" i="9"/>
  <c r="R609" i="9"/>
  <c r="Q609" i="9"/>
  <c r="R608" i="9"/>
  <c r="Q608" i="9"/>
  <c r="R607" i="9"/>
  <c r="Q607" i="9"/>
  <c r="R606" i="9"/>
  <c r="Q606" i="9"/>
  <c r="R605" i="9"/>
  <c r="Q605" i="9"/>
  <c r="R604" i="9"/>
  <c r="Q604" i="9"/>
  <c r="R603" i="9"/>
  <c r="Q603" i="9"/>
  <c r="R602" i="9"/>
  <c r="Q602" i="9"/>
  <c r="R601" i="9"/>
  <c r="Q601" i="9"/>
  <c r="R600" i="9"/>
  <c r="Q600" i="9"/>
  <c r="R599" i="9"/>
  <c r="Q599" i="9"/>
  <c r="R598" i="9"/>
  <c r="Q598" i="9"/>
  <c r="R597" i="9"/>
  <c r="Q597" i="9"/>
  <c r="R596" i="9"/>
  <c r="Q596" i="9"/>
  <c r="R595" i="9"/>
  <c r="Q595" i="9"/>
  <c r="R594" i="9"/>
  <c r="Q594" i="9"/>
  <c r="R593" i="9"/>
  <c r="Q593" i="9"/>
  <c r="R592" i="9"/>
  <c r="Q592" i="9"/>
  <c r="R591" i="9"/>
  <c r="Q591" i="9"/>
  <c r="R590" i="9"/>
  <c r="Q590" i="9"/>
  <c r="R589" i="9"/>
  <c r="Q589" i="9"/>
  <c r="R588" i="9"/>
  <c r="Q588" i="9"/>
  <c r="R587" i="9"/>
  <c r="Q587" i="9"/>
  <c r="R586" i="9"/>
  <c r="Q586" i="9"/>
  <c r="R585" i="9"/>
  <c r="Q585" i="9"/>
  <c r="R584" i="9"/>
  <c r="Q584" i="9"/>
  <c r="R583" i="9"/>
  <c r="Q583" i="9"/>
  <c r="R582" i="9"/>
  <c r="Q582" i="9"/>
  <c r="R581" i="9"/>
  <c r="Q581" i="9"/>
  <c r="R580" i="9"/>
  <c r="Q580" i="9"/>
  <c r="R579" i="9"/>
  <c r="Q579" i="9"/>
  <c r="R578" i="9"/>
  <c r="Q578" i="9"/>
  <c r="R577" i="9"/>
  <c r="Q577" i="9"/>
  <c r="R576" i="9"/>
  <c r="Q576" i="9"/>
  <c r="R575" i="9"/>
  <c r="Q575" i="9"/>
  <c r="R574" i="9"/>
  <c r="Q574" i="9"/>
  <c r="R573" i="9"/>
  <c r="Q573" i="9"/>
  <c r="R572" i="9"/>
  <c r="Q572" i="9"/>
  <c r="R571" i="9"/>
  <c r="Q571" i="9"/>
  <c r="R570" i="9"/>
  <c r="Q570" i="9"/>
  <c r="R569" i="9"/>
  <c r="Q569" i="9"/>
  <c r="R568" i="9"/>
  <c r="Q568" i="9"/>
  <c r="R567" i="9"/>
  <c r="Q567" i="9"/>
  <c r="R566" i="9"/>
  <c r="Q566" i="9"/>
  <c r="R565" i="9"/>
  <c r="Q565" i="9"/>
  <c r="R564" i="9"/>
  <c r="Q564" i="9"/>
  <c r="R563" i="9"/>
  <c r="Q563" i="9"/>
  <c r="R562" i="9"/>
  <c r="Q562" i="9"/>
  <c r="R561" i="9"/>
  <c r="Q561" i="9"/>
  <c r="R560" i="9"/>
  <c r="Q560" i="9"/>
  <c r="R559" i="9"/>
  <c r="Q559" i="9"/>
  <c r="R558" i="9"/>
  <c r="Q558" i="9"/>
  <c r="R557" i="9"/>
  <c r="Q557" i="9"/>
  <c r="R556" i="9"/>
  <c r="Q556" i="9"/>
  <c r="R555" i="9"/>
  <c r="Q555" i="9"/>
  <c r="R554" i="9"/>
  <c r="Q554" i="9"/>
  <c r="R553" i="9"/>
  <c r="Q553" i="9"/>
  <c r="R552" i="9"/>
  <c r="Q552" i="9"/>
  <c r="R551" i="9"/>
  <c r="Q551" i="9"/>
  <c r="R550" i="9"/>
  <c r="Q550" i="9"/>
  <c r="R549" i="9"/>
  <c r="Q549" i="9"/>
  <c r="R548" i="9"/>
  <c r="Q548" i="9"/>
  <c r="R547" i="9"/>
  <c r="Q547" i="9"/>
  <c r="R546" i="9"/>
  <c r="Q546" i="9"/>
  <c r="R545" i="9"/>
  <c r="Q545" i="9"/>
  <c r="R544" i="9"/>
  <c r="Q544" i="9"/>
  <c r="R543" i="9"/>
  <c r="Q543" i="9"/>
  <c r="R542" i="9"/>
  <c r="Q542" i="9"/>
  <c r="R541" i="9"/>
  <c r="Q541" i="9"/>
  <c r="R540" i="9"/>
  <c r="Q540" i="9"/>
  <c r="R539" i="9"/>
  <c r="Q539" i="9"/>
  <c r="R538" i="9"/>
  <c r="Q538" i="9"/>
  <c r="R537" i="9"/>
  <c r="Q537" i="9"/>
  <c r="R536" i="9"/>
  <c r="Q536" i="9"/>
  <c r="R535" i="9"/>
  <c r="Q535" i="9"/>
  <c r="R534" i="9"/>
  <c r="Q534" i="9"/>
  <c r="R533" i="9"/>
  <c r="Q533" i="9"/>
  <c r="R532" i="9"/>
  <c r="Q532" i="9"/>
  <c r="R531" i="9"/>
  <c r="Q531" i="9"/>
  <c r="R530" i="9"/>
  <c r="Q530" i="9"/>
  <c r="R529" i="9"/>
  <c r="Q529" i="9"/>
  <c r="R528" i="9"/>
  <c r="Q528" i="9"/>
  <c r="R527" i="9"/>
  <c r="Q527" i="9"/>
  <c r="R526" i="9"/>
  <c r="Q526" i="9"/>
  <c r="R525" i="9"/>
  <c r="Q525" i="9"/>
  <c r="R524" i="9"/>
  <c r="Q524" i="9"/>
  <c r="R523" i="9"/>
  <c r="Q523" i="9"/>
  <c r="R522" i="9"/>
  <c r="Q522" i="9"/>
  <c r="R521" i="9"/>
  <c r="Q521" i="9"/>
  <c r="R520" i="9"/>
  <c r="Q520" i="9"/>
  <c r="R519" i="9"/>
  <c r="Q519" i="9"/>
  <c r="R518" i="9"/>
  <c r="Q518" i="9"/>
  <c r="R517" i="9"/>
  <c r="Q517" i="9"/>
  <c r="R516" i="9"/>
  <c r="Q516" i="9"/>
  <c r="R515" i="9"/>
  <c r="Q515" i="9"/>
  <c r="R514" i="9"/>
  <c r="Q514" i="9"/>
  <c r="R513" i="9"/>
  <c r="Q513" i="9"/>
  <c r="R512" i="9"/>
  <c r="Q512" i="9"/>
  <c r="R511" i="9"/>
  <c r="Q511" i="9"/>
  <c r="R510" i="9"/>
  <c r="Q510" i="9"/>
  <c r="R509" i="9"/>
  <c r="Q509" i="9"/>
  <c r="R508" i="9"/>
  <c r="Q508" i="9"/>
  <c r="R507" i="9"/>
  <c r="Q507" i="9"/>
  <c r="R506" i="9"/>
  <c r="Q506" i="9"/>
  <c r="R505" i="9"/>
  <c r="Q505" i="9"/>
  <c r="R504" i="9"/>
  <c r="Q504" i="9"/>
  <c r="R503" i="9"/>
  <c r="Q503" i="9"/>
  <c r="R502" i="9"/>
  <c r="Q502" i="9"/>
  <c r="R501" i="9"/>
  <c r="Q501" i="9"/>
  <c r="R500" i="9"/>
  <c r="Q500" i="9"/>
  <c r="R499" i="9"/>
  <c r="Q499" i="9"/>
  <c r="R498" i="9"/>
  <c r="Q498" i="9"/>
  <c r="R497" i="9"/>
  <c r="Q497" i="9"/>
  <c r="R496" i="9"/>
  <c r="Q496" i="9"/>
  <c r="R495" i="9"/>
  <c r="Q495" i="9"/>
  <c r="R494" i="9"/>
  <c r="Q494" i="9"/>
  <c r="R493" i="9"/>
  <c r="Q493" i="9"/>
  <c r="R492" i="9"/>
  <c r="Q492" i="9"/>
  <c r="R491" i="9"/>
  <c r="Q491" i="9"/>
  <c r="R490" i="9"/>
  <c r="Q490" i="9"/>
  <c r="R489" i="9"/>
  <c r="Q489" i="9"/>
  <c r="R488" i="9"/>
  <c r="Q488" i="9"/>
  <c r="R487" i="9"/>
  <c r="Q487" i="9"/>
  <c r="R486" i="9"/>
  <c r="Q486" i="9"/>
  <c r="R485" i="9"/>
  <c r="Q485" i="9"/>
  <c r="R484" i="9"/>
  <c r="Q484" i="9"/>
  <c r="R483" i="9"/>
  <c r="Q483" i="9"/>
  <c r="R482" i="9"/>
  <c r="Q482" i="9"/>
  <c r="R481" i="9"/>
  <c r="Q481" i="9"/>
  <c r="R480" i="9"/>
  <c r="Q480" i="9"/>
  <c r="R479" i="9"/>
  <c r="Q479" i="9"/>
  <c r="R478" i="9"/>
  <c r="Q478" i="9"/>
  <c r="R477" i="9"/>
  <c r="Q477" i="9"/>
  <c r="R476" i="9"/>
  <c r="Q476" i="9"/>
  <c r="R475" i="9"/>
  <c r="Q475" i="9"/>
  <c r="R474" i="9"/>
  <c r="Q474" i="9"/>
  <c r="R473" i="9"/>
  <c r="Q473" i="9"/>
  <c r="R472" i="9"/>
  <c r="Q472" i="9"/>
  <c r="R471" i="9"/>
  <c r="Q471" i="9"/>
  <c r="R470" i="9"/>
  <c r="Q470" i="9"/>
  <c r="R469" i="9"/>
  <c r="Q469" i="9"/>
  <c r="R468" i="9"/>
  <c r="Q468" i="9"/>
  <c r="R467" i="9"/>
  <c r="Q467" i="9"/>
  <c r="R466" i="9"/>
  <c r="Q466" i="9"/>
  <c r="R465" i="9"/>
  <c r="Q465" i="9"/>
  <c r="R464" i="9"/>
  <c r="Q464" i="9"/>
  <c r="R463" i="9"/>
  <c r="Q463" i="9"/>
  <c r="R462" i="9"/>
  <c r="Q462" i="9"/>
  <c r="R461" i="9"/>
  <c r="Q461" i="9"/>
  <c r="R460" i="9"/>
  <c r="Q460" i="9"/>
  <c r="R459" i="9"/>
  <c r="Q459" i="9"/>
  <c r="R458" i="9"/>
  <c r="Q458" i="9"/>
  <c r="R457" i="9"/>
  <c r="Q457" i="9"/>
  <c r="R456" i="9"/>
  <c r="Q456" i="9"/>
  <c r="R455" i="9"/>
  <c r="Q455" i="9"/>
  <c r="R454" i="9"/>
  <c r="Q454" i="9"/>
  <c r="R453" i="9"/>
  <c r="Q453" i="9"/>
  <c r="R452" i="9"/>
  <c r="Q452" i="9"/>
  <c r="R451" i="9"/>
  <c r="Q451" i="9"/>
  <c r="R450" i="9"/>
  <c r="Q450" i="9"/>
  <c r="R449" i="9"/>
  <c r="Q449" i="9"/>
  <c r="R448" i="9"/>
  <c r="Q448" i="9"/>
  <c r="R447" i="9"/>
  <c r="Q447" i="9"/>
  <c r="R446" i="9"/>
  <c r="Q446" i="9"/>
  <c r="R445" i="9"/>
  <c r="Q445" i="9"/>
  <c r="R444" i="9"/>
  <c r="Q444" i="9"/>
  <c r="R443" i="9"/>
  <c r="Q443" i="9"/>
  <c r="R442" i="9"/>
  <c r="Q442" i="9"/>
  <c r="R441" i="9"/>
  <c r="Q441" i="9"/>
  <c r="R440" i="9"/>
  <c r="Q440" i="9"/>
  <c r="R439" i="9"/>
  <c r="Q439" i="9"/>
  <c r="R438" i="9"/>
  <c r="Q438" i="9"/>
  <c r="R437" i="9"/>
  <c r="Q437" i="9"/>
  <c r="R436" i="9"/>
  <c r="Q436" i="9"/>
  <c r="R435" i="9"/>
  <c r="Q435" i="9"/>
  <c r="R434" i="9"/>
  <c r="Q434" i="9"/>
  <c r="R433" i="9"/>
  <c r="Q433" i="9"/>
  <c r="R432" i="9"/>
  <c r="Q432" i="9"/>
  <c r="R431" i="9"/>
  <c r="Q431" i="9"/>
  <c r="R430" i="9"/>
  <c r="Q430" i="9"/>
  <c r="R429" i="9"/>
  <c r="Q429" i="9"/>
  <c r="R428" i="9"/>
  <c r="Q428" i="9"/>
  <c r="R427" i="9"/>
  <c r="Q427" i="9"/>
  <c r="R426" i="9"/>
  <c r="Q426" i="9"/>
  <c r="R425" i="9"/>
  <c r="Q425" i="9"/>
  <c r="R424" i="9"/>
  <c r="Q424" i="9"/>
  <c r="R423" i="9"/>
  <c r="Q423" i="9"/>
  <c r="R422" i="9"/>
  <c r="Q422" i="9"/>
  <c r="R421" i="9"/>
  <c r="Q421" i="9"/>
  <c r="R420" i="9"/>
  <c r="Q420" i="9"/>
  <c r="R419" i="9"/>
  <c r="Q419" i="9"/>
  <c r="R418" i="9"/>
  <c r="Q418" i="9"/>
  <c r="R417" i="9"/>
  <c r="Q417" i="9"/>
  <c r="R416" i="9"/>
  <c r="Q416" i="9"/>
  <c r="R415" i="9"/>
  <c r="Q415" i="9"/>
  <c r="R414" i="9"/>
  <c r="Q414" i="9"/>
  <c r="R413" i="9"/>
  <c r="Q413" i="9"/>
  <c r="R412" i="9"/>
  <c r="Q412" i="9"/>
  <c r="R411" i="9"/>
  <c r="Q411" i="9"/>
  <c r="R410" i="9"/>
  <c r="Q410" i="9"/>
  <c r="R409" i="9"/>
  <c r="Q409" i="9"/>
  <c r="R408" i="9"/>
  <c r="Q408" i="9"/>
  <c r="R407" i="9"/>
  <c r="Q407" i="9"/>
  <c r="R406" i="9"/>
  <c r="Q406" i="9"/>
  <c r="R405" i="9"/>
  <c r="Q405" i="9"/>
  <c r="R404" i="9"/>
  <c r="Q404" i="9"/>
  <c r="R403" i="9"/>
  <c r="Q403" i="9"/>
  <c r="R402" i="9"/>
  <c r="Q402" i="9"/>
  <c r="R401" i="9"/>
  <c r="Q401" i="9"/>
  <c r="R400" i="9"/>
  <c r="Q400" i="9"/>
  <c r="R399" i="9"/>
  <c r="Q399" i="9"/>
  <c r="R398" i="9"/>
  <c r="Q398" i="9"/>
  <c r="R397" i="9"/>
  <c r="Q397" i="9"/>
  <c r="R396" i="9"/>
  <c r="Q396" i="9"/>
  <c r="R395" i="9"/>
  <c r="Q395" i="9"/>
  <c r="R394" i="9"/>
  <c r="Q394" i="9"/>
  <c r="R393" i="9"/>
  <c r="Q393" i="9"/>
  <c r="R392" i="9"/>
  <c r="Q392" i="9"/>
  <c r="R391" i="9"/>
  <c r="Q391" i="9"/>
  <c r="R390" i="9"/>
  <c r="Q390" i="9"/>
  <c r="R389" i="9"/>
  <c r="Q389" i="9"/>
  <c r="R388" i="9"/>
  <c r="Q388" i="9"/>
  <c r="R387" i="9"/>
  <c r="Q387" i="9"/>
  <c r="R386" i="9"/>
  <c r="Q386" i="9"/>
  <c r="R385" i="9"/>
  <c r="Q385" i="9"/>
  <c r="R384" i="9"/>
  <c r="Q384" i="9"/>
  <c r="R383" i="9"/>
  <c r="Q383" i="9"/>
  <c r="R382" i="9"/>
  <c r="Q382" i="9"/>
  <c r="R381" i="9"/>
  <c r="Q381" i="9"/>
  <c r="R380" i="9"/>
  <c r="Q380" i="9"/>
  <c r="R379" i="9"/>
  <c r="Q379" i="9"/>
  <c r="R378" i="9"/>
  <c r="Q378" i="9"/>
  <c r="R377" i="9"/>
  <c r="Q377" i="9"/>
  <c r="R376" i="9"/>
  <c r="Q376" i="9"/>
  <c r="R375" i="9"/>
  <c r="Q375" i="9"/>
  <c r="R374" i="9"/>
  <c r="Q374" i="9"/>
  <c r="R373" i="9"/>
  <c r="Q373" i="9"/>
  <c r="R372" i="9"/>
  <c r="Q372" i="9"/>
  <c r="R371" i="9"/>
  <c r="Q371" i="9"/>
  <c r="R370" i="9"/>
  <c r="Q370" i="9"/>
  <c r="R369" i="9"/>
  <c r="Q369" i="9"/>
  <c r="R368" i="9"/>
  <c r="Q368" i="9"/>
  <c r="R367" i="9"/>
  <c r="Q367" i="9"/>
  <c r="R366" i="9"/>
  <c r="Q366" i="9"/>
  <c r="R365" i="9"/>
  <c r="Q365" i="9"/>
  <c r="R364" i="9"/>
  <c r="Q364" i="9"/>
  <c r="R363" i="9"/>
  <c r="Q363" i="9"/>
  <c r="R362" i="9"/>
  <c r="Q362" i="9"/>
  <c r="R361" i="9"/>
  <c r="Q361" i="9"/>
  <c r="R360" i="9"/>
  <c r="Q360" i="9"/>
  <c r="R359" i="9"/>
  <c r="Q359" i="9"/>
  <c r="R358" i="9"/>
  <c r="Q358" i="9"/>
  <c r="R357" i="9"/>
  <c r="Q357" i="9"/>
  <c r="R356" i="9"/>
  <c r="Q356" i="9"/>
  <c r="R355" i="9"/>
  <c r="Q355" i="9"/>
  <c r="R354" i="9"/>
  <c r="Q354" i="9"/>
  <c r="R353" i="9"/>
  <c r="Q353" i="9"/>
  <c r="R352" i="9"/>
  <c r="Q352" i="9"/>
  <c r="R351" i="9"/>
  <c r="Q351" i="9"/>
  <c r="R350" i="9"/>
  <c r="Q350" i="9"/>
  <c r="R349" i="9"/>
  <c r="Q349" i="9"/>
  <c r="R348" i="9"/>
  <c r="Q348" i="9"/>
  <c r="R347" i="9"/>
  <c r="Q347" i="9"/>
  <c r="R346" i="9"/>
  <c r="Q346" i="9"/>
  <c r="R345" i="9"/>
  <c r="Q345" i="9"/>
  <c r="R344" i="9"/>
  <c r="Q344" i="9"/>
  <c r="R343" i="9"/>
  <c r="Q343" i="9"/>
  <c r="R342" i="9"/>
  <c r="Q342" i="9"/>
  <c r="R341" i="9"/>
  <c r="Q341" i="9"/>
  <c r="R340" i="9"/>
  <c r="Q340" i="9"/>
  <c r="R339" i="9"/>
  <c r="Q339" i="9"/>
  <c r="R338" i="9"/>
  <c r="Q338" i="9"/>
  <c r="R337" i="9"/>
  <c r="Q337" i="9"/>
  <c r="R336" i="9"/>
  <c r="Q336" i="9"/>
  <c r="R335" i="9"/>
  <c r="Q335" i="9"/>
  <c r="R334" i="9"/>
  <c r="Q334" i="9"/>
  <c r="R333" i="9"/>
  <c r="Q333" i="9"/>
  <c r="R332" i="9"/>
  <c r="Q332" i="9"/>
  <c r="R331" i="9"/>
  <c r="Q331" i="9"/>
  <c r="R330" i="9"/>
  <c r="Q330" i="9"/>
  <c r="R329" i="9"/>
  <c r="Q329" i="9"/>
  <c r="R328" i="9"/>
  <c r="Q328" i="9"/>
  <c r="R327" i="9"/>
  <c r="Q327" i="9"/>
  <c r="R326" i="9"/>
  <c r="Q326" i="9"/>
  <c r="R325" i="9"/>
  <c r="Q325" i="9"/>
  <c r="R324" i="9"/>
  <c r="Q324" i="9"/>
  <c r="R323" i="9"/>
  <c r="Q323" i="9"/>
  <c r="R322" i="9"/>
  <c r="Q322" i="9"/>
  <c r="R321" i="9"/>
  <c r="Q321" i="9"/>
  <c r="R320" i="9"/>
  <c r="Q320" i="9"/>
  <c r="R319" i="9"/>
  <c r="Q319" i="9"/>
  <c r="R318" i="9"/>
  <c r="Q318" i="9"/>
  <c r="R317" i="9"/>
  <c r="Q317" i="9"/>
  <c r="R316" i="9"/>
  <c r="Q316" i="9"/>
  <c r="R315" i="9"/>
  <c r="Q315" i="9"/>
  <c r="R314" i="9"/>
  <c r="Q314" i="9"/>
  <c r="R313" i="9"/>
  <c r="Q313" i="9"/>
  <c r="R312" i="9"/>
  <c r="Q312" i="9"/>
  <c r="R311" i="9"/>
  <c r="Q311" i="9"/>
  <c r="R310" i="9"/>
  <c r="Q310" i="9"/>
  <c r="R309" i="9"/>
  <c r="Q309" i="9"/>
  <c r="R308" i="9"/>
  <c r="Q308" i="9"/>
  <c r="R307" i="9"/>
  <c r="Q307" i="9"/>
  <c r="R306" i="9"/>
  <c r="Q306" i="9"/>
  <c r="R305" i="9"/>
  <c r="Q305" i="9"/>
  <c r="R304" i="9"/>
  <c r="Q304" i="9"/>
  <c r="R303" i="9"/>
  <c r="Q303" i="9"/>
  <c r="R302" i="9"/>
  <c r="Q302" i="9"/>
  <c r="R301" i="9"/>
  <c r="Q301" i="9"/>
  <c r="R300" i="9"/>
  <c r="Q300" i="9"/>
  <c r="R299" i="9"/>
  <c r="Q299" i="9"/>
  <c r="R298" i="9"/>
  <c r="Q298" i="9"/>
  <c r="R297" i="9"/>
  <c r="Q297" i="9"/>
  <c r="R296" i="9"/>
  <c r="Q296" i="9"/>
  <c r="R295" i="9"/>
  <c r="Q295" i="9"/>
  <c r="R294" i="9"/>
  <c r="Q294" i="9"/>
  <c r="R293" i="9"/>
  <c r="Q293" i="9"/>
  <c r="R292" i="9"/>
  <c r="Q292" i="9"/>
  <c r="R291" i="9"/>
  <c r="Q291" i="9"/>
  <c r="R290" i="9"/>
  <c r="Q290" i="9"/>
  <c r="R289" i="9"/>
  <c r="Q289" i="9"/>
  <c r="R288" i="9"/>
  <c r="Q288" i="9"/>
  <c r="R287" i="9"/>
  <c r="Q287" i="9"/>
  <c r="R286" i="9"/>
  <c r="Q286" i="9"/>
  <c r="R285" i="9"/>
  <c r="Q285" i="9"/>
  <c r="R284" i="9"/>
  <c r="Q284" i="9"/>
  <c r="R283" i="9"/>
  <c r="Q283" i="9"/>
  <c r="R282" i="9"/>
  <c r="Q282" i="9"/>
  <c r="R281" i="9"/>
  <c r="Q281" i="9"/>
  <c r="R280" i="9"/>
  <c r="Q280" i="9"/>
  <c r="R279" i="9"/>
  <c r="Q279" i="9"/>
  <c r="R278" i="9"/>
  <c r="Q278" i="9"/>
  <c r="R277" i="9"/>
  <c r="Q277" i="9"/>
  <c r="R276" i="9"/>
  <c r="Q276" i="9"/>
  <c r="R275" i="9"/>
  <c r="Q275" i="9"/>
  <c r="R274" i="9"/>
  <c r="Q274" i="9"/>
  <c r="R273" i="9"/>
  <c r="Q273" i="9"/>
  <c r="R272" i="9"/>
  <c r="Q272" i="9"/>
  <c r="R271" i="9"/>
  <c r="Q271" i="9"/>
  <c r="R270" i="9"/>
  <c r="Q270" i="9"/>
  <c r="R269" i="9"/>
  <c r="Q269" i="9"/>
  <c r="R268" i="9"/>
  <c r="Q268" i="9"/>
  <c r="R267" i="9"/>
  <c r="Q267" i="9"/>
  <c r="R266" i="9"/>
  <c r="Q266" i="9"/>
  <c r="R265" i="9"/>
  <c r="Q265" i="9"/>
  <c r="R264" i="9"/>
  <c r="Q264" i="9"/>
  <c r="R263" i="9"/>
  <c r="Q263" i="9"/>
  <c r="R262" i="9"/>
  <c r="Q262" i="9"/>
  <c r="R261" i="9"/>
  <c r="Q261" i="9"/>
  <c r="R260" i="9"/>
  <c r="Q260" i="9"/>
  <c r="R259" i="9"/>
  <c r="Q259" i="9"/>
  <c r="R258" i="9"/>
  <c r="Q258" i="9"/>
  <c r="R257" i="9"/>
  <c r="Q257" i="9"/>
  <c r="R256" i="9"/>
  <c r="Q256" i="9"/>
  <c r="R255" i="9"/>
  <c r="Q255" i="9"/>
  <c r="R254" i="9"/>
  <c r="Q254" i="9"/>
  <c r="R253" i="9"/>
  <c r="Q253" i="9"/>
  <c r="R252" i="9"/>
  <c r="Q252" i="9"/>
  <c r="R251" i="9"/>
  <c r="Q251" i="9"/>
  <c r="R250" i="9"/>
  <c r="Q250" i="9"/>
  <c r="R249" i="9"/>
  <c r="Q249" i="9"/>
  <c r="R248" i="9"/>
  <c r="Q248" i="9"/>
  <c r="R247" i="9"/>
  <c r="Q247" i="9"/>
  <c r="R246" i="9"/>
  <c r="Q246" i="9"/>
  <c r="R245" i="9"/>
  <c r="Q245" i="9"/>
  <c r="R244" i="9"/>
  <c r="Q244" i="9"/>
  <c r="R243" i="9"/>
  <c r="Q243" i="9"/>
  <c r="R242" i="9"/>
  <c r="Q242" i="9"/>
  <c r="R241" i="9"/>
  <c r="Q241" i="9"/>
  <c r="R240" i="9"/>
  <c r="Q240" i="9"/>
  <c r="R239" i="9"/>
  <c r="Q239" i="9"/>
  <c r="R238" i="9"/>
  <c r="Q238" i="9"/>
  <c r="R237" i="9"/>
  <c r="Q237" i="9"/>
  <c r="R236" i="9"/>
  <c r="Q236" i="9"/>
  <c r="R235" i="9"/>
  <c r="Q235" i="9"/>
  <c r="R234" i="9"/>
  <c r="Q234" i="9"/>
  <c r="R233" i="9"/>
  <c r="Q233" i="9"/>
  <c r="R232" i="9"/>
  <c r="Q232" i="9"/>
  <c r="R231" i="9"/>
  <c r="Q231" i="9"/>
  <c r="R230" i="9"/>
  <c r="Q230" i="9"/>
  <c r="R229" i="9"/>
  <c r="Q229" i="9"/>
  <c r="R228" i="9"/>
  <c r="Q228" i="9"/>
  <c r="R227" i="9"/>
  <c r="Q227" i="9"/>
  <c r="R226" i="9"/>
  <c r="Q226" i="9"/>
  <c r="R225" i="9"/>
  <c r="Q225" i="9"/>
  <c r="R224" i="9"/>
  <c r="Q224" i="9"/>
  <c r="R223" i="9"/>
  <c r="Q223" i="9"/>
  <c r="R222" i="9"/>
  <c r="Q222" i="9"/>
  <c r="R221" i="9"/>
  <c r="Q221" i="9"/>
  <c r="R220" i="9"/>
  <c r="Q220" i="9"/>
  <c r="R219" i="9"/>
  <c r="Q219" i="9"/>
  <c r="R218" i="9"/>
  <c r="Q218" i="9"/>
  <c r="R217" i="9"/>
  <c r="Q217" i="9"/>
  <c r="R216" i="9"/>
  <c r="Q216" i="9"/>
  <c r="R215" i="9"/>
  <c r="Q215" i="9"/>
  <c r="R214" i="9"/>
  <c r="Q214" i="9"/>
  <c r="R213" i="9"/>
  <c r="Q213" i="9"/>
  <c r="R212" i="9"/>
  <c r="Q212" i="9"/>
  <c r="R211" i="9"/>
  <c r="Q211" i="9"/>
  <c r="R210" i="9"/>
  <c r="Q210" i="9"/>
  <c r="R209" i="9"/>
  <c r="Q209" i="9"/>
  <c r="R208" i="9"/>
  <c r="Q208" i="9"/>
  <c r="R207" i="9"/>
  <c r="Q207" i="9"/>
  <c r="R206" i="9"/>
  <c r="Q206" i="9"/>
  <c r="R205" i="9"/>
  <c r="Q205" i="9"/>
  <c r="R204" i="9"/>
  <c r="Q204" i="9"/>
  <c r="R203" i="9"/>
  <c r="Q203" i="9"/>
  <c r="R202" i="9"/>
  <c r="Q202" i="9"/>
  <c r="R201" i="9"/>
  <c r="Q201" i="9"/>
  <c r="R200" i="9"/>
  <c r="Q200" i="9"/>
  <c r="R199" i="9"/>
  <c r="Q199" i="9"/>
  <c r="R198" i="9"/>
  <c r="Q198" i="9"/>
  <c r="R197" i="9"/>
  <c r="Q197" i="9"/>
  <c r="R196" i="9"/>
  <c r="Q196" i="9"/>
  <c r="R195" i="9"/>
  <c r="Q195" i="9"/>
  <c r="R194" i="9"/>
  <c r="Q194" i="9"/>
  <c r="R193" i="9"/>
  <c r="Q193" i="9"/>
  <c r="R192" i="9"/>
  <c r="Q192" i="9"/>
  <c r="R191" i="9"/>
  <c r="Q191" i="9"/>
  <c r="R190" i="9"/>
  <c r="Q190" i="9"/>
  <c r="R189" i="9"/>
  <c r="Q189" i="9"/>
  <c r="R188" i="9"/>
  <c r="Q188" i="9"/>
  <c r="R187" i="9"/>
  <c r="Q187" i="9"/>
  <c r="R186" i="9"/>
  <c r="Q186" i="9"/>
  <c r="R185" i="9"/>
  <c r="Q185" i="9"/>
  <c r="R184" i="9"/>
  <c r="Q184" i="9"/>
  <c r="R183" i="9"/>
  <c r="Q183" i="9"/>
  <c r="R182" i="9"/>
  <c r="Q182" i="9"/>
  <c r="R181" i="9"/>
  <c r="Q181" i="9"/>
  <c r="R180" i="9"/>
  <c r="Q180" i="9"/>
  <c r="R179" i="9"/>
  <c r="Q179" i="9"/>
  <c r="R178" i="9"/>
  <c r="Q178" i="9"/>
  <c r="R177" i="9"/>
  <c r="Q177" i="9"/>
  <c r="R176" i="9"/>
  <c r="Q176" i="9"/>
  <c r="R175" i="9"/>
  <c r="Q175" i="9"/>
  <c r="R174" i="9"/>
  <c r="Q174" i="9"/>
  <c r="R173" i="9"/>
  <c r="Q173" i="9"/>
  <c r="R172" i="9"/>
  <c r="Q172" i="9"/>
  <c r="R171" i="9"/>
  <c r="Q171" i="9"/>
  <c r="R170" i="9"/>
  <c r="Q170" i="9"/>
  <c r="R169" i="9"/>
  <c r="Q169" i="9"/>
  <c r="R168" i="9"/>
  <c r="Q168" i="9"/>
  <c r="R167" i="9"/>
  <c r="Q167" i="9"/>
  <c r="R166" i="9"/>
  <c r="Q166" i="9"/>
  <c r="R165" i="9"/>
  <c r="Q165" i="9"/>
  <c r="R164" i="9"/>
  <c r="Q164" i="9"/>
  <c r="R163" i="9"/>
  <c r="Q163" i="9"/>
  <c r="R162" i="9"/>
  <c r="Q162" i="9"/>
  <c r="R161" i="9"/>
  <c r="Q161" i="9"/>
  <c r="R160" i="9"/>
  <c r="Q160" i="9"/>
  <c r="R159" i="9"/>
  <c r="Q159" i="9"/>
  <c r="R158" i="9"/>
  <c r="Q158" i="9"/>
  <c r="R157" i="9"/>
  <c r="Q157" i="9"/>
  <c r="R156" i="9"/>
  <c r="Q156" i="9"/>
  <c r="R155" i="9"/>
  <c r="Q155" i="9"/>
  <c r="R154" i="9"/>
  <c r="Q154" i="9"/>
  <c r="R153" i="9"/>
  <c r="Q153" i="9"/>
  <c r="R152" i="9"/>
  <c r="Q152" i="9"/>
  <c r="R151" i="9"/>
  <c r="Q151" i="9"/>
  <c r="R150" i="9"/>
  <c r="Q150" i="9"/>
  <c r="R149" i="9"/>
  <c r="Q149" i="9"/>
  <c r="R148" i="9"/>
  <c r="Q148" i="9"/>
  <c r="R147" i="9"/>
  <c r="Q147" i="9"/>
  <c r="R146" i="9"/>
  <c r="Q146" i="9"/>
  <c r="R145" i="9"/>
  <c r="Q145" i="9"/>
  <c r="R144" i="9"/>
  <c r="Q144" i="9"/>
  <c r="R143" i="9"/>
  <c r="Q143" i="9"/>
  <c r="R142" i="9"/>
  <c r="Q142" i="9"/>
  <c r="R141" i="9"/>
  <c r="Q141" i="9"/>
  <c r="R140" i="9"/>
  <c r="Q140" i="9"/>
  <c r="R139" i="9"/>
  <c r="Q139" i="9"/>
  <c r="R138" i="9"/>
  <c r="Q138" i="9"/>
  <c r="R137" i="9"/>
  <c r="Q137" i="9"/>
  <c r="R136" i="9"/>
  <c r="Q136" i="9"/>
  <c r="R135" i="9"/>
  <c r="Q135" i="9"/>
  <c r="R134" i="9"/>
  <c r="Q134" i="9"/>
  <c r="R133" i="9"/>
  <c r="Q133" i="9"/>
  <c r="R132" i="9"/>
  <c r="Q132" i="9"/>
  <c r="R131" i="9"/>
  <c r="Q131" i="9"/>
  <c r="R130" i="9"/>
  <c r="Q130" i="9"/>
  <c r="R129" i="9"/>
  <c r="Q129" i="9"/>
  <c r="R128" i="9"/>
  <c r="Q128" i="9"/>
  <c r="R127" i="9"/>
  <c r="Q127" i="9"/>
  <c r="R126" i="9"/>
  <c r="Q126" i="9"/>
  <c r="R125" i="9"/>
  <c r="Q125" i="9"/>
  <c r="R124" i="9"/>
  <c r="Q124" i="9"/>
  <c r="R123" i="9"/>
  <c r="Q123" i="9"/>
  <c r="R122" i="9"/>
  <c r="Q122" i="9"/>
  <c r="R121" i="9"/>
  <c r="Q121" i="9"/>
  <c r="R120" i="9"/>
  <c r="Q120" i="9"/>
  <c r="R119" i="9"/>
  <c r="Q119" i="9"/>
  <c r="R118" i="9"/>
  <c r="Q118" i="9"/>
  <c r="R117" i="9"/>
  <c r="Q117" i="9"/>
  <c r="R116" i="9"/>
  <c r="Q116" i="9"/>
  <c r="R115" i="9"/>
  <c r="Q115" i="9"/>
  <c r="R114" i="9"/>
  <c r="Q114" i="9"/>
  <c r="R113" i="9"/>
  <c r="Q113" i="9"/>
  <c r="R112" i="9"/>
  <c r="Q112" i="9"/>
  <c r="R111" i="9"/>
  <c r="Q111" i="9"/>
  <c r="R110" i="9"/>
  <c r="Q110" i="9"/>
  <c r="R109" i="9"/>
  <c r="Q109" i="9"/>
  <c r="R108" i="9"/>
  <c r="Q108" i="9"/>
  <c r="R107" i="9"/>
  <c r="Q107" i="9"/>
  <c r="R106" i="9"/>
  <c r="Q106" i="9"/>
  <c r="R105" i="9"/>
  <c r="Q105" i="9"/>
  <c r="R104" i="9"/>
  <c r="Q104" i="9"/>
  <c r="R103" i="9"/>
  <c r="Q103" i="9"/>
  <c r="R102" i="9"/>
  <c r="Q102" i="9"/>
  <c r="R101" i="9"/>
  <c r="Q101" i="9"/>
  <c r="R100" i="9"/>
  <c r="Q100" i="9"/>
  <c r="R99" i="9"/>
  <c r="Q99" i="9"/>
  <c r="R98" i="9"/>
  <c r="Q98" i="9"/>
  <c r="R97" i="9"/>
  <c r="Q97" i="9"/>
  <c r="R96" i="9"/>
  <c r="Q96" i="9"/>
  <c r="R95" i="9"/>
  <c r="Q95" i="9"/>
  <c r="R94" i="9"/>
  <c r="Q94" i="9"/>
  <c r="R93" i="9"/>
  <c r="Q93" i="9"/>
  <c r="R92" i="9"/>
  <c r="Q92" i="9"/>
  <c r="R91" i="9"/>
  <c r="Q91" i="9"/>
  <c r="R90" i="9"/>
  <c r="Q90" i="9"/>
  <c r="R89" i="9"/>
  <c r="Q89" i="9"/>
  <c r="R88" i="9"/>
  <c r="Q88" i="9"/>
  <c r="R87" i="9"/>
  <c r="Q87" i="9"/>
  <c r="R86" i="9"/>
  <c r="Q86" i="9"/>
  <c r="R85" i="9"/>
  <c r="Q85" i="9"/>
  <c r="R84" i="9"/>
  <c r="Q84" i="9"/>
  <c r="R83" i="9"/>
  <c r="Q83" i="9"/>
  <c r="R82" i="9"/>
  <c r="Q82" i="9"/>
  <c r="R81" i="9"/>
  <c r="Q81" i="9"/>
  <c r="R80" i="9"/>
  <c r="Q80" i="9"/>
  <c r="R79" i="9"/>
  <c r="Q79" i="9"/>
  <c r="R78" i="9"/>
  <c r="Q78" i="9"/>
  <c r="R77" i="9"/>
  <c r="Q77" i="9"/>
  <c r="R76" i="9"/>
  <c r="Q76" i="9"/>
  <c r="R75" i="9"/>
  <c r="Q75" i="9"/>
  <c r="R74" i="9"/>
  <c r="Q74" i="9"/>
  <c r="R73" i="9"/>
  <c r="Q73" i="9"/>
  <c r="R72" i="9"/>
  <c r="Q72" i="9"/>
  <c r="R71" i="9"/>
  <c r="Q71" i="9"/>
  <c r="R70" i="9"/>
  <c r="Q70" i="9"/>
  <c r="R69" i="9"/>
  <c r="Q69" i="9"/>
  <c r="R68" i="9"/>
  <c r="Q68" i="9"/>
  <c r="R67" i="9"/>
  <c r="Q67" i="9"/>
  <c r="R66" i="9"/>
  <c r="Q66" i="9"/>
  <c r="R65" i="9"/>
  <c r="Q65" i="9"/>
  <c r="R64" i="9"/>
  <c r="Q64" i="9"/>
  <c r="R63" i="9"/>
  <c r="Q63" i="9"/>
  <c r="R62" i="9"/>
  <c r="Q62" i="9"/>
  <c r="R61" i="9"/>
  <c r="Q61" i="9"/>
  <c r="R60" i="9"/>
  <c r="Q60" i="9"/>
  <c r="R59" i="9"/>
  <c r="Q59" i="9"/>
  <c r="R58" i="9"/>
  <c r="Q58" i="9"/>
  <c r="R57" i="9"/>
  <c r="Q57" i="9"/>
  <c r="R56" i="9"/>
  <c r="Q56" i="9"/>
  <c r="R55" i="9"/>
  <c r="Q55" i="9"/>
  <c r="R54" i="9"/>
  <c r="Q54" i="9"/>
  <c r="R53" i="9"/>
  <c r="Q53" i="9"/>
  <c r="R52" i="9"/>
  <c r="Q52" i="9"/>
  <c r="R51" i="9"/>
  <c r="Q51" i="9"/>
  <c r="R50" i="9"/>
  <c r="Q50" i="9"/>
  <c r="R49" i="9"/>
  <c r="Q49" i="9"/>
  <c r="R48" i="9"/>
  <c r="Q48" i="9"/>
  <c r="R47" i="9"/>
  <c r="Q47" i="9"/>
  <c r="R46" i="9"/>
  <c r="Q46" i="9"/>
  <c r="R45" i="9"/>
  <c r="Q45" i="9"/>
  <c r="R44" i="9"/>
  <c r="Q44" i="9"/>
  <c r="R43" i="9"/>
  <c r="Q43" i="9"/>
  <c r="R42" i="9"/>
  <c r="Q42" i="9"/>
  <c r="R41" i="9"/>
  <c r="Q41" i="9"/>
  <c r="R40" i="9"/>
  <c r="Q40" i="9"/>
  <c r="R39" i="9"/>
  <c r="Q39" i="9"/>
  <c r="R38" i="9"/>
  <c r="Q38" i="9"/>
  <c r="R37" i="9"/>
  <c r="Q37" i="9"/>
  <c r="R36" i="9"/>
  <c r="Q36" i="9"/>
  <c r="R35" i="9"/>
  <c r="Q35" i="9"/>
  <c r="R34" i="9"/>
  <c r="Q34" i="9"/>
  <c r="R33" i="9"/>
  <c r="Q33" i="9"/>
  <c r="R32" i="9"/>
  <c r="Q32" i="9"/>
  <c r="R31" i="9"/>
  <c r="Q31" i="9"/>
  <c r="R30" i="9"/>
  <c r="Q30" i="9"/>
  <c r="R29" i="9"/>
  <c r="Q29" i="9"/>
  <c r="R28" i="9"/>
  <c r="Q28" i="9"/>
  <c r="R27" i="9"/>
  <c r="Q27" i="9"/>
  <c r="R26" i="9"/>
  <c r="Q26" i="9"/>
  <c r="R25" i="9"/>
  <c r="Q25" i="9"/>
  <c r="R24" i="9"/>
  <c r="Q24" i="9"/>
  <c r="R23" i="9"/>
  <c r="Q23" i="9"/>
  <c r="R22" i="9"/>
  <c r="Q22" i="9"/>
  <c r="R21" i="9"/>
  <c r="Q21" i="9"/>
  <c r="R20" i="9"/>
  <c r="Q20" i="9"/>
  <c r="R19" i="9"/>
  <c r="Q19" i="9"/>
  <c r="R18" i="9"/>
  <c r="Q18" i="9"/>
  <c r="R17" i="9"/>
  <c r="Q17" i="9"/>
  <c r="R16" i="9"/>
  <c r="Q16" i="9"/>
  <c r="R15" i="9"/>
  <c r="Q15" i="9"/>
  <c r="R14" i="9"/>
  <c r="Q14" i="9"/>
  <c r="R13" i="9"/>
  <c r="Q13" i="9"/>
  <c r="R12" i="9"/>
  <c r="Q12" i="9"/>
  <c r="R11" i="9"/>
  <c r="Q11" i="9"/>
  <c r="R10" i="9"/>
  <c r="Q10" i="9"/>
  <c r="R9" i="9"/>
  <c r="Q9" i="9"/>
  <c r="R8" i="9"/>
  <c r="Q8" i="9"/>
  <c r="R7" i="9"/>
  <c r="Q7" i="9"/>
  <c r="R6" i="9"/>
  <c r="Q6" i="9"/>
  <c r="R5" i="9"/>
  <c r="Q5" i="9"/>
  <c r="R4" i="9"/>
  <c r="Q4" i="9"/>
  <c r="R3" i="9"/>
  <c r="Q3" i="9"/>
  <c r="R2" i="9"/>
  <c r="Q2" i="9"/>
  <c r="B49" i="10"/>
  <c r="B48" i="10"/>
  <c r="B50" i="10"/>
  <c r="B47" i="10"/>
  <c r="B46" i="10"/>
</calcChain>
</file>

<file path=xl/sharedStrings.xml><?xml version="1.0" encoding="utf-8"?>
<sst xmlns="http://schemas.openxmlformats.org/spreadsheetml/2006/main" count="28650" uniqueCount="5522">
  <si>
    <t>Row Labels</t>
  </si>
  <si>
    <t>Count of Transaction_ID</t>
  </si>
  <si>
    <t>Column Labels</t>
  </si>
  <si>
    <t>ATM</t>
  </si>
  <si>
    <t>Internet Banking</t>
  </si>
  <si>
    <t>Mobile App</t>
  </si>
  <si>
    <t>POS</t>
  </si>
  <si>
    <t>Grand Total</t>
  </si>
  <si>
    <t>Biometric</t>
  </si>
  <si>
    <t>Checking</t>
  </si>
  <si>
    <t>OTP</t>
  </si>
  <si>
    <t>Credit Card</t>
  </si>
  <si>
    <t>Password</t>
  </si>
  <si>
    <t>Debit Card</t>
  </si>
  <si>
    <t>PIN</t>
  </si>
  <si>
    <t>Savings</t>
  </si>
  <si>
    <t>Transaction_ID</t>
  </si>
  <si>
    <t>Customer_ID</t>
  </si>
  <si>
    <t>Account_Type</t>
  </si>
  <si>
    <t>Channel</t>
  </si>
  <si>
    <t>Transaction_Date</t>
  </si>
  <si>
    <t>Transaction_Amount</t>
  </si>
  <si>
    <t>Device_ID</t>
  </si>
  <si>
    <t>Merchant_Category</t>
  </si>
  <si>
    <t>Authentication_Type</t>
  </si>
  <si>
    <t>Login_Failure_Count</t>
  </si>
  <si>
    <t>Country_of_Residence</t>
  </si>
  <si>
    <t>Country_of_Transaction</t>
  </si>
  <si>
    <t>T0072</t>
  </si>
  <si>
    <t>C001</t>
  </si>
  <si>
    <t>DEV2014</t>
  </si>
  <si>
    <t>Food</t>
  </si>
  <si>
    <t>Zimbabwe</t>
  </si>
  <si>
    <t>Turkmenistan</t>
  </si>
  <si>
    <t>T0059</t>
  </si>
  <si>
    <t>DEV1807</t>
  </si>
  <si>
    <t>Services</t>
  </si>
  <si>
    <t>France</t>
  </si>
  <si>
    <t>T0047</t>
  </si>
  <si>
    <t>C002</t>
  </si>
  <si>
    <t>DEV3332</t>
  </si>
  <si>
    <t>Entertainment</t>
  </si>
  <si>
    <t>Norway</t>
  </si>
  <si>
    <t>New Caledonia</t>
  </si>
  <si>
    <t>T0048</t>
  </si>
  <si>
    <t>DEV2966</t>
  </si>
  <si>
    <t>Retail</t>
  </si>
  <si>
    <t>Comoros</t>
  </si>
  <si>
    <t>T0020</t>
  </si>
  <si>
    <t>DEV6506</t>
  </si>
  <si>
    <t>Travel</t>
  </si>
  <si>
    <t>New Zealand</t>
  </si>
  <si>
    <t>T0036</t>
  </si>
  <si>
    <t>C003</t>
  </si>
  <si>
    <t>DEV6305</t>
  </si>
  <si>
    <t>Romania</t>
  </si>
  <si>
    <t>Bhutan</t>
  </si>
  <si>
    <t>T0093</t>
  </si>
  <si>
    <t>DEV7980</t>
  </si>
  <si>
    <t>Electronics</t>
  </si>
  <si>
    <t>Slovenia</t>
  </si>
  <si>
    <t>T0022</t>
  </si>
  <si>
    <t>DEV1585</t>
  </si>
  <si>
    <t>Tajikistan</t>
  </si>
  <si>
    <t>T0063</t>
  </si>
  <si>
    <t>DEV1162</t>
  </si>
  <si>
    <t>Panama</t>
  </si>
  <si>
    <t>T0011</t>
  </si>
  <si>
    <t>DEV2204</t>
  </si>
  <si>
    <t>Indonesia</t>
  </si>
  <si>
    <t>T0021</t>
  </si>
  <si>
    <t>C004</t>
  </si>
  <si>
    <t>DEV8361</t>
  </si>
  <si>
    <t>Cameroon</t>
  </si>
  <si>
    <t>Rwanda</t>
  </si>
  <si>
    <t>T0060</t>
  </si>
  <si>
    <t>DEV8738</t>
  </si>
  <si>
    <t>Mexico</t>
  </si>
  <si>
    <t>T0026</t>
  </si>
  <si>
    <t>DEV8529</t>
  </si>
  <si>
    <t>Turkey</t>
  </si>
  <si>
    <t>T0065</t>
  </si>
  <si>
    <t>C005</t>
  </si>
  <si>
    <t>DEV3243</t>
  </si>
  <si>
    <t>Jamaica</t>
  </si>
  <si>
    <t>Israel</t>
  </si>
  <si>
    <t>T0029</t>
  </si>
  <si>
    <t>C006</t>
  </si>
  <si>
    <t>DEV7857</t>
  </si>
  <si>
    <t>Bosnia and Herzegovina</t>
  </si>
  <si>
    <t>Seychelles</t>
  </si>
  <si>
    <t>T0050</t>
  </si>
  <si>
    <t>DEV2724</t>
  </si>
  <si>
    <t>Antarctica (the territory South of 60 deg S)</t>
  </si>
  <si>
    <t>T0034</t>
  </si>
  <si>
    <t>C007</t>
  </si>
  <si>
    <t>DEV4990</t>
  </si>
  <si>
    <t>Palestinian Territory</t>
  </si>
  <si>
    <t>Oman</t>
  </si>
  <si>
    <t>T0040</t>
  </si>
  <si>
    <t>DEV3682</t>
  </si>
  <si>
    <t>Sudan</t>
  </si>
  <si>
    <t>T0071</t>
  </si>
  <si>
    <t>DEV9898</t>
  </si>
  <si>
    <t>Mauritius</t>
  </si>
  <si>
    <t>T0097</t>
  </si>
  <si>
    <t>C008</t>
  </si>
  <si>
    <t>DEV5783</t>
  </si>
  <si>
    <t>United States Virgin Islands</t>
  </si>
  <si>
    <t>Botswana</t>
  </si>
  <si>
    <t>T0095</t>
  </si>
  <si>
    <t>DEV7635</t>
  </si>
  <si>
    <t>T0024</t>
  </si>
  <si>
    <t>DEV8739</t>
  </si>
  <si>
    <t>Myanmar</t>
  </si>
  <si>
    <t>T0075</t>
  </si>
  <si>
    <t>C009</t>
  </si>
  <si>
    <t>DEV3370</t>
  </si>
  <si>
    <t>Congo</t>
  </si>
  <si>
    <t>Kenya</t>
  </si>
  <si>
    <t>T0046</t>
  </si>
  <si>
    <t>DEV9728</t>
  </si>
  <si>
    <t>Saint Barthelemy</t>
  </si>
  <si>
    <t>T0044</t>
  </si>
  <si>
    <t>C010</t>
  </si>
  <si>
    <t>DEV6393</t>
  </si>
  <si>
    <t>Burkina Faso</t>
  </si>
  <si>
    <t>Burundi</t>
  </si>
  <si>
    <t>T0004</t>
  </si>
  <si>
    <t>C012</t>
  </si>
  <si>
    <t>DEV6247</t>
  </si>
  <si>
    <t>Jersey</t>
  </si>
  <si>
    <t>T0030</t>
  </si>
  <si>
    <t>DEV1204</t>
  </si>
  <si>
    <t>Malawi</t>
  </si>
  <si>
    <t>T0073</t>
  </si>
  <si>
    <t>DEV5109</t>
  </si>
  <si>
    <t>Belarus</t>
  </si>
  <si>
    <t>T0018</t>
  </si>
  <si>
    <t>DEV2591</t>
  </si>
  <si>
    <t>Central African Republic</t>
  </si>
  <si>
    <t>T0025</t>
  </si>
  <si>
    <t>DEV4529</t>
  </si>
  <si>
    <t>Ethiopia</t>
  </si>
  <si>
    <t>T0081</t>
  </si>
  <si>
    <t>C013</t>
  </si>
  <si>
    <t>DEV3035</t>
  </si>
  <si>
    <t>Isle of Man</t>
  </si>
  <si>
    <t>T0045</t>
  </si>
  <si>
    <t>C014</t>
  </si>
  <si>
    <t>DEV4323</t>
  </si>
  <si>
    <t>Iran</t>
  </si>
  <si>
    <t>Kyrgyz Republic</t>
  </si>
  <si>
    <t>T0078</t>
  </si>
  <si>
    <t>C016</t>
  </si>
  <si>
    <t>DEV3149</t>
  </si>
  <si>
    <t>Saint Vincent and the Grenadines</t>
  </si>
  <si>
    <t>Mauritania</t>
  </si>
  <si>
    <t>T0066</t>
  </si>
  <si>
    <t>DEV6828</t>
  </si>
  <si>
    <t>Dominican Republic</t>
  </si>
  <si>
    <t>T0080</t>
  </si>
  <si>
    <t>DEV3633</t>
  </si>
  <si>
    <t>Croatia</t>
  </si>
  <si>
    <t>T0064</t>
  </si>
  <si>
    <t>C017</t>
  </si>
  <si>
    <t>DEV2755</t>
  </si>
  <si>
    <t>T0062</t>
  </si>
  <si>
    <t>DEV2313</t>
  </si>
  <si>
    <t>T0039</t>
  </si>
  <si>
    <t>C018</t>
  </si>
  <si>
    <t>DEV1770</t>
  </si>
  <si>
    <t>Netherlands</t>
  </si>
  <si>
    <t>T0006</t>
  </si>
  <si>
    <t>DEV1754</t>
  </si>
  <si>
    <t>T0027</t>
  </si>
  <si>
    <t>C019</t>
  </si>
  <si>
    <t>DEV5576</t>
  </si>
  <si>
    <t>Algeria</t>
  </si>
  <si>
    <t>Bouvet Island (Bouvetoya)</t>
  </si>
  <si>
    <t>T0099</t>
  </si>
  <si>
    <t>DEV5067</t>
  </si>
  <si>
    <t>Czech Republic</t>
  </si>
  <si>
    <t>T0056</t>
  </si>
  <si>
    <t>C020</t>
  </si>
  <si>
    <t>DEV8061</t>
  </si>
  <si>
    <t>Tanzania</t>
  </si>
  <si>
    <t>Lesotho</t>
  </si>
  <si>
    <t>T0082</t>
  </si>
  <si>
    <t>DEV6039</t>
  </si>
  <si>
    <t>Antigua and Barbuda</t>
  </si>
  <si>
    <t>T0017</t>
  </si>
  <si>
    <t>DEV1262</t>
  </si>
  <si>
    <t>San Marino</t>
  </si>
  <si>
    <t>T0014</t>
  </si>
  <si>
    <t>C021</t>
  </si>
  <si>
    <t>DEV4513</t>
  </si>
  <si>
    <t>Timor-Leste</t>
  </si>
  <si>
    <t>T0013</t>
  </si>
  <si>
    <t>DEV6327</t>
  </si>
  <si>
    <t>Wallis and Futuna</t>
  </si>
  <si>
    <t>T0002</t>
  </si>
  <si>
    <t>C022</t>
  </si>
  <si>
    <t>DEV9781</t>
  </si>
  <si>
    <t>Russian Federation</t>
  </si>
  <si>
    <t>T0043</t>
  </si>
  <si>
    <t>DEV8239</t>
  </si>
  <si>
    <t>Latvia</t>
  </si>
  <si>
    <t>T0003</t>
  </si>
  <si>
    <t>C024</t>
  </si>
  <si>
    <t>DEV3956</t>
  </si>
  <si>
    <t>Syrian Arab Republic</t>
  </si>
  <si>
    <t>Libyan Arab Jamahiriya</t>
  </si>
  <si>
    <t>T0054</t>
  </si>
  <si>
    <t>DEV2059</t>
  </si>
  <si>
    <t>Sri Lanka</t>
  </si>
  <si>
    <t>T0061</t>
  </si>
  <si>
    <t>DEV3601</t>
  </si>
  <si>
    <t>Jordan</t>
  </si>
  <si>
    <t>T0005</t>
  </si>
  <si>
    <t>C025</t>
  </si>
  <si>
    <t>DEV9324</t>
  </si>
  <si>
    <t>Faroe Islands</t>
  </si>
  <si>
    <t>Luxembourg</t>
  </si>
  <si>
    <t>T0100</t>
  </si>
  <si>
    <t>DEV3120</t>
  </si>
  <si>
    <t>Lebanon</t>
  </si>
  <si>
    <t>T0092</t>
  </si>
  <si>
    <t>DEV9115</t>
  </si>
  <si>
    <t>T0042</t>
  </si>
  <si>
    <t>DEV8574</t>
  </si>
  <si>
    <t>T0037</t>
  </si>
  <si>
    <t>C026</t>
  </si>
  <si>
    <t>DEV4492</t>
  </si>
  <si>
    <t>Hong Kong</t>
  </si>
  <si>
    <t>T0033</t>
  </si>
  <si>
    <t>DEV7966</t>
  </si>
  <si>
    <t>Poland</t>
  </si>
  <si>
    <t>T0016</t>
  </si>
  <si>
    <t>DEV6744</t>
  </si>
  <si>
    <t>Ecuador</t>
  </si>
  <si>
    <t>T0067</t>
  </si>
  <si>
    <t>C027</t>
  </si>
  <si>
    <t>DEV9263</t>
  </si>
  <si>
    <t>Fiji</t>
  </si>
  <si>
    <t>Cambodia</t>
  </si>
  <si>
    <t>T0055</t>
  </si>
  <si>
    <t>DEV3857</t>
  </si>
  <si>
    <t>Germany</t>
  </si>
  <si>
    <t>T0012</t>
  </si>
  <si>
    <t>DEV4804</t>
  </si>
  <si>
    <t>T0084</t>
  </si>
  <si>
    <t>C028</t>
  </si>
  <si>
    <t>DEV5882</t>
  </si>
  <si>
    <t>Portugal</t>
  </si>
  <si>
    <t>Gabon</t>
  </si>
  <si>
    <t>T0052</t>
  </si>
  <si>
    <t>DEV9411</t>
  </si>
  <si>
    <t>Cape Verde</t>
  </si>
  <si>
    <t>T0098</t>
  </si>
  <si>
    <t>C029</t>
  </si>
  <si>
    <t>DEV5448</t>
  </si>
  <si>
    <t>Denmark</t>
  </si>
  <si>
    <t>Cyprus</t>
  </si>
  <si>
    <t>T0096</t>
  </si>
  <si>
    <t>C030</t>
  </si>
  <si>
    <t>DEV2772</t>
  </si>
  <si>
    <t>Georgia</t>
  </si>
  <si>
    <t>T0041</t>
  </si>
  <si>
    <t>C031</t>
  </si>
  <si>
    <t>DEV4248</t>
  </si>
  <si>
    <t>Bangladesh</t>
  </si>
  <si>
    <t>T0068</t>
  </si>
  <si>
    <t>DEV6502</t>
  </si>
  <si>
    <t>Nigeria</t>
  </si>
  <si>
    <t>T0089</t>
  </si>
  <si>
    <t>C032</t>
  </si>
  <si>
    <t>DEV4073</t>
  </si>
  <si>
    <t>Tokelau</t>
  </si>
  <si>
    <t>T0010</t>
  </si>
  <si>
    <t>DEV5937</t>
  </si>
  <si>
    <t>T0070</t>
  </si>
  <si>
    <t>DEV4984</t>
  </si>
  <si>
    <t>Greenland</t>
  </si>
  <si>
    <t>T0009</t>
  </si>
  <si>
    <t>C033</t>
  </si>
  <si>
    <t>DEV7864</t>
  </si>
  <si>
    <t>Northern Mariana Islands</t>
  </si>
  <si>
    <t>T0028</t>
  </si>
  <si>
    <t>C034</t>
  </si>
  <si>
    <t>DEV8065</t>
  </si>
  <si>
    <t>T0090</t>
  </si>
  <si>
    <t>DEV3383</t>
  </si>
  <si>
    <t>Christmas Island</t>
  </si>
  <si>
    <t>T0094</t>
  </si>
  <si>
    <t>C035</t>
  </si>
  <si>
    <t>DEV1275</t>
  </si>
  <si>
    <t>Anguilla</t>
  </si>
  <si>
    <t>T0008</t>
  </si>
  <si>
    <t>DEV8857</t>
  </si>
  <si>
    <t>Pakistan</t>
  </si>
  <si>
    <t>T0007</t>
  </si>
  <si>
    <t>C036</t>
  </si>
  <si>
    <t>DEV3032</t>
  </si>
  <si>
    <t>Guatemala</t>
  </si>
  <si>
    <t>T0074</t>
  </si>
  <si>
    <t>C037</t>
  </si>
  <si>
    <t>DEV8314</t>
  </si>
  <si>
    <t>Trinidad and Tobago</t>
  </si>
  <si>
    <t>Puerto Rico</t>
  </si>
  <si>
    <t>T0079</t>
  </si>
  <si>
    <t>DEV7218</t>
  </si>
  <si>
    <t>Guernsey</t>
  </si>
  <si>
    <t>T0032</t>
  </si>
  <si>
    <t>DEV2629</t>
  </si>
  <si>
    <t>T0085</t>
  </si>
  <si>
    <t>C038</t>
  </si>
  <si>
    <t>DEV3763</t>
  </si>
  <si>
    <t>Belize</t>
  </si>
  <si>
    <t>Azerbaijan</t>
  </si>
  <si>
    <t>T0038</t>
  </si>
  <si>
    <t>C039</t>
  </si>
  <si>
    <t>DEV6446</t>
  </si>
  <si>
    <t>Haiti</t>
  </si>
  <si>
    <t>T0023</t>
  </si>
  <si>
    <t>DEV2290</t>
  </si>
  <si>
    <t>Reunion</t>
  </si>
  <si>
    <t>T0077</t>
  </si>
  <si>
    <t>C040</t>
  </si>
  <si>
    <t>DEV2274</t>
  </si>
  <si>
    <t>Albania</t>
  </si>
  <si>
    <t>Yemen</t>
  </si>
  <si>
    <t>T0001</t>
  </si>
  <si>
    <t>C041</t>
  </si>
  <si>
    <t>DEV3843</t>
  </si>
  <si>
    <t>Gambia</t>
  </si>
  <si>
    <t>Saint Lucia</t>
  </si>
  <si>
    <t>T0058</t>
  </si>
  <si>
    <t>C042</t>
  </si>
  <si>
    <t>DEV4375</t>
  </si>
  <si>
    <t>Maldives</t>
  </si>
  <si>
    <t>Uzbekistan</t>
  </si>
  <si>
    <t>T0019</t>
  </si>
  <si>
    <t>DEV7613</t>
  </si>
  <si>
    <t>T0088</t>
  </si>
  <si>
    <t>DEV8835</t>
  </si>
  <si>
    <t>T0049</t>
  </si>
  <si>
    <t>C043</t>
  </si>
  <si>
    <t>DEV4824</t>
  </si>
  <si>
    <t>Egypt</t>
  </si>
  <si>
    <t>T0076</t>
  </si>
  <si>
    <t>C044</t>
  </si>
  <si>
    <t>DEV7550</t>
  </si>
  <si>
    <t>Cocos (Keeling) Islands</t>
  </si>
  <si>
    <t>T0031</t>
  </si>
  <si>
    <t>DEV2677</t>
  </si>
  <si>
    <t>T0086</t>
  </si>
  <si>
    <t>C046</t>
  </si>
  <si>
    <t>DEV8023</t>
  </si>
  <si>
    <t>Gibraltar</t>
  </si>
  <si>
    <t>Spain</t>
  </si>
  <si>
    <t>T0091</t>
  </si>
  <si>
    <t>C047</t>
  </si>
  <si>
    <t>DEV1053</t>
  </si>
  <si>
    <t>T0035</t>
  </si>
  <si>
    <t>C048</t>
  </si>
  <si>
    <t>DEV8284</t>
  </si>
  <si>
    <t>Senegal</t>
  </si>
  <si>
    <t>T0087</t>
  </si>
  <si>
    <t>DEV5713</t>
  </si>
  <si>
    <t>Montserrat</t>
  </si>
  <si>
    <t>T0051</t>
  </si>
  <si>
    <t>DEV1013</t>
  </si>
  <si>
    <t>Ghana</t>
  </si>
  <si>
    <t>T0083</t>
  </si>
  <si>
    <t>C049</t>
  </si>
  <si>
    <t>DEV7468</t>
  </si>
  <si>
    <t>Macedonia</t>
  </si>
  <si>
    <t>T0057</t>
  </si>
  <si>
    <t>DEV6117</t>
  </si>
  <si>
    <t>Kiribati</t>
  </si>
  <si>
    <t>T0015</t>
  </si>
  <si>
    <t>C050</t>
  </si>
  <si>
    <t>DEV8343</t>
  </si>
  <si>
    <t>Chad</t>
  </si>
  <si>
    <t>T0053</t>
  </si>
  <si>
    <t>DEV8319</t>
  </si>
  <si>
    <t>T0069</t>
  </si>
  <si>
    <t>DEV8717</t>
  </si>
  <si>
    <t>transaction_count</t>
  </si>
  <si>
    <t>avg_transaction_amount</t>
  </si>
  <si>
    <t>Mode_of_Card_Delivery</t>
  </si>
  <si>
    <t>Picked Up</t>
  </si>
  <si>
    <t>Delivered by Post</t>
  </si>
  <si>
    <r>
      <t xml:space="preserve"> </t>
    </r>
    <r>
      <rPr>
        <sz val="10"/>
        <color theme="1"/>
        <rFont val="Verdana"/>
        <family val="2"/>
      </rPr>
      <t>Minor</t>
    </r>
    <r>
      <rPr>
        <b/>
        <sz val="11"/>
        <color theme="1"/>
        <rFont val="Verdana"/>
        <family val="2"/>
      </rPr>
      <t xml:space="preserve">        Impact </t>
    </r>
    <r>
      <rPr>
        <sz val="11"/>
        <color theme="1"/>
        <rFont val="Verdana"/>
        <family val="2"/>
      </rPr>
      <t xml:space="preserve">          </t>
    </r>
    <r>
      <rPr>
        <sz val="10"/>
        <color theme="1"/>
        <rFont val="Verdana"/>
        <family val="2"/>
      </rPr>
      <t>Major</t>
    </r>
  </si>
  <si>
    <t>A. Unusual Transaction Amount</t>
  </si>
  <si>
    <t>B. Risky Location</t>
  </si>
  <si>
    <t>C. Risky Authentication Type</t>
  </si>
  <si>
    <t>D. Failed Login Attempts</t>
  </si>
  <si>
    <t>E. Account Usage Risk</t>
  </si>
  <si>
    <t>F. Merchant Category Risk</t>
  </si>
  <si>
    <r>
      <rPr>
        <b/>
        <sz val="11"/>
        <color theme="1"/>
        <rFont val="Verdana"/>
        <family val="2"/>
      </rPr>
      <t xml:space="preserve">Identified Risk Areas   </t>
    </r>
    <r>
      <rPr>
        <sz val="11"/>
        <color theme="1"/>
        <rFont val="Verdana"/>
        <family val="2"/>
      </rPr>
      <t xml:space="preserve">             </t>
    </r>
  </si>
  <si>
    <r>
      <t xml:space="preserve"> </t>
    </r>
    <r>
      <rPr>
        <sz val="10"/>
        <color theme="1"/>
        <rFont val="Verdana"/>
        <family val="2"/>
      </rPr>
      <t xml:space="preserve">  Unlikely</t>
    </r>
    <r>
      <rPr>
        <b/>
        <sz val="11"/>
        <color theme="1"/>
        <rFont val="Verdana"/>
        <family val="2"/>
      </rPr>
      <t xml:space="preserve">                   Likelihood                 </t>
    </r>
    <r>
      <rPr>
        <sz val="11"/>
        <color theme="1"/>
        <rFont val="Verdana"/>
        <family val="2"/>
      </rPr>
      <t>V</t>
    </r>
    <r>
      <rPr>
        <sz val="10"/>
        <color theme="1"/>
        <rFont val="Verdana"/>
        <family val="2"/>
      </rPr>
      <t>ery Likely</t>
    </r>
  </si>
  <si>
    <t>Sum of Transaction_Amount</t>
  </si>
  <si>
    <t>usual transaction</t>
  </si>
  <si>
    <t>safe location transaction</t>
  </si>
  <si>
    <t>unsafe location transaction</t>
  </si>
  <si>
    <t>transaction_usuality</t>
  </si>
  <si>
    <t>transaction_location_riskiness</t>
  </si>
  <si>
    <t>merchant_category_riskiness</t>
  </si>
  <si>
    <t>unusual transaction</t>
  </si>
  <si>
    <t>DEV2679</t>
  </si>
  <si>
    <t>Canada</t>
  </si>
  <si>
    <t>DEV9928</t>
  </si>
  <si>
    <t>C045</t>
  </si>
  <si>
    <t>DEV7224</t>
  </si>
  <si>
    <t>DEV6925</t>
  </si>
  <si>
    <t>DEV8428</t>
  </si>
  <si>
    <t>DEV7216</t>
  </si>
  <si>
    <t>DEV6155</t>
  </si>
  <si>
    <t>Online Banking</t>
  </si>
  <si>
    <t>DEV6930</t>
  </si>
  <si>
    <t>DEV8668</t>
  </si>
  <si>
    <t>DEV5315</t>
  </si>
  <si>
    <t>DEV2832</t>
  </si>
  <si>
    <t>DEV3705</t>
  </si>
  <si>
    <t>DEV4681</t>
  </si>
  <si>
    <t>DEV2160</t>
  </si>
  <si>
    <t>DEV4119</t>
  </si>
  <si>
    <t>DEV6559</t>
  </si>
  <si>
    <t>DEV2604</t>
  </si>
  <si>
    <t>DEV7396</t>
  </si>
  <si>
    <t>DEV1821</t>
  </si>
  <si>
    <t>DEV5033</t>
  </si>
  <si>
    <t>DEV5915</t>
  </si>
  <si>
    <t>DEV7054</t>
  </si>
  <si>
    <t>DEV2753</t>
  </si>
  <si>
    <t>DEV7939</t>
  </si>
  <si>
    <t>C011</t>
  </si>
  <si>
    <t>DEV3442</t>
  </si>
  <si>
    <t>DEV5088</t>
  </si>
  <si>
    <t>DEV6442</t>
  </si>
  <si>
    <t>DEV4652</t>
  </si>
  <si>
    <t>DEV5279</t>
  </si>
  <si>
    <t>DEV5173</t>
  </si>
  <si>
    <t>DEV5920</t>
  </si>
  <si>
    <t>DEV3851</t>
  </si>
  <si>
    <t>DEV4501</t>
  </si>
  <si>
    <t>DEV4680</t>
  </si>
  <si>
    <t>DEV9099</t>
  </si>
  <si>
    <t>C015</t>
  </si>
  <si>
    <t>DEV2988</t>
  </si>
  <si>
    <t>DEV8777</t>
  </si>
  <si>
    <t>DEV6238</t>
  </si>
  <si>
    <t>DEV8633</t>
  </si>
  <si>
    <t>DEV9818</t>
  </si>
  <si>
    <t>DEV9751</t>
  </si>
  <si>
    <t>DEV8449</t>
  </si>
  <si>
    <t>DEV2124</t>
  </si>
  <si>
    <t>DEV7043</t>
  </si>
  <si>
    <t>DEV4978</t>
  </si>
  <si>
    <t>DEV2729</t>
  </si>
  <si>
    <t>DEV5397</t>
  </si>
  <si>
    <t>DEV6325</t>
  </si>
  <si>
    <t>DEV2402</t>
  </si>
  <si>
    <t>DEV7625</t>
  </si>
  <si>
    <t>DEV5118</t>
  </si>
  <si>
    <t>DEV8933</t>
  </si>
  <si>
    <t>DEV5786</t>
  </si>
  <si>
    <t>DEV2070</t>
  </si>
  <si>
    <t>DEV4697</t>
  </si>
  <si>
    <t>DEV5335</t>
  </si>
  <si>
    <t>DEV5720</t>
  </si>
  <si>
    <t>DEV1977</t>
  </si>
  <si>
    <t>DEV1653</t>
  </si>
  <si>
    <t>DEV3870</t>
  </si>
  <si>
    <t>DEV7744</t>
  </si>
  <si>
    <t>DEV9889</t>
  </si>
  <si>
    <t>DEV3146</t>
  </si>
  <si>
    <t>DEV7684</t>
  </si>
  <si>
    <t>DEV4993</t>
  </si>
  <si>
    <t>DEV1042</t>
  </si>
  <si>
    <t>DEV4912</t>
  </si>
  <si>
    <t>DEV3492</t>
  </si>
  <si>
    <t>DEV3529</t>
  </si>
  <si>
    <t>DEV8994</t>
  </si>
  <si>
    <t>DEV5906</t>
  </si>
  <si>
    <t>DEV2293</t>
  </si>
  <si>
    <t>DEV9955</t>
  </si>
  <si>
    <t>DEV4886</t>
  </si>
  <si>
    <t>DEV6772</t>
  </si>
  <si>
    <t>DEV3153</t>
  </si>
  <si>
    <t>DEV8894</t>
  </si>
  <si>
    <t>DEV1228</t>
  </si>
  <si>
    <t>DEV6374</t>
  </si>
  <si>
    <t>DEV2592</t>
  </si>
  <si>
    <t>DEV7686</t>
  </si>
  <si>
    <t>DEV6876</t>
  </si>
  <si>
    <t>DEV3063</t>
  </si>
  <si>
    <t>DEV9850</t>
  </si>
  <si>
    <t>C023</t>
  </si>
  <si>
    <t>DEV1858</t>
  </si>
  <si>
    <t>DEV1710</t>
  </si>
  <si>
    <t>DEV3430</t>
  </si>
  <si>
    <t>DEV4522</t>
  </si>
  <si>
    <t>DEV7132</t>
  </si>
  <si>
    <t>DEV6400</t>
  </si>
  <si>
    <t>DEV4674</t>
  </si>
  <si>
    <t>DEV5477</t>
  </si>
  <si>
    <t>DEV7163</t>
  </si>
  <si>
    <t>DEV1815</t>
  </si>
  <si>
    <t>DEV5640</t>
  </si>
  <si>
    <t>DEV5186</t>
  </si>
  <si>
    <t>DEV1693</t>
  </si>
  <si>
    <t>DEV6321</t>
  </si>
  <si>
    <t>DEV6562</t>
  </si>
  <si>
    <t>DEV4871</t>
  </si>
  <si>
    <t>DEV8354</t>
  </si>
  <si>
    <t>DEV2215</t>
  </si>
  <si>
    <t>DEV1672</t>
  </si>
  <si>
    <t>DEV3827</t>
  </si>
  <si>
    <t>DEV1857</t>
  </si>
  <si>
    <t>DEV3317</t>
  </si>
  <si>
    <t>DEV9624</t>
  </si>
  <si>
    <t>DEV3538</t>
  </si>
  <si>
    <t>DEV3962</t>
  </si>
  <si>
    <t>DEV9749</t>
  </si>
  <si>
    <t>DEV3267</t>
  </si>
  <si>
    <t>DEV2337</t>
  </si>
  <si>
    <t>DEV8349</t>
  </si>
  <si>
    <t>DEV5934</t>
  </si>
  <si>
    <t>DEV8032</t>
  </si>
  <si>
    <t>DEV7338</t>
  </si>
  <si>
    <t>DEV1717</t>
  </si>
  <si>
    <t>DEV6438</t>
  </si>
  <si>
    <t>DEV2353</t>
  </si>
  <si>
    <t>DEV7981</t>
  </si>
  <si>
    <t>DEV7655</t>
  </si>
  <si>
    <t>DEV1530</t>
  </si>
  <si>
    <t>DEV5566</t>
  </si>
  <si>
    <t>DEV9047</t>
  </si>
  <si>
    <t>DEV9882</t>
  </si>
  <si>
    <t>DEV7044</t>
  </si>
  <si>
    <t>DEV3053</t>
  </si>
  <si>
    <t>DEV1907</t>
  </si>
  <si>
    <t>DEV5496</t>
  </si>
  <si>
    <t>DEV1744</t>
  </si>
  <si>
    <t>DEV7653</t>
  </si>
  <si>
    <t>DEV6658</t>
  </si>
  <si>
    <t>DEV1829</t>
  </si>
  <si>
    <t>DEV8648</t>
  </si>
  <si>
    <t>DEV9108</t>
  </si>
  <si>
    <t>DEV7563</t>
  </si>
  <si>
    <t>DEV7453</t>
  </si>
  <si>
    <t>DEV6456</t>
  </si>
  <si>
    <t>DEV9721</t>
  </si>
  <si>
    <t>DEV5350</t>
  </si>
  <si>
    <t>DEV1517</t>
  </si>
  <si>
    <t>DEV3262</t>
  </si>
  <si>
    <t>DEV5331</t>
  </si>
  <si>
    <t>DEV9011</t>
  </si>
  <si>
    <t>DEV1689</t>
  </si>
  <si>
    <t>DEV4920</t>
  </si>
  <si>
    <t>DEV1084</t>
  </si>
  <si>
    <t>DEV2758</t>
  </si>
  <si>
    <t>DEV8518</t>
  </si>
  <si>
    <t>DEV2421</t>
  </si>
  <si>
    <t>DEV1187</t>
  </si>
  <si>
    <t>DEV7021</t>
  </si>
  <si>
    <t>DEV4578</t>
  </si>
  <si>
    <t>DEV9525</t>
  </si>
  <si>
    <t>DEV1945</t>
  </si>
  <si>
    <t>DEV2044</t>
  </si>
  <si>
    <t>DEV7184</t>
  </si>
  <si>
    <t>DEV5888</t>
  </si>
  <si>
    <t>DEV1256</t>
  </si>
  <si>
    <t>DEV4839</t>
  </si>
  <si>
    <t>DEV3347</t>
  </si>
  <si>
    <t>DEV1768</t>
  </si>
  <si>
    <t>DEV3365</t>
  </si>
  <si>
    <t>DEV9775</t>
  </si>
  <si>
    <t>DEV5967</t>
  </si>
  <si>
    <t>DEV8639</t>
  </si>
  <si>
    <t>DEV6126</t>
  </si>
  <si>
    <t>DEV6404</t>
  </si>
  <si>
    <t>DEV6770</t>
  </si>
  <si>
    <t>DEV1104</t>
  </si>
  <si>
    <t>DEV1257</t>
  </si>
  <si>
    <t>DEV9591</t>
  </si>
  <si>
    <t>DEV4700</t>
  </si>
  <si>
    <t>DEV8109</t>
  </si>
  <si>
    <t>DEV9897</t>
  </si>
  <si>
    <t>DEV4939</t>
  </si>
  <si>
    <t>DEV8161</t>
  </si>
  <si>
    <t>DEV7150</t>
  </si>
  <si>
    <t>DEV3527</t>
  </si>
  <si>
    <t>DEV7779</t>
  </si>
  <si>
    <t>DEV2036</t>
  </si>
  <si>
    <t>DEV3219</t>
  </si>
  <si>
    <t>DEV4290</t>
  </si>
  <si>
    <t>DEV7437</t>
  </si>
  <si>
    <t>DEV2133</t>
  </si>
  <si>
    <t>DEV8851</t>
  </si>
  <si>
    <t>DEV6816</t>
  </si>
  <si>
    <t>DEV8586</t>
  </si>
  <si>
    <t>DEV6620</t>
  </si>
  <si>
    <t>DEV2885</t>
  </si>
  <si>
    <t>DEV4022</t>
  </si>
  <si>
    <t>DEV2025</t>
  </si>
  <si>
    <t>DEV7431</t>
  </si>
  <si>
    <t>DEV4908</t>
  </si>
  <si>
    <t>DEV9804</t>
  </si>
  <si>
    <t>DEV4196</t>
  </si>
  <si>
    <t>DEV4683</t>
  </si>
  <si>
    <t>DEV4580</t>
  </si>
  <si>
    <t>DEV4438</t>
  </si>
  <si>
    <t>DEV3758</t>
  </si>
  <si>
    <t>DEV3174</t>
  </si>
  <si>
    <t>DEV2525</t>
  </si>
  <si>
    <t>DEV6869</t>
  </si>
  <si>
    <t>DEV1793</t>
  </si>
  <si>
    <t>DEV5945</t>
  </si>
  <si>
    <t>DEV4836</t>
  </si>
  <si>
    <t>DEV6629</t>
  </si>
  <si>
    <t>DEV5902</t>
  </si>
  <si>
    <t>DEV8248</t>
  </si>
  <si>
    <t>DEV2380</t>
  </si>
  <si>
    <t>DEV4921</t>
  </si>
  <si>
    <t>DEV7895</t>
  </si>
  <si>
    <t>DEV9209</t>
  </si>
  <si>
    <t>DEV7401</t>
  </si>
  <si>
    <t>DEV3877</t>
  </si>
  <si>
    <t>DEV5403</t>
  </si>
  <si>
    <t>DEV6900</t>
  </si>
  <si>
    <t>DEV1721</t>
  </si>
  <si>
    <t>DEV8620</t>
  </si>
  <si>
    <t>DEV9083</t>
  </si>
  <si>
    <t>DEV7164</t>
  </si>
  <si>
    <t>DEV4792</t>
  </si>
  <si>
    <t>DEV2020</t>
  </si>
  <si>
    <t>DEV2223</t>
  </si>
  <si>
    <t>DEV6051</t>
  </si>
  <si>
    <t>DEV5066</t>
  </si>
  <si>
    <t>DEV2669</t>
  </si>
  <si>
    <t>DEV2056</t>
  </si>
  <si>
    <t>DEV7270</t>
  </si>
  <si>
    <t>DEV8848</t>
  </si>
  <si>
    <t>DEV6883</t>
  </si>
  <si>
    <t>DEV8728</t>
  </si>
  <si>
    <t>DEV6813</t>
  </si>
  <si>
    <t>DEV6063</t>
  </si>
  <si>
    <t>DEV3137</t>
  </si>
  <si>
    <t>DEV7481</t>
  </si>
  <si>
    <t>DEV6846</t>
  </si>
  <si>
    <t>DEV6213</t>
  </si>
  <si>
    <t>DEV6500</t>
  </si>
  <si>
    <t>DEV7875</t>
  </si>
  <si>
    <t>DEV1547</t>
  </si>
  <si>
    <t>DEV8909</t>
  </si>
  <si>
    <t>DEV9849</t>
  </si>
  <si>
    <t>DEV8005</t>
  </si>
  <si>
    <t>DEV7512</t>
  </si>
  <si>
    <t>DEV8204</t>
  </si>
  <si>
    <t>DEV1999</t>
  </si>
  <si>
    <t>DEV3832</t>
  </si>
  <si>
    <t>DEV2097</t>
  </si>
  <si>
    <t>DEV3451</t>
  </si>
  <si>
    <t>DEV7602</t>
  </si>
  <si>
    <t>DEV6094</t>
  </si>
  <si>
    <t>DEV2462</t>
  </si>
  <si>
    <t>DEV1474</t>
  </si>
  <si>
    <t>DEV9275</t>
  </si>
  <si>
    <t>DEV5237</t>
  </si>
  <si>
    <t>DEV5408</t>
  </si>
  <si>
    <t>DEV5511</t>
  </si>
  <si>
    <t>DEV7131</t>
  </si>
  <si>
    <t>DEV5895</t>
  </si>
  <si>
    <t>DEV3785</t>
  </si>
  <si>
    <t>DEV4641</t>
  </si>
  <si>
    <t>DEV2166</t>
  </si>
  <si>
    <t>DEV8496</t>
  </si>
  <si>
    <t>DEV4430</t>
  </si>
  <si>
    <t>DEV9745</t>
  </si>
  <si>
    <t>DEV6113</t>
  </si>
  <si>
    <t>DEV9587</t>
  </si>
  <si>
    <t>DEV1796</t>
  </si>
  <si>
    <t>DEV3508</t>
  </si>
  <si>
    <t>DEV2741</t>
  </si>
  <si>
    <t>DEV8875</t>
  </si>
  <si>
    <t>DEV4787</t>
  </si>
  <si>
    <t>DEV2898</t>
  </si>
  <si>
    <t>DEV3996</t>
  </si>
  <si>
    <t>DEV1960</t>
  </si>
  <si>
    <t>DEV2850</t>
  </si>
  <si>
    <t>DEV2560</t>
  </si>
  <si>
    <t>DEV9123</t>
  </si>
  <si>
    <t>DEV8521</t>
  </si>
  <si>
    <t>DEV1587</t>
  </si>
  <si>
    <t>DEV6439</t>
  </si>
  <si>
    <t>DEV9973</t>
  </si>
  <si>
    <t>DEV4209</t>
  </si>
  <si>
    <t>DEV9260</t>
  </si>
  <si>
    <t>DEV7347</t>
  </si>
  <si>
    <t>DEV7762</t>
  </si>
  <si>
    <t>DEV3913</t>
  </si>
  <si>
    <t>DEV9564</t>
  </si>
  <si>
    <t>DEV5835</t>
  </si>
  <si>
    <t>DEV7825</t>
  </si>
  <si>
    <t>DEV8353</t>
  </si>
  <si>
    <t>DEV5178</t>
  </si>
  <si>
    <t>DEV6866</t>
  </si>
  <si>
    <t>DEV4495</t>
  </si>
  <si>
    <t>DEV8301</t>
  </si>
  <si>
    <t>DEV8300</t>
  </si>
  <si>
    <t>DEV1889</t>
  </si>
  <si>
    <t>DEV2938</t>
  </si>
  <si>
    <t>DEV7249</t>
  </si>
  <si>
    <t>DEV7113</t>
  </si>
  <si>
    <t>DEV9397</t>
  </si>
  <si>
    <t>DEV2198</t>
  </si>
  <si>
    <t>DEV2143</t>
  </si>
  <si>
    <t>DEV1079</t>
  </si>
  <si>
    <t>DEV6004</t>
  </si>
  <si>
    <t>DEV1511</t>
  </si>
  <si>
    <t>DEV5767</t>
  </si>
  <si>
    <t>DEV3935</t>
  </si>
  <si>
    <t>DEV4387</t>
  </si>
  <si>
    <t>DEV3848</t>
  </si>
  <si>
    <t>DEV8898</t>
  </si>
  <si>
    <t>DEV6934</t>
  </si>
  <si>
    <t>DEV7732</t>
  </si>
  <si>
    <t>DEV3949</t>
  </si>
  <si>
    <t>DEV3338</t>
  </si>
  <si>
    <t>DEV3166</t>
  </si>
  <si>
    <t>DEV3135</t>
  </si>
  <si>
    <t>DEV6742</t>
  </si>
  <si>
    <t>DEV1089</t>
  </si>
  <si>
    <t>DEV5155</t>
  </si>
  <si>
    <t>DEV8925</t>
  </si>
  <si>
    <t>DEV7562</t>
  </si>
  <si>
    <t>DEV7075</t>
  </si>
  <si>
    <t>DEV4304</t>
  </si>
  <si>
    <t>DEV5520</t>
  </si>
  <si>
    <t>DEV6703</t>
  </si>
  <si>
    <t>DEV6570</t>
  </si>
  <si>
    <t>DEV1448</t>
  </si>
  <si>
    <t>DEV1159</t>
  </si>
  <si>
    <t>DEV2964</t>
  </si>
  <si>
    <t>DEV5591</t>
  </si>
  <si>
    <t>DEV8490</t>
  </si>
  <si>
    <t>DEV4885</t>
  </si>
  <si>
    <t>DEV8384</t>
  </si>
  <si>
    <t>DEV3676</t>
  </si>
  <si>
    <t>DEV2986</t>
  </si>
  <si>
    <t>DEV5694</t>
  </si>
  <si>
    <t>DEV5382</t>
  </si>
  <si>
    <t>DEV2311</t>
  </si>
  <si>
    <t>DEV3544</t>
  </si>
  <si>
    <t>DEV8126</t>
  </si>
  <si>
    <t>DEV1001</t>
  </si>
  <si>
    <t>DEV5799</t>
  </si>
  <si>
    <t>DEV7199</t>
  </si>
  <si>
    <t>DEV3988</t>
  </si>
  <si>
    <t>DEV1362</t>
  </si>
  <si>
    <t>DEV7885</t>
  </si>
  <si>
    <t>DEV9899</t>
  </si>
  <si>
    <t>DEV1549</t>
  </si>
  <si>
    <t>DEV1691</t>
  </si>
  <si>
    <t>DEV8113</t>
  </si>
  <si>
    <t>DEV5075</t>
  </si>
  <si>
    <t>DEV6189</t>
  </si>
  <si>
    <t>DEV5828</t>
  </si>
  <si>
    <t>DEV8362</t>
  </si>
  <si>
    <t>DEV6276</t>
  </si>
  <si>
    <t>DEV7366</t>
  </si>
  <si>
    <t>DEV1994</t>
  </si>
  <si>
    <t>DEV4784</t>
  </si>
  <si>
    <t>DEV6864</t>
  </si>
  <si>
    <t>DEV6319</t>
  </si>
  <si>
    <t>DEV7505</t>
  </si>
  <si>
    <t>DEV5521</t>
  </si>
  <si>
    <t>DEV2505</t>
  </si>
  <si>
    <t>DEV7251</t>
  </si>
  <si>
    <t>DEV9269</t>
  </si>
  <si>
    <t>DEV7529</t>
  </si>
  <si>
    <t>DEV5362</t>
  </si>
  <si>
    <t>DEV6729</t>
  </si>
  <si>
    <t>DEV3419</t>
  </si>
  <si>
    <t>DEV4288</t>
  </si>
  <si>
    <t>DEV7332</t>
  </si>
  <si>
    <t>DEV9673</t>
  </si>
  <si>
    <t>DEV2015</t>
  </si>
  <si>
    <t>DEV4726</t>
  </si>
  <si>
    <t>DEV4314</t>
  </si>
  <si>
    <t>DEV9732</t>
  </si>
  <si>
    <t>DEV3155</t>
  </si>
  <si>
    <t>DEV8680</t>
  </si>
  <si>
    <t>DEV9784</t>
  </si>
  <si>
    <t>DEV9456</t>
  </si>
  <si>
    <t>DEV9470</t>
  </si>
  <si>
    <t>DEV8387</t>
  </si>
  <si>
    <t>DEV3459</t>
  </si>
  <si>
    <t>DEV8794</t>
  </si>
  <si>
    <t>DEV1902</t>
  </si>
  <si>
    <t>DEV3906</t>
  </si>
  <si>
    <t>DEV3204</t>
  </si>
  <si>
    <t>DEV5705</t>
  </si>
  <si>
    <t>DEV4812</t>
  </si>
  <si>
    <t>DEV6468</t>
  </si>
  <si>
    <t>DEV6460</t>
  </si>
  <si>
    <t>DEV3224</t>
  </si>
  <si>
    <t>DEV6169</t>
  </si>
  <si>
    <t>DEV7382</t>
  </si>
  <si>
    <t>DEV9603</t>
  </si>
  <si>
    <t>DEV8921</t>
  </si>
  <si>
    <t>DEV2426</t>
  </si>
  <si>
    <t>DEV5695</t>
  </si>
  <si>
    <t>DEV6218</t>
  </si>
  <si>
    <t>DEV8712</t>
  </si>
  <si>
    <t>DEV4246</t>
  </si>
  <si>
    <t>DEV3354</t>
  </si>
  <si>
    <t>DEV8556</t>
  </si>
  <si>
    <t>DEV8552</t>
  </si>
  <si>
    <t>DEV9921</t>
  </si>
  <si>
    <t>DEV7648</t>
  </si>
  <si>
    <t>DEV3444</t>
  </si>
  <si>
    <t>DEV1133</t>
  </si>
  <si>
    <t>DEV4854</t>
  </si>
  <si>
    <t>DEV7301</t>
  </si>
  <si>
    <t>DEV3248</t>
  </si>
  <si>
    <t>DEV7959</t>
  </si>
  <si>
    <t>DEV7038</t>
  </si>
  <si>
    <t>DEV2279</t>
  </si>
  <si>
    <t>DEV5738</t>
  </si>
  <si>
    <t>DEV5699</t>
  </si>
  <si>
    <t>DEV3860</t>
  </si>
  <si>
    <t>DEV3376</t>
  </si>
  <si>
    <t>DEV7390</t>
  </si>
  <si>
    <t>DEV6797</t>
  </si>
  <si>
    <t>DEV3947</t>
  </si>
  <si>
    <t>DEV5641</t>
  </si>
  <si>
    <t>DEV3128</t>
  </si>
  <si>
    <t>DEV6298</t>
  </si>
  <si>
    <t>DEV9056</t>
  </si>
  <si>
    <t>DEV1571</t>
  </si>
  <si>
    <t>DEV6403</t>
  </si>
  <si>
    <t>DEV5750</t>
  </si>
  <si>
    <t>DEV8175</t>
  </si>
  <si>
    <t>DEV1268</t>
  </si>
  <si>
    <t>DEV2180</t>
  </si>
  <si>
    <t>DEV8474</t>
  </si>
  <si>
    <t>DEV7586</t>
  </si>
  <si>
    <t>DEV3314</t>
  </si>
  <si>
    <t>DEV7162</t>
  </si>
  <si>
    <t>DEV3079</t>
  </si>
  <si>
    <t>DEV2442</t>
  </si>
  <si>
    <t>DEV4592</t>
  </si>
  <si>
    <t>DEV1706</t>
  </si>
  <si>
    <t>DEV1859</t>
  </si>
  <si>
    <t>DEV6336</t>
  </si>
  <si>
    <t>DEV8936</t>
  </si>
  <si>
    <t>DEV6503</t>
  </si>
  <si>
    <t>DEV3568</t>
  </si>
  <si>
    <t>DEV1237</t>
  </si>
  <si>
    <t>DEV8711</t>
  </si>
  <si>
    <t>DEV7662</t>
  </si>
  <si>
    <t>DEV3271</t>
  </si>
  <si>
    <t>DEV9887</t>
  </si>
  <si>
    <t>DEV8624</t>
  </si>
  <si>
    <t>DEV8839</t>
  </si>
  <si>
    <t>DEV8412</t>
  </si>
  <si>
    <t>DEV1371</t>
  </si>
  <si>
    <t>DEV1361</t>
  </si>
  <si>
    <t>DEV3161</t>
  </si>
  <si>
    <t>DEV3634</t>
  </si>
  <si>
    <t>DEV9182</t>
  </si>
  <si>
    <t>DEV8243</t>
  </si>
  <si>
    <t>DEV2515</t>
  </si>
  <si>
    <t>DEV4185</t>
  </si>
  <si>
    <t>DEV5663</t>
  </si>
  <si>
    <t>DEV7944</t>
  </si>
  <si>
    <t>DEV2449</t>
  </si>
  <si>
    <t>DEV5742</t>
  </si>
  <si>
    <t>DEV8742</t>
  </si>
  <si>
    <t>DEV8144</t>
  </si>
  <si>
    <t>DEV6855</t>
  </si>
  <si>
    <t>DEV2548</t>
  </si>
  <si>
    <t>DEV9612</t>
  </si>
  <si>
    <t>DEV9570</t>
  </si>
  <si>
    <t>DEV3133</t>
  </si>
  <si>
    <t>DEV9412</t>
  </si>
  <si>
    <t>DEV4277</t>
  </si>
  <si>
    <t>DEV1229</t>
  </si>
  <si>
    <t>DEV6111</t>
  </si>
  <si>
    <t>DEV9055</t>
  </si>
  <si>
    <t>DEV4261</t>
  </si>
  <si>
    <t>DEV7626</t>
  </si>
  <si>
    <t>DEV1865</t>
  </si>
  <si>
    <t>DEV9064</t>
  </si>
  <si>
    <t>DEV7285</t>
  </si>
  <si>
    <t>DEV3203</t>
  </si>
  <si>
    <t>DEV7189</t>
  </si>
  <si>
    <t>DEV7235</t>
  </si>
  <si>
    <t>DEV5995</t>
  </si>
  <si>
    <t>DEV8695</t>
  </si>
  <si>
    <t>DEV6563</t>
  </si>
  <si>
    <t>DEV5871</t>
  </si>
  <si>
    <t>DEV2256</t>
  </si>
  <si>
    <t>DEV9457</t>
  </si>
  <si>
    <t>DEV4938</t>
  </si>
  <si>
    <t>DEV4868</t>
  </si>
  <si>
    <t>DEV1606</t>
  </si>
  <si>
    <t>DEV2375</t>
  </si>
  <si>
    <t>DEV9196</t>
  </si>
  <si>
    <t>DEV3363</t>
  </si>
  <si>
    <t>DEV7943</t>
  </si>
  <si>
    <t>DEV4926</t>
  </si>
  <si>
    <t>DEV4857</t>
  </si>
  <si>
    <t>DEV7920</t>
  </si>
  <si>
    <t>DEV1853</t>
  </si>
  <si>
    <t>DEV9460</t>
  </si>
  <si>
    <t>DEV7791</t>
  </si>
  <si>
    <t>DEV5289</t>
  </si>
  <si>
    <t>DEV8433</t>
  </si>
  <si>
    <t>DEV5636</t>
  </si>
  <si>
    <t>DEV8506</t>
  </si>
  <si>
    <t>DEV1962</t>
  </si>
  <si>
    <t>DEV9690</t>
  </si>
  <si>
    <t>DEV5312</t>
  </si>
  <si>
    <t>DEV3435</t>
  </si>
  <si>
    <t>DEV8949</t>
  </si>
  <si>
    <t>DEV4479</t>
  </si>
  <si>
    <t>DEV2998</t>
  </si>
  <si>
    <t>DEV1095</t>
  </si>
  <si>
    <t>DEV2158</t>
  </si>
  <si>
    <t>DEV7365</t>
  </si>
  <si>
    <t>DEV2574</t>
  </si>
  <si>
    <t>DEV8112</t>
  </si>
  <si>
    <t>DEV9596</t>
  </si>
  <si>
    <t>DEV5841</t>
  </si>
  <si>
    <t>DEV2339</t>
  </si>
  <si>
    <t>DEV8454</t>
  </si>
  <si>
    <t>DEV6910</t>
  </si>
  <si>
    <t>DEV3378</t>
  </si>
  <si>
    <t>DEV3497</t>
  </si>
  <si>
    <t>DEV2682</t>
  </si>
  <si>
    <t>DEV9655</t>
  </si>
  <si>
    <t>DEV6681</t>
  </si>
  <si>
    <t>DEV8675</t>
  </si>
  <si>
    <t>DEV2412</t>
  </si>
  <si>
    <t>DEV2977</t>
  </si>
  <si>
    <t>DEV2706</t>
  </si>
  <si>
    <t>DEV5019</t>
  </si>
  <si>
    <t>DEV7909</t>
  </si>
  <si>
    <t>DEV9476</t>
  </si>
  <si>
    <t>DEV9516</t>
  </si>
  <si>
    <t>DEV4360</t>
  </si>
  <si>
    <t>DEV5651</t>
  </si>
  <si>
    <t>DEV7926</t>
  </si>
  <si>
    <t>DEV1085</t>
  </si>
  <si>
    <t>DEV5057</t>
  </si>
  <si>
    <t>DEV7961</t>
  </si>
  <si>
    <t>DEV7937</t>
  </si>
  <si>
    <t>DEV8461</t>
  </si>
  <si>
    <t>DEV1659</t>
  </si>
  <si>
    <t>DEV1797</t>
  </si>
  <si>
    <t>DEV6074</t>
  </si>
  <si>
    <t>DEV6328</t>
  </si>
  <si>
    <t>DEV3713</t>
  </si>
  <si>
    <t>DEV1305</t>
  </si>
  <si>
    <t>DEV1737</t>
  </si>
  <si>
    <t>DEV9876</t>
  </si>
  <si>
    <t>DEV3973</t>
  </si>
  <si>
    <t>DEV4925</t>
  </si>
  <si>
    <t>DEV7676</t>
  </si>
  <si>
    <t>DEV9199</t>
  </si>
  <si>
    <t>DEV5739</t>
  </si>
  <si>
    <t>DEV9750</t>
  </si>
  <si>
    <t>DEV6215</t>
  </si>
  <si>
    <t>DEV3190</t>
  </si>
  <si>
    <t>DEV2270</t>
  </si>
  <si>
    <t>DEV7069</t>
  </si>
  <si>
    <t>DEV9090</t>
  </si>
  <si>
    <t>DEV9093</t>
  </si>
  <si>
    <t>DEV1378</t>
  </si>
  <si>
    <t>DEV5489</t>
  </si>
  <si>
    <t>DEV7420</t>
  </si>
  <si>
    <t>DEV2584</t>
  </si>
  <si>
    <t>DEV4878</t>
  </si>
  <si>
    <t>DEV1897</t>
  </si>
  <si>
    <t>DEV1173</t>
  </si>
  <si>
    <t>DEV2769</t>
  </si>
  <si>
    <t>DEV3255</t>
  </si>
  <si>
    <t>DEV6618</t>
  </si>
  <si>
    <t>DEV4282</t>
  </si>
  <si>
    <t>DEV3658</t>
  </si>
  <si>
    <t>DEV6431</t>
  </si>
  <si>
    <t>DEV3925</t>
  </si>
  <si>
    <t>DEV7196</t>
  </si>
  <si>
    <t>DEV1872</t>
  </si>
  <si>
    <t>DEV4325</t>
  </si>
  <si>
    <t>DEV3200</t>
  </si>
  <si>
    <t>DEV8086</t>
  </si>
  <si>
    <t>DEV9220</t>
  </si>
  <si>
    <t>DEV5096</t>
  </si>
  <si>
    <t>DEV1194</t>
  </si>
  <si>
    <t>DEV6129</t>
  </si>
  <si>
    <t>DEV1158</t>
  </si>
  <si>
    <t>DEV1527</t>
  </si>
  <si>
    <t>DEV8397</t>
  </si>
  <si>
    <t>DEV7322</t>
  </si>
  <si>
    <t>DEV3572</t>
  </si>
  <si>
    <t>DEV8778</t>
  </si>
  <si>
    <t>DEV5044</t>
  </si>
  <si>
    <t>DEV5873</t>
  </si>
  <si>
    <t>DEV4927</t>
  </si>
  <si>
    <t>DEV7041</t>
  </si>
  <si>
    <t>DEV8567</t>
  </si>
  <si>
    <t>DEV8606</t>
  </si>
  <si>
    <t>DEV2646</t>
  </si>
  <si>
    <t>DEV3915</t>
  </si>
  <si>
    <t>DEV8274</t>
  </si>
  <si>
    <t>DEV6523</t>
  </si>
  <si>
    <t>DEV4105</t>
  </si>
  <si>
    <t>DEV6181</t>
  </si>
  <si>
    <t>DEV7735</t>
  </si>
  <si>
    <t>DEV6209</t>
  </si>
  <si>
    <t>DEV1621</t>
  </si>
  <si>
    <t>DEV6427</t>
  </si>
  <si>
    <t>DEV1099</t>
  </si>
  <si>
    <t>DEV7983</t>
  </si>
  <si>
    <t>DEV2310</t>
  </si>
  <si>
    <t>DEV8002</t>
  </si>
  <si>
    <t>DEV8878</t>
  </si>
  <si>
    <t>DEV7465</t>
  </si>
  <si>
    <t>DEV6711</t>
  </si>
  <si>
    <t>DEV1462</t>
  </si>
  <si>
    <t>DEV7297</t>
  </si>
  <si>
    <t>DEV2456</t>
  </si>
  <si>
    <t>DEV7845</t>
  </si>
  <si>
    <t>DEV2806</t>
  </si>
  <si>
    <t>DEV2789</t>
  </si>
  <si>
    <t>DEV2651</t>
  </si>
  <si>
    <t>DEV8036</t>
  </si>
  <si>
    <t>DEV1050</t>
  </si>
  <si>
    <t>DEV8785</t>
  </si>
  <si>
    <t>DEV8938</t>
  </si>
  <si>
    <t>DEV1478</t>
  </si>
  <si>
    <t>DEV9060</t>
  </si>
  <si>
    <t>DEV2895</t>
  </si>
  <si>
    <t>DEV1027</t>
  </si>
  <si>
    <t>DEV1150</t>
  </si>
  <si>
    <t>DEV1562</t>
  </si>
  <si>
    <t>DEV7171</t>
  </si>
  <si>
    <t>DEV1353</t>
  </si>
  <si>
    <t>DEV9978</t>
  </si>
  <si>
    <t>DEV4436</t>
  </si>
  <si>
    <t>DEV1922</t>
  </si>
  <si>
    <t>DEV2946</t>
  </si>
  <si>
    <t>DEV5509</t>
  </si>
  <si>
    <t>DEV8856</t>
  </si>
  <si>
    <t>DEV9806</t>
  </si>
  <si>
    <t>DEV3960</t>
  </si>
  <si>
    <t>DEV1573</t>
  </si>
  <si>
    <t>DEV5807</t>
  </si>
  <si>
    <t>DEV4081</t>
  </si>
  <si>
    <t>DEV5270</t>
  </si>
  <si>
    <t>DEV5413</t>
  </si>
  <si>
    <t>DEV5483</t>
  </si>
  <si>
    <t>DEV6716</t>
  </si>
  <si>
    <t>DEV7597</t>
  </si>
  <si>
    <t>DEV5081</t>
  </si>
  <si>
    <t>DEV4748</t>
  </si>
  <si>
    <t>DEV2385</t>
  </si>
  <si>
    <t>DEV4115</t>
  </si>
  <si>
    <t>DEV9577</t>
  </si>
  <si>
    <t>DEV5092</t>
  </si>
  <si>
    <t>DEV9446</t>
  </si>
  <si>
    <t>DEV4050</t>
  </si>
  <si>
    <t>DEV1113</t>
  </si>
  <si>
    <t>DEV8198</t>
  </si>
  <si>
    <t>DEV6426</t>
  </si>
  <si>
    <t>DEV7370</t>
  </si>
  <si>
    <t>DEV8039</t>
  </si>
  <si>
    <t>DEV2884</t>
  </si>
  <si>
    <t>DEV3436</t>
  </si>
  <si>
    <t>DEV7673</t>
  </si>
  <si>
    <t>DEV6956</t>
  </si>
  <si>
    <t>DEV5590</t>
  </si>
  <si>
    <t>DEV6920</t>
  </si>
  <si>
    <t>DEV4120</t>
  </si>
  <si>
    <t>DEV4140</t>
  </si>
  <si>
    <t>DEV9255</t>
  </si>
  <si>
    <t>DEV9723</t>
  </si>
  <si>
    <t>DEV3621</t>
  </si>
  <si>
    <t>DEV5399</t>
  </si>
  <si>
    <t>DEV5079</t>
  </si>
  <si>
    <t>DEV5831</t>
  </si>
  <si>
    <t>DEV5216</t>
  </si>
  <si>
    <t>DEV5621</t>
  </si>
  <si>
    <t>DEV9630</t>
  </si>
  <si>
    <t>DEV5385</t>
  </si>
  <si>
    <t>DEV8846</t>
  </si>
  <si>
    <t>DEV3323</t>
  </si>
  <si>
    <t>DEV2804</t>
  </si>
  <si>
    <t>DEV3917</t>
  </si>
  <si>
    <t>DEV9179</t>
  </si>
  <si>
    <t>DEV2854</t>
  </si>
  <si>
    <t>DEV7911</t>
  </si>
  <si>
    <t>DEV1976</t>
  </si>
  <si>
    <t>DEV3257</t>
  </si>
  <si>
    <t>DEV1494</t>
  </si>
  <si>
    <t>DEV3295</t>
  </si>
  <si>
    <t>DEV5453</t>
  </si>
  <si>
    <t>DEV7637</t>
  </si>
  <si>
    <t>DEV3666</t>
  </si>
  <si>
    <t>DEV1735</t>
  </si>
  <si>
    <t>DEV6152</t>
  </si>
  <si>
    <t>DEV8814</t>
  </si>
  <si>
    <t>DEV3307</t>
  </si>
  <si>
    <t>DEV2228</t>
  </si>
  <si>
    <t>DEV6139</t>
  </si>
  <si>
    <t>DEV8242</t>
  </si>
  <si>
    <t>DEV6138</t>
  </si>
  <si>
    <t>DEV1130</t>
  </si>
  <si>
    <t>DEV9767</t>
  </si>
  <si>
    <t>DEV8967</t>
  </si>
  <si>
    <t>DEV7230</t>
  </si>
  <si>
    <t>DEV3885</t>
  </si>
  <si>
    <t>DEV4015</t>
  </si>
  <si>
    <t>DEV6811</t>
  </si>
  <si>
    <t>DEV8514</t>
  </si>
  <si>
    <t>DEV2596</t>
  </si>
  <si>
    <t>DEV1265</t>
  </si>
  <si>
    <t>DEV8517</t>
  </si>
  <si>
    <t>DEV2625</t>
  </si>
  <si>
    <t>DEV1534</t>
  </si>
  <si>
    <t>DEV7484</t>
  </si>
  <si>
    <t>DEV1535</t>
  </si>
  <si>
    <t>DEV4156</t>
  </si>
  <si>
    <t>DEV3069</t>
  </si>
  <si>
    <t>DEV3507</t>
  </si>
  <si>
    <t>DEV5864</t>
  </si>
  <si>
    <t>DEV3010</t>
  </si>
  <si>
    <t>DEV1359</t>
  </si>
  <si>
    <t>DEV1166</t>
  </si>
  <si>
    <t>DEV1484</t>
  </si>
  <si>
    <t>DEV3073</t>
  </si>
  <si>
    <t>DEV4163</t>
  </si>
  <si>
    <t>DEV8309</t>
  </si>
  <si>
    <t>DEV9378</t>
  </si>
  <si>
    <t>DEV2190</t>
  </si>
  <si>
    <t>DEV6268</t>
  </si>
  <si>
    <t>DEV6206</t>
  </si>
  <si>
    <t>DEV6355</t>
  </si>
  <si>
    <t>DEV7599</t>
  </si>
  <si>
    <t>DEV7559</t>
  </si>
  <si>
    <t>DEV1479</t>
  </si>
  <si>
    <t>DEV1080</t>
  </si>
  <si>
    <t>DEV9548</t>
  </si>
  <si>
    <t>DEV2356</t>
  </si>
  <si>
    <t>DEV8989</t>
  </si>
  <si>
    <t>DEV6957</t>
  </si>
  <si>
    <t>DEV2377</t>
  </si>
  <si>
    <t>DEV7267</t>
  </si>
  <si>
    <t>DEV5078</t>
  </si>
  <si>
    <t>DEV2659</t>
  </si>
  <si>
    <t>DEV9245</t>
  </si>
  <si>
    <t>DEV8775</t>
  </si>
  <si>
    <t>DEV9000</t>
  </si>
  <si>
    <t>DEV6499</t>
  </si>
  <si>
    <t>DEV6467</t>
  </si>
  <si>
    <t>DEV5003</t>
  </si>
  <si>
    <t>DEV6715</t>
  </si>
  <si>
    <t>DEV6685</t>
  </si>
  <si>
    <t>DEV2058</t>
  </si>
  <si>
    <t>DEV1010</t>
  </si>
  <si>
    <t>DEV5764</t>
  </si>
  <si>
    <t>DEV3839</t>
  </si>
  <si>
    <t>DEV8555</t>
  </si>
  <si>
    <t>DEV8643</t>
  </si>
  <si>
    <t>DEV5426</t>
  </si>
  <si>
    <t>DEV1000</t>
  </si>
  <si>
    <t>DEV5913</t>
  </si>
  <si>
    <t>DEV1354</t>
  </si>
  <si>
    <t>DEV5508</t>
  </si>
  <si>
    <t>DEV5960</t>
  </si>
  <si>
    <t>DEV4453</t>
  </si>
  <si>
    <t>DEV5963</t>
  </si>
  <si>
    <t>DEV4876</t>
  </si>
  <si>
    <t>DEV1482</t>
  </si>
  <si>
    <t>DEV5687</t>
  </si>
  <si>
    <t>DEV8761</t>
  </si>
  <si>
    <t>DEV5886</t>
  </si>
  <si>
    <t>DEV2113</t>
  </si>
  <si>
    <t>DEV1491</t>
  </si>
  <si>
    <t>DEV2194</t>
  </si>
  <si>
    <t>DEV9316</t>
  </si>
  <si>
    <t>DEV1296</t>
  </si>
  <si>
    <t>DEV7024</t>
  </si>
  <si>
    <t>DEV5094</t>
  </si>
  <si>
    <t>DEV7517</t>
  </si>
  <si>
    <t>DEV5959</t>
  </si>
  <si>
    <t>DEV8966</t>
  </si>
  <si>
    <t>DEV8213</t>
  </si>
  <si>
    <t>DEV7290</t>
  </si>
  <si>
    <t>DEV1512</t>
  </si>
  <si>
    <t>DEV7358</t>
  </si>
  <si>
    <t>DEV5495</t>
  </si>
  <si>
    <t>DEV6259</t>
  </si>
  <si>
    <t>DEV2303</t>
  </si>
  <si>
    <t>DEV3858</t>
  </si>
  <si>
    <t>DEV4734</t>
  </si>
  <si>
    <t>DEV4882</t>
  </si>
  <si>
    <t>DEV6488</t>
  </si>
  <si>
    <t>DEV9982</t>
  </si>
  <si>
    <t>DEV2252</t>
  </si>
  <si>
    <t>DEV3263</t>
  </si>
  <si>
    <t>DEV1392</t>
  </si>
  <si>
    <t>DEV6515</t>
  </si>
  <si>
    <t>DEV3205</t>
  </si>
  <si>
    <t>DEV9082</t>
  </si>
  <si>
    <t>DEV4451</t>
  </si>
  <si>
    <t>DEV5726</t>
  </si>
  <si>
    <t>DEV9844</t>
  </si>
  <si>
    <t>DEV8435</t>
  </si>
  <si>
    <t>DEV4644</t>
  </si>
  <si>
    <t>DEV2645</t>
  </si>
  <si>
    <t>DEV3481</t>
  </si>
  <si>
    <t>DEV9039</t>
  </si>
  <si>
    <t>DEV3950</t>
  </si>
  <si>
    <t>DEV7874</t>
  </si>
  <si>
    <t>DEV5286</t>
  </si>
  <si>
    <t>DEV6054</t>
  </si>
  <si>
    <t>DEV1326</t>
  </si>
  <si>
    <t>DEV4757</t>
  </si>
  <si>
    <t>DEV9216</t>
  </si>
  <si>
    <t>DEV3025</t>
  </si>
  <si>
    <t>DEV9875</t>
  </si>
  <si>
    <t>DEV2633</t>
  </si>
  <si>
    <t>DEV9300</t>
  </si>
  <si>
    <t>DEV8325</t>
  </si>
  <si>
    <t>DEV5095</t>
  </si>
  <si>
    <t>DEV6266</t>
  </si>
  <si>
    <t>DEV8913</t>
  </si>
  <si>
    <t>DEV2862</t>
  </si>
  <si>
    <t>DEV8134</t>
  </si>
  <si>
    <t>DEV4450</t>
  </si>
  <si>
    <t>DEV4074</t>
  </si>
  <si>
    <t>DEV4703</t>
  </si>
  <si>
    <t>DEV4319</t>
  </si>
  <si>
    <t>DEV5542</t>
  </si>
  <si>
    <t>DEV1004</t>
  </si>
  <si>
    <t>DEV7181</t>
  </si>
  <si>
    <t>DEV3341</t>
  </si>
  <si>
    <t>DEV7948</t>
  </si>
  <si>
    <t>DEV1498</t>
  </si>
  <si>
    <t>DEV3772</t>
  </si>
  <si>
    <t>DEV8264</t>
  </si>
  <si>
    <t>DEV6745</t>
  </si>
  <si>
    <t>DEV1329</t>
  </si>
  <si>
    <t>DEV7214</t>
  </si>
  <si>
    <t>DEV8202</t>
  </si>
  <si>
    <t>DEV3551</t>
  </si>
  <si>
    <t>DEV5230</t>
  </si>
  <si>
    <t>DEV1554</t>
  </si>
  <si>
    <t>DEV8906</t>
  </si>
  <si>
    <t>DEV3726</t>
  </si>
  <si>
    <t>DEV3708</t>
  </si>
  <si>
    <t>DEV5009</t>
  </si>
  <si>
    <t>DEV8593</t>
  </si>
  <si>
    <t>DEV6683</t>
  </si>
  <si>
    <t>DEV7337</t>
  </si>
  <si>
    <t>DEV2661</t>
  </si>
  <si>
    <t>DEV7962</t>
  </si>
  <si>
    <t>DEV9711</t>
  </si>
  <si>
    <t>DEV5615</t>
  </si>
  <si>
    <t>DEV5378</t>
  </si>
  <si>
    <t>DEV7491</t>
  </si>
  <si>
    <t>DEV4999</t>
  </si>
  <si>
    <t>DEV5275</t>
  </si>
  <si>
    <t>DEV1749</t>
  </si>
  <si>
    <t>DEV6212</t>
  </si>
  <si>
    <t>DEV6386</t>
  </si>
  <si>
    <t>DEV9720</t>
  </si>
  <si>
    <t>DEV5981</t>
  </si>
  <si>
    <t>DEV9040</t>
  </si>
  <si>
    <t>DEV7571</t>
  </si>
  <si>
    <t>DEV9107</t>
  </si>
  <si>
    <t>DEV7280</t>
  </si>
  <si>
    <t>DEV7046</t>
  </si>
  <si>
    <t>DEV8268</t>
  </si>
  <si>
    <t>DEV7657</t>
  </si>
  <si>
    <t>DEV1979</t>
  </si>
  <si>
    <t>DEV3391</t>
  </si>
  <si>
    <t>DEV6407</t>
  </si>
  <si>
    <t>DEV5992</t>
  </si>
  <si>
    <t>DEV6149</t>
  </si>
  <si>
    <t>DEV4382</t>
  </si>
  <si>
    <t>DEV1538</t>
  </si>
  <si>
    <t>DEV9567</t>
  </si>
  <si>
    <t>DEV4113</t>
  </si>
  <si>
    <t>DEV1836</t>
  </si>
  <si>
    <t>DEV1157</t>
  </si>
  <si>
    <t>DEV6384</t>
  </si>
  <si>
    <t>DEV8988</t>
  </si>
  <si>
    <t>DEV9824</t>
  </si>
  <si>
    <t>DEV4445</t>
  </si>
  <si>
    <t>DEV7830</t>
  </si>
  <si>
    <t>DEV7447</t>
  </si>
  <si>
    <t>DEV4417</t>
  </si>
  <si>
    <t>DEV8210</t>
  </si>
  <si>
    <t>DEV8979</t>
  </si>
  <si>
    <t>DEV8730</t>
  </si>
  <si>
    <t>DEV6263</t>
  </si>
  <si>
    <t>DEV7730</t>
  </si>
  <si>
    <t>DEV5630</t>
  </si>
  <si>
    <t>DEV4127</t>
  </si>
  <si>
    <t>DEV8084</t>
  </si>
  <si>
    <t>DEV6351</t>
  </si>
  <si>
    <t>DEV1646</t>
  </si>
  <si>
    <t>DEV6821</t>
  </si>
  <si>
    <t>DEV8185</t>
  </si>
  <si>
    <t>DEV9013</t>
  </si>
  <si>
    <t>DEV2834</t>
  </si>
  <si>
    <t>DEV3297</t>
  </si>
  <si>
    <t>DEV3975</t>
  </si>
  <si>
    <t>DEV6432</t>
  </si>
  <si>
    <t>DEV6712</t>
  </si>
  <si>
    <t>DEV1011</t>
  </si>
  <si>
    <t>DEV4215</t>
  </si>
  <si>
    <t>DEV7140</t>
  </si>
  <si>
    <t>DEV1191</t>
  </si>
  <si>
    <t>DEV2034</t>
  </si>
  <si>
    <t>DEV5844</t>
  </si>
  <si>
    <t>DEV1273</t>
  </si>
  <si>
    <t>DEV7901</t>
  </si>
  <si>
    <t>DEV2094</t>
  </si>
  <si>
    <t>DEV7865</t>
  </si>
  <si>
    <t>DEV5513</t>
  </si>
  <si>
    <t>DEV3759</t>
  </si>
  <si>
    <t>DEV8085</t>
  </si>
  <si>
    <t>DEV2656</t>
  </si>
  <si>
    <t>DEV7268</t>
  </si>
  <si>
    <t>DEV8212</t>
  </si>
  <si>
    <t>DEV1464</t>
  </si>
  <si>
    <t>DEV9966</t>
  </si>
  <si>
    <t>DEV2481</t>
  </si>
  <si>
    <t>DEV3608</t>
  </si>
  <si>
    <t>DEV2244</t>
  </si>
  <si>
    <t>DEV5815</t>
  </si>
  <si>
    <t>DEV4587</t>
  </si>
  <si>
    <t>DEV4149</t>
  </si>
  <si>
    <t>DEV4845</t>
  </si>
  <si>
    <t>DEV4732</t>
  </si>
  <si>
    <t>DEV8347</t>
  </si>
  <si>
    <t>DEV9041</t>
  </si>
  <si>
    <t>DEV3938</t>
  </si>
  <si>
    <t>DEV8772</t>
  </si>
  <si>
    <t>DEV7576</t>
  </si>
  <si>
    <t>DEV2564</t>
  </si>
  <si>
    <t>DEV9162</t>
  </si>
  <si>
    <t>DEV1635</t>
  </si>
  <si>
    <t>DEV3543</t>
  </si>
  <si>
    <t>DEV6251</t>
  </si>
  <si>
    <t>DEV2349</t>
  </si>
  <si>
    <t>DEV9810</t>
  </si>
  <si>
    <t>DEV4630</t>
  </si>
  <si>
    <t>DEV5758</t>
  </si>
  <si>
    <t>DEV8998</t>
  </si>
  <si>
    <t>DEV2089</t>
  </si>
  <si>
    <t>DEV4311</t>
  </si>
  <si>
    <t>DEV2104</t>
  </si>
  <si>
    <t>DEV1232</t>
  </si>
  <si>
    <t>DEV2042</t>
  </si>
  <si>
    <t>DEV3348</t>
  </si>
  <si>
    <t>DEV3350</t>
  </si>
  <si>
    <t>DEV2211</t>
  </si>
  <si>
    <t>DEV1343</t>
  </si>
  <si>
    <t>DEV4409</t>
  </si>
  <si>
    <t>DEV5030</t>
  </si>
  <si>
    <t>DEV3315</t>
  </si>
  <si>
    <t>DEV3954</t>
  </si>
  <si>
    <t>DEV3468</t>
  </si>
  <si>
    <t>DEV1351</t>
  </si>
  <si>
    <t>DEV8289</t>
  </si>
  <si>
    <t>DEV3979</t>
  </si>
  <si>
    <t>DEV4229</t>
  </si>
  <si>
    <t>DEV5470</t>
  </si>
  <si>
    <t>DEV7226</t>
  </si>
  <si>
    <t>DEV3168</t>
  </si>
  <si>
    <t>DEV1376</t>
  </si>
  <si>
    <t>DEV1220</t>
  </si>
  <si>
    <t>DEV2500</t>
  </si>
  <si>
    <t>DEV4102</t>
  </si>
  <si>
    <t>DEV5676</t>
  </si>
  <si>
    <t>DEV2028</t>
  </si>
  <si>
    <t>DEV6922</t>
  </si>
  <si>
    <t>DEV9944</t>
  </si>
  <si>
    <t>DEV3501</t>
  </si>
  <si>
    <t>DEV3830</t>
  </si>
  <si>
    <t>DEV5972</t>
  </si>
  <si>
    <t>DEV2096</t>
  </si>
  <si>
    <t>DEV3598</t>
  </si>
  <si>
    <t>DEV6582</t>
  </si>
  <si>
    <t>DEV8696</t>
  </si>
  <si>
    <t>DEV3394</t>
  </si>
  <si>
    <t>DEV4193</t>
  </si>
  <si>
    <t>DEV7904</t>
  </si>
  <si>
    <t>DEV7144</t>
  </si>
  <si>
    <t>DEV1645</t>
  </si>
  <si>
    <t>DEV6850</t>
  </si>
  <si>
    <t>DEV4395</t>
  </si>
  <si>
    <t>DEV2320</t>
  </si>
  <si>
    <t>DEV9370</t>
  </si>
  <si>
    <t>DEV9385</t>
  </si>
  <si>
    <t>DEV4511</t>
  </si>
  <si>
    <t>DEV4545</t>
  </si>
  <si>
    <t>DEV5675</t>
  </si>
  <si>
    <t>DEV1366</t>
  </si>
  <si>
    <t>DEV1497</t>
  </si>
  <si>
    <t>DEV8859</t>
  </si>
  <si>
    <t>DEV1031</t>
  </si>
  <si>
    <t>DEV7115</t>
  </si>
  <si>
    <t>DEV9102</t>
  </si>
  <si>
    <t>DEV3691</t>
  </si>
  <si>
    <t>DEV2833</t>
  </si>
  <si>
    <t>DEV6332</t>
  </si>
  <si>
    <t>DEV8432</t>
  </si>
  <si>
    <t>DEV4428</t>
  </si>
  <si>
    <t>DEV2948</t>
  </si>
  <si>
    <t>DEV1686</t>
  </si>
  <si>
    <t>DEV6751</t>
  </si>
  <si>
    <t>DEV6527</t>
  </si>
  <si>
    <t>DEV2132</t>
  </si>
  <si>
    <t>DEV1093</t>
  </si>
  <si>
    <t>DEV2902</t>
  </si>
  <si>
    <t>DEV2742</t>
  </si>
  <si>
    <t>DEV4985</t>
  </si>
  <si>
    <t>DEV4039</t>
  </si>
  <si>
    <t>DEV9359</t>
  </si>
  <si>
    <t>DEV9353</t>
  </si>
  <si>
    <t>DEV9348</t>
  </si>
  <si>
    <t>DEV3384</t>
  </si>
  <si>
    <t>DEV9379</t>
  </si>
  <si>
    <t>DEV5394</t>
  </si>
  <si>
    <t>DEV9481</t>
  </si>
  <si>
    <t>DEV9521</t>
  </si>
  <si>
    <t>DEV7416</t>
  </si>
  <si>
    <t>DEV2770</t>
  </si>
  <si>
    <t>DEV2760</t>
  </si>
  <si>
    <t>DEV5541</t>
  </si>
  <si>
    <t>DEV7279</t>
  </si>
  <si>
    <t>DEV2644</t>
  </si>
  <si>
    <t>DEV2267</t>
  </si>
  <si>
    <t>DEV8296</t>
  </si>
  <si>
    <t>DEV9473</t>
  </si>
  <si>
    <t>DEV1820</t>
  </si>
  <si>
    <t>DEV3730</t>
  </si>
  <si>
    <t>DEV2262</t>
  </si>
  <si>
    <t>DEV5024</t>
  </si>
  <si>
    <t>DEV3554</t>
  </si>
  <si>
    <t>DEV1692</t>
  </si>
  <si>
    <t>DEV9514</t>
  </si>
  <si>
    <t>DEV3411</t>
  </si>
  <si>
    <t>DEV8640</t>
  </si>
  <si>
    <t>DEV6743</t>
  </si>
  <si>
    <t>DEV6430</t>
  </si>
  <si>
    <t>DEV9537</t>
  </si>
  <si>
    <t>DEV8100</t>
  </si>
  <si>
    <t>DEV4216</t>
  </si>
  <si>
    <t>DEV7841</t>
  </si>
  <si>
    <t>DEV9520</t>
  </si>
  <si>
    <t>DEV7551</t>
  </si>
  <si>
    <t>DEV7650</t>
  </si>
  <si>
    <t>DEV7640</t>
  </si>
  <si>
    <t>DEV1139</t>
  </si>
  <si>
    <t>DEV6853</t>
  </si>
  <si>
    <t>DEV7403</t>
  </si>
  <si>
    <t>DEV9435</t>
  </si>
  <si>
    <t>DEV6020</t>
  </si>
  <si>
    <t>DEV2928</t>
  </si>
  <si>
    <t>DEV3008</t>
  </si>
  <si>
    <t>DEV4014</t>
  </si>
  <si>
    <t>DEV3957</t>
  </si>
  <si>
    <t>DEV9273</t>
  </si>
  <si>
    <t>DEV6449</t>
  </si>
  <si>
    <t>DEV8360</t>
  </si>
  <si>
    <t>DEV7504</t>
  </si>
  <si>
    <t>DEV4496</t>
  </si>
  <si>
    <t>DEV5023</t>
  </si>
  <si>
    <t>DEV3685</t>
  </si>
  <si>
    <t>DEV3932</t>
  </si>
  <si>
    <t>DEV6787</t>
  </si>
  <si>
    <t>DEV6604</t>
  </si>
  <si>
    <t>DEV8920</t>
  </si>
  <si>
    <t>DEV1060</t>
  </si>
  <si>
    <t>DEV9528</t>
  </si>
  <si>
    <t>DEV6194</t>
  </si>
  <si>
    <t>DEV5598</t>
  </si>
  <si>
    <t>DEV4027</t>
  </si>
  <si>
    <t>DEV4478</t>
  </si>
  <si>
    <t>DEV5874</t>
  </si>
  <si>
    <t>DEV1065</t>
  </si>
  <si>
    <t>DEV4033</t>
  </si>
  <si>
    <t>DEV9568</t>
  </si>
  <si>
    <t>DEV7627</t>
  </si>
  <si>
    <t>DEV9153</t>
  </si>
  <si>
    <t>DEV1658</t>
  </si>
  <si>
    <t>DEV2814</t>
  </si>
  <si>
    <t>DEV7205</t>
  </si>
  <si>
    <t>DEV8167</t>
  </si>
  <si>
    <t>DEV2809</t>
  </si>
  <si>
    <t>DEV4675</t>
  </si>
  <si>
    <t>DEV8961</t>
  </si>
  <si>
    <t>DEV6082</t>
  </si>
  <si>
    <t>DEV5455</t>
  </si>
  <si>
    <t>DEV6847</t>
  </si>
  <si>
    <t>DEV4789</t>
  </si>
  <si>
    <t>DEV4514</t>
  </si>
  <si>
    <t>DEV7747</t>
  </si>
  <si>
    <t>DEV4238</t>
  </si>
  <si>
    <t>DEV8074</t>
  </si>
  <si>
    <t>DEV4469</t>
  </si>
  <si>
    <t>DEV9730</t>
  </si>
  <si>
    <t>DEV7152</t>
  </si>
  <si>
    <t>DEV3215</t>
  </si>
  <si>
    <t>DEV2369</t>
  </si>
  <si>
    <t>DEV2464</t>
  </si>
  <si>
    <t>DEV5527</t>
  </si>
  <si>
    <t>DEV8877</t>
  </si>
  <si>
    <t>DEV5749</t>
  </si>
  <si>
    <t>DEV3467</t>
  </si>
  <si>
    <t>DEV1045</t>
  </si>
  <si>
    <t>DEV3014</t>
  </si>
  <si>
    <t>DEV9615</t>
  </si>
  <si>
    <t>DEV3537</t>
  </si>
  <si>
    <t>DEV1339</t>
  </si>
  <si>
    <t>DEV7392</t>
  </si>
  <si>
    <t>DEV4063</t>
  </si>
  <si>
    <t>DEV2785</t>
  </si>
  <si>
    <t>DEV6569</t>
  </si>
  <si>
    <t>DEV6162</t>
  </si>
  <si>
    <t>DEV4254</t>
  </si>
  <si>
    <t>DEV2258</t>
  </si>
  <si>
    <t>DEV1435</t>
  </si>
  <si>
    <t>DEV9148</t>
  </si>
  <si>
    <t>DEV6099</t>
  </si>
  <si>
    <t>DEV3282</t>
  </si>
  <si>
    <t>DEV5180</t>
  </si>
  <si>
    <t>DEV7479</t>
  </si>
  <si>
    <t>DEV9523</t>
  </si>
  <si>
    <t>DEV4581</t>
  </si>
  <si>
    <t>DEV3336</t>
  </si>
  <si>
    <t>DEV5889</t>
  </si>
  <si>
    <t>DEV7071</t>
  </si>
  <si>
    <t>DEV1258</t>
  </si>
  <si>
    <t>DEV5842</t>
  </si>
  <si>
    <t>DEV2775</t>
  </si>
  <si>
    <t>DEV3539</t>
  </si>
  <si>
    <t>DEV6927</t>
  </si>
  <si>
    <t>DEV7198</t>
  </si>
  <si>
    <t>DEV6518</t>
  </si>
  <si>
    <t>DEV8838</t>
  </si>
  <si>
    <t>DEV4167</t>
  </si>
  <si>
    <t>DEV5584</t>
  </si>
  <si>
    <t>DEV3130</t>
  </si>
  <si>
    <t>DEV6147</t>
  </si>
  <si>
    <t>DEV2665</t>
  </si>
  <si>
    <t>DEV9947</t>
  </si>
  <si>
    <t>DEV1805</t>
  </si>
  <si>
    <t>DEV4874</t>
  </si>
  <si>
    <t>DEV3790</t>
  </si>
  <si>
    <t>DEV3811</t>
  </si>
  <si>
    <t>DEV9904</t>
  </si>
  <si>
    <t>DEV8431</t>
  </si>
  <si>
    <t>DEV9857</t>
  </si>
  <si>
    <t>DEV6997</t>
  </si>
  <si>
    <t>DEV6363</t>
  </si>
  <si>
    <t>DEV1619</t>
  </si>
  <si>
    <t>DEV6533</t>
  </si>
  <si>
    <t>DEV3933</t>
  </si>
  <si>
    <t>DEV2277</t>
  </si>
  <si>
    <t>DEV6244</t>
  </si>
  <si>
    <t>DEV5412</t>
  </si>
  <si>
    <t>DEV6613</t>
  </si>
  <si>
    <t>DEV5040</t>
  </si>
  <si>
    <t>DEV8918</t>
  </si>
  <si>
    <t>DEV9265</t>
  </si>
  <si>
    <t>DEV8991</t>
  </si>
  <si>
    <t>DEV2445</t>
  </si>
  <si>
    <t>DEV9593</t>
  </si>
  <si>
    <t>DEV1576</t>
  </si>
  <si>
    <t>DEV5451</t>
  </si>
  <si>
    <t>DEV6315</t>
  </si>
  <si>
    <t>DEV9869</t>
  </si>
  <si>
    <t>DEV6444</t>
  </si>
  <si>
    <t>DEV2896</t>
  </si>
  <si>
    <t>DEV7931</t>
  </si>
  <si>
    <t>DEV2140</t>
  </si>
  <si>
    <t>DEV2517</t>
  </si>
  <si>
    <t>DEV3704</t>
  </si>
  <si>
    <t>DEV5352</t>
  </si>
  <si>
    <t>DEV4950</t>
  </si>
  <si>
    <t>DEV4559</t>
  </si>
  <si>
    <t>DEV7997</t>
  </si>
  <si>
    <t>DEV4329</t>
  </si>
  <si>
    <t>DEV5748</t>
  </si>
  <si>
    <t>DEV8189</t>
  </si>
  <si>
    <t>DEV9033</t>
  </si>
  <si>
    <t>DEV5949</t>
  </si>
  <si>
    <t>DEV1374</t>
  </si>
  <si>
    <t>DEV3486</t>
  </si>
  <si>
    <t>DEV4507</t>
  </si>
  <si>
    <t>DEV5939</t>
  </si>
  <si>
    <t>DEV1020</t>
  </si>
  <si>
    <t>DEV1881</t>
  </si>
  <si>
    <t>DEV7982</t>
  </si>
  <si>
    <t>DEV8396</t>
  </si>
  <si>
    <t>DEV5032</t>
  </si>
  <si>
    <t>DEV1634</t>
  </si>
  <si>
    <t>DEV9458</t>
  </si>
  <si>
    <t>DEV5714</t>
  </si>
  <si>
    <t>DEV3264</t>
  </si>
  <si>
    <t>DEV1828</t>
  </si>
  <si>
    <t>DEV5416</t>
  </si>
  <si>
    <t>DEV9141</t>
  </si>
  <si>
    <t>DEV5794</t>
  </si>
  <si>
    <t>DEV3854</t>
  </si>
  <si>
    <t>DEV5327</t>
  </si>
  <si>
    <t>DEV1899</t>
  </si>
  <si>
    <t>DEV8281</t>
  </si>
  <si>
    <t>DEV8393</t>
  </si>
  <si>
    <t>DEV1767</t>
  </si>
  <si>
    <t>DEV2376</t>
  </si>
  <si>
    <t>DEV1819</t>
  </si>
  <si>
    <t>DEV1740</t>
  </si>
  <si>
    <t>DEV9383</t>
  </si>
  <si>
    <t>DEV5235</t>
  </si>
  <si>
    <t>DEV5073</t>
  </si>
  <si>
    <t>DEV7822</t>
  </si>
  <si>
    <t>DEV7463</t>
  </si>
  <si>
    <t>DEV6919</t>
  </si>
  <si>
    <t>DEV7469</t>
  </si>
  <si>
    <t>DEV1125</t>
  </si>
  <si>
    <t>DEV5488</t>
  </si>
  <si>
    <t>DEV6966</t>
  </si>
  <si>
    <t>DEV4973</t>
  </si>
  <si>
    <t>DEV6472</t>
  </si>
  <si>
    <t>DEV8015</t>
  </si>
  <si>
    <t>DEV2637</t>
  </si>
  <si>
    <t>DEV9422</t>
  </si>
  <si>
    <t>DEV3525</t>
  </si>
  <si>
    <t>DEV3725</t>
  </si>
  <si>
    <t>DEV9894</t>
  </si>
  <si>
    <t>DEV6324</t>
  </si>
  <si>
    <t>DEV8768</t>
  </si>
  <si>
    <t>DEV1876</t>
  </si>
  <si>
    <t>DEV1998</t>
  </si>
  <si>
    <t>DEV2467</t>
  </si>
  <si>
    <t>DEV1808</t>
  </si>
  <si>
    <t>DEV9552</t>
  </si>
  <si>
    <t>DEV9974</t>
  </si>
  <si>
    <t>DEV2393</t>
  </si>
  <si>
    <t>DEV4253</t>
  </si>
  <si>
    <t>DEV1320</t>
  </si>
  <si>
    <t>DEV2479</t>
  </si>
  <si>
    <t>DEV1246</t>
  </si>
  <si>
    <t>DEV8522</t>
  </si>
  <si>
    <t>DEV7078</t>
  </si>
  <si>
    <t>DEV4029</t>
  </si>
  <si>
    <t>DEV3665</t>
  </si>
  <si>
    <t>DEV8526</t>
  </si>
  <si>
    <t>DEV2457</t>
  </si>
  <si>
    <t>DEV2079</t>
  </si>
  <si>
    <t>DEV2411</t>
  </si>
  <si>
    <t>DEV4270</t>
  </si>
  <si>
    <t>DEV6116</t>
  </si>
  <si>
    <t>DEV5212</t>
  </si>
  <si>
    <t>DEV5224</t>
  </si>
  <si>
    <t>DEV5194</t>
  </si>
  <si>
    <t>DEV4174</t>
  </si>
  <si>
    <t>DEV6497</t>
  </si>
  <si>
    <t>DEV1696</t>
  </si>
  <si>
    <t>DEV1312</t>
  </si>
  <si>
    <t>DEV4830</t>
  </si>
  <si>
    <t>DEV3587</t>
  </si>
  <si>
    <t>DEV6567</t>
  </si>
  <si>
    <t>DEV1811</t>
  </si>
  <si>
    <t>DEV2941</t>
  </si>
  <si>
    <t>DEV9970</t>
  </si>
  <si>
    <t>DEV6375</t>
  </si>
  <si>
    <t>DEV5683</t>
  </si>
  <si>
    <t>DEV6423</t>
  </si>
  <si>
    <t>DEV4783</t>
  </si>
  <si>
    <t>DEV1404</t>
  </si>
  <si>
    <t>DEV3756</t>
  </si>
  <si>
    <t>DEV8106</t>
  </si>
  <si>
    <t>DEV3743</t>
  </si>
  <si>
    <t>DEV4538</t>
  </si>
  <si>
    <t>DEV9419</t>
  </si>
  <si>
    <t>DEV3216</t>
  </si>
  <si>
    <t>DEV6896</t>
  </si>
  <si>
    <t>DEV3445</t>
  </si>
  <si>
    <t>DEV9246</t>
  </si>
  <si>
    <t>DEV8208</t>
  </si>
  <si>
    <t>DEV2212</t>
  </si>
  <si>
    <t>DEV7342</t>
  </si>
  <si>
    <t>DEV7843</t>
  </si>
  <si>
    <t>DEV7829</t>
  </si>
  <si>
    <t>DEV9408</t>
  </si>
  <si>
    <t>DEV4293</t>
  </si>
  <si>
    <t>DEV5271</t>
  </si>
  <si>
    <t>DEV5375</t>
  </si>
  <si>
    <t>DEV4930</t>
  </si>
  <si>
    <t>DEV5593</t>
  </si>
  <si>
    <t>DEV6598</t>
  </si>
  <si>
    <t>DEV1221</t>
  </si>
  <si>
    <t>DEV9920</t>
  </si>
  <si>
    <t>DEV7760</t>
  </si>
  <si>
    <t>DEV2970</t>
  </si>
  <si>
    <t>DEV9281</t>
  </si>
  <si>
    <t>DEV3418</t>
  </si>
  <si>
    <t>DEV5565</t>
  </si>
  <si>
    <t>DEV1747</t>
  </si>
  <si>
    <t>DEV5933</t>
  </si>
  <si>
    <t>DEV6666</t>
  </si>
  <si>
    <t>DEV7119</t>
  </si>
  <si>
    <t>DEV4114</t>
  </si>
  <si>
    <t>DEV4713</t>
  </si>
  <si>
    <t>DEV7374</t>
  </si>
  <si>
    <t>DEV6803</t>
  </si>
  <si>
    <t>DEV7595</t>
  </si>
  <si>
    <t>DEV9328</t>
  </si>
  <si>
    <t>DEV6795</t>
  </si>
  <si>
    <t>DEV2879</t>
  </si>
  <si>
    <t>DEV2999</t>
  </si>
  <si>
    <t>DEV4755</t>
  </si>
  <si>
    <t>DEV2191</t>
  </si>
  <si>
    <t>DEV1277</t>
  </si>
  <si>
    <t>DEV3246</t>
  </si>
  <si>
    <t>DEV3452</t>
  </si>
  <si>
    <t>DEV7379</t>
  </si>
  <si>
    <t>DEV2502</t>
  </si>
  <si>
    <t>DEV6766</t>
  </si>
  <si>
    <t>DEV1818</t>
  </si>
  <si>
    <t>DEV8337</t>
  </si>
  <si>
    <t>DEV1377</t>
  </si>
  <si>
    <t>DEV8608</t>
  </si>
  <si>
    <t>DEV7029</t>
  </si>
  <si>
    <t>DEV5751</t>
  </si>
  <si>
    <t>DEV4627</t>
  </si>
  <si>
    <t>DEV6377</t>
  </si>
  <si>
    <t>DEV4660</t>
  </si>
  <si>
    <t>DEV9663</t>
  </si>
  <si>
    <t>DEV6906</t>
  </si>
  <si>
    <t>DEV4007</t>
  </si>
  <si>
    <t>DEV2765</t>
  </si>
  <si>
    <t>DEV1957</t>
  </si>
  <si>
    <t>DEV3968</t>
  </si>
  <si>
    <t>DEV3202</t>
  </si>
  <si>
    <t>DEV2109</t>
  </si>
  <si>
    <t>DEV1928</t>
  </si>
  <si>
    <t>DEV4850</t>
  </si>
  <si>
    <t>DEV3671</t>
  </si>
  <si>
    <t>DEV9113</t>
  </si>
  <si>
    <t>DEV8686</t>
  </si>
  <si>
    <t>DEV5616</t>
  </si>
  <si>
    <t>DEV2408</t>
  </si>
  <si>
    <t>DEV8445</t>
  </si>
  <si>
    <t>DEV3978</t>
  </si>
  <si>
    <t>DEV7266</t>
  </si>
  <si>
    <t>DEV9496</t>
  </si>
  <si>
    <t>DEV6131</t>
  </si>
  <si>
    <t>DEV4030</t>
  </si>
  <si>
    <t>DEV2371</t>
  </si>
  <si>
    <t>DEV6205</t>
  </si>
  <si>
    <t>DEV5860</t>
  </si>
  <si>
    <t>DEV2752</t>
  </si>
  <si>
    <t>DEV7577</t>
  </si>
  <si>
    <t>DEV1015</t>
  </si>
  <si>
    <t>DEV7581</t>
  </si>
  <si>
    <t>DEV8145</t>
  </si>
  <si>
    <t>DEV2847</t>
  </si>
  <si>
    <t>DEV9631</t>
  </si>
  <si>
    <t>DEV3754</t>
  </si>
  <si>
    <t>DEV1760</t>
  </si>
  <si>
    <t>DEV2023</t>
  </si>
  <si>
    <t>DEV9218</t>
  </si>
  <si>
    <t>DEV7594</t>
  </si>
  <si>
    <t>DEV9287</t>
  </si>
  <si>
    <t>DEV1324</t>
  </si>
  <si>
    <t>DEV9563</t>
  </si>
  <si>
    <t>DEV7541</t>
  </si>
  <si>
    <t>DEV2031</t>
  </si>
  <si>
    <t>DEV5656</t>
  </si>
  <si>
    <t>DEV9788</t>
  </si>
  <si>
    <t>DEV3800</t>
  </si>
  <si>
    <t>DEV5432</t>
  </si>
  <si>
    <t>DEV5999</t>
  </si>
  <si>
    <t>DEV1283</t>
  </si>
  <si>
    <t>DEV1848</t>
  </si>
  <si>
    <t>DEV4343</t>
  </si>
  <si>
    <t>DEV1708</t>
  </si>
  <si>
    <t>DEV6301</t>
  </si>
  <si>
    <t>DEV6435</t>
  </si>
  <si>
    <t>DEV6335</t>
  </si>
  <si>
    <t>DEV2340</t>
  </si>
  <si>
    <t>DEV3092</t>
  </si>
  <si>
    <t>DEV9938</t>
  </si>
  <si>
    <t>DEV6122</t>
  </si>
  <si>
    <t>DEV1772</t>
  </si>
  <si>
    <t>DEV5875</t>
  </si>
  <si>
    <t>DEV4328</t>
  </si>
  <si>
    <t>DEV9901</t>
  </si>
  <si>
    <t>DEV6009</t>
  </si>
  <si>
    <t>DEV2759</t>
  </si>
  <si>
    <t>DEV1862</t>
  </si>
  <si>
    <t>DEV6576</t>
  </si>
  <si>
    <t>DEV9431</t>
  </si>
  <si>
    <t>DEV6710</t>
  </si>
  <si>
    <t>DEV9664</t>
  </si>
  <si>
    <t>DEV5356</t>
  </si>
  <si>
    <t>DEV9237</t>
  </si>
  <si>
    <t>DEV1186</t>
  </si>
  <si>
    <t>DEV4621</t>
  </si>
  <si>
    <t>DEV7464</t>
  </si>
  <si>
    <t>DEV6163</t>
  </si>
  <si>
    <t>DEV6369</t>
  </si>
  <si>
    <t>DEV3291</t>
  </si>
  <si>
    <t>DEV8984</t>
  </si>
  <si>
    <t>DEV8725</t>
  </si>
  <si>
    <t>DEV9539</t>
  </si>
  <si>
    <t>DEV6484</t>
  </si>
  <si>
    <t>DEV1135</t>
  </si>
  <si>
    <t>DEV5433</t>
  </si>
  <si>
    <t>DEV5261</t>
  </si>
  <si>
    <t>DEV5439</t>
  </si>
  <si>
    <t>DEV4834</t>
  </si>
  <si>
    <t>DEV9399</t>
  </si>
  <si>
    <t>DEV3791</t>
  </si>
  <si>
    <t>DEV9105</t>
  </si>
  <si>
    <t>DEV6071</t>
  </si>
  <si>
    <t>DEV7666</t>
  </si>
  <si>
    <t>DEV4505</t>
  </si>
  <si>
    <t>DEV4524</t>
  </si>
  <si>
    <t>DEV6492</t>
  </si>
  <si>
    <t>DEV8795</t>
  </si>
  <si>
    <t>DEV8560</t>
  </si>
  <si>
    <t>DEV2238</t>
  </si>
  <si>
    <t>DEV2817</t>
  </si>
  <si>
    <t>DEV5802</t>
  </si>
  <si>
    <t>DEV1278</t>
  </si>
  <si>
    <t>DEV6785</t>
  </si>
  <si>
    <t>DEV5429</t>
  </si>
  <si>
    <t>DEV2489</t>
  </si>
  <si>
    <t>DEV7215</t>
  </si>
  <si>
    <t>DEV2451</t>
  </si>
  <si>
    <t>DEV4265</t>
  </si>
  <si>
    <t>DEV7175</t>
  </si>
  <si>
    <t>DEV7360</t>
  </si>
  <si>
    <t>DEV9438</t>
  </si>
  <si>
    <t>DEV5256</t>
  </si>
  <si>
    <t>DEV5102</t>
  </si>
  <si>
    <t>DEV3305</t>
  </si>
  <si>
    <t>DEV7743</t>
  </si>
  <si>
    <t>DEV2874</t>
  </si>
  <si>
    <t>DEV9558</t>
  </si>
  <si>
    <t>DEV3049</t>
  </si>
  <si>
    <t>DEV1753</t>
  </si>
  <si>
    <t>DEV6454</t>
  </si>
  <si>
    <t>DEV7714</t>
  </si>
  <si>
    <t>DEV7853</t>
  </si>
  <si>
    <t>DEV9366</t>
  </si>
  <si>
    <t>DEV9360</t>
  </si>
  <si>
    <t>DEV7869</t>
  </si>
  <si>
    <t>DEV3819</t>
  </si>
  <si>
    <t>DEV2315</t>
  </si>
  <si>
    <t>DEV9467</t>
  </si>
  <si>
    <t>DEV2492</t>
  </si>
  <si>
    <t>DEV9648</t>
  </si>
  <si>
    <t>DEV3673</t>
  </si>
  <si>
    <t>DEV2913</t>
  </si>
  <si>
    <t>DEV1834</t>
  </si>
  <si>
    <t>DEV4661</t>
  </si>
  <si>
    <t>DEV8667</t>
  </si>
  <si>
    <t>DEV4322</t>
  </si>
  <si>
    <t>DEV2737</t>
  </si>
  <si>
    <t>DEV5208</t>
  </si>
  <si>
    <t>DEV7265</t>
  </si>
  <si>
    <t>DEV2939</t>
  </si>
  <si>
    <t>DEV1072</t>
  </si>
  <si>
    <t>DEV2843</t>
  </si>
  <si>
    <t>DEV2222</t>
  </si>
  <si>
    <t>DEV7623</t>
  </si>
  <si>
    <t>DEV7891</t>
  </si>
  <si>
    <t>DEV2251</t>
  </si>
  <si>
    <t>DEV3535</t>
  </si>
  <si>
    <t>DEV7927</t>
  </si>
  <si>
    <t>DEV7295</t>
  </si>
  <si>
    <t>DEV5857</t>
  </si>
  <si>
    <t>DEV9652</t>
  </si>
  <si>
    <t>DEV7180</t>
  </si>
  <si>
    <t>DEV3266</t>
  </si>
  <si>
    <t>DEV7445</t>
  </si>
  <si>
    <t>DEV7850</t>
  </si>
  <si>
    <t>DEV8760</t>
  </si>
  <si>
    <t>DEV8899</t>
  </si>
  <si>
    <t>DEV5825</t>
  </si>
  <si>
    <t>DEV1128</t>
  </si>
  <si>
    <t>DEV5401</t>
  </si>
  <si>
    <t>DEV4178</t>
  </si>
  <si>
    <t>DEV7172</t>
  </si>
  <si>
    <t>DEV7515</t>
  </si>
  <si>
    <t>DEV3588</t>
  </si>
  <si>
    <t>DEV8052</t>
  </si>
  <si>
    <t>DEV7121</t>
  </si>
  <si>
    <t>DEV3779</t>
  </si>
  <si>
    <t>DEV1533</t>
  </si>
  <si>
    <t>DEV5008</t>
  </si>
  <si>
    <t>DEV5035</t>
  </si>
  <si>
    <t>DEV5427</t>
  </si>
  <si>
    <t>DEV4976</t>
  </si>
  <si>
    <t>DEV4803</t>
  </si>
  <si>
    <t>DEV3324</t>
  </si>
  <si>
    <t>DEV2000</t>
  </si>
  <si>
    <t>DEV3288</t>
  </si>
  <si>
    <t>DEV6264</t>
  </si>
  <si>
    <t>DEV8163</t>
  </si>
  <si>
    <t>DEV6224</t>
  </si>
  <si>
    <t>DEV7647</t>
  </si>
  <si>
    <t>DEV3662</t>
  </si>
  <si>
    <t>DEV1651</t>
  </si>
  <si>
    <t>DEV5670</t>
  </si>
  <si>
    <t>DEV3910</t>
  </si>
  <si>
    <t>DEV3352</t>
  </si>
  <si>
    <t>DEV3126</t>
  </si>
  <si>
    <t>DEV2476</t>
  </si>
  <si>
    <t>DEV5243</t>
  </si>
  <si>
    <t>DEV3927</t>
  </si>
  <si>
    <t>DEV5112</t>
  </si>
  <si>
    <t>DEV9100</t>
  </si>
  <si>
    <t>DEV9129</t>
  </si>
  <si>
    <t>DEV3711</t>
  </si>
  <si>
    <t>DEV3833</t>
  </si>
  <si>
    <t>DEV5389</t>
  </si>
  <si>
    <t>DEV2272</t>
  </si>
  <si>
    <t>DEV1839</t>
  </si>
  <si>
    <t>DEV4831</t>
  </si>
  <si>
    <t>DEV3735</t>
  </si>
  <si>
    <t>DEV6952</t>
  </si>
  <si>
    <t>DEV7493</t>
  </si>
  <si>
    <t>DEV4004</t>
  </si>
  <si>
    <t>DEV6398</t>
  </si>
  <si>
    <t>DEV6159</t>
  </si>
  <si>
    <t>DEV8254</t>
  </si>
  <si>
    <t>DEV3905</t>
  </si>
  <si>
    <t>DEV9774</t>
  </si>
  <si>
    <t>DEV9398</t>
  </si>
  <si>
    <t>DEV5441</t>
  </si>
  <si>
    <t>DEV4272</t>
  </si>
  <si>
    <t>DEV9837</t>
  </si>
  <si>
    <t>DEV6345</t>
  </si>
  <si>
    <t>DEV9689</t>
  </si>
  <si>
    <t>DEV5597</t>
  </si>
  <si>
    <t>DEV1179</t>
  </si>
  <si>
    <t>DEV4969</t>
  </si>
  <si>
    <t>DEV8401</t>
  </si>
  <si>
    <t>DEV7244</t>
  </si>
  <si>
    <t>DEV3210</t>
  </si>
  <si>
    <t>DEV7523</t>
  </si>
  <si>
    <t>DEV8822</t>
  </si>
  <si>
    <t>DEV9604</t>
  </si>
  <si>
    <t>DEV7593</t>
  </si>
  <si>
    <t>DEV2103</t>
  </si>
  <si>
    <t>DEV9905</t>
  </si>
  <si>
    <t>DEV3479</t>
  </si>
  <si>
    <t>DEV7564</t>
  </si>
  <si>
    <t>DEV7692</t>
  </si>
  <si>
    <t>DEV6035</t>
  </si>
  <si>
    <t>DEV1849</t>
  </si>
  <si>
    <t>DEV4012</t>
  </si>
  <si>
    <t>DEV6164</t>
  </si>
  <si>
    <t>DEV6800</t>
  </si>
  <si>
    <t>DEV7429</t>
  </si>
  <si>
    <t>DEV5027</t>
  </si>
  <si>
    <t>DEV1395</t>
  </si>
  <si>
    <t>DEV1344</t>
  </si>
  <si>
    <t>DEV4385</t>
  </si>
  <si>
    <t>DEV9243</t>
  </si>
  <si>
    <t>DEV5622</t>
  </si>
  <si>
    <t>DEV6137</t>
  </si>
  <si>
    <t>DEV3254</t>
  </si>
  <si>
    <t>DEV1222</t>
  </si>
  <si>
    <t>DEV9469</t>
  </si>
  <si>
    <t>DEV9698</t>
  </si>
  <si>
    <t>DEV4887</t>
  </si>
  <si>
    <t>DEV7007</t>
  </si>
  <si>
    <t>DEV9077</t>
  </si>
  <si>
    <t>DEV9418</t>
  </si>
  <si>
    <t>DEV6409</t>
  </si>
  <si>
    <t>DEV3147</t>
  </si>
  <si>
    <t>DEV2477</t>
  </si>
  <si>
    <t>DEV5951</t>
  </si>
  <si>
    <t>DEV6240</t>
  </si>
  <si>
    <t>DEV7629</t>
  </si>
  <si>
    <t>DEV8536</t>
  </si>
  <si>
    <t>DEV6429</t>
  </si>
  <si>
    <t>DEV2137</t>
  </si>
  <si>
    <t>DEV3466</t>
  </si>
  <si>
    <t>DEV8833</t>
  </si>
  <si>
    <t>DEV9248</t>
  </si>
  <si>
    <t>DEV1303</t>
  </si>
  <si>
    <t>DEV1655</t>
  </si>
  <si>
    <t>DEV8957</t>
  </si>
  <si>
    <t>DEV9291</t>
  </si>
  <si>
    <t>DEV5859</t>
  </si>
  <si>
    <t>DEV5723</t>
  </si>
  <si>
    <t>DEV9700</t>
  </si>
  <si>
    <t>DEV9623</t>
  </si>
  <si>
    <t>DEV1810</t>
  </si>
  <si>
    <t>DEV6317</t>
  </si>
  <si>
    <t>DEV7471</t>
  </si>
  <si>
    <t>DEV6220</t>
  </si>
  <si>
    <t>DEV5174</t>
  </si>
  <si>
    <t>DEV1941</t>
  </si>
  <si>
    <t>DEV9393</t>
  </si>
  <si>
    <t>DEV6214</t>
  </si>
  <si>
    <t>DEV5409</t>
  </si>
  <si>
    <t>DEV3504</t>
  </si>
  <si>
    <t>DEV6798</t>
  </si>
  <si>
    <t>DEV9986</t>
  </si>
  <si>
    <t>DEV8209</t>
  </si>
  <si>
    <t>DEV7969</t>
  </si>
  <si>
    <t>DEV7881</t>
  </si>
  <si>
    <t>DEV2416</t>
  </si>
  <si>
    <t>DEV7788</t>
  </si>
  <si>
    <t>DEV9234</t>
  </si>
  <si>
    <t>DEV6143</t>
  </si>
  <si>
    <t>DEV6249</t>
  </si>
  <si>
    <t>DEV1456</t>
  </si>
  <si>
    <t>DEV3358</t>
  </si>
  <si>
    <t>DEV1724</t>
  </si>
  <si>
    <t>DEV8308</t>
  </si>
  <si>
    <t>DEV1699</t>
  </si>
  <si>
    <t>DEV5782</t>
  </si>
  <si>
    <t>DEV4570</t>
  </si>
  <si>
    <t>DEV3413</t>
  </si>
  <si>
    <t>DEV5985</t>
  </si>
  <si>
    <t>DEV5166</t>
  </si>
  <si>
    <t>DEV7369</t>
  </si>
  <si>
    <t>DEV8240</t>
  </si>
  <si>
    <t>DEV5912</t>
  </si>
  <si>
    <t>DEV3054</t>
  </si>
  <si>
    <t>DEV7299</t>
  </si>
  <si>
    <t>DEV4607</t>
  </si>
  <si>
    <t>DEV8411</t>
  </si>
  <si>
    <t>DEV2026</t>
  </si>
  <si>
    <t>DEV3993</t>
  </si>
  <si>
    <t>DEV6480</t>
  </si>
  <si>
    <t>DEV9780</t>
  </si>
  <si>
    <t>DEV8900</t>
  </si>
  <si>
    <t>DEV3195</t>
  </si>
  <si>
    <t>DEV9656</t>
  </si>
  <si>
    <t>DEV5098</t>
  </si>
  <si>
    <t>DEV2594</t>
  </si>
  <si>
    <t>DEV1037</t>
  </si>
  <si>
    <t>DEV1864</t>
  </si>
  <si>
    <t>DEV5195</t>
  </si>
  <si>
    <t>DEV5552</t>
  </si>
  <si>
    <t>DEV1759</t>
  </si>
  <si>
    <t>DEV8731</t>
  </si>
  <si>
    <t>DEV7391</t>
  </si>
  <si>
    <t>DEV7076</t>
  </si>
  <si>
    <t>DEV6555</t>
  </si>
  <si>
    <t>DEV8498</t>
  </si>
  <si>
    <t>DEV8031</t>
  </si>
  <si>
    <t>DEV6807</t>
  </si>
  <si>
    <t>DEV3143</t>
  </si>
  <si>
    <t>DEV7334</t>
  </si>
  <si>
    <t>DEV6297</t>
  </si>
  <si>
    <t>DEV5924</t>
  </si>
  <si>
    <t>DEV2448</t>
  </si>
  <si>
    <t>DEV3782</t>
  </si>
  <si>
    <t>DEV5459</t>
  </si>
  <si>
    <t>DEV5346</t>
  </si>
  <si>
    <t>DEV5635</t>
  </si>
  <si>
    <t>DEV9917</t>
  </si>
  <si>
    <t>DEV6392</t>
  </si>
  <si>
    <t>DEV2601</t>
  </si>
  <si>
    <t>DEV3171</t>
  </si>
  <si>
    <t>DEV7037</t>
  </si>
  <si>
    <t>DEV2821</t>
  </si>
  <si>
    <t>DEV2350</t>
  </si>
  <si>
    <t>DEV6294</t>
  </si>
  <si>
    <t>DEV7584</t>
  </si>
  <si>
    <t>DEV3183</t>
  </si>
  <si>
    <t>DEV2822</t>
  </si>
  <si>
    <t>DEV2823</t>
  </si>
  <si>
    <t>DEV5550</t>
  </si>
  <si>
    <t>DEV5390</t>
  </si>
  <si>
    <t>DEV3385</t>
  </si>
  <si>
    <t>DEV9588</t>
  </si>
  <si>
    <t>DEV2264</t>
  </si>
  <si>
    <t>DEV1596</t>
  </si>
  <si>
    <t>DEV8612</t>
  </si>
  <si>
    <t>DEV4056</t>
  </si>
  <si>
    <t>DEV1794</t>
  </si>
  <si>
    <t>DEV3357</t>
  </si>
  <si>
    <t>DEV1335</t>
  </si>
  <si>
    <t>DEV1522</t>
  </si>
  <si>
    <t>DEV6538</t>
  </si>
  <si>
    <t>DEV8408</t>
  </si>
  <si>
    <t>DEV9811</t>
  </si>
  <si>
    <t>DEV8952</t>
  </si>
  <si>
    <t>DEV4944</t>
  </si>
  <si>
    <t>DEV4778</t>
  </si>
  <si>
    <t>DEV6596</t>
  </si>
  <si>
    <t>DEV7036</t>
  </si>
  <si>
    <t>DEV7308</t>
  </si>
  <si>
    <t>DEV2937</t>
  </si>
  <si>
    <t>DEV6645</t>
  </si>
  <si>
    <t>DEV1900</t>
  </si>
  <si>
    <t>DEV8828</t>
  </si>
  <si>
    <t>DEV7202</t>
  </si>
  <si>
    <t>DEV4154</t>
  </si>
  <si>
    <t>DEV3681</t>
  </si>
  <si>
    <t>DEV6176</t>
  </si>
  <si>
    <t>DEV8230</t>
  </si>
  <si>
    <t>DEV7664</t>
  </si>
  <si>
    <t>DEV4335</t>
  </si>
  <si>
    <t>DEV5419</t>
  </si>
  <si>
    <t>DEV3303</t>
  </si>
  <si>
    <t>DEV5787</t>
  </si>
  <si>
    <t>DEV3180</t>
  </si>
  <si>
    <t>DEV1014</t>
  </si>
  <si>
    <t>DEV9285</t>
  </si>
  <si>
    <t>DEV9993</t>
  </si>
  <si>
    <t>DEV8142</t>
  </si>
  <si>
    <t>DEV9541</t>
  </si>
  <si>
    <t>DEV5187</t>
  </si>
  <si>
    <t>DEV9342</t>
  </si>
  <si>
    <t>DEV2090</t>
  </si>
  <si>
    <t>DEV6586</t>
  </si>
  <si>
    <t>DEV9768</t>
  </si>
  <si>
    <t>DEV2899</t>
  </si>
  <si>
    <t>DEV2358</t>
  </si>
  <si>
    <t>DEV8458</t>
  </si>
  <si>
    <t>DEV5612</t>
  </si>
  <si>
    <t>DEV5233</t>
  </si>
  <si>
    <t>DEV2872</t>
  </si>
  <si>
    <t>DEV9279</t>
  </si>
  <si>
    <t>DEV7935</t>
  </si>
  <si>
    <t>DEV5752</t>
  </si>
  <si>
    <t>DEV1394</t>
  </si>
  <si>
    <t>DEV7894</t>
  </si>
  <si>
    <t>DEV7840</t>
  </si>
  <si>
    <t>DEV5965</t>
  </si>
  <si>
    <t>DEV3044</t>
  </si>
  <si>
    <t>DEV7998</t>
  </si>
  <si>
    <t>DEV9925</t>
  </si>
  <si>
    <t>DEV3495</t>
  </si>
  <si>
    <t>DEV2186</t>
  </si>
  <si>
    <t>DEV7495</t>
  </si>
  <si>
    <t>DEV6915</t>
  </si>
  <si>
    <t>DEV2045</t>
  </si>
  <si>
    <t>DEV3655</t>
  </si>
  <si>
    <t>DEV5287</t>
  </si>
  <si>
    <t>DEV1407</t>
  </si>
  <si>
    <t>DEV5189</t>
  </si>
  <si>
    <t>DEV2074</t>
  </si>
  <si>
    <t>DEV4746</t>
  </si>
  <si>
    <t>DEV1480</t>
  </si>
  <si>
    <t>DEV4213</t>
  </si>
  <si>
    <t>DEV1078</t>
  </si>
  <si>
    <t>DEV5338</t>
  </si>
  <si>
    <t>DEV2818</t>
  </si>
  <si>
    <t>DEV8067</t>
  </si>
  <si>
    <t>DEV4603</t>
  </si>
  <si>
    <t>DEV7312</t>
  </si>
  <si>
    <t>DEV3847</t>
  </si>
  <si>
    <t>DEV1970</t>
  </si>
  <si>
    <t>DEV6091</t>
  </si>
  <si>
    <t>DEV1936</t>
  </si>
  <si>
    <t>DEV5183</t>
  </si>
  <si>
    <t>DEV1397</t>
  </si>
  <si>
    <t>DEV7386</t>
  </si>
  <si>
    <t>DEV3549</t>
  </si>
  <si>
    <t>DEV8129</t>
  </si>
  <si>
    <t>DEV1925</t>
  </si>
  <si>
    <t>DEV1560</t>
  </si>
  <si>
    <t>DEV1778</t>
  </si>
  <si>
    <t>DEV3395</t>
  </si>
  <si>
    <t>DEV9772</t>
  </si>
  <si>
    <t>DEV8632</t>
  </si>
  <si>
    <t>DEV4550</t>
  </si>
  <si>
    <t>DEV6953</t>
  </si>
  <si>
    <t>DEV3717</t>
  </si>
  <si>
    <t>DEV4355</t>
  </si>
  <si>
    <t>DEV9868</t>
  </si>
  <si>
    <t>DEV2861</t>
  </si>
  <si>
    <t>DEV2543</t>
  </si>
  <si>
    <t>DEV8312</t>
  </si>
  <si>
    <t>DEV9466</t>
  </si>
  <si>
    <t>DEV7683</t>
  </si>
  <si>
    <t>DEV5998</t>
  </si>
  <si>
    <t>DEV1775</t>
  </si>
  <si>
    <t>DEV4186</t>
  </si>
  <si>
    <t>DEV4840</t>
  </si>
  <si>
    <t>DEV5461</t>
  </si>
  <si>
    <t>DEV6532</t>
  </si>
  <si>
    <t>DEV3880</t>
  </si>
  <si>
    <t>DEV4147</t>
  </si>
  <si>
    <t>DEV3812</t>
  </si>
  <si>
    <t>DEV1236</t>
  </si>
  <si>
    <t>DEV1504</t>
  </si>
  <si>
    <t>DEV9433</t>
  </si>
  <si>
    <t>DEV9833</t>
  </si>
  <si>
    <t>DEV1914</t>
  </si>
  <si>
    <t>DEV3874</t>
  </si>
  <si>
    <t>DEV6684</t>
  </si>
  <si>
    <t>DEV6006</t>
  </si>
  <si>
    <t>DEV4302</t>
  </si>
  <si>
    <t>DEV1610</t>
  </si>
  <si>
    <t>DEV8368</t>
  </si>
  <si>
    <t>DEV9333</t>
  </si>
  <si>
    <t>DEV2744</t>
  </si>
  <si>
    <t>DEV8340</t>
  </si>
  <si>
    <t>DEV9276</t>
  </si>
  <si>
    <t>DEV4399</t>
  </si>
  <si>
    <t>DEV3037</t>
  </si>
  <si>
    <t>DEV5929</t>
  </si>
  <si>
    <t>DEV9391</t>
  </si>
  <si>
    <t>DEV4414</t>
  </si>
  <si>
    <t>DEV7345</t>
  </si>
  <si>
    <t>DEV7185</t>
  </si>
  <si>
    <t>DEV1783</t>
  </si>
  <si>
    <t>DEV5014</t>
  </si>
  <si>
    <t>DEV4922</t>
  </si>
  <si>
    <t>DEV8630</t>
  </si>
  <si>
    <t>DEV8293</t>
  </si>
  <si>
    <t>DEV1953</t>
  </si>
  <si>
    <t>DEV2288</t>
  </si>
  <si>
    <t>DEV2253</t>
  </si>
  <si>
    <t>DEV8562</t>
  </si>
  <si>
    <t>DEV7142</t>
  </si>
  <si>
    <t>DEV1284</t>
  </si>
  <si>
    <t>DEV9197</t>
  </si>
  <si>
    <t>DEV3727</t>
  </si>
  <si>
    <t>DEV8849</t>
  </si>
  <si>
    <t>DEV4204</t>
  </si>
  <si>
    <t>DEV6411</t>
  </si>
  <si>
    <t>DEV2684</t>
  </si>
  <si>
    <t>DEV4165</t>
  </si>
  <si>
    <t>DEV7672</t>
  </si>
  <si>
    <t>DEV2960</t>
  </si>
  <si>
    <t>DEV6026</t>
  </si>
  <si>
    <t>DEV9625</t>
  </si>
  <si>
    <t>DEV6656</t>
  </si>
  <si>
    <t>DEV1499</t>
  </si>
  <si>
    <t>DEV6728</t>
  </si>
  <si>
    <t>DEV7544</t>
  </si>
  <si>
    <t>DEV5922</t>
  </si>
  <si>
    <t>DEV5253</t>
  </si>
  <si>
    <t>DEV7972</t>
  </si>
  <si>
    <t>DEV4170</t>
  </si>
  <si>
    <t>DEV4523</t>
  </si>
  <si>
    <t>DEV9004</t>
  </si>
  <si>
    <t>DEV2971</t>
  </si>
  <si>
    <t>DEV8140</t>
  </si>
  <si>
    <t>DEV9262</t>
  </si>
  <si>
    <t>DEV3368</t>
  </si>
  <si>
    <t>DEV4965</t>
  </si>
  <si>
    <t>DEV6451</t>
  </si>
  <si>
    <t>DEV3515</t>
  </si>
  <si>
    <t>DEV9144</t>
  </si>
  <si>
    <t>DEV9388</t>
  </si>
  <si>
    <t>DEV2639</t>
  </si>
  <si>
    <t>DEV3706</t>
  </si>
  <si>
    <t>DEV8796</t>
  </si>
  <si>
    <t>DEV5964</t>
  </si>
  <si>
    <t>DEV3862</t>
  </si>
  <si>
    <t>DEV6897</t>
  </si>
  <si>
    <t>DEV2701</t>
  </si>
  <si>
    <t>DEV6145</t>
  </si>
  <si>
    <t>DEV8992</t>
  </si>
  <si>
    <t>DEV3746</t>
  </si>
  <si>
    <t>DEV2573</t>
  </si>
  <si>
    <t>DEV4551</t>
  </si>
  <si>
    <t>DEV8538</t>
  </si>
  <si>
    <t>DEV7950</t>
  </si>
  <si>
    <t>DEV1946</t>
  </si>
  <si>
    <t>DEV1119</t>
  </si>
  <si>
    <t>DEV4686</t>
  </si>
  <si>
    <t>DEV8475</t>
  </si>
  <si>
    <t>DEV2237</t>
  </si>
  <si>
    <t>DEV7460</t>
  </si>
  <si>
    <t>DEV2792</t>
  </si>
  <si>
    <t>DEV4376</t>
  </si>
  <si>
    <t>DEV7258</t>
  </si>
  <si>
    <t>DEV8256</t>
  </si>
  <si>
    <t>DEV2687</t>
  </si>
  <si>
    <t>DEV8035</t>
  </si>
  <si>
    <t>DEV1543</t>
  </si>
  <si>
    <t>DEV3021</t>
  </si>
  <si>
    <t>DEV9933</t>
  </si>
  <si>
    <t>DEV9076</t>
  </si>
  <si>
    <t>DEV7310</t>
  </si>
  <si>
    <t>DEV4677</t>
  </si>
  <si>
    <t>DEV5328</t>
  </si>
  <si>
    <t>DEV9738</t>
  </si>
  <si>
    <t>DEV8924</t>
  </si>
  <si>
    <t>DEV7425</t>
  </si>
  <si>
    <t>DEV4442</t>
  </si>
  <si>
    <t>DEV8108</t>
  </si>
  <si>
    <t>DEV8220</t>
  </si>
  <si>
    <t>DEV9142</t>
  </si>
  <si>
    <t>DEV7872</t>
  </si>
  <si>
    <t>DEV4764</t>
  </si>
  <si>
    <t>DEV6632</t>
  </si>
  <si>
    <t>DEV4972</t>
  </si>
  <si>
    <t>DEV2747</t>
  </si>
  <si>
    <t>DEV7720</t>
  </si>
  <si>
    <t>DEV6341</t>
  </si>
  <si>
    <t>DEV5122</t>
  </si>
  <si>
    <t>DEV6115</t>
  </si>
  <si>
    <t>DEV7005</t>
  </si>
  <si>
    <t>DEV7800</t>
  </si>
  <si>
    <t>DEV1832</t>
  </si>
  <si>
    <t>DEV7102</t>
  </si>
  <si>
    <t>DEV6498</t>
  </si>
  <si>
    <t>DEV8541</t>
  </si>
  <si>
    <t>DEV3115</t>
  </si>
  <si>
    <t>DEV3447</t>
  </si>
  <si>
    <t>DEV7094</t>
  </si>
  <si>
    <t>DEV9472</t>
  </si>
  <si>
    <t>DEV8114</t>
  </si>
  <si>
    <t>DEV9501</t>
  </si>
  <si>
    <t>DEV1704</t>
  </si>
  <si>
    <t>DEV1816</t>
  </si>
  <si>
    <t>DEV2642</t>
  </si>
  <si>
    <t>DEV9050</t>
  </si>
  <si>
    <t>DEV9642</t>
  </si>
  <si>
    <t>DEV8809</t>
  </si>
  <si>
    <t>DEV7661</t>
  </si>
  <si>
    <t>DEV5655</t>
  </si>
  <si>
    <t>DEV9826</t>
  </si>
  <si>
    <t>DEV5072</t>
  </si>
  <si>
    <t>DEV3156</t>
  </si>
  <si>
    <t>DEV4657</t>
  </si>
  <si>
    <t>DEV8081</t>
  </si>
  <si>
    <t>DEV9789</t>
  </si>
  <si>
    <t>DEV3520</t>
  </si>
  <si>
    <t>DEV4535</t>
  </si>
  <si>
    <t>DEV4547</t>
  </si>
  <si>
    <t>DEV8999</t>
  </si>
  <si>
    <t>DEV1290</t>
  </si>
  <si>
    <t>DEV6679</t>
  </si>
  <si>
    <t>DEV7846</t>
  </si>
  <si>
    <t>DEV6987</t>
  </si>
  <si>
    <t>DEV6726</t>
  </si>
  <si>
    <t>DEV2628</t>
  </si>
  <si>
    <t>DEV8872</t>
  </si>
  <si>
    <t>DEV1947</t>
  </si>
  <si>
    <t>DEV8507</t>
  </si>
  <si>
    <t>DEV1973</t>
  </si>
  <si>
    <t>DEV5554</t>
  </si>
  <si>
    <t>DEV9550</t>
  </si>
  <si>
    <t>DEV7045</t>
  </si>
  <si>
    <t>DEV1551</t>
  </si>
  <si>
    <t>DEV1242</t>
  </si>
  <si>
    <t>DEV8569</t>
  </si>
  <si>
    <t>DEV2995</t>
  </si>
  <si>
    <t>DEV3051</t>
  </si>
  <si>
    <t>DEV4611</t>
  </si>
  <si>
    <t>DEV2407</t>
  </si>
  <si>
    <t>DEV5503</t>
  </si>
  <si>
    <t>DEV5452</t>
  </si>
  <si>
    <t>DEV4645</t>
  </si>
  <si>
    <t>DEV5733</t>
  </si>
  <si>
    <t>DEV4829</t>
  </si>
  <si>
    <t>DEV5838</t>
  </si>
  <si>
    <t>DEV9536</t>
  </si>
  <si>
    <t>DEV8656</t>
  </si>
  <si>
    <t>DEV7932</t>
  </si>
  <si>
    <t>DEV8335</t>
  </si>
  <si>
    <t>DEV2784</t>
  </si>
  <si>
    <t>DEV7622</t>
  </si>
  <si>
    <t>DEV3513</t>
  </si>
  <si>
    <t>DEV3052</t>
  </si>
  <si>
    <t>DEV5952</t>
  </si>
  <si>
    <t>DEV4781</t>
  </si>
  <si>
    <t>DEV1019</t>
  </si>
  <si>
    <t>DEV4221</t>
  </si>
  <si>
    <t>DEV6944</t>
  </si>
  <si>
    <t>DEV7774</t>
  </si>
  <si>
    <t>DEV5487</t>
  </si>
  <si>
    <t>DEV3864</t>
  </si>
  <si>
    <t>DEV4617</t>
  </si>
  <si>
    <t>DEV5365</t>
  </si>
  <si>
    <t>DEV4117</t>
  </si>
  <si>
    <t>DEV8460</t>
  </si>
  <si>
    <t>DEV2398</t>
  </si>
  <si>
    <t>DEV2812</t>
  </si>
  <si>
    <t>DEV5151</t>
  </si>
  <si>
    <t>DEV6361</t>
  </si>
  <si>
    <t>DEV3110</t>
  </si>
  <si>
    <t>DEV8122</t>
  </si>
  <si>
    <t>DEV7405</t>
  </si>
  <si>
    <t>DEV2556</t>
  </si>
  <si>
    <t>DEV6207</t>
  </si>
  <si>
    <t>DEV5006</t>
  </si>
  <si>
    <t>DEV2424</t>
  </si>
  <si>
    <t>DEV8359</t>
  </si>
  <si>
    <t>DEV2437</t>
  </si>
  <si>
    <t>DEV2152</t>
  </si>
  <si>
    <t>DEV6379</t>
  </si>
  <si>
    <t>DEV9390</t>
  </si>
  <si>
    <t>DEV9133</t>
  </si>
  <si>
    <t>DEV6810</t>
  </si>
  <si>
    <t>DEV1887</t>
  </si>
  <si>
    <t>DEV2603</t>
  </si>
  <si>
    <t>DEV3567</t>
  </si>
  <si>
    <t>DEV8380</t>
  </si>
  <si>
    <t>DEV6402</t>
  </si>
  <si>
    <t>DEV8169</t>
  </si>
  <si>
    <t>DEV6778</t>
  </si>
  <si>
    <t>DEV2011</t>
  </si>
  <si>
    <t>DEV8573</t>
  </si>
  <si>
    <t>DEV8489</t>
  </si>
  <si>
    <t>DEV2188</t>
  </si>
  <si>
    <t>DEV5435</t>
  </si>
  <si>
    <t>DEV8553</t>
  </si>
  <si>
    <t>DEV5466</t>
  </si>
  <si>
    <t>DEV3540</t>
  </si>
  <si>
    <t>DEV1439</t>
  </si>
  <si>
    <t>DEV6914</t>
  </si>
  <si>
    <t>DEV5673</t>
  </si>
  <si>
    <t>DEV1879</t>
  </si>
  <si>
    <t>DEV3893</t>
  </si>
  <si>
    <t>DEV1195</t>
  </si>
  <si>
    <t>DEV2366</t>
  </si>
  <si>
    <t>DEV8513</t>
  </si>
  <si>
    <t>DEV6627</t>
  </si>
  <si>
    <t>DEV6418</t>
  </si>
  <si>
    <t>DEV2483</t>
  </si>
  <si>
    <t>DEV4977</t>
  </si>
  <si>
    <t>DEV3421</t>
  </si>
  <si>
    <t>DEV3308</t>
  </si>
  <si>
    <t>DEV8893</t>
  </si>
  <si>
    <t>DEV5447</t>
  </si>
  <si>
    <t>DEV5803</t>
  </si>
  <si>
    <t>DEV6378</t>
  </si>
  <si>
    <t>DEV5567</t>
  </si>
  <si>
    <t>DEV7587</t>
  </si>
  <si>
    <t>DEV2673</t>
  </si>
  <si>
    <t>DEV9061</t>
  </si>
  <si>
    <t>DEV3707</t>
  </si>
  <si>
    <t>DEV5464</t>
  </si>
  <si>
    <t>DEV1728</t>
  </si>
  <si>
    <t>DEV4407</t>
  </si>
  <si>
    <t>DEV6536</t>
  </si>
  <si>
    <t>DEV7033</t>
  </si>
  <si>
    <t>DEV1598</t>
  </si>
  <si>
    <t>DEV5757</t>
  </si>
  <si>
    <t>DEV5677</t>
  </si>
  <si>
    <t>DEV9183</t>
  </si>
  <si>
    <t>DEV7934</t>
  </si>
  <si>
    <t>DEV6292</t>
  </si>
  <si>
    <t>DEV9380</t>
  </si>
  <si>
    <t>DEV6623</t>
  </si>
  <si>
    <t>DEV5921</t>
  </si>
  <si>
    <t>DEV3349</t>
  </si>
  <si>
    <t>DEV7319</t>
  </si>
  <si>
    <t>DEV2450</t>
  </si>
  <si>
    <t>DEV5143</t>
  </si>
  <si>
    <t>DEV4821</t>
  </si>
  <si>
    <t>DEV7815</t>
  </si>
  <si>
    <t>DEV4339</t>
  </si>
  <si>
    <t>DEV2148</t>
  </si>
  <si>
    <t>DEV9078</t>
  </si>
  <si>
    <t>DEV8524</t>
  </si>
  <si>
    <t>DEV1898</t>
  </si>
  <si>
    <t>DEV5602</t>
  </si>
  <si>
    <t>DEV4530</t>
  </si>
  <si>
    <t>DEV6489</t>
  </si>
  <si>
    <t>DEV5494</t>
  </si>
  <si>
    <t>DEV9890</t>
  </si>
  <si>
    <t>DEV4856</t>
  </si>
  <si>
    <t>DEV2609</t>
  </si>
  <si>
    <t>DEV8199</t>
  </si>
  <si>
    <t>DEV1508</t>
  </si>
  <si>
    <t>DEV5417</t>
  </si>
  <si>
    <t>DEV5373</t>
  </si>
  <si>
    <t>DEV4782</t>
  </si>
  <si>
    <t>DEV3059</t>
  </si>
  <si>
    <t>DEV8388</t>
  </si>
  <si>
    <t>DEV7880</t>
  </si>
  <si>
    <t>DEV7343</t>
  </si>
  <si>
    <t>DEV3761</t>
  </si>
  <si>
    <t>DEV5662</t>
  </si>
  <si>
    <t>DEV9427</t>
  </si>
  <si>
    <t>DEV5650</t>
  </si>
  <si>
    <t>DEV5725</t>
  </si>
  <si>
    <t>DEV9059</t>
  </si>
  <si>
    <t>DEV6597</t>
  </si>
  <si>
    <t>DEV2979</t>
  </si>
  <si>
    <t>DEV8911</t>
  </si>
  <si>
    <t>DEV6477</t>
  </si>
  <si>
    <t>DEV7749</t>
  </si>
  <si>
    <t>DEV6037</t>
  </si>
  <si>
    <t>DEV8985</t>
  </si>
  <si>
    <t>DEV1575</t>
  </si>
  <si>
    <t>DEV3883</t>
  </si>
  <si>
    <t>DEV6734</t>
  </si>
  <si>
    <t>DEV1955</t>
  </si>
  <si>
    <t>DEV1540</t>
  </si>
  <si>
    <t>DEV8841</t>
  </si>
  <si>
    <t>DEV3610</t>
  </si>
  <si>
    <t>DEV4758</t>
  </si>
  <si>
    <t>DEV5376</t>
  </si>
  <si>
    <t>DEV8976</t>
  </si>
  <si>
    <t>DEV7318</t>
  </si>
  <si>
    <t>DEV8679</t>
  </si>
  <si>
    <t>DEV2322</t>
  </si>
  <si>
    <t>DEV8499</t>
  </si>
  <si>
    <t>DEV6871</t>
  </si>
  <si>
    <t>DEV1118</t>
  </si>
  <si>
    <t>DEV9413</t>
  </si>
  <si>
    <t>DEV7161</t>
  </si>
  <si>
    <t>DEV9509</t>
  </si>
  <si>
    <t>DEV7796</t>
  </si>
  <si>
    <t>DEV5917</t>
  </si>
  <si>
    <t>DEV9661</t>
  </si>
  <si>
    <t>DEV7472</t>
  </si>
  <si>
    <t>DEV3709</t>
  </si>
  <si>
    <t>DEV6827</t>
  </si>
  <si>
    <t>DEV5763</t>
  </si>
  <si>
    <t>DEV2342</t>
  </si>
  <si>
    <t>DEV7697</t>
  </si>
  <si>
    <t>DEV9909</t>
  </si>
  <si>
    <t>DEV8895</t>
  </si>
  <si>
    <t>DEV2554</t>
  </si>
  <si>
    <t>DEV9786</t>
  </si>
  <si>
    <t>DEV5344</t>
  </si>
  <si>
    <t>DEV9862</t>
  </si>
  <si>
    <t>DEV3158</t>
  </si>
  <si>
    <t>DEV5721</t>
  </si>
  <si>
    <t>DEV7634</t>
  </si>
  <si>
    <t>DEV9184</t>
  </si>
  <si>
    <t>DEV1665</t>
  </si>
  <si>
    <t>DEV8259</t>
  </si>
  <si>
    <t>DEV2568</t>
  </si>
  <si>
    <t>DEV3207</t>
  </si>
  <si>
    <t>DEV6053</t>
  </si>
  <si>
    <t>DEV9045</t>
  </si>
  <si>
    <t>DEV3937</t>
  </si>
  <si>
    <t>DEV3945</t>
  </si>
  <si>
    <t>DEV4087</t>
  </si>
  <si>
    <t>DEV3078</t>
  </si>
  <si>
    <t>DEV2230</t>
  </si>
  <si>
    <t>DEV9912</t>
  </si>
  <si>
    <t>DEV9471</t>
  </si>
  <si>
    <t>DEV8130</t>
  </si>
  <si>
    <t>DEV5923</t>
  </si>
  <si>
    <t>DEV2107</t>
  </si>
  <si>
    <t>DEV5292</t>
  </si>
  <si>
    <t>DEV9201</t>
  </si>
  <si>
    <t>DEV4106</t>
  </si>
  <si>
    <t>DEV4602</t>
  </si>
  <si>
    <t>DEV8558</t>
  </si>
  <si>
    <t>DEV5532</t>
  </si>
  <si>
    <t>DEV5940</t>
  </si>
  <si>
    <t>DEV1294</t>
  </si>
  <si>
    <t>DEV3533</t>
  </si>
  <si>
    <t>DEV5285</t>
  </si>
  <si>
    <t>DEV1601</t>
  </si>
  <si>
    <t>DEV5282</t>
  </si>
  <si>
    <t>DEV4694</t>
  </si>
  <si>
    <t>DEV7099</t>
  </si>
  <si>
    <t>DEV7965</t>
  </si>
  <si>
    <t>DEV3841</t>
  </si>
  <si>
    <t>DEV6964</t>
  </si>
  <si>
    <t>DEV2570</t>
  </si>
  <si>
    <t>DEV7729</t>
  </si>
  <si>
    <t>DEV7450</t>
  </si>
  <si>
    <t>DEV6793</t>
  </si>
  <si>
    <t>DEV8224</t>
  </si>
  <si>
    <t>DEV1751</t>
  </si>
  <si>
    <t>DEV7996</t>
  </si>
  <si>
    <t>DEV3402</t>
  </si>
  <si>
    <t>DEV6372</t>
  </si>
  <si>
    <t>DEV2428</t>
  </si>
  <si>
    <t>DEV4005</t>
  </si>
  <si>
    <t>DEV5154</t>
  </si>
  <si>
    <t>DEV4358</t>
  </si>
  <si>
    <t>DEV6383</t>
  </si>
  <si>
    <t>DEV6168</t>
  </si>
  <si>
    <t>DEV1886</t>
  </si>
  <si>
    <t>DEV1349</t>
  </si>
  <si>
    <t>DEV2922</t>
  </si>
  <si>
    <t>DEV6347</t>
  </si>
  <si>
    <t>DEV1908</t>
  </si>
  <si>
    <t>DEV8265</t>
  </si>
  <si>
    <t>DEV9778</t>
  </si>
  <si>
    <t>DEV4025</t>
  </si>
  <si>
    <t>DEV1438</t>
  </si>
  <si>
    <t>DEV9368</t>
  </si>
  <si>
    <t>DEV7096</t>
  </si>
  <si>
    <t>DEV8699</t>
  </si>
  <si>
    <t>DEV7816</t>
  </si>
  <si>
    <t>DEV4308</t>
  </si>
  <si>
    <t>DEV6508</t>
  </si>
  <si>
    <t>DEV1884</t>
  </si>
  <si>
    <t>DEV2454</t>
  </si>
  <si>
    <t>DEV7286</t>
  </si>
  <si>
    <t>DEV4226</t>
  </si>
  <si>
    <t>DEV4110</t>
  </si>
  <si>
    <t>DEV5472</t>
  </si>
  <si>
    <t>DEV5556</t>
  </si>
  <si>
    <t>DEV7659</t>
  </si>
  <si>
    <t>DEV3765</t>
  </si>
  <si>
    <t>DEV3234</t>
  </si>
  <si>
    <t>DEV2053</t>
  </si>
  <si>
    <t>DEV7023</t>
  </si>
  <si>
    <t>DEV9357</t>
  </si>
  <si>
    <t>DEV1355</t>
  </si>
  <si>
    <t>DEV4072</t>
  </si>
  <si>
    <t>DEV4394</t>
  </si>
  <si>
    <t>DEV2335</t>
  </si>
  <si>
    <t>DEV3952</t>
  </si>
  <si>
    <t>DEV8929</t>
  </si>
  <si>
    <t>DEV8467</t>
  </si>
  <si>
    <t>DEV3068</t>
  </si>
  <si>
    <t>DEV7897</t>
  </si>
  <si>
    <t>DEV6836</t>
  </si>
  <si>
    <t>DEV2496</t>
  </si>
  <si>
    <t>DEV2773</t>
  </si>
  <si>
    <t>DEV1402</t>
  </si>
  <si>
    <t>DEV4626</t>
  </si>
  <si>
    <t>DEV5958</t>
  </si>
  <si>
    <t>DEV3403</t>
  </si>
  <si>
    <t>DEV2546</t>
  </si>
  <si>
    <t>DEV4099</t>
  </si>
  <si>
    <t>DEV6740</t>
  </si>
  <si>
    <t>DEV3623</t>
  </si>
  <si>
    <t>DEV4609</t>
  </si>
  <si>
    <t>DEV8604</t>
  </si>
  <si>
    <t>DEV9042</t>
  </si>
  <si>
    <t>DEV2968</t>
  </si>
  <si>
    <t>DEV9126</t>
  </si>
  <si>
    <t>DEV9136</t>
  </si>
  <si>
    <t>DEV4853</t>
  </si>
  <si>
    <t>DEV7225</t>
  </si>
  <si>
    <t>DEV4915</t>
  </si>
  <si>
    <t>DEV4780</t>
  </si>
  <si>
    <t>DEV5536</t>
  </si>
  <si>
    <t>DEV9109</t>
  </si>
  <si>
    <t>DEV9799</t>
  </si>
  <si>
    <t>DEV2105</t>
  </si>
  <si>
    <t>DEV9594</t>
  </si>
  <si>
    <t>DEV2365</t>
  </si>
  <si>
    <t>DEV1812</t>
  </si>
  <si>
    <t>DEV6526</t>
  </si>
  <si>
    <t>DEV7274</t>
  </si>
  <si>
    <t>DEV4577</t>
  </si>
  <si>
    <t>DEV6234</t>
  </si>
  <si>
    <t>DEV3920</t>
  </si>
  <si>
    <t>DEV5657</t>
  </si>
  <si>
    <t>DEV9244</t>
  </si>
  <si>
    <t>DEV8488</t>
  </si>
  <si>
    <t>DEV4124</t>
  </si>
  <si>
    <t>DEV3284</t>
  </si>
  <si>
    <t>DEV2229</t>
  </si>
  <si>
    <t>DEV9713</t>
  </si>
  <si>
    <t>DEV4596</t>
  </si>
  <si>
    <t>DEV7987</t>
  </si>
  <si>
    <t>DEV7016</t>
  </si>
  <si>
    <t>DEV1934</t>
  </si>
  <si>
    <t>DEV7545</t>
  </si>
  <si>
    <t>DEV6330</t>
  </si>
  <si>
    <t>DEV2630</t>
  </si>
  <si>
    <t>DEV1160</t>
  </si>
  <si>
    <t>DEV7878</t>
  </si>
  <si>
    <t>DEV4769</t>
  </si>
  <si>
    <t>DEV4562</t>
  </si>
  <si>
    <t>DEV7098</t>
  </si>
  <si>
    <t>DEV9483</t>
  </si>
  <si>
    <t>DEV5788</t>
  </si>
  <si>
    <t>DEV2257</t>
  </si>
  <si>
    <t>DEV8870</t>
  </si>
  <si>
    <t>DEV9301</t>
  </si>
  <si>
    <t>DEV5062</t>
  </si>
  <si>
    <t>DEV4733</t>
  </si>
  <si>
    <t>DEV5572</t>
  </si>
  <si>
    <t>DEV8375</t>
  </si>
  <si>
    <t>DEV9057</t>
  </si>
  <si>
    <t>DEV8588</t>
  </si>
  <si>
    <t>DEV5002</t>
  </si>
  <si>
    <t>DEV5272</t>
  </si>
  <si>
    <t>DEV9640</t>
  </si>
  <si>
    <t>DEV5330</t>
  </si>
  <si>
    <t>DEV5443</t>
  </si>
  <si>
    <t>DEV3252</t>
  </si>
  <si>
    <t>DEV3892</t>
  </si>
  <si>
    <t>DEV3229</t>
  </si>
  <si>
    <t>DEV2397</t>
  </si>
  <si>
    <t>DEV1916</t>
  </si>
  <si>
    <t>DEV9330</t>
  </si>
  <si>
    <t>DEV5146</t>
  </si>
  <si>
    <t>DEV8579</t>
  </si>
  <si>
    <t>DEV3574</t>
  </si>
  <si>
    <t>DEV9331</t>
  </si>
  <si>
    <t>DEV7785</t>
  </si>
  <si>
    <t>DEV5716</t>
  </si>
  <si>
    <t>DEV4418</t>
  </si>
  <si>
    <t>DEV7380</t>
  </si>
  <si>
    <t>DEV3150</t>
  </si>
  <si>
    <t>DEV8889</t>
  </si>
  <si>
    <t>DEV8216</t>
  </si>
  <si>
    <t>DEV6917</t>
  </si>
  <si>
    <t>DEV4636</t>
  </si>
  <si>
    <t>DEV8804</t>
  </si>
  <si>
    <t>DEV9455</t>
  </si>
  <si>
    <t>DEV9949</t>
  </si>
  <si>
    <t>DEV5975</t>
  </si>
  <si>
    <t>DEV9219</t>
  </si>
  <si>
    <t>DEV7187</t>
  </si>
  <si>
    <t>DEV2234</t>
  </si>
  <si>
    <t>DEV8373</t>
  </si>
  <si>
    <t>DEV5357</t>
  </si>
  <si>
    <t>DEV2118</t>
  </si>
  <si>
    <t>DEV3605</t>
  </si>
  <si>
    <t>DEV1323</t>
  </si>
  <si>
    <t>DEV9164</t>
  </si>
  <si>
    <t>DEV1833</t>
  </si>
  <si>
    <t>DEV8510</t>
  </si>
  <si>
    <t>DEV8030</t>
  </si>
  <si>
    <t>DEV5107</t>
  </si>
  <si>
    <t>DEV4584</t>
  </si>
  <si>
    <t>DEV5474</t>
  </si>
  <si>
    <t>DEV7223</t>
  </si>
  <si>
    <t>DEV5710</t>
  </si>
  <si>
    <t>DEV8063</t>
  </si>
  <si>
    <t>DEV1568</t>
  </si>
  <si>
    <t>DEV1911</t>
  </si>
  <si>
    <t>DEV7561</t>
  </si>
  <si>
    <t>DEV7433</t>
  </si>
  <si>
    <t>DEV8423</t>
  </si>
  <si>
    <t>DEV5054</t>
  </si>
  <si>
    <t>DEV1752</t>
  </si>
  <si>
    <t>DEV4210</t>
  </si>
  <si>
    <t>DEV8441</t>
  </si>
  <si>
    <t>DEV5434</t>
  </si>
  <si>
    <t>DEV1597</t>
  </si>
  <si>
    <t>DEV8628</t>
  </si>
  <si>
    <t>DEV3849</t>
  </si>
  <si>
    <t>DEV8222</t>
  </si>
  <si>
    <t>DEV1835</t>
  </si>
  <si>
    <t>DEV1711</t>
  </si>
  <si>
    <t>DEV2434</t>
  </si>
  <si>
    <t>DEV2522</t>
  </si>
  <si>
    <t>DEV6228</t>
  </si>
  <si>
    <t>DEV7097</t>
  </si>
  <si>
    <t>DEV4953</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</si>
  <si>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</si>
  <si>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</si>
  <si>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</si>
  <si>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</si>
  <si>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</si>
  <si>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</si>
  <si>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</si>
  <si>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</si>
  <si>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</si>
  <si>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</si>
  <si>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</si>
  <si>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</si>
  <si>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</si>
  <si>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</si>
  <si>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</si>
  <si>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</si>
  <si>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</si>
  <si>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</si>
  <si>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</si>
  <si>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</si>
  <si>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</si>
  <si>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</si>
  <si>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</si>
  <si>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</si>
  <si>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</si>
  <si>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</si>
  <si>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</si>
  <si>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</si>
  <si>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</si>
  <si>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</si>
  <si>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</si>
  <si>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</si>
  <si>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</si>
  <si>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</si>
  <si>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</si>
  <si>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</si>
  <si>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</si>
  <si>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</si>
  <si>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</si>
  <si>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</si>
  <si>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</si>
  <si>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</si>
  <si>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</si>
  <si>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</si>
  <si>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</si>
  <si>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</si>
  <si>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</si>
  <si>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</si>
  <si>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</si>
  <si>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</si>
  <si>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</si>
  <si>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</si>
  <si>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</si>
  <si>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</si>
  <si>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</si>
  <si>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</si>
  <si>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</si>
  <si>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</si>
  <si>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</si>
  <si>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</si>
  <si>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</si>
  <si>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</si>
  <si>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</si>
  <si>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</si>
  <si>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</si>
  <si>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</si>
  <si>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</si>
  <si>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</si>
  <si>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</si>
  <si>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</si>
  <si>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</si>
  <si>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</si>
  <si>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</si>
  <si>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</si>
  <si>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</si>
  <si>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</si>
  <si>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</si>
  <si>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</si>
  <si>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</si>
  <si>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</si>
  <si>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</si>
  <si>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</si>
  <si>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</si>
  <si>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</si>
  <si>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</si>
  <si>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</si>
  <si>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</si>
  <si>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</si>
  <si>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</si>
  <si>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</si>
  <si>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</si>
  <si>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</si>
  <si>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</si>
  <si>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</si>
  <si>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</si>
  <si>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</si>
  <si>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</si>
  <si>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</si>
  <si>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</si>
  <si>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</si>
  <si>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</si>
  <si>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</si>
  <si>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</si>
  <si>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</si>
  <si>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</si>
  <si>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</si>
  <si>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</si>
  <si>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</si>
  <si>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</si>
  <si>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</si>
  <si>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</si>
  <si>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</si>
  <si>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</si>
  <si>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</si>
  <si>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</si>
  <si>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</si>
  <si>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</si>
  <si>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</si>
  <si>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</si>
  <si>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</si>
  <si>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</si>
  <si>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</si>
  <si>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</si>
  <si>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</si>
  <si>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</si>
  <si>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</si>
  <si>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</si>
  <si>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</si>
  <si>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</si>
  <si>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</si>
  <si>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</si>
  <si>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</si>
  <si>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</si>
  <si>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</si>
  <si>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</si>
  <si>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</si>
  <si>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</si>
  <si>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</si>
  <si>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</si>
  <si>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</si>
  <si>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</si>
  <si>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</si>
  <si>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</si>
  <si>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</si>
  <si>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</si>
  <si>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</si>
  <si>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</si>
  <si>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</si>
  <si>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</si>
  <si>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</si>
  <si>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</si>
  <si>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</si>
  <si>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</si>
  <si>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</si>
  <si>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</si>
  <si>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</si>
  <si>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</si>
  <si>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</si>
  <si>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</si>
  <si>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</si>
  <si>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</si>
  <si>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</si>
  <si>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</si>
  <si>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</si>
  <si>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</si>
  <si>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</si>
  <si>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</si>
  <si>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</si>
  <si>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</si>
  <si>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</si>
  <si>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</si>
  <si>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</si>
  <si>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</si>
  <si>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</si>
  <si>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</si>
  <si>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</si>
  <si>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</si>
  <si>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</si>
  <si>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</si>
  <si>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</si>
  <si>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</si>
  <si>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</si>
  <si>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</si>
  <si>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</si>
  <si>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</si>
  <si>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</si>
  <si>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</si>
  <si>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</si>
  <si>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</si>
  <si>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</si>
  <si>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</si>
  <si>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</si>
  <si>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</si>
  <si>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</si>
  <si>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</si>
  <si>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</si>
  <si>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</si>
  <si>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</si>
  <si>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</si>
  <si>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</si>
  <si>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</si>
  <si>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</si>
  <si>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</si>
  <si>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</si>
  <si>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</si>
  <si>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</si>
  <si>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</si>
  <si>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</si>
  <si>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</si>
  <si>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</si>
  <si>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</si>
  <si>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</si>
  <si>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</si>
  <si>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</si>
  <si>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</si>
  <si>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</si>
  <si>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</si>
  <si>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</si>
  <si>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</si>
  <si>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</si>
  <si>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</si>
  <si>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</si>
  <si>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</si>
  <si>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</si>
  <si>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</si>
  <si>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</si>
  <si>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</si>
  <si>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</si>
  <si>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</si>
  <si>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</si>
  <si>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</si>
  <si>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</si>
  <si>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</si>
  <si>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</si>
  <si>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</si>
  <si>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</si>
  <si>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</si>
  <si>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</si>
  <si>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</si>
  <si>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</si>
  <si>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</si>
  <si>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</si>
  <si>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</si>
  <si>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</si>
  <si>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</si>
  <si>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</si>
  <si>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</si>
  <si>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</si>
  <si>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</si>
  <si>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</si>
  <si>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</si>
  <si>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</si>
  <si>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</si>
  <si>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</si>
  <si>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</si>
  <si>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</si>
  <si>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</si>
  <si>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</si>
  <si>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</si>
  <si>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</si>
  <si>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</si>
  <si>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</si>
  <si>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</si>
  <si>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</si>
  <si>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</si>
  <si>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</si>
  <si>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</si>
  <si>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</si>
  <si>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</si>
  <si>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</si>
  <si>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</si>
  <si>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</si>
  <si>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</si>
  <si>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</si>
  <si>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</si>
  <si>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</si>
  <si>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</si>
  <si>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</si>
  <si>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</si>
  <si>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</si>
  <si>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</si>
  <si>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</si>
  <si>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</si>
  <si>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</si>
  <si>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</si>
  <si>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</si>
  <si>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</si>
  <si>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</si>
  <si>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</si>
  <si>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</si>
  <si>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</si>
  <si>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</si>
  <si>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</si>
  <si>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</si>
  <si>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</si>
  <si>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</si>
  <si>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</si>
  <si>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</si>
  <si>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</si>
  <si>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</si>
  <si>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</si>
  <si>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</si>
  <si>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</si>
  <si>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</si>
  <si>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</si>
  <si>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</si>
  <si>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</si>
  <si>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</si>
  <si>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</si>
  <si>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</si>
  <si>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</si>
  <si>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</si>
  <si>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</si>
  <si>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</si>
  <si>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</si>
  <si>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</si>
  <si>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</si>
  <si>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</si>
  <si>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</si>
  <si>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</si>
  <si>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</si>
  <si>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</si>
  <si>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</si>
  <si>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</si>
  <si>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</si>
  <si>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</si>
  <si>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</si>
  <si>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</si>
  <si>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</si>
  <si>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</si>
  <si>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</si>
  <si>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</si>
  <si>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</si>
  <si>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</si>
  <si>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</si>
  <si>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</si>
  <si>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</si>
  <si>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</si>
  <si>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</si>
  <si>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</si>
  <si>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</si>
  <si>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</si>
  <si>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</si>
  <si>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</si>
  <si>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</si>
  <si>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</si>
  <si>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</si>
  <si>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</si>
  <si>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</si>
  <si>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</si>
  <si>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</si>
  <si>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</si>
  <si>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</si>
  <si>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</si>
  <si>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</si>
  <si>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</si>
  <si>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</si>
  <si>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</si>
  <si>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</si>
  <si>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</si>
  <si>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</si>
  <si>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</si>
  <si>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</si>
  <si>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</si>
  <si>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</si>
  <si>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</si>
  <si>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</si>
  <si>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</si>
  <si>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</si>
  <si>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</si>
  <si>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</si>
  <si>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</si>
  <si>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</si>
  <si>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</si>
  <si>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</si>
  <si>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</si>
  <si>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</si>
  <si>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</si>
  <si>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</si>
  <si>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</si>
  <si>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</si>
  <si>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</si>
  <si>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</si>
  <si>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</si>
  <si>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</si>
  <si>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</si>
  <si>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</si>
  <si>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</si>
  <si>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</si>
  <si>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</si>
  <si>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</si>
  <si>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</si>
  <si>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</si>
  <si>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</si>
  <si>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</si>
  <si>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</si>
  <si>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</si>
  <si>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</si>
  <si>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</si>
  <si>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</si>
  <si>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</si>
  <si>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</si>
  <si>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</si>
  <si>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</si>
  <si>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</si>
  <si>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</si>
  <si>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</si>
  <si>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</si>
  <si>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</si>
  <si>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</si>
  <si>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</si>
  <si>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</si>
  <si>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</si>
  <si>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</si>
  <si>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</si>
  <si>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</si>
  <si>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</si>
  <si>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</si>
  <si>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</si>
  <si>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</si>
  <si>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</si>
  <si>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</si>
  <si>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</si>
  <si>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</si>
  <si>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</si>
  <si>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</si>
  <si>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</si>
  <si>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</si>
  <si>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</si>
  <si>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</si>
  <si>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</si>
  <si>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</si>
  <si>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</si>
  <si>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</si>
  <si>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</si>
  <si>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</si>
  <si>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</si>
  <si>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</si>
  <si>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</si>
  <si>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</si>
  <si>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</si>
  <si>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</si>
  <si>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</si>
  <si>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</si>
  <si>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</si>
  <si>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</si>
  <si>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</si>
  <si>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</si>
  <si>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</si>
  <si>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</si>
  <si>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</si>
  <si>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</si>
  <si>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</si>
  <si>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</si>
  <si>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</si>
  <si>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</si>
  <si>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</si>
  <si>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</si>
  <si>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</si>
  <si>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</si>
  <si>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</si>
  <si>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</si>
  <si>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</si>
  <si>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</si>
  <si>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</si>
  <si>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</si>
  <si>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</si>
  <si>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</si>
  <si>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</si>
  <si>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</si>
  <si>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</si>
  <si>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</si>
  <si>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</si>
  <si>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</si>
  <si>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</si>
  <si>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</si>
  <si>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</si>
  <si>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</si>
  <si>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</si>
  <si>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</si>
  <si>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</si>
  <si>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</si>
  <si>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</si>
  <si>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</si>
  <si>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</si>
  <si>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</si>
  <si>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</si>
  <si>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</si>
  <si>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</si>
  <si>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</si>
  <si>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</si>
  <si>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</si>
  <si>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</si>
  <si>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</si>
  <si>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</si>
  <si>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</si>
  <si>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</si>
  <si>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</si>
  <si>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</si>
  <si>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</si>
  <si>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</si>
  <si>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</si>
  <si>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</si>
  <si>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</si>
  <si>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</si>
  <si>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</si>
  <si>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</si>
  <si>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</si>
  <si>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</si>
  <si>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</si>
  <si>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</si>
  <si>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</si>
  <si>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</si>
  <si>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</si>
  <si>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</si>
  <si>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</si>
  <si>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</si>
  <si>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</si>
  <si>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</si>
  <si>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</si>
  <si>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</si>
  <si>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</si>
  <si>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</si>
  <si>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</si>
  <si>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</si>
  <si>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</si>
  <si>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</si>
  <si>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</si>
  <si>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</si>
  <si>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</si>
  <si>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</si>
  <si>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</si>
  <si>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</si>
  <si>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</si>
  <si>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</si>
  <si>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</si>
  <si>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</si>
  <si>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</si>
  <si>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</si>
  <si>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</si>
  <si>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</si>
  <si>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</si>
  <si>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</si>
  <si>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</si>
  <si>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</si>
  <si>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</si>
  <si>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</si>
  <si>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</si>
  <si>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</si>
  <si>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</si>
  <si>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</si>
  <si>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</si>
  <si>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</si>
  <si>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</si>
  <si>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</si>
  <si>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</si>
  <si>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</si>
  <si>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</si>
  <si>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</si>
  <si>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</si>
  <si>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</si>
  <si>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</si>
  <si>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</si>
  <si>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</si>
  <si>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</si>
  <si>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</si>
  <si>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</si>
  <si>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</si>
  <si>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</si>
  <si>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</si>
  <si>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</si>
  <si>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</si>
  <si>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</si>
  <si>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</si>
  <si>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</si>
  <si>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</si>
  <si>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</si>
  <si>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</si>
  <si>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</si>
  <si>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</si>
  <si>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</si>
  <si>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</si>
  <si>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</si>
  <si>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</si>
  <si>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</si>
  <si>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</si>
  <si>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</si>
  <si>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</si>
  <si>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</si>
  <si>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</si>
  <si>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</si>
  <si>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</si>
  <si>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</si>
  <si>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</si>
  <si>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</si>
  <si>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</si>
  <si>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</si>
  <si>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</si>
  <si>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</si>
  <si>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</si>
  <si>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</si>
  <si>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</si>
  <si>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</si>
  <si>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</si>
  <si>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</si>
  <si>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</si>
  <si>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</si>
  <si>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</si>
  <si>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</si>
  <si>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</si>
  <si>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</si>
  <si>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</si>
  <si>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</si>
  <si>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</si>
  <si>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</si>
  <si>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</si>
  <si>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</si>
  <si>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</si>
  <si>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</si>
  <si>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</si>
  <si>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</si>
  <si>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</si>
  <si>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</si>
  <si>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</si>
  <si>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</si>
  <si>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</si>
  <si>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</si>
  <si>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</si>
  <si>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</si>
  <si>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</si>
  <si>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</si>
  <si>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</si>
  <si>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</si>
  <si>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</si>
  <si>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</si>
  <si>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</si>
  <si>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</si>
  <si>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</si>
  <si>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</si>
  <si>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</si>
  <si>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</si>
  <si>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</si>
  <si>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</si>
  <si>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</si>
  <si>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</si>
  <si>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</si>
  <si>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</si>
  <si>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</si>
  <si>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</si>
  <si>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</si>
  <si>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</si>
  <si>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</si>
  <si>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</si>
  <si>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</si>
  <si>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</si>
  <si>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</si>
  <si>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</si>
  <si>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</si>
  <si>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</si>
  <si>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</si>
  <si>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</si>
  <si>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</si>
  <si>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</si>
  <si>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</si>
  <si>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</si>
  <si>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</si>
  <si>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</si>
  <si>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</si>
  <si>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</si>
  <si>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</si>
  <si>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</si>
  <si>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</si>
  <si>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</si>
  <si>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</si>
  <si>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</si>
  <si>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</si>
  <si>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</si>
  <si>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</si>
  <si>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</si>
  <si>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</si>
  <si>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</si>
  <si>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</si>
  <si>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</si>
  <si>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</si>
  <si>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</si>
  <si>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</si>
  <si>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</si>
  <si>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</si>
  <si>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</si>
  <si>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</si>
  <si>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</si>
  <si>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</si>
  <si>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</si>
  <si>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</si>
  <si>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</si>
  <si>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</si>
  <si>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</si>
  <si>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</si>
  <si>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</si>
  <si>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</si>
  <si>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</si>
  <si>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</si>
  <si>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</si>
  <si>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</si>
  <si>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</si>
  <si>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</si>
  <si>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</si>
  <si>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</si>
  <si>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</si>
  <si>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</si>
  <si>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</si>
  <si>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</si>
  <si>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</si>
  <si>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</si>
  <si>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</si>
  <si>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</si>
  <si>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</si>
  <si>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</si>
  <si>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</si>
  <si>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</si>
  <si>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</si>
  <si>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</si>
  <si>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</si>
  <si>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</si>
  <si>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</si>
  <si>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</si>
  <si>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</si>
  <si>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</si>
  <si>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</si>
  <si>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</si>
  <si>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</si>
  <si>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</si>
  <si>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</si>
  <si>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</si>
  <si>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</si>
  <si>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</si>
  <si>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</si>
  <si>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</si>
  <si>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</si>
  <si>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</si>
  <si>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</si>
  <si>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</si>
  <si>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</si>
  <si>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</si>
  <si>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</si>
  <si>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</si>
  <si>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</si>
  <si>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</si>
  <si>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</si>
  <si>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</si>
  <si>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</si>
  <si>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</si>
  <si>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</si>
  <si>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</si>
  <si>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</si>
  <si>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</si>
  <si>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</si>
  <si>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</si>
  <si>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</si>
  <si>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</si>
  <si>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</si>
  <si>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</si>
  <si>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</si>
  <si>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</si>
  <si>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</si>
  <si>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</si>
  <si>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</si>
  <si>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</si>
  <si>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</si>
  <si>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</si>
  <si>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</si>
  <si>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</si>
  <si>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</si>
  <si>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</si>
  <si>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</si>
  <si>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</si>
  <si>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</si>
  <si>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</si>
  <si>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</si>
  <si>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</si>
  <si>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</si>
  <si>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</si>
  <si>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</si>
  <si>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</si>
  <si>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</si>
  <si>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</si>
  <si>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</si>
  <si>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</si>
  <si>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</si>
  <si>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</si>
  <si>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</si>
  <si>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</si>
  <si>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</si>
  <si>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</si>
  <si>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</si>
  <si>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</si>
  <si>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</si>
  <si>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</si>
  <si>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</si>
  <si>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</si>
  <si>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</si>
  <si>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</si>
  <si>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</si>
  <si>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</si>
  <si>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</si>
  <si>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</si>
  <si>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</si>
  <si>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</si>
  <si>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</si>
  <si>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</si>
  <si>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</si>
  <si>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</si>
  <si>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</si>
  <si>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</si>
  <si>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</si>
  <si>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</si>
  <si>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</si>
  <si>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</si>
  <si>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</si>
  <si>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</si>
  <si>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</si>
  <si>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</si>
  <si>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</si>
  <si>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</si>
  <si>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</si>
  <si>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</si>
  <si>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</si>
  <si>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</si>
  <si>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</si>
  <si>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</si>
  <si>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</si>
  <si>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</si>
  <si>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</si>
  <si>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</si>
  <si>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</si>
  <si>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</si>
  <si>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</si>
  <si>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</si>
  <si>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</si>
  <si>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</si>
  <si>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</si>
  <si>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</si>
  <si>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</si>
  <si>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</si>
  <si>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</si>
  <si>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</si>
  <si>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</si>
  <si>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</si>
  <si>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</si>
  <si>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</si>
  <si>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</si>
  <si>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</si>
  <si>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</si>
  <si>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</si>
  <si>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</si>
  <si>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</si>
  <si>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</si>
  <si>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</si>
  <si>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</si>
  <si>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</si>
  <si>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</si>
  <si>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</si>
  <si>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</si>
  <si>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</si>
  <si>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</si>
  <si>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</si>
  <si>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</si>
  <si>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</si>
  <si>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</si>
  <si>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</si>
  <si>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</si>
  <si>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</si>
  <si>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</si>
  <si>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</si>
  <si>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</si>
  <si>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</si>
  <si>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T0977</t>
  </si>
  <si>
    <t>T0978</t>
  </si>
  <si>
    <t>T0979</t>
  </si>
  <si>
    <t>T0980</t>
  </si>
  <si>
    <t>T0981</t>
  </si>
  <si>
    <t>T0982</t>
  </si>
  <si>
    <t>T0983</t>
  </si>
  <si>
    <t>T0984</t>
  </si>
  <si>
    <t>T0985</t>
  </si>
  <si>
    <t>T0986</t>
  </si>
  <si>
    <t>T0987</t>
  </si>
  <si>
    <t>T0988</t>
  </si>
  <si>
    <t>T0989</t>
  </si>
  <si>
    <t>T0990</t>
  </si>
  <si>
    <t>T0991</t>
  </si>
  <si>
    <t>T0992</t>
  </si>
  <si>
    <t>T0993</t>
  </si>
  <si>
    <t>T0994</t>
  </si>
  <si>
    <t>T0995</t>
  </si>
  <si>
    <t>T0996</t>
  </si>
  <si>
    <t>T0997</t>
  </si>
  <si>
    <t>T0998</t>
  </si>
  <si>
    <t>T0999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</si>
  <si>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</si>
  <si>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</si>
  <si>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</si>
  <si>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</si>
  <si>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</si>
  <si>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</si>
  <si>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</si>
  <si>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</si>
  <si>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</si>
  <si>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</si>
  <si>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</si>
  <si>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</si>
  <si>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</si>
  <si>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</si>
  <si>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</si>
  <si>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</si>
  <si>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</si>
  <si>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</si>
  <si>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</si>
  <si>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</si>
  <si>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</si>
  <si>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</si>
  <si>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</si>
  <si>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</si>
  <si>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</si>
  <si>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</si>
  <si>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</si>
  <si>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</si>
  <si>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</si>
  <si>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</si>
  <si>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</si>
  <si>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</si>
  <si>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</si>
  <si>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</si>
  <si>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</si>
  <si>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</si>
  <si>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</si>
  <si>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</si>
  <si>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</si>
  <si>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</si>
  <si>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</si>
  <si>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</si>
  <si>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</si>
  <si>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</si>
  <si>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</si>
  <si>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</si>
  <si>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</si>
  <si>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</si>
  <si>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</si>
  <si>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</si>
  <si>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</si>
  <si>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</si>
  <si>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</si>
  <si>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</si>
  <si>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</si>
  <si>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</si>
  <si>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</si>
  <si>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</si>
  <si>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</si>
  <si>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</si>
  <si>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</si>
  <si>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</si>
  <si>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</si>
  <si>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</si>
  <si>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</si>
  <si>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</si>
  <si>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</si>
  <si>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</si>
  <si>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</si>
  <si>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</si>
  <si>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</si>
  <si>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</si>
  <si>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</si>
  <si>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</si>
  <si>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</si>
  <si>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</si>
  <si>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</si>
  <si>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</si>
  <si>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</si>
  <si>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</si>
  <si>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</si>
  <si>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</si>
  <si>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</si>
  <si>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</si>
  <si>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</si>
  <si>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</si>
  <si>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</si>
  <si>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</si>
  <si>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</si>
  <si>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</si>
  <si>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</si>
  <si>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</si>
  <si>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</si>
  <si>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</si>
  <si>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</si>
  <si>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</si>
  <si>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</si>
  <si>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</si>
  <si>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</si>
  <si>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</si>
  <si>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</si>
  <si>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</si>
  <si>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</si>
  <si>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</si>
  <si>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</si>
  <si>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</si>
  <si>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</si>
  <si>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</si>
  <si>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</si>
  <si>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</si>
  <si>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</si>
  <si>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</si>
  <si>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</si>
  <si>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</si>
  <si>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</si>
  <si>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</si>
  <si>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</si>
  <si>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</si>
  <si>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</si>
  <si>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</si>
  <si>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</si>
  <si>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</si>
  <si>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</si>
  <si>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</si>
  <si>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</si>
  <si>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</si>
  <si>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</si>
  <si>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</si>
  <si>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</si>
  <si>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</si>
  <si>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</si>
  <si>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</si>
  <si>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</si>
  <si>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</si>
  <si>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</si>
  <si>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</si>
  <si>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</si>
  <si>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</si>
  <si>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</si>
  <si>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</si>
  <si>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</si>
  <si>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</si>
  <si>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</si>
  <si>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</si>
  <si>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</si>
  <si>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</si>
  <si>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</si>
  <si>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</si>
  <si>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</si>
  <si>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</si>
  <si>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</si>
  <si>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</si>
  <si>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</si>
  <si>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</si>
  <si>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</si>
  <si>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</si>
  <si>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</si>
  <si>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</si>
  <si>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</si>
  <si>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</si>
  <si>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</si>
  <si>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</si>
  <si>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</si>
  <si>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</si>
  <si>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</si>
  <si>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</si>
  <si>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</si>
  <si>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</si>
  <si>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</si>
  <si>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</si>
  <si>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</si>
  <si>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</si>
  <si>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</si>
  <si>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</si>
  <si>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</si>
  <si>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</si>
  <si>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</si>
  <si>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</si>
  <si>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</si>
  <si>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</si>
  <si>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</si>
  <si>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</si>
  <si>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</si>
  <si>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</si>
  <si>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</si>
  <si>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</si>
  <si>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</si>
  <si>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</si>
  <si>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</si>
  <si>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</si>
  <si>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</si>
  <si>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</si>
  <si>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</si>
  <si>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</si>
  <si>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</si>
  <si>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</si>
  <si>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</si>
  <si>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</si>
  <si>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</si>
  <si>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</si>
  <si>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</si>
  <si>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</si>
  <si>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</si>
  <si>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</si>
  <si>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</si>
  <si>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</si>
  <si>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</si>
  <si>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</si>
  <si>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</si>
  <si>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</si>
  <si>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</si>
  <si>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</si>
  <si>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</si>
  <si>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</si>
  <si>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</si>
  <si>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</si>
  <si>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</si>
  <si>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</si>
  <si>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</si>
  <si>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</si>
  <si>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</si>
  <si>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</si>
  <si>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</si>
  <si>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</si>
  <si>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</si>
  <si>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</si>
  <si>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</si>
  <si>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</si>
  <si>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</si>
  <si>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</si>
  <si>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</si>
  <si>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</si>
  <si>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</si>
  <si>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</si>
  <si>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</si>
  <si>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</si>
  <si>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</si>
  <si>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</si>
  <si>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</si>
  <si>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</si>
  <si>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</si>
  <si>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</si>
  <si>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</si>
  <si>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</si>
  <si>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</si>
  <si>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</si>
  <si>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</si>
  <si>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</si>
  <si>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</si>
  <si>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</si>
  <si>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</si>
  <si>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</si>
  <si>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</si>
  <si>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</si>
  <si>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</si>
  <si>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</si>
  <si>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</si>
  <si>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</si>
  <si>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</si>
  <si>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</si>
  <si>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</si>
  <si>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</si>
  <si>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</si>
  <si>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</si>
  <si>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</si>
  <si>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</si>
  <si>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</si>
  <si>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</si>
  <si>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</si>
  <si>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</si>
  <si>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</si>
  <si>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</si>
  <si>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</si>
  <si>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</si>
  <si>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</si>
  <si>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</si>
  <si>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</si>
  <si>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</si>
  <si>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</si>
  <si>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</si>
  <si>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</si>
  <si>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</si>
  <si>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</si>
  <si>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</si>
  <si>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</si>
  <si>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</si>
  <si>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</si>
  <si>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</si>
  <si>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</si>
  <si>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</si>
  <si>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</si>
  <si>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</si>
  <si>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</si>
  <si>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</si>
  <si>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</si>
  <si>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</si>
  <si>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</si>
  <si>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</si>
  <si>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</si>
  <si>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</si>
  <si>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</si>
  <si>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</si>
  <si>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</si>
  <si>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</si>
  <si>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</si>
  <si>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</si>
  <si>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</si>
  <si>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</si>
  <si>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</si>
  <si>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</si>
  <si>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</si>
  <si>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</si>
  <si>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</si>
  <si>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</si>
  <si>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</si>
  <si>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</si>
  <si>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</si>
  <si>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</si>
  <si>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</si>
  <si>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</si>
  <si>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</si>
  <si>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</si>
  <si>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</si>
  <si>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</si>
  <si>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</si>
  <si>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</si>
  <si>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</si>
  <si>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</si>
  <si>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</si>
  <si>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</si>
  <si>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</si>
  <si>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</si>
  <si>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</si>
  <si>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</si>
  <si>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</si>
  <si>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</si>
  <si>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</si>
  <si>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</si>
  <si>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</si>
  <si>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</si>
  <si>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</si>
  <si>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</si>
  <si>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</si>
  <si>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</si>
  <si>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</si>
  <si>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</si>
  <si>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</si>
  <si>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</si>
  <si>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</si>
  <si>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</si>
  <si>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</si>
  <si>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</si>
  <si>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</si>
  <si>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</si>
  <si>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</si>
  <si>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</si>
  <si>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</si>
  <si>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</si>
  <si>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</si>
  <si>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</si>
  <si>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</si>
  <si>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</si>
  <si>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</si>
  <si>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</si>
  <si>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</si>
  <si>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</si>
  <si>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</si>
  <si>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</si>
  <si>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</si>
  <si>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</si>
  <si>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</si>
  <si>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</si>
  <si>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</si>
  <si>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</si>
  <si>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</si>
  <si>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</si>
  <si>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</si>
  <si>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</si>
  <si>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</si>
  <si>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</si>
  <si>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</si>
  <si>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</si>
  <si>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</si>
  <si>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</si>
  <si>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</si>
  <si>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</si>
  <si>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</si>
  <si>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</si>
  <si>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</si>
  <si>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</si>
  <si>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</si>
  <si>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</si>
  <si>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</si>
  <si>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</si>
  <si>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</si>
  <si>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</si>
  <si>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</si>
  <si>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</si>
  <si>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</si>
  <si>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</si>
  <si>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</si>
  <si>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</si>
  <si>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</si>
  <si>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</si>
  <si>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</si>
  <si>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</si>
  <si>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</si>
  <si>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</si>
  <si>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</si>
  <si>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</si>
  <si>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</si>
  <si>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</si>
  <si>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</si>
  <si>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</si>
  <si>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</si>
  <si>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</si>
  <si>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</si>
  <si>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</si>
  <si>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</si>
  <si>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</si>
  <si>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</si>
  <si>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</si>
  <si>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</si>
  <si>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</si>
  <si>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</si>
  <si>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</si>
  <si>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</si>
  <si>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</si>
  <si>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</si>
  <si>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</si>
  <si>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</si>
  <si>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</si>
  <si>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</si>
  <si>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</si>
  <si>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</si>
  <si>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</si>
  <si>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</si>
  <si>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</si>
  <si>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</si>
  <si>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</si>
  <si>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</si>
  <si>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</si>
  <si>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</si>
  <si>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</si>
  <si>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</si>
  <si>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</si>
  <si>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</si>
  <si>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</si>
  <si>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</si>
  <si>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</si>
  <si>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</si>
  <si>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</si>
  <si>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</si>
  <si>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</si>
  <si>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</si>
  <si>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</si>
  <si>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</si>
  <si>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</si>
  <si>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</si>
  <si>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</si>
  <si>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</si>
  <si>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</si>
  <si>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</si>
  <si>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</si>
  <si>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</si>
  <si>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</si>
  <si>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</si>
  <si>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</si>
  <si>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</si>
  <si>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</si>
  <si>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</si>
  <si>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</si>
  <si>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</si>
  <si>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</si>
  <si>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</si>
  <si>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</si>
  <si>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</si>
  <si>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</si>
  <si>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</si>
  <si>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</si>
  <si>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</si>
  <si>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</si>
  <si>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</si>
  <si>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</si>
  <si>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</si>
  <si>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</si>
  <si>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</si>
  <si>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</si>
  <si>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</si>
  <si>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</si>
  <si>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</si>
  <si>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</si>
  <si>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</si>
  <si>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</si>
  <si>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</si>
  <si>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</si>
  <si>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</si>
  <si>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</si>
  <si>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</si>
  <si>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</si>
  <si>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</si>
  <si>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</si>
  <si>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</si>
  <si>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</si>
  <si>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</si>
  <si>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</si>
  <si>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</si>
  <si>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</si>
  <si>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</si>
  <si>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</si>
  <si>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</si>
  <si>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</si>
  <si>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</si>
  <si>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</si>
  <si>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</si>
  <si>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</si>
  <si>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</si>
  <si>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</si>
  <si>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</si>
  <si>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</si>
  <si>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</si>
  <si>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</si>
  <si>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</si>
  <si>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</si>
  <si>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</si>
  <si>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</si>
  <si>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</si>
  <si>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</si>
  <si>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</si>
  <si>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</si>
  <si>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</si>
  <si>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</si>
  <si>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</si>
  <si>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</si>
  <si>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</si>
  <si>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</si>
  <si>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</si>
  <si>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</si>
  <si>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</si>
  <si>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</si>
  <si>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</si>
  <si>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</si>
  <si>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</si>
  <si>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</si>
  <si>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</si>
  <si>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</si>
  <si>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</si>
  <si>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</si>
  <si>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</si>
  <si>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</si>
  <si>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</si>
  <si>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</si>
  <si>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</si>
  <si>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</si>
  <si>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</si>
  <si>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</si>
  <si>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</si>
  <si>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</si>
  <si>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</si>
  <si>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</si>
  <si>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</si>
  <si>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</si>
  <si>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</si>
  <si>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</si>
  <si>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</si>
  <si>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</si>
  <si>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</si>
  <si>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</si>
  <si>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</si>
  <si>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</si>
  <si>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</si>
  <si>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</si>
  <si>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</si>
  <si>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</si>
  <si>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</si>
  <si>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</si>
  <si>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</si>
  <si>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</si>
  <si>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</si>
  <si>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</si>
  <si>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</si>
  <si>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</si>
  <si>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</si>
  <si>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</si>
  <si>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</si>
  <si>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</si>
  <si>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</si>
  <si>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</si>
  <si>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</si>
  <si>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</si>
  <si>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</si>
  <si>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</si>
  <si>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</si>
  <si>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</si>
  <si>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</si>
  <si>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</si>
  <si>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</si>
  <si>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</si>
  <si>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</si>
  <si>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</si>
  <si>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</si>
  <si>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</si>
  <si>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</si>
  <si>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</si>
  <si>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</si>
  <si>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</si>
  <si>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</si>
  <si>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</si>
  <si>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</si>
  <si>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</si>
  <si>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</si>
  <si>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</si>
  <si>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</si>
  <si>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</si>
  <si>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</si>
  <si>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</si>
  <si>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</si>
  <si>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</si>
  <si>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</si>
  <si>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</si>
  <si>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</si>
  <si>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</si>
  <si>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</si>
  <si>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</si>
  <si>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</si>
  <si>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</si>
  <si>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</si>
  <si>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</si>
  <si>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</si>
  <si>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</si>
  <si>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</si>
  <si>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</si>
  <si>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</si>
  <si>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</si>
  <si>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</si>
  <si>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</si>
  <si>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</si>
  <si>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</si>
  <si>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</si>
  <si>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</si>
  <si>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</si>
  <si>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</si>
  <si>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</si>
  <si>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</si>
  <si>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</si>
  <si>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</si>
  <si>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</si>
  <si>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</si>
  <si>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</si>
  <si>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</si>
  <si>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</si>
  <si>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</si>
  <si>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</si>
  <si>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</si>
  <si>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</si>
  <si>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</si>
  <si>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</si>
  <si>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</si>
  <si>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</si>
  <si>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</si>
  <si>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</si>
  <si>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</si>
  <si>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</si>
  <si>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</si>
  <si>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</si>
  <si>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</si>
  <si>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</si>
  <si>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</si>
  <si>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</si>
  <si>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</si>
  <si>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</si>
  <si>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</si>
  <si>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</si>
  <si>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</si>
  <si>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</si>
  <si>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</si>
  <si>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</si>
  <si>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</si>
  <si>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</si>
  <si>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</si>
  <si>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</si>
  <si>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</si>
  <si>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</si>
  <si>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</si>
  <si>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</si>
  <si>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</si>
  <si>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</si>
  <si>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</si>
  <si>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</si>
  <si>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</si>
  <si>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</si>
  <si>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</si>
  <si>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</si>
  <si>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</si>
  <si>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</si>
  <si>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</si>
  <si>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</si>
  <si>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</si>
  <si>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</si>
  <si>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</si>
  <si>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</si>
  <si>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</si>
  <si>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</si>
  <si>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</si>
  <si>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</si>
  <si>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</si>
  <si>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</si>
  <si>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</si>
  <si>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</si>
  <si>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</si>
  <si>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</si>
  <si>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</si>
  <si>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</si>
  <si>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</si>
  <si>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</si>
  <si>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</si>
  <si>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</si>
  <si>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</si>
  <si>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</si>
  <si>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</si>
  <si>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</si>
  <si>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</si>
  <si>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</si>
  <si>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</si>
  <si>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</si>
  <si>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</si>
  <si>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</si>
  <si>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</si>
  <si>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</si>
  <si>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</si>
  <si>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</si>
  <si>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</si>
  <si>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</si>
  <si>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</si>
  <si>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</si>
  <si>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</si>
  <si>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</si>
  <si>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</si>
  <si>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</si>
  <si>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</si>
  <si>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</si>
  <si>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</si>
  <si>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</si>
  <si>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</si>
  <si>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</si>
  <si>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</si>
  <si>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</si>
  <si>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</si>
  <si>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</si>
  <si>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</si>
  <si>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</si>
  <si>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</si>
  <si>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</si>
  <si>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</si>
  <si>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</si>
  <si>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</si>
  <si>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</si>
  <si>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</si>
  <si>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</si>
  <si>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</si>
  <si>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</si>
  <si>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</si>
  <si>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</si>
  <si>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</si>
  <si>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</si>
  <si>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</si>
  <si>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</si>
  <si>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</si>
  <si>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</si>
  <si>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</si>
  <si>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</si>
  <si>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</si>
  <si>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</si>
  <si>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</si>
  <si>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</si>
  <si>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</si>
  <si>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</si>
  <si>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</si>
  <si>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</si>
  <si>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</si>
  <si>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</si>
  <si>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</si>
  <si>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</si>
  <si>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</si>
  <si>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</si>
  <si>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</si>
  <si>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</si>
  <si>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</si>
  <si>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</si>
  <si>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</si>
  <si>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</si>
  <si>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</si>
  <si>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</si>
  <si>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</si>
  <si>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</si>
  <si>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</si>
  <si>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</si>
  <si>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</si>
  <si>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</si>
  <si>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</si>
  <si>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</si>
  <si>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</si>
  <si>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</si>
  <si>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</si>
  <si>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</si>
  <si>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</si>
  <si>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</si>
  <si>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</si>
  <si>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</si>
  <si>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</si>
  <si>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</si>
  <si>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</si>
  <si>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</si>
  <si>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</si>
  <si>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</si>
  <si>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</si>
  <si>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</si>
  <si>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</si>
  <si>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</si>
  <si>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</si>
  <si>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</si>
  <si>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</si>
  <si>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</si>
  <si>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</si>
  <si>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</si>
  <si>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</si>
  <si>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</si>
  <si>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</si>
  <si>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</si>
  <si>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</si>
  <si>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</si>
  <si>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</si>
  <si>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</si>
  <si>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</si>
  <si>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</si>
  <si>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</si>
  <si>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</si>
  <si>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</si>
  <si>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</si>
  <si>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</si>
  <si>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</si>
  <si>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</si>
  <si>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</si>
  <si>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</si>
  <si>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</si>
  <si>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</si>
  <si>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</si>
  <si>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</si>
  <si>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</si>
  <si>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</si>
  <si>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</si>
  <si>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</si>
  <si>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</si>
  <si>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</si>
  <si>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</si>
  <si>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</si>
  <si>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</si>
  <si>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</si>
  <si>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</si>
  <si>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</si>
  <si>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</si>
  <si>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</si>
  <si>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</si>
  <si>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</si>
  <si>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</si>
  <si>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</si>
  <si>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</si>
  <si>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</si>
  <si>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</si>
  <si>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</si>
  <si>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</si>
  <si>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</si>
  <si>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</si>
  <si>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</si>
  <si>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</si>
  <si>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</si>
  <si>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</si>
  <si>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</si>
  <si>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</si>
  <si>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</si>
  <si>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</si>
  <si>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</si>
  <si>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</si>
  <si>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</si>
  <si>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</si>
  <si>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</si>
  <si>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</si>
  <si>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</si>
  <si>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</si>
  <si>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</si>
  <si>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</si>
  <si>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</si>
  <si>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</si>
  <si>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</si>
  <si>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</si>
  <si>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</si>
  <si>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</si>
  <si>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</si>
  <si>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</si>
  <si>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</si>
  <si>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</si>
  <si>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</si>
  <si>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</si>
  <si>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</si>
  <si>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</si>
  <si>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</si>
  <si>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</si>
  <si>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</si>
  <si>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</si>
  <si>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</si>
  <si>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</si>
  <si>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</si>
  <si>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</si>
  <si>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</si>
  <si>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</si>
  <si>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</si>
  <si>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</si>
  <si>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</si>
  <si>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</si>
  <si>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</si>
  <si>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</si>
  <si>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</si>
  <si>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</si>
  <si>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</si>
  <si>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</si>
  <si>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</si>
  <si>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</si>
  <si>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</si>
  <si>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</si>
  <si>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</si>
  <si>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</si>
  <si>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</si>
  <si>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</si>
  <si>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</si>
  <si>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</si>
  <si>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</si>
  <si>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</si>
  <si>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</si>
  <si>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</si>
  <si>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</si>
  <si>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</si>
  <si>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</si>
  <si>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</si>
  <si>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</si>
  <si>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</si>
  <si>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</si>
  <si>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</si>
  <si>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</si>
  <si>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</si>
  <si>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</si>
  <si>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</si>
  <si>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</si>
  <si>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</si>
  <si>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</si>
  <si>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</si>
  <si>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</si>
  <si>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</si>
  <si>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</si>
  <si>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</si>
  <si>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</si>
  <si>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</si>
  <si>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</si>
  <si>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</si>
  <si>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</si>
  <si>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</si>
  <si>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</si>
  <si>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</si>
  <si>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</si>
  <si>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</si>
  <si>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</si>
  <si>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</si>
  <si>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</si>
  <si>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</si>
  <si>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</si>
  <si>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</si>
  <si>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</si>
  <si>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</si>
  <si>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</si>
  <si>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</si>
  <si>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</si>
  <si>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</si>
  <si>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</si>
  <si>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</si>
  <si>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</si>
  <si>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</si>
  <si>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</si>
  <si>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</si>
  <si>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</si>
  <si>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</si>
  <si>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</si>
  <si>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</si>
  <si>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</si>
  <si>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</si>
  <si>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</si>
  <si>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</si>
  <si>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</si>
  <si>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</si>
  <si>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</si>
  <si>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</si>
  <si>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</si>
  <si>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</si>
  <si>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</si>
  <si>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</si>
  <si>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</si>
  <si>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</si>
  <si>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</si>
  <si>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</si>
  <si>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</si>
  <si>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</si>
  <si>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</si>
  <si>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</si>
  <si>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</si>
  <si>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</si>
  <si>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</si>
  <si>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</si>
  <si>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</si>
  <si>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</si>
  <si>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</si>
  <si>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</si>
  <si>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</si>
  <si>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</si>
  <si>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</si>
  <si>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</si>
  <si>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</si>
  <si>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</si>
  <si>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</si>
  <si>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</si>
  <si>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</si>
  <si>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</si>
  <si>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</si>
  <si>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</si>
  <si>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</si>
  <si>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</si>
  <si>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</si>
  <si>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</si>
  <si>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</si>
  <si>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</si>
  <si>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</si>
  <si>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</si>
  <si>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</si>
  <si>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</si>
  <si>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</si>
  <si>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</si>
  <si>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</si>
  <si>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</si>
  <si>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</si>
  <si>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</si>
  <si>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</si>
  <si>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</si>
  <si>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</si>
  <si>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</si>
  <si>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</si>
  <si>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</si>
  <si>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</si>
  <si>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</si>
  <si>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</si>
  <si>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</si>
  <si>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</si>
  <si>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</si>
  <si>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</si>
  <si>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</si>
  <si>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</si>
  <si>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</si>
  <si>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</si>
  <si>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</si>
  <si>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</si>
  <si>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</si>
  <si>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</si>
  <si>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</si>
  <si>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</si>
  <si>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</si>
  <si>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</si>
  <si>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</si>
  <si>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</si>
  <si>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</si>
  <si>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</si>
  <si>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</si>
  <si>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</si>
  <si>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</si>
  <si>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</si>
  <si>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</si>
  <si>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</si>
  <si>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</si>
  <si>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</si>
  <si>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</si>
  <si>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</si>
  <si>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</si>
  <si>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</si>
  <si>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</si>
  <si>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</si>
  <si>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</si>
  <si>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</si>
  <si>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</si>
  <si>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</si>
  <si>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</si>
  <si>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</si>
  <si>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</si>
  <si>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</si>
  <si>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</si>
  <si>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</si>
  <si>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</si>
  <si>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</si>
  <si>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</si>
  <si>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</si>
  <si>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</si>
  <si>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</si>
  <si>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</si>
  <si>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</si>
  <si>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</si>
  <si>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</si>
  <si>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</si>
  <si>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</si>
  <si>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</si>
  <si>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</si>
  <si>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</si>
  <si>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</si>
  <si>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</si>
  <si>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</si>
  <si>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</si>
  <si>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</si>
  <si>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</si>
  <si>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</si>
  <si>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</si>
  <si>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</si>
  <si>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</si>
  <si>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</si>
  <si>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</si>
  <si>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</si>
  <si>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</si>
  <si>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</si>
  <si>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</si>
  <si>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</si>
  <si>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</si>
  <si>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</si>
  <si>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</si>
  <si>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</si>
  <si>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</si>
  <si>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</si>
  <si>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</si>
  <si>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</si>
  <si>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</si>
  <si>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</si>
  <si>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</si>
  <si>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</si>
  <si>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</si>
  <si>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</si>
  <si>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</si>
  <si>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</si>
  <si>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</si>
  <si>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</si>
  <si>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</si>
  <si>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</si>
  <si>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</si>
  <si>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</si>
  <si>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</si>
  <si>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</si>
  <si>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</si>
  <si>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</si>
  <si>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</si>
  <si>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</si>
  <si>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</si>
  <si>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</si>
  <si>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</si>
  <si>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</si>
  <si>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</si>
  <si>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</si>
  <si>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</si>
  <si>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</si>
  <si>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</si>
  <si>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</si>
  <si>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</si>
  <si>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</si>
  <si>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</si>
  <si>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</si>
  <si>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</si>
  <si>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</si>
  <si>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</si>
  <si>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</si>
  <si>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</si>
  <si>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</si>
  <si>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</si>
  <si>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</si>
  <si>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</si>
  <si>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</si>
  <si>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</si>
  <si>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</si>
  <si>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</si>
  <si>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</si>
  <si>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</si>
  <si>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</si>
  <si>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</si>
  <si>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</si>
  <si>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</si>
  <si>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</si>
  <si>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</si>
  <si>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</si>
  <si>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</si>
  <si>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</si>
  <si>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</si>
  <si>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</si>
  <si>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</si>
  <si>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</si>
  <si>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</si>
  <si>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</si>
  <si>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</si>
  <si>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</si>
  <si>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</si>
  <si>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</si>
  <si>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</si>
  <si>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</si>
  <si>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</si>
  <si>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</si>
  <si>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</si>
  <si>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</si>
  <si>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</si>
  <si>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</si>
  <si>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</si>
  <si>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</si>
  <si>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</si>
  <si>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</si>
  <si>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</si>
  <si>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</si>
  <si>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</si>
  <si>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</si>
  <si>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</si>
  <si>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</si>
  <si>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</si>
  <si>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</si>
  <si>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</si>
  <si>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</si>
  <si>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</si>
  <si>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</si>
  <si>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</si>
  <si>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</si>
  <si>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</si>
  <si>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</si>
  <si>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</si>
  <si>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</si>
  <si>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</si>
  <si>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</si>
  <si>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</si>
  <si>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</si>
  <si>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</si>
  <si>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</si>
  <si>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</si>
  <si>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</si>
  <si>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</si>
  <si>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</si>
  <si>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</si>
  <si>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</si>
  <si>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</si>
  <si>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</si>
  <si>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</si>
  <si>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</si>
  <si>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</si>
  <si>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</si>
  <si>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</si>
  <si>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</si>
  <si>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</si>
  <si>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</si>
  <si>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</si>
  <si>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</si>
  <si>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</si>
  <si>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</si>
  <si>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</si>
  <si>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</si>
  <si>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</si>
  <si>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</si>
  <si>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</si>
  <si>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</si>
  <si>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</si>
  <si>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</si>
  <si>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</si>
  <si>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</si>
  <si>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</si>
  <si>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</si>
  <si>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</si>
  <si>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</si>
  <si>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</si>
  <si>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</si>
  <si>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</si>
  <si>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</si>
  <si>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</si>
  <si>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</si>
  <si>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</si>
  <si>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</si>
  <si>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</si>
  <si>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</si>
  <si>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</si>
  <si>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</si>
  <si>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</si>
  <si>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</si>
  <si>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</si>
  <si>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</si>
  <si>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</si>
  <si>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</si>
  <si>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</si>
  <si>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</si>
  <si>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</si>
  <si>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</si>
  <si>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</si>
  <si>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</si>
  <si>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</si>
  <si>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</si>
  <si>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</si>
  <si>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</si>
  <si>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</si>
  <si>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</si>
  <si>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</si>
  <si>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</si>
  <si>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</si>
  <si>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</si>
  <si>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</si>
  <si>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</si>
  <si>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</si>
  <si>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</si>
  <si>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</si>
  <si>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</si>
  <si>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</si>
  <si>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</si>
  <si>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</si>
  <si>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</si>
  <si>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</si>
  <si>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</si>
  <si>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</si>
  <si>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</si>
  <si>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</si>
  <si>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</si>
  <si>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</si>
  <si>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</si>
  <si>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</si>
  <si>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</si>
  <si>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</si>
  <si>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</si>
  <si>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</si>
  <si>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</si>
  <si>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</si>
  <si>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</si>
  <si>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</si>
  <si>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</si>
  <si>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</si>
  <si>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</si>
  <si>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</si>
  <si>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</si>
  <si>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</si>
  <si>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</si>
  <si>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</si>
  <si>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</si>
  <si>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</si>
  <si>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</si>
  <si>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</si>
  <si>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</si>
  <si>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</si>
  <si>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</si>
  <si>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</si>
  <si>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</si>
  <si>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</si>
  <si>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</si>
  <si>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</si>
  <si>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</si>
  <si>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</si>
  <si>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</si>
  <si>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</si>
  <si>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</si>
  <si>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</si>
  <si>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</si>
  <si>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</si>
  <si>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</si>
  <si>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</si>
  <si>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</si>
  <si>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</si>
  <si>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</si>
  <si>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</si>
  <si>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</si>
  <si>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</si>
  <si>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</si>
  <si>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</si>
  <si>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</si>
  <si>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</si>
  <si>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</si>
  <si>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</si>
  <si>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</si>
  <si>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</si>
  <si>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</si>
  <si>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</si>
  <si>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</si>
  <si>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</si>
  <si>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</si>
  <si>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</si>
  <si>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</si>
  <si>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</si>
  <si>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</si>
  <si>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</si>
  <si>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</si>
  <si>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</si>
  <si>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</si>
  <si>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</si>
  <si>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</si>
  <si>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</si>
  <si>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</si>
  <si>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</si>
  <si>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</si>
  <si>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</si>
  <si>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</si>
  <si>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</si>
  <si>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</si>
  <si>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</si>
  <si>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</si>
  <si>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</si>
  <si>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</si>
  <si>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</si>
  <si>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</si>
  <si>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</si>
  <si>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</si>
  <si>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</si>
  <si>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</si>
  <si>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</si>
  <si>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</si>
  <si>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</si>
  <si>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</si>
  <si>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</si>
  <si>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</si>
  <si>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</si>
  <si>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</si>
  <si>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</si>
  <si>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</si>
  <si>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</si>
  <si>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</si>
  <si>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</si>
  <si>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</si>
  <si>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</si>
  <si>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</si>
  <si>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</si>
  <si>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</si>
  <si>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</si>
  <si>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</si>
  <si>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</si>
  <si>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</si>
  <si>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</si>
  <si>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</si>
  <si>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</si>
  <si>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</si>
  <si>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</si>
  <si>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</si>
  <si>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</si>
  <si>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</si>
  <si>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</si>
  <si>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</si>
  <si>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</si>
  <si>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</si>
  <si>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</si>
  <si>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</si>
  <si>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</si>
  <si>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</si>
  <si>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</si>
  <si>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</si>
  <si>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</si>
  <si>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</si>
  <si>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</si>
  <si>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</si>
  <si>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</si>
  <si>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</si>
  <si>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</si>
  <si>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</si>
  <si>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</si>
  <si>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</si>
  <si>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</si>
  <si>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</si>
  <si>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</si>
  <si>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</si>
  <si>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</si>
  <si>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</si>
  <si>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</si>
  <si>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</si>
  <si>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</si>
  <si>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</si>
  <si>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</si>
  <si>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</si>
  <si>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</si>
  <si>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</si>
  <si>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</si>
  <si>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</si>
  <si>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</si>
  <si>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</si>
  <si>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</si>
  <si>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</si>
  <si>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</si>
  <si>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</si>
  <si>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</si>
  <si>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</si>
  <si>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</si>
  <si>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</si>
  <si>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</si>
  <si>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</si>
  <si>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</si>
  <si>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</si>
  <si>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</si>
  <si>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</si>
  <si>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</si>
  <si>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</si>
  <si>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</si>
  <si>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</si>
  <si>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</si>
  <si>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</si>
  <si>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</si>
  <si>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</si>
  <si>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</si>
  <si>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</si>
  <si>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</si>
  <si>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</si>
  <si>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</si>
  <si>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</si>
  <si>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</si>
  <si>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</si>
  <si>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</si>
  <si>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</si>
  <si>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</si>
  <si>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</si>
  <si>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</si>
  <si>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</si>
  <si>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</si>
  <si>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</si>
  <si>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</si>
  <si>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</si>
  <si>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</si>
  <si>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</si>
  <si>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</si>
  <si>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</si>
  <si>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</si>
  <si>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</si>
  <si>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</si>
  <si>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</si>
  <si>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</si>
  <si>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</si>
  <si>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</si>
  <si>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</si>
  <si>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</si>
  <si>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</si>
  <si>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</si>
  <si>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</si>
  <si>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</si>
  <si>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</si>
  <si>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</si>
  <si>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</si>
  <si>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</si>
  <si>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</si>
  <si>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</si>
  <si>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</si>
  <si>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</si>
  <si>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</si>
  <si>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</si>
  <si>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</si>
  <si>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</si>
  <si>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</si>
  <si>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</si>
  <si>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</si>
  <si>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</si>
  <si>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</si>
  <si>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</si>
  <si>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</si>
  <si>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</si>
  <si>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</si>
  <si>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</si>
  <si>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</si>
  <si>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</si>
  <si>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</si>
  <si>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</si>
  <si>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</si>
  <si>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</si>
  <si>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</si>
  <si>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</si>
  <si>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</si>
  <si>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</si>
  <si>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</si>
  <si>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</si>
  <si>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</si>
  <si>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</si>
  <si>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</si>
  <si>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</si>
  <si>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</si>
  <si>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</si>
  <si>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</si>
  <si>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</si>
  <si>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</si>
  <si>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</si>
  <si>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</si>
  <si>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</si>
  <si>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</si>
  <si>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</si>
  <si>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</si>
  <si>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</si>
  <si>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</si>
  <si>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</si>
  <si>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</si>
  <si>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</si>
  <si>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</si>
  <si>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</si>
  <si>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</si>
  <si>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</si>
  <si>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</si>
  <si>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</si>
  <si>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</si>
  <si>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</si>
  <si>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</si>
  <si>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</si>
  <si>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</si>
  <si>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</si>
  <si>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</si>
  <si>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</si>
  <si>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</si>
  <si>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</si>
  <si>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</si>
  <si>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</si>
  <si>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</si>
  <si>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</si>
  <si>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</si>
  <si>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</si>
  <si>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</si>
  <si>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</si>
  <si>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</si>
  <si>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</si>
  <si>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</si>
  <si>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</si>
  <si>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</si>
  <si>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</si>
  <si>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</si>
  <si>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</si>
  <si>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</si>
  <si>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</si>
  <si>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</si>
  <si>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</si>
  <si>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</si>
  <si>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</si>
  <si>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</si>
  <si>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</si>
  <si>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</si>
  <si>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</si>
  <si>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</si>
  <si>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</si>
  <si>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</si>
  <si>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</si>
  <si>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</si>
  <si>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</si>
  <si>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</si>
  <si>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</si>
  <si>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</si>
  <si>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</si>
  <si>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</si>
  <si>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</si>
  <si>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</si>
  <si>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</si>
  <si>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</si>
  <si>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</si>
  <si>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</si>
  <si>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</si>
  <si>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</si>
  <si>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</si>
  <si>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</si>
  <si>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</si>
  <si>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</si>
  <si>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</si>
  <si>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</si>
  <si>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</si>
  <si>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</si>
  <si>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</si>
  <si>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</si>
  <si>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</si>
  <si>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</si>
  <si>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</si>
  <si>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</si>
  <si>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</si>
  <si>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</si>
  <si>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</si>
  <si>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</si>
  <si>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</si>
  <si>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</si>
  <si>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</si>
  <si>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</si>
  <si>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</si>
  <si>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</si>
  <si>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</si>
  <si>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</si>
  <si>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</si>
  <si>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</si>
  <si>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</si>
  <si>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</si>
  <si>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</si>
  <si>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</si>
  <si>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</si>
  <si>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</si>
  <si>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</si>
  <si>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</si>
  <si>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</si>
  <si>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</si>
  <si>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</si>
  <si>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</si>
  <si>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</si>
  <si>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</si>
  <si>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</si>
  <si>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</si>
  <si>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</si>
  <si>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</si>
  <si>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</si>
  <si>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</si>
  <si>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</si>
  <si>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</si>
  <si>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</si>
  <si>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</si>
  <si>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</si>
  <si>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</si>
  <si>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</si>
  <si>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</si>
  <si>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</si>
  <si>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</si>
  <si>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</si>
  <si>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</si>
  <si>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</si>
  <si>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</si>
  <si>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</si>
  <si>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</si>
  <si>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</si>
  <si>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</si>
  <si>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</si>
  <si>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</si>
  <si>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</si>
  <si>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</si>
  <si>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</si>
  <si>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</si>
  <si>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</si>
  <si>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</si>
  <si>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</si>
  <si>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</si>
  <si>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</si>
  <si>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</si>
  <si>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</si>
  <si>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</si>
  <si>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</si>
  <si>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</si>
  <si>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</si>
  <si>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</si>
  <si>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</si>
  <si>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</si>
  <si>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</si>
  <si>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</si>
  <si>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</si>
  <si>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</si>
  <si>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</si>
  <si>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</si>
  <si>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</si>
  <si>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</si>
  <si>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</si>
  <si>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</si>
  <si>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</si>
  <si>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</si>
  <si>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</si>
  <si>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</si>
  <si>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</si>
  <si>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</si>
  <si>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</si>
  <si>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</si>
  <si>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</si>
  <si>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</si>
  <si>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</si>
  <si>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</si>
  <si>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</si>
  <si>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</si>
  <si>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</si>
  <si>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</si>
  <si>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</si>
  <si>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</si>
  <si>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</si>
  <si>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</si>
  <si>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</si>
  <si>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</si>
  <si>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</si>
  <si>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</si>
  <si>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</si>
  <si>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</si>
  <si>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</si>
  <si>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</si>
  <si>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</si>
  <si>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</si>
  <si>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</si>
  <si>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</si>
  <si>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</si>
  <si>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</si>
  <si>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</si>
  <si>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</si>
  <si>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</si>
  <si>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</si>
  <si>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</si>
  <si>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</si>
  <si>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</si>
  <si>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</si>
  <si>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</si>
  <si>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</si>
  <si>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</si>
  <si>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</si>
  <si>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</si>
  <si>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</si>
  <si>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</si>
  <si>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</si>
  <si>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</si>
  <si>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</si>
  <si>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</si>
  <si>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</si>
  <si>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</si>
  <si>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</si>
  <si>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</si>
  <si>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</si>
  <si>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</si>
  <si>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</si>
  <si>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</si>
  <si>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</si>
  <si>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</si>
  <si>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</si>
  <si>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</si>
  <si>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</si>
  <si>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</si>
  <si>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</si>
  <si>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</si>
  <si>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</si>
  <si>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</si>
  <si>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</si>
  <si>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</si>
  <si>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</si>
  <si>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</si>
  <si>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</si>
  <si>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</si>
  <si>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</si>
  <si>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</si>
  <si>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</si>
  <si>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</si>
  <si>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</si>
  <si>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</si>
  <si>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</si>
  <si>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</si>
  <si>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</si>
  <si>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</si>
  <si>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</si>
  <si>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</si>
  <si>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</si>
  <si>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</si>
  <si>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</si>
  <si>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</si>
  <si>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</si>
  <si>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</si>
  <si>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</si>
  <si>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</si>
  <si>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</si>
  <si>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</si>
  <si>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safe merchant transaction</t>
  </si>
  <si>
    <t>unsafe merchant transaction</t>
  </si>
  <si>
    <t>total transaction count</t>
  </si>
  <si>
    <t>total transactions value</t>
  </si>
  <si>
    <t>number of customers</t>
  </si>
  <si>
    <t>number of issues</t>
  </si>
  <si>
    <t>average transaction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</si>
</sst>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charset val="134"/>
      <scheme val="minor"/>
    </font>
    <font>
      <sz val="11"/>
      <color theme="1"/>
      <name val="Verdana"/>
      <family val="2"/>
    </font>
    <font>
      <sz val="11"/>
      <color theme="1"/>
      <name val="Verdana"/>
      <family val="2"/>
    </font>
    <font>
      <b/>
      <sz val="11"/>
      <color theme="1"/>
      <name val="Verdana"/>
      <family val="2"/>
    </font>
    <font>
      <sz val="10"/>
      <color theme="1"/>
      <name val="Verdana"/>
      <family val="2"/>
    </font>
  </fonts>
  <fills count="5">
    <fill>
      <patternFill patternType="none"/>
    </fill>
    <fill>
      <patternFill patternType="gray125"/>
    </fill>
    <fill>
      <patternFill patternType="solid">
        <fgColor theme="3" tint="0.749992370372631"/>
        <bgColor indexed="64"/>
      </patternFill>
    </fill>
    <fill>
      <patternFill patternType="solid">
        <fgColor rgb="FFFF0000"/>
        <bgColor indexed="64"/>
      </patternFill>
    </fill>
    <fill>
      <patternFill patternType="solid">
        <fgColor rgb="FFFFC000"/>
        <bgColor indexed="64"/>
      </patternFill>
    </fill>
  </fills>
  <borders count="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44">
    <xf numFmtId="0" fontId="0" fillId="0" borderId="0" xfId="0"/>
    <xf numFmtId="2" fontId="0" fillId="0" borderId="0" xfId="0" applyNumberFormat="1"/>
    <xf numFmtId="14" fontId="0" fillId="0" borderId="0" xfId="0" applyNumberFormat="1"/>
    <xf numFmtId="0" fontId="0" fillId="0" borderId="0" xfId="0" applyAlignment="1">
      <alignment horizontal="left"/>
    </xf>
    <xf numFmtId="0" fontId="0" fillId="2" borderId="0" xfId="0" applyFill="1"/>
    <xf numFmtId="0" fontId="0" fillId="0" borderId="0" xfId="0" pivotButton="1"/>
    <xf numFmtId="0" fontId="0" fillId="0" borderId="0" xfId="0" applyNumberFormat="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3" xfId="0" applyFill="1" applyBorder="1"/>
    <xf numFmtId="0" fontId="0" fillId="2" borderId="2" xfId="0" applyFill="1" applyBorder="1"/>
    <xf numFmtId="0" fontId="2" fillId="2" borderId="0" xfId="0" applyFont="1" applyFill="1" applyAlignment="1">
      <alignment vertical="top"/>
    </xf>
    <xf numFmtId="0" fontId="4" fillId="2" borderId="0" xfId="0" applyFont="1" applyFill="1" applyAlignment="1">
      <alignment vertical="top"/>
    </xf>
    <xf numFmtId="0" fontId="4" fillId="3" borderId="4" xfId="0" applyFont="1" applyFill="1" applyBorder="1" applyAlignment="1">
      <alignment vertical="top"/>
    </xf>
    <xf numFmtId="0" fontId="4" fillId="3" borderId="0" xfId="0" applyFont="1" applyFill="1" applyBorder="1" applyAlignment="1">
      <alignment vertical="top"/>
    </xf>
    <xf numFmtId="0" fontId="4" fillId="3" borderId="5" xfId="0" applyFont="1" applyFill="1" applyBorder="1" applyAlignment="1">
      <alignment vertical="top"/>
    </xf>
    <xf numFmtId="2" fontId="0" fillId="0" borderId="0" xfId="0" applyNumberFormat="1" applyAlignment="1">
      <alignment horizontal="right"/>
    </xf>
    <xf numFmtId="0" fontId="3" fillId="2" borderId="0" xfId="0" applyFont="1" applyFill="1" applyBorder="1" applyAlignment="1">
      <alignment horizontal="left"/>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3" fillId="2" borderId="0" xfId="0" applyFont="1" applyFill="1" applyBorder="1" applyAlignment="1">
      <alignment horizontal="left" textRotation="90"/>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4" fillId="3" borderId="4" xfId="0" applyFont="1" applyFill="1" applyBorder="1" applyAlignment="1">
      <alignment horizontal="left" vertical="top"/>
    </xf>
    <xf numFmtId="0" fontId="4" fillId="3" borderId="0" xfId="0" applyFont="1" applyFill="1" applyBorder="1" applyAlignment="1">
      <alignment horizontal="left" vertical="top"/>
    </xf>
    <xf numFmtId="0" fontId="4" fillId="3" borderId="5" xfId="0" applyFont="1" applyFill="1" applyBorder="1" applyAlignment="1">
      <alignment horizontal="left" vertical="top"/>
    </xf>
    <xf numFmtId="0" fontId="4" fillId="4" borderId="4" xfId="0" applyFont="1" applyFill="1" applyBorder="1" applyAlignment="1">
      <alignment horizontal="left" vertical="top"/>
    </xf>
    <xf numFmtId="0" fontId="4" fillId="4" borderId="0" xfId="0" applyFont="1" applyFill="1" applyBorder="1" applyAlignment="1">
      <alignment horizontal="left" vertical="top"/>
    </xf>
    <xf numFmtId="0" fontId="4" fillId="4" borderId="5" xfId="0" applyFont="1" applyFill="1" applyBorder="1" applyAlignment="1">
      <alignment horizontal="left" vertical="top"/>
    </xf>
    <xf numFmtId="0" fontId="4" fillId="3" borderId="6" xfId="0" applyFont="1" applyFill="1" applyBorder="1" applyAlignment="1">
      <alignment horizontal="left" vertical="top"/>
    </xf>
    <xf numFmtId="0" fontId="4" fillId="3" borderId="7" xfId="0" applyFont="1" applyFill="1" applyBorder="1" applyAlignment="1">
      <alignment horizontal="left" vertical="top"/>
    </xf>
    <xf numFmtId="0" fontId="4" fillId="3" borderId="8" xfId="0" applyFont="1" applyFill="1" applyBorder="1" applyAlignment="1">
      <alignment horizontal="left" vertical="top"/>
    </xf>
  </cellXfs>
  <cellStyles count="1">
    <cellStyle name="Normal" xfId="0" builtinId="0"/>
  </cellStyles>
  <dxfs count="5">
    <dxf>
      <numFmt numFmtId="0" formatCode="General"/>
    </dxf>
    <dxf>
      <numFmt numFmtId="2" formatCode="0.00"/>
    </dxf>
    <dxf>
      <numFmt numFmtId="0" formatCode="General"/>
    </dxf>
    <dxf>
      <numFmt numFmtId="0" formatCode="General"/>
    </dxf>
    <dxf>
      <numFmt numFmtId="19" formatCode="yyyy/mm/dd"/>
    </dxf>
  </dxfs>
  <tableStyles count="0" defaultTableStyle="TableStyleMedium2" defaultPivotStyle="PivotStyleLight16"/>
  <colors>
    <mruColors>
      <color rgb="FFFFCC00"/>
      <color rgb="FFB5C5DD"/>
      <color rgb="FFC0F0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data).xlsx]pivot_tables!PivotTable8</c:name>
    <c:fmtId val="3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Transaction</a:t>
            </a:r>
            <a:r>
              <a:rPr lang="en-US" b="1" baseline="0"/>
              <a:t> Usuality Count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29109507699370279"/>
          <c:y val="0.34962446431484195"/>
          <c:w val="0.4178103449996507"/>
          <c:h val="0.31040712072007948"/>
        </c:manualLayout>
      </c:layout>
      <c:pieChart>
        <c:varyColors val="1"/>
        <c:ser>
          <c:idx val="0"/>
          <c:order val="0"/>
          <c:tx>
            <c:strRef>
              <c:f>pivot_tables!$B$1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1A-48DD-8E5B-65197C70E029}"/>
              </c:ext>
            </c:extLst>
          </c:dPt>
          <c:dPt>
            <c:idx val="1"/>
            <c:bubble3D val="0"/>
            <c:spPr>
              <a:solidFill>
                <a:schemeClr val="accent2"/>
              </a:solidFill>
              <a:ln>
                <a:noFill/>
              </a:ln>
              <a:effectLst/>
            </c:spPr>
            <c:extLst>
              <c:ext xmlns:c16="http://schemas.microsoft.com/office/drawing/2014/chart" uri="{C3380CC4-5D6E-409C-BE32-E72D297353CC}">
                <c16:uniqueId val="{00000003-7E1A-48DD-8E5B-65197C70E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pivot_tables!$A$2:$A$4</c:f>
              <c:strCache>
                <c:ptCount val="2"/>
                <c:pt idx="0">
                  <c:v>unusual transaction</c:v>
                </c:pt>
                <c:pt idx="1">
                  <c:v>usual transaction</c:v>
                </c:pt>
              </c:strCache>
            </c:strRef>
          </c:cat>
          <c:val>
            <c:numRef>
              <c:f>pivot_tables!$B$2:$B$4</c:f>
              <c:numCache>
                <c:formatCode>General</c:formatCode>
                <c:ptCount val="2"/>
                <c:pt idx="0">
                  <c:v>1429</c:v>
                </c:pt>
                <c:pt idx="1">
                  <c:v>1421</c:v>
                </c:pt>
              </c:numCache>
            </c:numRef>
          </c:val>
          <c:extLst>
            <c:ext xmlns:c16="http://schemas.microsoft.com/office/drawing/2014/chart" uri="{C3380CC4-5D6E-409C-BE32-E72D297353CC}">
              <c16:uniqueId val="{00000000-BA7A-4707-8EE1-013D56F2D7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data).xlsx]pivot_tables!PivotTable23</c:name>
    <c:fmtId val="3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Transaction Usuality Amount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pivot_tables!$B$6</c:f>
              <c:strCache>
                <c:ptCount val="1"/>
                <c:pt idx="0">
                  <c:v>Total</c:v>
                </c:pt>
              </c:strCache>
            </c:strRef>
          </c:tx>
          <c:spPr>
            <a:solidFill>
              <a:schemeClr val="accent1"/>
            </a:solidFill>
            <a:ln>
              <a:noFill/>
            </a:ln>
            <a:effectLst/>
          </c:spPr>
          <c:invertIfNegative val="0"/>
          <c:cat>
            <c:strRef>
              <c:f>pivot_tables!$A$7:$A$9</c:f>
              <c:strCache>
                <c:ptCount val="2"/>
                <c:pt idx="0">
                  <c:v>unusual transaction</c:v>
                </c:pt>
                <c:pt idx="1">
                  <c:v>usual transaction</c:v>
                </c:pt>
              </c:strCache>
            </c:strRef>
          </c:cat>
          <c:val>
            <c:numRef>
              <c:f>pivot_tables!$B$7:$B$9</c:f>
              <c:numCache>
                <c:formatCode>General</c:formatCode>
                <c:ptCount val="2"/>
                <c:pt idx="0">
                  <c:v>10701598.309999999</c:v>
                </c:pt>
                <c:pt idx="1">
                  <c:v>3673131.3599999989</c:v>
                </c:pt>
              </c:numCache>
            </c:numRef>
          </c:val>
          <c:extLst>
            <c:ext xmlns:c16="http://schemas.microsoft.com/office/drawing/2014/chart" uri="{C3380CC4-5D6E-409C-BE32-E72D297353CC}">
              <c16:uniqueId val="{00000000-5A5C-4E02-B1E8-3ACD5ADFE304}"/>
            </c:ext>
          </c:extLst>
        </c:ser>
        <c:dLbls>
          <c:showLegendKey val="0"/>
          <c:showVal val="0"/>
          <c:showCatName val="0"/>
          <c:showSerName val="0"/>
          <c:showPercent val="0"/>
          <c:showBubbleSize val="0"/>
        </c:dLbls>
        <c:gapWidth val="219"/>
        <c:overlap val="-27"/>
        <c:axId val="611825536"/>
        <c:axId val="611826368"/>
      </c:barChart>
      <c:catAx>
        <c:axId val="6118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826368"/>
        <c:crosses val="autoZero"/>
        <c:auto val="1"/>
        <c:lblAlgn val="ctr"/>
        <c:lblOffset val="100"/>
        <c:noMultiLvlLbl val="0"/>
      </c:catAx>
      <c:valAx>
        <c:axId val="61182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118255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data).xlsx]pivot_tables!PivotTable9</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Authentication</a:t>
            </a:r>
            <a:r>
              <a:rPr lang="en-US" b="1" baseline="0"/>
              <a:t> Type Counts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B8-4863-ADAC-1CD0987D5B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B8-4863-ADAC-1CD0987D5B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B8-4863-ADAC-1CD0987D5B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B8-4863-ADAC-1CD0987D5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pivot_tables!$A$13:$A$17</c:f>
              <c:strCache>
                <c:ptCount val="4"/>
                <c:pt idx="0">
                  <c:v>Biometric</c:v>
                </c:pt>
                <c:pt idx="1">
                  <c:v>OTP</c:v>
                </c:pt>
                <c:pt idx="2">
                  <c:v>Password</c:v>
                </c:pt>
                <c:pt idx="3">
                  <c:v>PIN</c:v>
                </c:pt>
              </c:strCache>
            </c:strRef>
          </c:cat>
          <c:val>
            <c:numRef>
              <c:f>pivot_tables!$B$13:$B$17</c:f>
              <c:numCache>
                <c:formatCode>General</c:formatCode>
                <c:ptCount val="4"/>
                <c:pt idx="0">
                  <c:v>733</c:v>
                </c:pt>
                <c:pt idx="1">
                  <c:v>760</c:v>
                </c:pt>
                <c:pt idx="2">
                  <c:v>687</c:v>
                </c:pt>
                <c:pt idx="3">
                  <c:v>670</c:v>
                </c:pt>
              </c:numCache>
            </c:numRef>
          </c:val>
          <c:extLst>
            <c:ext xmlns:c16="http://schemas.microsoft.com/office/drawing/2014/chart" uri="{C3380CC4-5D6E-409C-BE32-E72D297353CC}">
              <c16:uniqueId val="{00000008-21B8-4863-ADAC-1CD0987D5B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data).xlsx]pivot_tables!PivotTable24</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Authentication by </a:t>
            </a:r>
            <a:r>
              <a:rPr lang="en-US" b="1" baseline="0"/>
              <a:t>Amount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pivot_tables!$B$19</c:f>
              <c:strCache>
                <c:ptCount val="1"/>
                <c:pt idx="0">
                  <c:v>Total</c:v>
                </c:pt>
              </c:strCache>
            </c:strRef>
          </c:tx>
          <c:spPr>
            <a:solidFill>
              <a:schemeClr val="accent1"/>
            </a:solidFill>
            <a:ln>
              <a:noFill/>
            </a:ln>
            <a:effectLst/>
          </c:spPr>
          <c:invertIfNegative val="0"/>
          <c:cat>
            <c:strRef>
              <c:f>pivot_tables!$A$20:$A$24</c:f>
              <c:strCache>
                <c:ptCount val="4"/>
                <c:pt idx="0">
                  <c:v>Biometric</c:v>
                </c:pt>
                <c:pt idx="1">
                  <c:v>OTP</c:v>
                </c:pt>
                <c:pt idx="2">
                  <c:v>Password</c:v>
                </c:pt>
                <c:pt idx="3">
                  <c:v>PIN</c:v>
                </c:pt>
              </c:strCache>
            </c:strRef>
          </c:cat>
          <c:val>
            <c:numRef>
              <c:f>pivot_tables!$B$20:$B$24</c:f>
              <c:numCache>
                <c:formatCode>General</c:formatCode>
                <c:ptCount val="4"/>
                <c:pt idx="0">
                  <c:v>3619901.5900000003</c:v>
                </c:pt>
                <c:pt idx="1">
                  <c:v>3830295.9200000023</c:v>
                </c:pt>
                <c:pt idx="2">
                  <c:v>3593655.9799999991</c:v>
                </c:pt>
                <c:pt idx="3">
                  <c:v>3330876.179999996</c:v>
                </c:pt>
              </c:numCache>
            </c:numRef>
          </c:val>
          <c:extLst>
            <c:ext xmlns:c16="http://schemas.microsoft.com/office/drawing/2014/chart" uri="{C3380CC4-5D6E-409C-BE32-E72D297353CC}">
              <c16:uniqueId val="{00000000-0971-4636-92D2-C745D57D1637}"/>
            </c:ext>
          </c:extLst>
        </c:ser>
        <c:dLbls>
          <c:showLegendKey val="0"/>
          <c:showVal val="0"/>
          <c:showCatName val="0"/>
          <c:showSerName val="0"/>
          <c:showPercent val="0"/>
          <c:showBubbleSize val="0"/>
        </c:dLbls>
        <c:gapWidth val="219"/>
        <c:overlap val="-27"/>
        <c:axId val="931759408"/>
        <c:axId val="931760240"/>
      </c:barChart>
      <c:catAx>
        <c:axId val="9317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1760240"/>
        <c:crosses val="autoZero"/>
        <c:auto val="1"/>
        <c:lblAlgn val="ctr"/>
        <c:lblOffset val="100"/>
        <c:noMultiLvlLbl val="0"/>
      </c:catAx>
      <c:valAx>
        <c:axId val="9317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1759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data).xlsx]pivot_tables!PivotTable25</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Login</a:t>
            </a:r>
            <a:r>
              <a:rPr lang="en-US" b="1" baseline="0">
                <a:solidFill>
                  <a:sysClr val="windowText" lastClr="000000"/>
                </a:solidFill>
              </a:rPr>
              <a:t> Failure Count</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pivot_tables!$B$27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BC-4283-BBD3-030BD5AD96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BC-4283-BBD3-030BD5AD96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BC-4283-BBD3-030BD5AD96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BC-4283-BBD3-030BD5AD96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BC-4283-BBD3-030BD5AD96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BC-4283-BBD3-030BD5AD96DF}"/>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pivot_tables!$A$28:$A$34</c:f>
              <c:strCache>
                <c:ptCount val="6"/>
                <c:pt idx="0">
                  <c:v>0</c:v>
                </c:pt>
                <c:pt idx="1">
                  <c:v>1</c:v>
                </c:pt>
                <c:pt idx="2">
                  <c:v>2</c:v>
                </c:pt>
                <c:pt idx="3">
                  <c:v>3</c:v>
                </c:pt>
                <c:pt idx="4">
                  <c:v>4</c:v>
                </c:pt>
                <c:pt idx="5">
                  <c:v>5</c:v>
                </c:pt>
              </c:strCache>
            </c:strRef>
          </c:cat>
          <c:val>
            <c:numRef>
              <c:f>pivot_tables!$B$28:$B$34</c:f>
              <c:numCache>
                <c:formatCode>General</c:formatCode>
                <c:ptCount val="6"/>
                <c:pt idx="0">
                  <c:v>465</c:v>
                </c:pt>
                <c:pt idx="1">
                  <c:v>468</c:v>
                </c:pt>
                <c:pt idx="2">
                  <c:v>496</c:v>
                </c:pt>
                <c:pt idx="3">
                  <c:v>449</c:v>
                </c:pt>
                <c:pt idx="4">
                  <c:v>470</c:v>
                </c:pt>
                <c:pt idx="5">
                  <c:v>502</c:v>
                </c:pt>
              </c:numCache>
            </c:numRef>
          </c:val>
          <c:extLst>
            <c:ext xmlns:c16="http://schemas.microsoft.com/office/drawing/2014/chart" uri="{C3380CC4-5D6E-409C-BE32-E72D297353CC}">
              <c16:uniqueId val="{0000000C-4ABC-4283-BBD3-030BD5AD96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data).xlsx]pivot_tables!PivotTable10</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Login</a:t>
            </a:r>
            <a:r>
              <a:rPr lang="en-US" b="1" baseline="0"/>
              <a:t> Failure Amount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pivot_tables!$B$36</c:f>
              <c:strCache>
                <c:ptCount val="1"/>
                <c:pt idx="0">
                  <c:v>Total</c:v>
                </c:pt>
              </c:strCache>
            </c:strRef>
          </c:tx>
          <c:spPr>
            <a:solidFill>
              <a:schemeClr val="accent1"/>
            </a:solidFill>
            <a:ln>
              <a:noFill/>
            </a:ln>
            <a:effectLst/>
          </c:spPr>
          <c:invertIfNegative val="0"/>
          <c:cat>
            <c:strRef>
              <c:f>pivot_tables!$A$37:$A$43</c:f>
              <c:strCache>
                <c:ptCount val="6"/>
                <c:pt idx="0">
                  <c:v>0</c:v>
                </c:pt>
                <c:pt idx="1">
                  <c:v>1</c:v>
                </c:pt>
                <c:pt idx="2">
                  <c:v>2</c:v>
                </c:pt>
                <c:pt idx="3">
                  <c:v>3</c:v>
                </c:pt>
                <c:pt idx="4">
                  <c:v>4</c:v>
                </c:pt>
                <c:pt idx="5">
                  <c:v>5</c:v>
                </c:pt>
              </c:strCache>
            </c:strRef>
          </c:cat>
          <c:val>
            <c:numRef>
              <c:f>pivot_tables!$B$37:$B$43</c:f>
              <c:numCache>
                <c:formatCode>General</c:formatCode>
                <c:ptCount val="6"/>
                <c:pt idx="0">
                  <c:v>2394557.4999999981</c:v>
                </c:pt>
                <c:pt idx="1">
                  <c:v>2326748.9899999956</c:v>
                </c:pt>
                <c:pt idx="2">
                  <c:v>2449301.8699999987</c:v>
                </c:pt>
                <c:pt idx="3">
                  <c:v>2384244.2400000002</c:v>
                </c:pt>
                <c:pt idx="4">
                  <c:v>2321440.1099999994</c:v>
                </c:pt>
                <c:pt idx="5">
                  <c:v>2498436.96</c:v>
                </c:pt>
              </c:numCache>
            </c:numRef>
          </c:val>
          <c:extLst>
            <c:ext xmlns:c16="http://schemas.microsoft.com/office/drawing/2014/chart" uri="{C3380CC4-5D6E-409C-BE32-E72D297353CC}">
              <c16:uniqueId val="{00000000-7975-4072-A7A6-D85C5A8088AE}"/>
            </c:ext>
          </c:extLst>
        </c:ser>
        <c:dLbls>
          <c:showLegendKey val="0"/>
          <c:showVal val="0"/>
          <c:showCatName val="0"/>
          <c:showSerName val="0"/>
          <c:showPercent val="0"/>
          <c:showBubbleSize val="0"/>
        </c:dLbls>
        <c:gapWidth val="219"/>
        <c:overlap val="-27"/>
        <c:axId val="1682402672"/>
        <c:axId val="1682401840"/>
      </c:barChart>
      <c:catAx>
        <c:axId val="16824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401840"/>
        <c:crosses val="autoZero"/>
        <c:auto val="1"/>
        <c:lblAlgn val="ctr"/>
        <c:lblOffset val="100"/>
        <c:noMultiLvlLbl val="0"/>
      </c:catAx>
      <c:valAx>
        <c:axId val="168240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4026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data).xlsx]pivot_tables!PivotTable11</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Transaction</a:t>
            </a:r>
            <a:r>
              <a:rPr lang="en-US" b="1" baseline="0"/>
              <a:t> Risk Count by Location</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A2-4FE8-8700-64ED93933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A2-4FE8-8700-64ED93933A98}"/>
              </c:ext>
            </c:extLst>
          </c:dPt>
          <c:dLbls>
            <c:delete val="1"/>
          </c:dLbls>
          <c:cat>
            <c:strRef>
              <c:f>pivot_tables!$D$2:$D$4</c:f>
              <c:strCache>
                <c:ptCount val="2"/>
                <c:pt idx="0">
                  <c:v>safe location transaction</c:v>
                </c:pt>
                <c:pt idx="1">
                  <c:v>unsafe location transaction</c:v>
                </c:pt>
              </c:strCache>
            </c:strRef>
          </c:cat>
          <c:val>
            <c:numRef>
              <c:f>pivot_tables!$E$2:$E$4</c:f>
              <c:numCache>
                <c:formatCode>General</c:formatCode>
                <c:ptCount val="2"/>
                <c:pt idx="0">
                  <c:v>1345</c:v>
                </c:pt>
                <c:pt idx="1">
                  <c:v>1505</c:v>
                </c:pt>
              </c:numCache>
            </c:numRef>
          </c:val>
          <c:extLst>
            <c:ext xmlns:c16="http://schemas.microsoft.com/office/drawing/2014/chart" uri="{C3380CC4-5D6E-409C-BE32-E72D297353CC}">
              <c16:uniqueId val="{00000004-F9A2-4FE8-8700-64ED93933A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0" baseline="0">
                <a:effectLst/>
              </a:rPr>
              <a:t>Transaction Risk Amount by Location</a:t>
            </a:r>
            <a:endParaRPr lang="en-CA" sz="1100">
              <a:effectLst/>
            </a:endParaRP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pivot_tables!$E$6</c:f>
              <c:strCache>
                <c:ptCount val="1"/>
                <c:pt idx="0">
                  <c:v>Total</c:v>
                </c:pt>
              </c:strCache>
            </c:strRef>
          </c:tx>
          <c:spPr>
            <a:solidFill>
              <a:schemeClr val="accent1"/>
            </a:solidFill>
            <a:ln>
              <a:noFill/>
            </a:ln>
            <a:effectLst/>
          </c:spPr>
          <c:invertIfNegative val="0"/>
          <c:cat>
            <c:strRef>
              <c:f>pivot_tables!$D$7:$D$9</c:f>
              <c:strCache>
                <c:ptCount val="2"/>
                <c:pt idx="0">
                  <c:v>safe location transaction</c:v>
                </c:pt>
                <c:pt idx="1">
                  <c:v>unsafe location transaction</c:v>
                </c:pt>
              </c:strCache>
            </c:strRef>
          </c:cat>
          <c:val>
            <c:numRef>
              <c:f>pivot_tables!$E$7:$E$9</c:f>
              <c:numCache>
                <c:formatCode>General</c:formatCode>
                <c:ptCount val="2"/>
                <c:pt idx="0">
                  <c:v>6717587.1299999906</c:v>
                </c:pt>
                <c:pt idx="1">
                  <c:v>7657142.5400000019</c:v>
                </c:pt>
              </c:numCache>
            </c:numRef>
          </c:val>
          <c:extLst>
            <c:ext xmlns:c16="http://schemas.microsoft.com/office/drawing/2014/chart" uri="{C3380CC4-5D6E-409C-BE32-E72D297353CC}">
              <c16:uniqueId val="{00000000-4512-4439-A95C-E8DE966348F0}"/>
            </c:ext>
          </c:extLst>
        </c:ser>
        <c:dLbls>
          <c:showLegendKey val="0"/>
          <c:showVal val="0"/>
          <c:showCatName val="0"/>
          <c:showSerName val="0"/>
          <c:showPercent val="0"/>
          <c:showBubbleSize val="0"/>
        </c:dLbls>
        <c:gapWidth val="219"/>
        <c:overlap val="-27"/>
        <c:axId val="1682374800"/>
        <c:axId val="1682385200"/>
      </c:barChart>
      <c:catAx>
        <c:axId val="168237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385200"/>
        <c:crosses val="autoZero"/>
        <c:auto val="1"/>
        <c:lblAlgn val="ctr"/>
        <c:lblOffset val="100"/>
        <c:noMultiLvlLbl val="0"/>
      </c:catAx>
      <c:valAx>
        <c:axId val="168238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374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data).xlsx]pivot_tables!PivotTable27</c:name>
    <c:fmtId val="2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CA" b="1"/>
              <a:t>Transaction Count</a:t>
            </a:r>
            <a:r>
              <a:rPr lang="en-CA" b="1" baseline="0"/>
              <a:t> by Account Types</a:t>
            </a:r>
            <a:endParaRPr lang="en-CA"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pivot_tables!$E$12:$E$13</c:f>
              <c:strCache>
                <c:ptCount val="1"/>
                <c:pt idx="0">
                  <c:v>ATM</c:v>
                </c:pt>
              </c:strCache>
            </c:strRef>
          </c:tx>
          <c:spPr>
            <a:solidFill>
              <a:schemeClr val="accent1"/>
            </a:solidFill>
            <a:ln>
              <a:noFill/>
            </a:ln>
            <a:effectLst/>
          </c:spPr>
          <c:invertIfNegative val="0"/>
          <c:cat>
            <c:strRef>
              <c:f>pivot_tables!$D$14:$D$18</c:f>
              <c:strCache>
                <c:ptCount val="4"/>
                <c:pt idx="0">
                  <c:v>Checking</c:v>
                </c:pt>
                <c:pt idx="1">
                  <c:v>Credit Card</c:v>
                </c:pt>
                <c:pt idx="2">
                  <c:v>Debit Card</c:v>
                </c:pt>
                <c:pt idx="3">
                  <c:v>Savings</c:v>
                </c:pt>
              </c:strCache>
            </c:strRef>
          </c:cat>
          <c:val>
            <c:numRef>
              <c:f>pivot_tables!$E$14:$E$18</c:f>
              <c:numCache>
                <c:formatCode>General</c:formatCode>
                <c:ptCount val="4"/>
                <c:pt idx="0">
                  <c:v>373</c:v>
                </c:pt>
                <c:pt idx="1">
                  <c:v>8</c:v>
                </c:pt>
                <c:pt idx="2">
                  <c:v>10</c:v>
                </c:pt>
                <c:pt idx="3">
                  <c:v>364</c:v>
                </c:pt>
              </c:numCache>
            </c:numRef>
          </c:val>
          <c:extLst>
            <c:ext xmlns:c16="http://schemas.microsoft.com/office/drawing/2014/chart" uri="{C3380CC4-5D6E-409C-BE32-E72D297353CC}">
              <c16:uniqueId val="{00000000-9F9B-4978-8EE9-8F47F98C0B75}"/>
            </c:ext>
          </c:extLst>
        </c:ser>
        <c:ser>
          <c:idx val="1"/>
          <c:order val="1"/>
          <c:tx>
            <c:strRef>
              <c:f>pivot_tables!$F$12:$F$13</c:f>
              <c:strCache>
                <c:ptCount val="1"/>
                <c:pt idx="0">
                  <c:v>Internet Banking</c:v>
                </c:pt>
              </c:strCache>
            </c:strRef>
          </c:tx>
          <c:spPr>
            <a:solidFill>
              <a:schemeClr val="accent2"/>
            </a:solidFill>
            <a:ln>
              <a:noFill/>
            </a:ln>
            <a:effectLst/>
          </c:spPr>
          <c:invertIfNegative val="0"/>
          <c:cat>
            <c:strRef>
              <c:f>pivot_tables!$D$14:$D$18</c:f>
              <c:strCache>
                <c:ptCount val="4"/>
                <c:pt idx="0">
                  <c:v>Checking</c:v>
                </c:pt>
                <c:pt idx="1">
                  <c:v>Credit Card</c:v>
                </c:pt>
                <c:pt idx="2">
                  <c:v>Debit Card</c:v>
                </c:pt>
                <c:pt idx="3">
                  <c:v>Savings</c:v>
                </c:pt>
              </c:strCache>
            </c:strRef>
          </c:cat>
          <c:val>
            <c:numRef>
              <c:f>pivot_tables!$F$14:$F$18</c:f>
              <c:numCache>
                <c:formatCode>General</c:formatCode>
                <c:ptCount val="4"/>
                <c:pt idx="0">
                  <c:v>1</c:v>
                </c:pt>
                <c:pt idx="1">
                  <c:v>8</c:v>
                </c:pt>
                <c:pt idx="2">
                  <c:v>4</c:v>
                </c:pt>
                <c:pt idx="3">
                  <c:v>5</c:v>
                </c:pt>
              </c:numCache>
            </c:numRef>
          </c:val>
          <c:extLst>
            <c:ext xmlns:c16="http://schemas.microsoft.com/office/drawing/2014/chart" uri="{C3380CC4-5D6E-409C-BE32-E72D297353CC}">
              <c16:uniqueId val="{00000004-9F9B-4978-8EE9-8F47F98C0B75}"/>
            </c:ext>
          </c:extLst>
        </c:ser>
        <c:ser>
          <c:idx val="2"/>
          <c:order val="2"/>
          <c:tx>
            <c:strRef>
              <c:f>pivot_tables!$G$12:$G$13</c:f>
              <c:strCache>
                <c:ptCount val="1"/>
                <c:pt idx="0">
                  <c:v>Mobile App</c:v>
                </c:pt>
              </c:strCache>
            </c:strRef>
          </c:tx>
          <c:spPr>
            <a:solidFill>
              <a:schemeClr val="accent3"/>
            </a:solidFill>
            <a:ln>
              <a:noFill/>
            </a:ln>
            <a:effectLst/>
          </c:spPr>
          <c:invertIfNegative val="0"/>
          <c:cat>
            <c:strRef>
              <c:f>pivot_tables!$D$14:$D$18</c:f>
              <c:strCache>
                <c:ptCount val="4"/>
                <c:pt idx="0">
                  <c:v>Checking</c:v>
                </c:pt>
                <c:pt idx="1">
                  <c:v>Credit Card</c:v>
                </c:pt>
                <c:pt idx="2">
                  <c:v>Debit Card</c:v>
                </c:pt>
                <c:pt idx="3">
                  <c:v>Savings</c:v>
                </c:pt>
              </c:strCache>
            </c:strRef>
          </c:cat>
          <c:val>
            <c:numRef>
              <c:f>pivot_tables!$G$14:$G$18</c:f>
              <c:numCache>
                <c:formatCode>General</c:formatCode>
                <c:ptCount val="4"/>
                <c:pt idx="0">
                  <c:v>376</c:v>
                </c:pt>
                <c:pt idx="1">
                  <c:v>7</c:v>
                </c:pt>
                <c:pt idx="2">
                  <c:v>4</c:v>
                </c:pt>
                <c:pt idx="3">
                  <c:v>355</c:v>
                </c:pt>
              </c:numCache>
            </c:numRef>
          </c:val>
          <c:extLst>
            <c:ext xmlns:c16="http://schemas.microsoft.com/office/drawing/2014/chart" uri="{C3380CC4-5D6E-409C-BE32-E72D297353CC}">
              <c16:uniqueId val="{00000005-9F9B-4978-8EE9-8F47F98C0B75}"/>
            </c:ext>
          </c:extLst>
        </c:ser>
        <c:ser>
          <c:idx val="3"/>
          <c:order val="3"/>
          <c:tx>
            <c:strRef>
              <c:f>pivot_tables!$H$12:$H$13</c:f>
              <c:strCache>
                <c:ptCount val="1"/>
                <c:pt idx="0">
                  <c:v>Online Banking</c:v>
                </c:pt>
              </c:strCache>
            </c:strRef>
          </c:tx>
          <c:spPr>
            <a:solidFill>
              <a:schemeClr val="accent4"/>
            </a:solidFill>
            <a:ln>
              <a:noFill/>
            </a:ln>
            <a:effectLst/>
          </c:spPr>
          <c:invertIfNegative val="0"/>
          <c:cat>
            <c:strRef>
              <c:f>pivot_tables!$D$14:$D$18</c:f>
              <c:strCache>
                <c:ptCount val="4"/>
                <c:pt idx="0">
                  <c:v>Checking</c:v>
                </c:pt>
                <c:pt idx="1">
                  <c:v>Credit Card</c:v>
                </c:pt>
                <c:pt idx="2">
                  <c:v>Debit Card</c:v>
                </c:pt>
                <c:pt idx="3">
                  <c:v>Savings</c:v>
                </c:pt>
              </c:strCache>
            </c:strRef>
          </c:cat>
          <c:val>
            <c:numRef>
              <c:f>pivot_tables!$H$14:$H$18</c:f>
              <c:numCache>
                <c:formatCode>General</c:formatCode>
                <c:ptCount val="4"/>
                <c:pt idx="0">
                  <c:v>338</c:v>
                </c:pt>
                <c:pt idx="3">
                  <c:v>311</c:v>
                </c:pt>
              </c:numCache>
            </c:numRef>
          </c:val>
          <c:extLst>
            <c:ext xmlns:c16="http://schemas.microsoft.com/office/drawing/2014/chart" uri="{C3380CC4-5D6E-409C-BE32-E72D297353CC}">
              <c16:uniqueId val="{00000006-9F9B-4978-8EE9-8F47F98C0B75}"/>
            </c:ext>
          </c:extLst>
        </c:ser>
        <c:ser>
          <c:idx val="4"/>
          <c:order val="4"/>
          <c:tx>
            <c:strRef>
              <c:f>pivot_tables!$I$12:$I$13</c:f>
              <c:strCache>
                <c:ptCount val="1"/>
                <c:pt idx="0">
                  <c:v>POS</c:v>
                </c:pt>
              </c:strCache>
            </c:strRef>
          </c:tx>
          <c:spPr>
            <a:solidFill>
              <a:schemeClr val="accent5"/>
            </a:solidFill>
            <a:ln>
              <a:noFill/>
            </a:ln>
            <a:effectLst/>
          </c:spPr>
          <c:invertIfNegative val="0"/>
          <c:cat>
            <c:strRef>
              <c:f>pivot_tables!$D$14:$D$18</c:f>
              <c:strCache>
                <c:ptCount val="4"/>
                <c:pt idx="0">
                  <c:v>Checking</c:v>
                </c:pt>
                <c:pt idx="1">
                  <c:v>Credit Card</c:v>
                </c:pt>
                <c:pt idx="2">
                  <c:v>Debit Card</c:v>
                </c:pt>
                <c:pt idx="3">
                  <c:v>Savings</c:v>
                </c:pt>
              </c:strCache>
            </c:strRef>
          </c:cat>
          <c:val>
            <c:numRef>
              <c:f>pivot_tables!$I$14:$I$18</c:f>
              <c:numCache>
                <c:formatCode>General</c:formatCode>
                <c:ptCount val="4"/>
                <c:pt idx="0">
                  <c:v>330</c:v>
                </c:pt>
                <c:pt idx="1">
                  <c:v>9</c:v>
                </c:pt>
                <c:pt idx="2">
                  <c:v>5</c:v>
                </c:pt>
                <c:pt idx="3">
                  <c:v>342</c:v>
                </c:pt>
              </c:numCache>
            </c:numRef>
          </c:val>
          <c:extLst>
            <c:ext xmlns:c16="http://schemas.microsoft.com/office/drawing/2014/chart" uri="{C3380CC4-5D6E-409C-BE32-E72D297353CC}">
              <c16:uniqueId val="{00000007-9F9B-4978-8EE9-8F47F98C0B75}"/>
            </c:ext>
          </c:extLst>
        </c:ser>
        <c:dLbls>
          <c:showLegendKey val="0"/>
          <c:showVal val="0"/>
          <c:showCatName val="0"/>
          <c:showSerName val="0"/>
          <c:showPercent val="0"/>
          <c:showBubbleSize val="0"/>
        </c:dLbls>
        <c:gapWidth val="219"/>
        <c:overlap val="-27"/>
        <c:axId val="1625681504"/>
        <c:axId val="1682384368"/>
      </c:barChart>
      <c:catAx>
        <c:axId val="16256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2384368"/>
        <c:crosses val="autoZero"/>
        <c:auto val="1"/>
        <c:lblAlgn val="ctr"/>
        <c:lblOffset val="100"/>
        <c:noMultiLvlLbl val="0"/>
      </c:catAx>
      <c:valAx>
        <c:axId val="168238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568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data).xlsx]pivot_tables!PivotTable28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Transaction</a:t>
            </a:r>
            <a:r>
              <a:rPr lang="en-US" b="1" baseline="0"/>
              <a:t> Risk Count by Merchant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89-4672-824E-3B305B2F0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89-4672-824E-3B305B2F0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pivot_tables!$D$22:$D$24</c:f>
              <c:strCache>
                <c:ptCount val="2"/>
                <c:pt idx="0">
                  <c:v>safe merchant transaction</c:v>
                </c:pt>
                <c:pt idx="1">
                  <c:v>unsafe merchant transaction</c:v>
                </c:pt>
              </c:strCache>
            </c:strRef>
          </c:cat>
          <c:val>
            <c:numRef>
              <c:f>pivot_tables!$E$22:$E$24</c:f>
              <c:numCache>
                <c:formatCode>General</c:formatCode>
                <c:ptCount val="2"/>
                <c:pt idx="0">
                  <c:v>2323</c:v>
                </c:pt>
                <c:pt idx="1">
                  <c:v>527</c:v>
                </c:pt>
              </c:numCache>
            </c:numRef>
          </c:val>
          <c:extLst>
            <c:ext xmlns:c16="http://schemas.microsoft.com/office/drawing/2014/chart" uri="{C3380CC4-5D6E-409C-BE32-E72D297353CC}">
              <c16:uniqueId val="{00000004-6089-4672-824E-3B305B2F08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[1Stephen Dugbartey_Electronic Bank Fraud Risk Management (cleaned and raw data).xlsx]pivot_tables!PivotTable13</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Transaction Risk Amount</a:t>
            </a:r>
            <a:r>
              <a:rPr lang="en-US" b="1" baseline="0"/>
              <a:t> by Merchant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pivot_tables!$E$26</c:f>
              <c:strCache>
                <c:ptCount val="1"/>
                <c:pt idx="0">
                  <c:v>Total</c:v>
                </c:pt>
              </c:strCache>
            </c:strRef>
          </c:tx>
          <c:spPr>
            <a:solidFill>
              <a:schemeClr val="accent1"/>
            </a:solidFill>
            <a:ln>
              <a:noFill/>
            </a:ln>
            <a:effectLst/>
          </c:spPr>
          <c:invertIfNegative val="0"/>
          <c:cat>
            <c:strRef>
              <c:f>pivot_tables!$D$27:$D$29</c:f>
              <c:strCache>
                <c:ptCount val="2"/>
                <c:pt idx="0">
                  <c:v>safe merchant transaction</c:v>
                </c:pt>
                <c:pt idx="1">
                  <c:v>unsafe merchant transaction</c:v>
                </c:pt>
              </c:strCache>
            </c:strRef>
          </c:cat>
          <c:val>
            <c:numRef>
              <c:f>pivot_tables!$E$27:$E$29</c:f>
              <c:numCache>
                <c:formatCode>General</c:formatCode>
                <c:ptCount val="2"/>
                <c:pt idx="0">
                  <c:v>11611083.860000003</c:v>
                </c:pt>
                <c:pt idx="1">
                  <c:v>2763645.8099999954</c:v>
                </c:pt>
              </c:numCache>
            </c:numRef>
          </c:val>
          <c:extLst>
            <c:ext xmlns:c16="http://schemas.microsoft.com/office/drawing/2014/chart" uri="{C3380CC4-5D6E-409C-BE32-E72D297353CC}">
              <c16:uniqueId val="{00000000-2E27-4F1C-8D6C-AC6D2AABE527}"/>
            </c:ext>
          </c:extLst>
        </c:ser>
        <c:dLbls>
          <c:showLegendKey val="0"/>
          <c:showVal val="0"/>
          <c:showCatName val="0"/>
          <c:showSerName val="0"/>
          <c:showPercent val="0"/>
          <c:showBubbleSize val="0"/>
        </c:dLbls>
        <c:gapWidth val="219"/>
        <c:overlap val="-27"/>
        <c:axId val="1631431440"/>
        <c:axId val="1625680256"/>
      </c:barChart>
      <c:catAx>
        <c:axId val="16314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5680256"/>
        <c:crosses val="autoZero"/>
        <c:auto val="1"/>
        <c:lblAlgn val="ctr"/>
        <c:lblOffset val="100"/>
        <c:noMultiLvlLbl val="0"/>
      </c:catAx>
      <c:valAx>
        <c:axId val="162568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1431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34</xdr:col>
      <xdr:colOff>60960</xdr:colOff>
      <xdr:row>54</xdr:row>
      <xdr:rowOff>144780</xdr:rowOff>
    </xdr:to>
    <xdr:sp macro="" textlink="">
      <xdr:nvSpPr>
        <xdr:cNvPr id="4" name="Rectangle 3"/>
        <xdr:cNvSpPr/>
      </xdr:nvSpPr>
      <xdr:spPr>
        <a:xfrm>
          <a:off x="7620" y="15240"/>
          <a:ext cx="20779740" cy="10005060"/>
        </a:xfrm>
        <a:prstGeom prst="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38100</xdr:colOff>
      <xdr:row>0</xdr:row>
      <xdr:rowOff>7620</xdr:rowOff>
    </xdr:from>
    <xdr:to>
      <xdr:col>31</xdr:col>
      <xdr:colOff>541020</xdr:colOff>
      <xdr:row>2</xdr:row>
      <xdr:rowOff>121920</xdr:rowOff>
    </xdr:to>
    <xdr:sp macro="" textlink="">
      <xdr:nvSpPr>
        <xdr:cNvPr id="5" name="TextBox 4"/>
        <xdr:cNvSpPr txBox="1"/>
      </xdr:nvSpPr>
      <xdr:spPr>
        <a:xfrm>
          <a:off x="38100" y="7620"/>
          <a:ext cx="19400520" cy="48006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2800" b="1">
              <a:latin typeface="Verdana" panose="020B0604030504040204" pitchFamily="34" charset="0"/>
              <a:ea typeface="Verdana" panose="020B0604030504040204" pitchFamily="34" charset="0"/>
            </a:rPr>
            <a:t>Electronic Banking Fraud Risk Analysis</a:t>
          </a:r>
        </a:p>
      </xdr:txBody>
    </xdr:sp>
    <xdr:clientData/>
  </xdr:twoCellAnchor>
  <xdr:twoCellAnchor>
    <xdr:from>
      <xdr:col>6</xdr:col>
      <xdr:colOff>30480</xdr:colOff>
      <xdr:row>2</xdr:row>
      <xdr:rowOff>160020</xdr:rowOff>
    </xdr:from>
    <xdr:to>
      <xdr:col>9</xdr:col>
      <xdr:colOff>30480</xdr:colOff>
      <xdr:row>6</xdr:row>
      <xdr:rowOff>144780</xdr:rowOff>
    </xdr:to>
    <xdr:sp macro="" textlink="">
      <xdr:nvSpPr>
        <xdr:cNvPr id="6" name="Rounded Rectangle 5"/>
        <xdr:cNvSpPr/>
      </xdr:nvSpPr>
      <xdr:spPr>
        <a:xfrm>
          <a:off x="3688080" y="525780"/>
          <a:ext cx="1828800" cy="71628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53340</xdr:colOff>
      <xdr:row>2</xdr:row>
      <xdr:rowOff>160020</xdr:rowOff>
    </xdr:from>
    <xdr:to>
      <xdr:col>12</xdr:col>
      <xdr:colOff>487680</xdr:colOff>
      <xdr:row>6</xdr:row>
      <xdr:rowOff>144780</xdr:rowOff>
    </xdr:to>
    <xdr:sp macro="" textlink="">
      <xdr:nvSpPr>
        <xdr:cNvPr id="7" name="Rounded Rectangle 6"/>
        <xdr:cNvSpPr/>
      </xdr:nvSpPr>
      <xdr:spPr>
        <a:xfrm>
          <a:off x="5539740" y="525780"/>
          <a:ext cx="2263140" cy="71628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259080</xdr:colOff>
      <xdr:row>4</xdr:row>
      <xdr:rowOff>137160</xdr:rowOff>
    </xdr:from>
    <xdr:to>
      <xdr:col>8</xdr:col>
      <xdr:colOff>563880</xdr:colOff>
      <xdr:row>6</xdr:row>
      <xdr:rowOff>30480</xdr:rowOff>
    </xdr:to>
    <xdr:sp macro="" textlink="">
      <xdr:nvSpPr>
        <xdr:cNvPr id="8" name="TextBox 7"/>
        <xdr:cNvSpPr txBox="1"/>
      </xdr:nvSpPr>
      <xdr:spPr>
        <a:xfrm>
          <a:off x="3916680" y="868680"/>
          <a:ext cx="1524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latin typeface="Verdana" panose="020B0604030504040204" pitchFamily="34" charset="0"/>
              <a:ea typeface="Verdana" panose="020B0604030504040204" pitchFamily="34" charset="0"/>
            </a:rPr>
            <a:t>Total Transactions</a:t>
          </a:r>
        </a:p>
      </xdr:txBody>
    </xdr:sp>
    <xdr:clientData/>
  </xdr:twoCellAnchor>
  <xdr:twoCellAnchor editAs="oneCell">
    <xdr:from>
      <xdr:col>0</xdr:col>
      <xdr:colOff>30480</xdr:colOff>
      <xdr:row>2</xdr:row>
      <xdr:rowOff>152400</xdr:rowOff>
    </xdr:from>
    <xdr:to>
      <xdr:col>3</xdr:col>
      <xdr:colOff>30480</xdr:colOff>
      <xdr:row>10</xdr:row>
      <xdr:rowOff>30479</xdr:rowOff>
    </xdr:to>
    <mc:AlternateContent xmlns:mc="http://schemas.openxmlformats.org/markup-compatibility/2006">
      <mc:Choice xmlns:a14="http://schemas.microsoft.com/office/drawing/2010/main" Requires="a14">
        <xdr:graphicFrame macro="">
          <xdr:nvGraphicFramePr>
            <xdr:cNvPr id="10" name="Account_Type"/>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30480" y="518160"/>
              <a:ext cx="1828800" cy="13411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15241</xdr:rowOff>
    </xdr:from>
    <xdr:to>
      <xdr:col>3</xdr:col>
      <xdr:colOff>30480</xdr:colOff>
      <xdr:row>18</xdr:row>
      <xdr:rowOff>76201</xdr:rowOff>
    </xdr:to>
    <mc:AlternateContent xmlns:mc="http://schemas.openxmlformats.org/markup-compatibility/2006">
      <mc:Choice xmlns:a14="http://schemas.microsoft.com/office/drawing/2010/main" Requires="a14">
        <xdr:graphicFrame macro="">
          <xdr:nvGraphicFramePr>
            <xdr:cNvPr id="11"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0480" y="1844041"/>
              <a:ext cx="1828800" cy="1524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18</xdr:row>
      <xdr:rowOff>83821</xdr:rowOff>
    </xdr:from>
    <xdr:to>
      <xdr:col>3</xdr:col>
      <xdr:colOff>30480</xdr:colOff>
      <xdr:row>26</xdr:row>
      <xdr:rowOff>144780</xdr:rowOff>
    </xdr:to>
    <mc:AlternateContent xmlns:mc="http://schemas.openxmlformats.org/markup-compatibility/2006">
      <mc:Choice xmlns:a14="http://schemas.microsoft.com/office/drawing/2010/main" Requires="a14">
        <xdr:graphicFrame macro="">
          <xdr:nvGraphicFramePr>
            <xdr:cNvPr id="12" name="Merchant_Category"/>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dr:sp macro="" textlink="">
          <xdr:nvSpPr>
            <xdr:cNvPr id="0" name=""/>
            <xdr:cNvSpPr>
              <a:spLocks noTextEdit="1"/>
            </xdr:cNvSpPr>
          </xdr:nvSpPr>
          <xdr:spPr>
            <a:xfrm>
              <a:off x="30480" y="3375661"/>
              <a:ext cx="1828800" cy="15239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11</xdr:row>
      <xdr:rowOff>7621</xdr:rowOff>
    </xdr:from>
    <xdr:to>
      <xdr:col>6</xdr:col>
      <xdr:colOff>15240</xdr:colOff>
      <xdr:row>18</xdr:row>
      <xdr:rowOff>7621</xdr:rowOff>
    </xdr:to>
    <mc:AlternateContent xmlns:mc="http://schemas.openxmlformats.org/markup-compatibility/2006">
      <mc:Choice xmlns:a14="http://schemas.microsoft.com/office/drawing/2010/main" Requires="a14">
        <xdr:graphicFrame macro="">
          <xdr:nvGraphicFramePr>
            <xdr:cNvPr id="13" name="Authentication_Type"/>
            <xdr:cNvGraphicFramePr/>
          </xdr:nvGraphicFramePr>
          <xdr:xfrm>
            <a:off x="0" y="0"/>
            <a:ext cx="0" cy="0"/>
          </xdr:xfrm>
          <a:graphic>
            <a:graphicData uri="http://schemas.microsoft.com/office/drawing/2010/slicer">
              <sle:slicer xmlns:sle="http://schemas.microsoft.com/office/drawing/2010/slicer" name="Authentication_Type"/>
            </a:graphicData>
          </a:graphic>
        </xdr:graphicFrame>
      </mc:Choice>
      <mc:Fallback>
        <xdr:sp macro="" textlink="">
          <xdr:nvSpPr>
            <xdr:cNvPr id="0" name=""/>
            <xdr:cNvSpPr>
              <a:spLocks noTextEdit="1"/>
            </xdr:cNvSpPr>
          </xdr:nvSpPr>
          <xdr:spPr>
            <a:xfrm>
              <a:off x="1844040" y="2019301"/>
              <a:ext cx="1828800" cy="12801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2</xdr:row>
      <xdr:rowOff>144781</xdr:rowOff>
    </xdr:from>
    <xdr:to>
      <xdr:col>6</xdr:col>
      <xdr:colOff>15240</xdr:colOff>
      <xdr:row>11</xdr:row>
      <xdr:rowOff>22860</xdr:rowOff>
    </xdr:to>
    <mc:AlternateContent xmlns:mc="http://schemas.openxmlformats.org/markup-compatibility/2006">
      <mc:Choice xmlns:a14="http://schemas.microsoft.com/office/drawing/2010/main" Requires="a14">
        <xdr:graphicFrame macro="">
          <xdr:nvGraphicFramePr>
            <xdr:cNvPr id="14" name="Login_Failure_Count"/>
            <xdr:cNvGraphicFramePr/>
          </xdr:nvGraphicFramePr>
          <xdr:xfrm>
            <a:off x="0" y="0"/>
            <a:ext cx="0" cy="0"/>
          </xdr:xfrm>
          <a:graphic>
            <a:graphicData uri="http://schemas.microsoft.com/office/drawing/2010/slicer">
              <sle:slicer xmlns:sle="http://schemas.microsoft.com/office/drawing/2010/slicer" name="Login_Failure_Count"/>
            </a:graphicData>
          </a:graphic>
        </xdr:graphicFrame>
      </mc:Choice>
      <mc:Fallback>
        <xdr:sp macro="" textlink="">
          <xdr:nvSpPr>
            <xdr:cNvPr id="0" name=""/>
            <xdr:cNvSpPr>
              <a:spLocks noTextEdit="1"/>
            </xdr:cNvSpPr>
          </xdr:nvSpPr>
          <xdr:spPr>
            <a:xfrm>
              <a:off x="1844040" y="510541"/>
              <a:ext cx="1828800" cy="15239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411480</xdr:colOff>
      <xdr:row>2</xdr:row>
      <xdr:rowOff>175260</xdr:rowOff>
    </xdr:from>
    <xdr:to>
      <xdr:col>8</xdr:col>
      <xdr:colOff>335280</xdr:colOff>
      <xdr:row>5</xdr:row>
      <xdr:rowOff>0</xdr:rowOff>
    </xdr:to>
    <xdr:sp macro="" textlink="pivot_tables!B46">
      <xdr:nvSpPr>
        <xdr:cNvPr id="3" name="TextBox 2"/>
        <xdr:cNvSpPr txBox="1"/>
      </xdr:nvSpPr>
      <xdr:spPr>
        <a:xfrm>
          <a:off x="4069080" y="541020"/>
          <a:ext cx="11430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2478B3-BE22-47FD-ABBE-21CEA3A77600}" type="TxLink">
            <a:rPr lang="en-US" sz="2400" b="1" i="0" u="none" strike="noStrike">
              <a:solidFill>
                <a:srgbClr val="000000"/>
              </a:solidFill>
              <a:latin typeface="Verdana" panose="020B0604030504040204" pitchFamily="34" charset="0"/>
              <a:ea typeface="Verdana" panose="020B0604030504040204" pitchFamily="34" charset="0"/>
            </a:rPr>
            <a:pPr/>
            <a:t>2850</a:t>
          </a:fld>
          <a:endParaRPr lang="en-CA" sz="2400" b="1">
            <a:latin typeface="Verdana" panose="020B0604030504040204" pitchFamily="34" charset="0"/>
            <a:ea typeface="Verdana" panose="020B0604030504040204" pitchFamily="34" charset="0"/>
          </a:endParaRPr>
        </a:p>
      </xdr:txBody>
    </xdr:sp>
    <xdr:clientData/>
  </xdr:twoCellAnchor>
  <xdr:twoCellAnchor>
    <xdr:from>
      <xdr:col>9</xdr:col>
      <xdr:colOff>396240</xdr:colOff>
      <xdr:row>4</xdr:row>
      <xdr:rowOff>137160</xdr:rowOff>
    </xdr:from>
    <xdr:to>
      <xdr:col>12</xdr:col>
      <xdr:colOff>289560</xdr:colOff>
      <xdr:row>6</xdr:row>
      <xdr:rowOff>7620</xdr:rowOff>
    </xdr:to>
    <xdr:sp macro="" textlink="">
      <xdr:nvSpPr>
        <xdr:cNvPr id="16" name="TextBox 15"/>
        <xdr:cNvSpPr txBox="1"/>
      </xdr:nvSpPr>
      <xdr:spPr>
        <a:xfrm>
          <a:off x="5882640" y="868680"/>
          <a:ext cx="17221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latin typeface="Verdana" panose="020B0604030504040204" pitchFamily="34" charset="0"/>
              <a:ea typeface="Verdana" panose="020B0604030504040204" pitchFamily="34" charset="0"/>
            </a:rPr>
            <a:t>Total Transaction Value</a:t>
          </a:r>
        </a:p>
      </xdr:txBody>
    </xdr:sp>
    <xdr:clientData/>
  </xdr:twoCellAnchor>
  <xdr:twoCellAnchor>
    <xdr:from>
      <xdr:col>9</xdr:col>
      <xdr:colOff>441960</xdr:colOff>
      <xdr:row>2</xdr:row>
      <xdr:rowOff>167640</xdr:rowOff>
    </xdr:from>
    <xdr:to>
      <xdr:col>12</xdr:col>
      <xdr:colOff>144780</xdr:colOff>
      <xdr:row>5</xdr:row>
      <xdr:rowOff>76200</xdr:rowOff>
    </xdr:to>
    <xdr:sp macro="" textlink="pivot_tables!B47">
      <xdr:nvSpPr>
        <xdr:cNvPr id="18" name="TextBox 17"/>
        <xdr:cNvSpPr txBox="1"/>
      </xdr:nvSpPr>
      <xdr:spPr>
        <a:xfrm>
          <a:off x="5928360" y="533400"/>
          <a:ext cx="15316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D691C2-7047-4688-8883-77EEFB9A69AA}" type="TxLink">
            <a:rPr lang="en-US" sz="2400" b="1" i="0" u="none" strike="noStrike">
              <a:solidFill>
                <a:srgbClr val="000000"/>
              </a:solidFill>
              <a:latin typeface="Verdana" panose="020B0604030504040204" pitchFamily="34" charset="0"/>
              <a:ea typeface="Verdana" panose="020B0604030504040204" pitchFamily="34" charset="0"/>
            </a:rPr>
            <a:pPr/>
            <a:t>$14.4M</a:t>
          </a:fld>
          <a:endParaRPr lang="en-CA" sz="2400" b="1">
            <a:latin typeface="Verdana" panose="020B0604030504040204" pitchFamily="34" charset="0"/>
            <a:ea typeface="Verdana" panose="020B0604030504040204" pitchFamily="34" charset="0"/>
          </a:endParaRPr>
        </a:p>
      </xdr:txBody>
    </xdr:sp>
    <xdr:clientData/>
  </xdr:twoCellAnchor>
  <xdr:twoCellAnchor>
    <xdr:from>
      <xdr:col>12</xdr:col>
      <xdr:colOff>525780</xdr:colOff>
      <xdr:row>2</xdr:row>
      <xdr:rowOff>160020</xdr:rowOff>
    </xdr:from>
    <xdr:to>
      <xdr:col>16</xdr:col>
      <xdr:colOff>350520</xdr:colOff>
      <xdr:row>6</xdr:row>
      <xdr:rowOff>144780</xdr:rowOff>
    </xdr:to>
    <xdr:sp macro="" textlink="">
      <xdr:nvSpPr>
        <xdr:cNvPr id="19" name="Rounded Rectangle 18"/>
        <xdr:cNvSpPr/>
      </xdr:nvSpPr>
      <xdr:spPr>
        <a:xfrm>
          <a:off x="7840980" y="525780"/>
          <a:ext cx="2263140" cy="71628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14</xdr:col>
      <xdr:colOff>182880</xdr:colOff>
      <xdr:row>2</xdr:row>
      <xdr:rowOff>175260</xdr:rowOff>
    </xdr:from>
    <xdr:to>
      <xdr:col>15</xdr:col>
      <xdr:colOff>556260</xdr:colOff>
      <xdr:row>5</xdr:row>
      <xdr:rowOff>0</xdr:rowOff>
    </xdr:to>
    <xdr:sp macro="" textlink="pivot_tables!B48">
      <xdr:nvSpPr>
        <xdr:cNvPr id="20" name="TextBox 19"/>
        <xdr:cNvSpPr txBox="1"/>
      </xdr:nvSpPr>
      <xdr:spPr>
        <a:xfrm>
          <a:off x="8717280" y="541020"/>
          <a:ext cx="9829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A0F05D-C42C-41CE-9282-3D1B30EC56F9}" type="TxLink">
            <a:rPr lang="en-US" sz="2400" b="1" i="0" u="none" strike="noStrike">
              <a:solidFill>
                <a:srgbClr val="000000"/>
              </a:solidFill>
              <a:latin typeface="Verdana" panose="020B0604030504040204" pitchFamily="34" charset="0"/>
              <a:ea typeface="Verdana" panose="020B0604030504040204" pitchFamily="34" charset="0"/>
            </a:rPr>
            <a:pPr/>
            <a:t>50</a:t>
          </a:fld>
          <a:endParaRPr lang="en-CA" sz="2400" b="1">
            <a:latin typeface="Verdana" panose="020B0604030504040204" pitchFamily="34" charset="0"/>
            <a:ea typeface="Verdana" panose="020B0604030504040204" pitchFamily="34" charset="0"/>
          </a:endParaRPr>
        </a:p>
      </xdr:txBody>
    </xdr:sp>
    <xdr:clientData/>
  </xdr:twoCellAnchor>
  <xdr:twoCellAnchor>
    <xdr:from>
      <xdr:col>13</xdr:col>
      <xdr:colOff>289560</xdr:colOff>
      <xdr:row>4</xdr:row>
      <xdr:rowOff>114300</xdr:rowOff>
    </xdr:from>
    <xdr:to>
      <xdr:col>16</xdr:col>
      <xdr:colOff>182880</xdr:colOff>
      <xdr:row>5</xdr:row>
      <xdr:rowOff>167640</xdr:rowOff>
    </xdr:to>
    <xdr:sp macro="" textlink="">
      <xdr:nvSpPr>
        <xdr:cNvPr id="21" name="TextBox 20"/>
        <xdr:cNvSpPr txBox="1"/>
      </xdr:nvSpPr>
      <xdr:spPr>
        <a:xfrm>
          <a:off x="8214360" y="845820"/>
          <a:ext cx="17221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latin typeface="Verdana" panose="020B0604030504040204" pitchFamily="34" charset="0"/>
              <a:ea typeface="Verdana" panose="020B0604030504040204" pitchFamily="34" charset="0"/>
            </a:rPr>
            <a:t>Number</a:t>
          </a:r>
          <a:r>
            <a:rPr lang="en-CA" sz="1000" baseline="0">
              <a:latin typeface="Verdana" panose="020B0604030504040204" pitchFamily="34" charset="0"/>
              <a:ea typeface="Verdana" panose="020B0604030504040204" pitchFamily="34" charset="0"/>
            </a:rPr>
            <a:t> of Customers</a:t>
          </a:r>
          <a:endParaRPr lang="en-CA" sz="1000">
            <a:latin typeface="Verdana" panose="020B0604030504040204" pitchFamily="34" charset="0"/>
            <a:ea typeface="Verdana" panose="020B0604030504040204" pitchFamily="34" charset="0"/>
          </a:endParaRPr>
        </a:p>
      </xdr:txBody>
    </xdr:sp>
    <xdr:clientData/>
  </xdr:twoCellAnchor>
  <xdr:twoCellAnchor>
    <xdr:from>
      <xdr:col>16</xdr:col>
      <xdr:colOff>388620</xdr:colOff>
      <xdr:row>2</xdr:row>
      <xdr:rowOff>152400</xdr:rowOff>
    </xdr:from>
    <xdr:to>
      <xdr:col>20</xdr:col>
      <xdr:colOff>213360</xdr:colOff>
      <xdr:row>6</xdr:row>
      <xdr:rowOff>137160</xdr:rowOff>
    </xdr:to>
    <xdr:sp macro="" textlink="">
      <xdr:nvSpPr>
        <xdr:cNvPr id="22" name="Rounded Rectangle 21"/>
        <xdr:cNvSpPr/>
      </xdr:nvSpPr>
      <xdr:spPr>
        <a:xfrm>
          <a:off x="10142220" y="518160"/>
          <a:ext cx="2263140" cy="71628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17</xdr:col>
      <xdr:colOff>274320</xdr:colOff>
      <xdr:row>4</xdr:row>
      <xdr:rowOff>106680</xdr:rowOff>
    </xdr:from>
    <xdr:to>
      <xdr:col>19</xdr:col>
      <xdr:colOff>457200</xdr:colOff>
      <xdr:row>5</xdr:row>
      <xdr:rowOff>167640</xdr:rowOff>
    </xdr:to>
    <xdr:sp macro="" textlink="">
      <xdr:nvSpPr>
        <xdr:cNvPr id="23" name="TextBox 22"/>
        <xdr:cNvSpPr txBox="1"/>
      </xdr:nvSpPr>
      <xdr:spPr>
        <a:xfrm>
          <a:off x="10637520" y="838200"/>
          <a:ext cx="14020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latin typeface="Verdana" panose="020B0604030504040204" pitchFamily="34" charset="0"/>
              <a:ea typeface="Verdana" panose="020B0604030504040204" pitchFamily="34" charset="0"/>
            </a:rPr>
            <a:t>Identified</a:t>
          </a:r>
          <a:r>
            <a:rPr lang="en-CA" sz="1000" baseline="0">
              <a:latin typeface="Verdana" panose="020B0604030504040204" pitchFamily="34" charset="0"/>
              <a:ea typeface="Verdana" panose="020B0604030504040204" pitchFamily="34" charset="0"/>
            </a:rPr>
            <a:t> Issues</a:t>
          </a:r>
          <a:endParaRPr lang="en-CA" sz="1000">
            <a:latin typeface="Verdana" panose="020B0604030504040204" pitchFamily="34" charset="0"/>
            <a:ea typeface="Verdana" panose="020B0604030504040204" pitchFamily="34" charset="0"/>
          </a:endParaRPr>
        </a:p>
      </xdr:txBody>
    </xdr:sp>
    <xdr:clientData/>
  </xdr:twoCellAnchor>
  <xdr:twoCellAnchor>
    <xdr:from>
      <xdr:col>18</xdr:col>
      <xdr:colOff>99060</xdr:colOff>
      <xdr:row>2</xdr:row>
      <xdr:rowOff>160020</xdr:rowOff>
    </xdr:from>
    <xdr:to>
      <xdr:col>18</xdr:col>
      <xdr:colOff>594360</xdr:colOff>
      <xdr:row>4</xdr:row>
      <xdr:rowOff>167640</xdr:rowOff>
    </xdr:to>
    <xdr:sp macro="" textlink="pivot_tables!B49">
      <xdr:nvSpPr>
        <xdr:cNvPr id="24" name="TextBox 23"/>
        <xdr:cNvSpPr txBox="1"/>
      </xdr:nvSpPr>
      <xdr:spPr>
        <a:xfrm>
          <a:off x="11071860" y="525780"/>
          <a:ext cx="4953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D87AB4-AB98-4DFE-ACDF-EEA46AA50697}" type="TxLink">
            <a:rPr lang="en-US" sz="2400" b="1" i="0" u="none" strike="noStrike">
              <a:solidFill>
                <a:srgbClr val="000000"/>
              </a:solidFill>
              <a:latin typeface="Verdana" panose="020B0604030504040204" pitchFamily="34" charset="0"/>
              <a:ea typeface="Verdana" panose="020B0604030504040204" pitchFamily="34" charset="0"/>
            </a:rPr>
            <a:pPr/>
            <a:t>6</a:t>
          </a:fld>
          <a:endParaRPr lang="en-CA" sz="2400" b="1">
            <a:latin typeface="Verdana" panose="020B0604030504040204" pitchFamily="34" charset="0"/>
            <a:ea typeface="Verdana" panose="020B0604030504040204" pitchFamily="34" charset="0"/>
          </a:endParaRPr>
        </a:p>
      </xdr:txBody>
    </xdr:sp>
    <xdr:clientData/>
  </xdr:twoCellAnchor>
  <xdr:twoCellAnchor>
    <xdr:from>
      <xdr:col>6</xdr:col>
      <xdr:colOff>45720</xdr:colOff>
      <xdr:row>6</xdr:row>
      <xdr:rowOff>167640</xdr:rowOff>
    </xdr:from>
    <xdr:to>
      <xdr:col>12</xdr:col>
      <xdr:colOff>464820</xdr:colOff>
      <xdr:row>21</xdr:row>
      <xdr:rowOff>114300</xdr:rowOff>
    </xdr:to>
    <xdr:sp macro="" textlink="">
      <xdr:nvSpPr>
        <xdr:cNvPr id="26" name="Rounded Rectangle 25"/>
        <xdr:cNvSpPr/>
      </xdr:nvSpPr>
      <xdr:spPr>
        <a:xfrm>
          <a:off x="3703320" y="126492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175260</xdr:colOff>
      <xdr:row>7</xdr:row>
      <xdr:rowOff>0</xdr:rowOff>
    </xdr:from>
    <xdr:to>
      <xdr:col>9</xdr:col>
      <xdr:colOff>350520</xdr:colOff>
      <xdr:row>21</xdr:row>
      <xdr:rowOff>137160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6</xdr:row>
      <xdr:rowOff>175260</xdr:rowOff>
    </xdr:from>
    <xdr:to>
      <xdr:col>12</xdr:col>
      <xdr:colOff>556260</xdr:colOff>
      <xdr:row>21</xdr:row>
      <xdr:rowOff>175260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518160</xdr:colOff>
      <xdr:row>6</xdr:row>
      <xdr:rowOff>160020</xdr:rowOff>
    </xdr:from>
    <xdr:to>
      <xdr:col>19</xdr:col>
      <xdr:colOff>327660</xdr:colOff>
      <xdr:row>21</xdr:row>
      <xdr:rowOff>106680</xdr:rowOff>
    </xdr:to>
    <xdr:sp macro="" textlink="">
      <xdr:nvSpPr>
        <xdr:cNvPr id="29" name="Rounded Rectangle 28"/>
        <xdr:cNvSpPr/>
      </xdr:nvSpPr>
      <xdr:spPr>
        <a:xfrm>
          <a:off x="7833360" y="125730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19</xdr:col>
      <xdr:colOff>373380</xdr:colOff>
      <xdr:row>6</xdr:row>
      <xdr:rowOff>160020</xdr:rowOff>
    </xdr:from>
    <xdr:to>
      <xdr:col>26</xdr:col>
      <xdr:colOff>182880</xdr:colOff>
      <xdr:row>21</xdr:row>
      <xdr:rowOff>106680</xdr:rowOff>
    </xdr:to>
    <xdr:sp macro="" textlink="">
      <xdr:nvSpPr>
        <xdr:cNvPr id="30" name="Rounded Rectangle 29"/>
        <xdr:cNvSpPr/>
      </xdr:nvSpPr>
      <xdr:spPr>
        <a:xfrm>
          <a:off x="11955780" y="125730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13</xdr:col>
      <xdr:colOff>22860</xdr:colOff>
      <xdr:row>7</xdr:row>
      <xdr:rowOff>22860</xdr:rowOff>
    </xdr:from>
    <xdr:to>
      <xdr:col>16</xdr:col>
      <xdr:colOff>289560</xdr:colOff>
      <xdr:row>22</xdr:row>
      <xdr:rowOff>22860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167640</xdr:colOff>
      <xdr:row>6</xdr:row>
      <xdr:rowOff>160020</xdr:rowOff>
    </xdr:from>
    <xdr:to>
      <xdr:col>19</xdr:col>
      <xdr:colOff>411480</xdr:colOff>
      <xdr:row>21</xdr:row>
      <xdr:rowOff>160020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480060</xdr:colOff>
      <xdr:row>6</xdr:row>
      <xdr:rowOff>167640</xdr:rowOff>
    </xdr:from>
    <xdr:to>
      <xdr:col>23</xdr:col>
      <xdr:colOff>22860</xdr:colOff>
      <xdr:row>21</xdr:row>
      <xdr:rowOff>99060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541020</xdr:colOff>
      <xdr:row>6</xdr:row>
      <xdr:rowOff>144780</xdr:rowOff>
    </xdr:from>
    <xdr:to>
      <xdr:col>26</xdr:col>
      <xdr:colOff>91440</xdr:colOff>
      <xdr:row>21</xdr:row>
      <xdr:rowOff>144780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76200</xdr:colOff>
      <xdr:row>21</xdr:row>
      <xdr:rowOff>152400</xdr:rowOff>
    </xdr:from>
    <xdr:to>
      <xdr:col>12</xdr:col>
      <xdr:colOff>495300</xdr:colOff>
      <xdr:row>36</xdr:row>
      <xdr:rowOff>99060</xdr:rowOff>
    </xdr:to>
    <xdr:sp macro="" textlink="">
      <xdr:nvSpPr>
        <xdr:cNvPr id="36" name="Rounded Rectangle 35"/>
        <xdr:cNvSpPr/>
      </xdr:nvSpPr>
      <xdr:spPr>
        <a:xfrm>
          <a:off x="3733800" y="399288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541020</xdr:colOff>
      <xdr:row>21</xdr:row>
      <xdr:rowOff>160020</xdr:rowOff>
    </xdr:from>
    <xdr:to>
      <xdr:col>19</xdr:col>
      <xdr:colOff>350520</xdr:colOff>
      <xdr:row>36</xdr:row>
      <xdr:rowOff>106680</xdr:rowOff>
    </xdr:to>
    <xdr:sp macro="" textlink="">
      <xdr:nvSpPr>
        <xdr:cNvPr id="37" name="Rounded Rectangle 36"/>
        <xdr:cNvSpPr/>
      </xdr:nvSpPr>
      <xdr:spPr>
        <a:xfrm>
          <a:off x="7856220" y="400050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19</xdr:col>
      <xdr:colOff>388620</xdr:colOff>
      <xdr:row>21</xdr:row>
      <xdr:rowOff>144780</xdr:rowOff>
    </xdr:from>
    <xdr:to>
      <xdr:col>26</xdr:col>
      <xdr:colOff>198120</xdr:colOff>
      <xdr:row>36</xdr:row>
      <xdr:rowOff>91440</xdr:rowOff>
    </xdr:to>
    <xdr:sp macro="" textlink="">
      <xdr:nvSpPr>
        <xdr:cNvPr id="38" name="Rounded Rectangle 37"/>
        <xdr:cNvSpPr/>
      </xdr:nvSpPr>
      <xdr:spPr>
        <a:xfrm>
          <a:off x="11971020" y="3985260"/>
          <a:ext cx="4076700" cy="268986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6</xdr:col>
      <xdr:colOff>99060</xdr:colOff>
      <xdr:row>21</xdr:row>
      <xdr:rowOff>167640</xdr:rowOff>
    </xdr:from>
    <xdr:to>
      <xdr:col>9</xdr:col>
      <xdr:colOff>381000</xdr:colOff>
      <xdr:row>36</xdr:row>
      <xdr:rowOff>167640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99060</xdr:colOff>
      <xdr:row>21</xdr:row>
      <xdr:rowOff>99060</xdr:rowOff>
    </xdr:from>
    <xdr:to>
      <xdr:col>13</xdr:col>
      <xdr:colOff>15240</xdr:colOff>
      <xdr:row>36</xdr:row>
      <xdr:rowOff>99060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99060</xdr:colOff>
      <xdr:row>21</xdr:row>
      <xdr:rowOff>129540</xdr:rowOff>
    </xdr:from>
    <xdr:to>
      <xdr:col>19</xdr:col>
      <xdr:colOff>243840</xdr:colOff>
      <xdr:row>36</xdr:row>
      <xdr:rowOff>129540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388620</xdr:colOff>
      <xdr:row>21</xdr:row>
      <xdr:rowOff>144780</xdr:rowOff>
    </xdr:from>
    <xdr:to>
      <xdr:col>23</xdr:col>
      <xdr:colOff>99060</xdr:colOff>
      <xdr:row>36</xdr:row>
      <xdr:rowOff>144780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38100</xdr:colOff>
      <xdr:row>21</xdr:row>
      <xdr:rowOff>121920</xdr:rowOff>
    </xdr:from>
    <xdr:to>
      <xdr:col>26</xdr:col>
      <xdr:colOff>243840</xdr:colOff>
      <xdr:row>36</xdr:row>
      <xdr:rowOff>121920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251460</xdr:colOff>
      <xdr:row>2</xdr:row>
      <xdr:rowOff>144780</xdr:rowOff>
    </xdr:from>
    <xdr:to>
      <xdr:col>24</xdr:col>
      <xdr:colOff>358140</xdr:colOff>
      <xdr:row>6</xdr:row>
      <xdr:rowOff>129540</xdr:rowOff>
    </xdr:to>
    <xdr:sp macro="" textlink="">
      <xdr:nvSpPr>
        <xdr:cNvPr id="44" name="Rounded Rectangle 43"/>
        <xdr:cNvSpPr/>
      </xdr:nvSpPr>
      <xdr:spPr>
        <a:xfrm>
          <a:off x="12443460" y="510540"/>
          <a:ext cx="2545080" cy="716280"/>
        </a:xfrm>
        <a:prstGeom prst="roundRect">
          <a:avLst/>
        </a:prstGeom>
        <a:solidFill>
          <a:schemeClr val="bg1">
            <a:lumMod val="95000"/>
          </a:schemeClr>
        </a:solidFill>
        <a:ln w="3175">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20</xdr:col>
      <xdr:colOff>365760</xdr:colOff>
      <xdr:row>4</xdr:row>
      <xdr:rowOff>99060</xdr:rowOff>
    </xdr:from>
    <xdr:to>
      <xdr:col>24</xdr:col>
      <xdr:colOff>388620</xdr:colOff>
      <xdr:row>6</xdr:row>
      <xdr:rowOff>38100</xdr:rowOff>
    </xdr:to>
    <xdr:sp macro="" textlink="">
      <xdr:nvSpPr>
        <xdr:cNvPr id="45" name="TextBox 44"/>
        <xdr:cNvSpPr txBox="1"/>
      </xdr:nvSpPr>
      <xdr:spPr>
        <a:xfrm>
          <a:off x="12557760" y="830580"/>
          <a:ext cx="2461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000">
              <a:latin typeface="Verdana" panose="020B0604030504040204" pitchFamily="34" charset="0"/>
              <a:ea typeface="Verdana" panose="020B0604030504040204" pitchFamily="34" charset="0"/>
            </a:rPr>
            <a:t>Average Transaction per Customer</a:t>
          </a:r>
        </a:p>
      </xdr:txBody>
    </xdr:sp>
    <xdr:clientData/>
  </xdr:twoCellAnchor>
  <xdr:twoCellAnchor>
    <xdr:from>
      <xdr:col>22</xdr:col>
      <xdr:colOff>30480</xdr:colOff>
      <xdr:row>2</xdr:row>
      <xdr:rowOff>160020</xdr:rowOff>
    </xdr:from>
    <xdr:to>
      <xdr:col>23</xdr:col>
      <xdr:colOff>83820</xdr:colOff>
      <xdr:row>4</xdr:row>
      <xdr:rowOff>167640</xdr:rowOff>
    </xdr:to>
    <xdr:sp macro="" textlink="pivot_tables!B50">
      <xdr:nvSpPr>
        <xdr:cNvPr id="46" name="TextBox 45"/>
        <xdr:cNvSpPr txBox="1"/>
      </xdr:nvSpPr>
      <xdr:spPr>
        <a:xfrm>
          <a:off x="13441680" y="525780"/>
          <a:ext cx="6629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79A869-BD72-49F0-A229-C19135D78638}" type="TxLink">
            <a:rPr lang="en-US" sz="2400" b="1" i="0" u="none" strike="noStrike">
              <a:solidFill>
                <a:srgbClr val="000000"/>
              </a:solidFill>
              <a:latin typeface="Verdana" panose="020B0604030504040204" pitchFamily="34" charset="0"/>
              <a:ea typeface="Verdana" panose="020B0604030504040204" pitchFamily="34" charset="0"/>
            </a:rPr>
            <a:t>57</a:t>
          </a:fld>
          <a:endParaRPr lang="en-CA" sz="2400" b="1">
            <a:latin typeface="Verdana" panose="020B0604030504040204" pitchFamily="34" charset="0"/>
            <a:ea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594360</xdr:colOff>
      <xdr:row>2</xdr:row>
      <xdr:rowOff>83820</xdr:rowOff>
    </xdr:from>
    <xdr:to>
      <xdr:col>20</xdr:col>
      <xdr:colOff>594360</xdr:colOff>
      <xdr:row>14</xdr:row>
      <xdr:rowOff>104775</xdr:rowOff>
    </xdr:to>
    <mc:AlternateContent xmlns:mc="http://schemas.openxmlformats.org/markup-compatibility/2006">
      <mc:Choice xmlns:a14="http://schemas.microsoft.com/office/drawing/2010/main" Requires="a14">
        <xdr:graphicFrame macro="">
          <xdr:nvGraphicFramePr>
            <xdr:cNvPr id="17" name="Customer_ID"/>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20375880" y="449580"/>
              <a:ext cx="1828800" cy="22383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558800</xdr:colOff>
      <xdr:row>2</xdr:row>
      <xdr:rowOff>160866</xdr:rowOff>
    </xdr:from>
    <xdr:to>
      <xdr:col>27</xdr:col>
      <xdr:colOff>355598</xdr:colOff>
      <xdr:row>4</xdr:row>
      <xdr:rowOff>169332</xdr:rowOff>
    </xdr:to>
    <xdr:sp macro="" textlink="">
      <xdr:nvSpPr>
        <xdr:cNvPr id="11" name="Oval 10"/>
        <xdr:cNvSpPr/>
      </xdr:nvSpPr>
      <xdr:spPr>
        <a:xfrm>
          <a:off x="7416800" y="1410546"/>
          <a:ext cx="406398" cy="381846"/>
        </a:xfrm>
        <a:prstGeom prst="ellipse">
          <a:avLst/>
        </a:prstGeom>
        <a:solidFill>
          <a:srgbClr val="FF0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F</a:t>
          </a:r>
        </a:p>
      </xdr:txBody>
    </xdr:sp>
    <xdr:clientData/>
  </xdr:twoCellAnchor>
  <xdr:twoCellAnchor>
    <xdr:from>
      <xdr:col>26</xdr:col>
      <xdr:colOff>474133</xdr:colOff>
      <xdr:row>7</xdr:row>
      <xdr:rowOff>186266</xdr:rowOff>
    </xdr:from>
    <xdr:to>
      <xdr:col>27</xdr:col>
      <xdr:colOff>304801</xdr:colOff>
      <xdr:row>10</xdr:row>
      <xdr:rowOff>8467</xdr:rowOff>
    </xdr:to>
    <xdr:sp macro="" textlink="">
      <xdr:nvSpPr>
        <xdr:cNvPr id="12" name="Oval 11"/>
        <xdr:cNvSpPr/>
      </xdr:nvSpPr>
      <xdr:spPr>
        <a:xfrm>
          <a:off x="7332133" y="2357966"/>
          <a:ext cx="440268" cy="370841"/>
        </a:xfrm>
        <a:prstGeom prst="ellipse">
          <a:avLst/>
        </a:prstGeom>
        <a:solidFill>
          <a:srgbClr val="FF0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C</a:t>
          </a:r>
        </a:p>
      </xdr:txBody>
    </xdr:sp>
    <xdr:clientData/>
  </xdr:twoCellAnchor>
  <xdr:twoCellAnchor>
    <xdr:from>
      <xdr:col>27</xdr:col>
      <xdr:colOff>135466</xdr:colOff>
      <xdr:row>6</xdr:row>
      <xdr:rowOff>25400</xdr:rowOff>
    </xdr:from>
    <xdr:to>
      <xdr:col>27</xdr:col>
      <xdr:colOff>550333</xdr:colOff>
      <xdr:row>8</xdr:row>
      <xdr:rowOff>50800</xdr:rowOff>
    </xdr:to>
    <xdr:sp macro="" textlink="">
      <xdr:nvSpPr>
        <xdr:cNvPr id="13" name="Oval 12"/>
        <xdr:cNvSpPr/>
      </xdr:nvSpPr>
      <xdr:spPr>
        <a:xfrm>
          <a:off x="7603066" y="2014220"/>
          <a:ext cx="414867" cy="391160"/>
        </a:xfrm>
        <a:prstGeom prst="ellipse">
          <a:avLst/>
        </a:prstGeom>
        <a:solidFill>
          <a:srgbClr val="FF0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D</a:t>
          </a:r>
        </a:p>
      </xdr:txBody>
    </xdr:sp>
    <xdr:clientData/>
  </xdr:twoCellAnchor>
  <xdr:twoCellAnchor>
    <xdr:from>
      <xdr:col>27</xdr:col>
      <xdr:colOff>237067</xdr:colOff>
      <xdr:row>2</xdr:row>
      <xdr:rowOff>169333</xdr:rowOff>
    </xdr:from>
    <xdr:to>
      <xdr:col>28</xdr:col>
      <xdr:colOff>42333</xdr:colOff>
      <xdr:row>4</xdr:row>
      <xdr:rowOff>177800</xdr:rowOff>
    </xdr:to>
    <xdr:sp macro="" textlink="">
      <xdr:nvSpPr>
        <xdr:cNvPr id="14" name="Oval 13"/>
        <xdr:cNvSpPr/>
      </xdr:nvSpPr>
      <xdr:spPr>
        <a:xfrm>
          <a:off x="7704667" y="1419013"/>
          <a:ext cx="414866" cy="381847"/>
        </a:xfrm>
        <a:prstGeom prst="ellipse">
          <a:avLst/>
        </a:prstGeom>
        <a:solidFill>
          <a:srgbClr val="FF0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B</a:t>
          </a:r>
        </a:p>
      </xdr:txBody>
    </xdr:sp>
    <xdr:clientData/>
  </xdr:twoCellAnchor>
  <xdr:twoCellAnchor>
    <xdr:from>
      <xdr:col>23</xdr:col>
      <xdr:colOff>372534</xdr:colOff>
      <xdr:row>8</xdr:row>
      <xdr:rowOff>8466</xdr:rowOff>
    </xdr:from>
    <xdr:to>
      <xdr:col>24</xdr:col>
      <xdr:colOff>194734</xdr:colOff>
      <xdr:row>10</xdr:row>
      <xdr:rowOff>33443</xdr:rowOff>
    </xdr:to>
    <xdr:sp macro="" textlink="">
      <xdr:nvSpPr>
        <xdr:cNvPr id="15" name="Oval 14"/>
        <xdr:cNvSpPr/>
      </xdr:nvSpPr>
      <xdr:spPr>
        <a:xfrm>
          <a:off x="6102774" y="2363046"/>
          <a:ext cx="431800" cy="390737"/>
        </a:xfrm>
        <a:prstGeom prst="ellipse">
          <a:avLst/>
        </a:prstGeom>
        <a:solidFill>
          <a:srgbClr val="FFC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E</a:t>
          </a:r>
        </a:p>
      </xdr:txBody>
    </xdr:sp>
    <xdr:clientData/>
  </xdr:twoCellAnchor>
  <xdr:twoCellAnchor>
    <xdr:from>
      <xdr:col>27</xdr:col>
      <xdr:colOff>160867</xdr:colOff>
      <xdr:row>7</xdr:row>
      <xdr:rowOff>177799</xdr:rowOff>
    </xdr:from>
    <xdr:to>
      <xdr:col>27</xdr:col>
      <xdr:colOff>601135</xdr:colOff>
      <xdr:row>10</xdr:row>
      <xdr:rowOff>0</xdr:rowOff>
    </xdr:to>
    <xdr:sp macro="" textlink="">
      <xdr:nvSpPr>
        <xdr:cNvPr id="16" name="Oval 15"/>
        <xdr:cNvSpPr/>
      </xdr:nvSpPr>
      <xdr:spPr>
        <a:xfrm>
          <a:off x="7628467" y="2349499"/>
          <a:ext cx="440268" cy="370841"/>
        </a:xfrm>
        <a:prstGeom prst="ellipse">
          <a:avLst/>
        </a:prstGeom>
        <a:solidFill>
          <a:srgbClr val="FF0000"/>
        </a:solidFill>
        <a:ln w="12700" cap="flat" cmpd="sng" algn="ctr">
          <a:solidFill>
            <a:srgbClr val="156082">
              <a:shade val="15000"/>
            </a:srgbClr>
          </a:solidFill>
          <a:prstDash val="solid"/>
          <a:miter lim="800000"/>
        </a:ln>
        <a:effectLst/>
      </xdr:spPr>
      <xdr:txBody>
        <a:bodyPr rot="0" spcFirstLastPara="0" vert="horz" wrap="square" lIns="91440" tIns="45720" rIns="91440" bIns="45720" numCol="1" spcCol="0" rtlCol="0" fromWordArt="0" anchor="ctr" anchorCtr="0" forceAA="0" compatLnSpc="1">
          <a:noAutofit/>
        </a:bodyPr>
        <a:lstStyle/>
        <a:p>
          <a:pPr>
            <a:lnSpc>
              <a:spcPct val="107916"/>
            </a:lnSpc>
            <a:spcAft>
              <a:spcPts val="800"/>
            </a:spcAft>
          </a:pPr>
          <a:r>
            <a:rPr lang="en-US" altLang="zh-CN" sz="900" kern="100">
              <a:solidFill>
                <a:srgbClr val="0D0D0D"/>
              </a:solidFill>
              <a:latin typeface="Aptos"/>
              <a:ea typeface="Aptos"/>
              <a:cs typeface="Arial"/>
              <a:sym typeface="Times New Roman"/>
            </a:rPr>
            <a:t> 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70.898942939813" createdVersion="6" refreshedVersion="6" minRefreshableVersion="3" recordCount="2850">
  <cacheSource type="worksheet">
    <worksheetSource name="Table1"/>
  </cacheSource>
  <cacheFields count="18">
    <cacheField name="Transaction_ID" numFmtId="0">
      <sharedItems/>
    </cacheField>
    <cacheField name="Customer_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transaction_count" numFmtId="0">
      <sharedItems containsSemiMixedTypes="0" containsString="0" containsNumber="1" containsInteger="1" minValue="1" maxValue="1"/>
    </cacheField>
    <cacheField name="Account_Type" numFmtId="0">
      <sharedItems count="4">
        <s v="Savings"/>
        <s v="Checking"/>
        <s v="Credit Card"/>
        <s v="Debit Card"/>
      </sharedItems>
    </cacheField>
    <cacheField name="Channel" numFmtId="0">
      <sharedItems count="5">
        <s v="ATM"/>
        <s v="POS"/>
        <s v="Online Banking"/>
        <s v="Mobile App"/>
        <s v="Internet Banking"/>
      </sharedItems>
    </cacheField>
    <cacheField name="Transaction_Date" numFmtId="14">
      <sharedItems containsSemiMixedTypes="0" containsNonDate="0" containsDate="1" containsString="0" minDate="2025-01-01T00:00:00" maxDate="2026-01-02T00:00:00"/>
    </cacheField>
    <cacheField name="Transaction_Amount" numFmtId="0">
      <sharedItems containsSemiMixedTypes="0" containsString="0" containsNumber="1" minValue="57.72" maxValue="9999.75"/>
    </cacheField>
    <cacheField name="avg_transaction_amount" numFmtId="2">
      <sharedItems containsSemiMixedTypes="0" containsString="0" containsNumber="1" minValue="4320.8560784313731" maxValue="5987.6081999999997"/>
    </cacheField>
    <cacheField name="Device_ID" numFmtId="0">
      <sharedItems/>
    </cacheField>
    <cacheField name="Merchant_Category" numFmtId="0">
      <sharedItems count="6">
        <s v="Services"/>
        <s v="Food"/>
        <s v="Entertainment"/>
        <s v="Retail"/>
        <s v="Travel"/>
        <s v="Electronics"/>
      </sharedItems>
    </cacheField>
    <cacheField name="Authentication_Type" numFmtId="0">
      <sharedItems count="4">
        <s v="OTP"/>
        <s v="Biometric"/>
        <s v="Password"/>
        <s v="PIN"/>
      </sharedItems>
    </cacheField>
    <cacheField name="Login_Failure_Count" numFmtId="0">
      <sharedItems containsSemiMixedTypes="0" containsString="0" containsNumber="1" containsInteger="1" minValue="0" maxValue="5" count="6">
        <n v="1"/>
        <n v="2"/>
        <n v="0"/>
        <n v="5"/>
        <n v="3"/>
        <n v="4"/>
      </sharedItems>
    </cacheField>
    <cacheField name="Country_of_Residence" numFmtId="0">
      <sharedItems/>
    </cacheField>
    <cacheField name="Country_of_Transaction" numFmtId="0">
      <sharedItems/>
    </cacheField>
    <cacheField name="Mode_of_Card_Delivery" numFmtId="0">
      <sharedItems/>
    </cacheField>
    <cacheField name="transaction_usuality" numFmtId="0">
      <sharedItems count="2">
        <s v="usual transaction"/>
        <s v="unusual transaction"/>
      </sharedItems>
    </cacheField>
    <cacheField name="transaction_location_riskiness" numFmtId="0">
      <sharedItems count="2">
        <s v="safe location transaction"/>
        <s v="unsafe location transaction"/>
      </sharedItems>
    </cacheField>
    <cacheField name="merchant_category_riskiness" numFmtId="0">
      <sharedItems count="4">
        <s v="safe merchant transaction"/>
        <s v="unsafe merchant transaction"/>
        <s v="safe location transaction" u="1"/>
        <s v="unssafe merchant transaction" u="1"/>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850">
  <r>
    <s v="T0059"/>
    <x v="0"/>
    <n v="1"/>
    <x v="0"/>
    <x v="0"/>
    <d v="2025-06-22T12:58:00"/>
    <n v="2595.84"/>
    <n v="4651.213448275862"/>
    <s v="DEV1807"/>
    <x v="0"/>
    <x v="0"/>
    <x v="0"/>
    <s v="Zimbabwe"/>
    <s v="France"/>
    <s v="Picked Up"/>
    <x v="0"/>
    <x v="0"/>
    <x v="0"/>
  </r>
  <r>
    <s v="T0072"/>
    <x v="0"/>
    <n v="1"/>
    <x v="0"/>
    <x v="1"/>
    <d v="2025-06-02T03:46:00"/>
    <n v="4743.46"/>
    <n v="4651.213448275862"/>
    <s v="DEV2014"/>
    <x v="1"/>
    <x v="1"/>
    <x v="1"/>
    <s v="Zimbabwe"/>
    <s v="Turkmenistan"/>
    <s v="Picked Up"/>
    <x v="1"/>
    <x v="0"/>
    <x v="0"/>
  </r>
  <r>
    <s v="T0114"/>
    <x v="0"/>
    <n v="1"/>
    <x v="0"/>
    <x v="0"/>
    <d v="2025-01-17T00:00:00"/>
    <n v="756.38"/>
    <n v="4651.213448275862"/>
    <s v="DEV2160"/>
    <x v="2"/>
    <x v="2"/>
    <x v="1"/>
    <s v="Comoros"/>
    <s v="Romania"/>
    <s v="Picked Up"/>
    <x v="0"/>
    <x v="1"/>
    <x v="0"/>
  </r>
  <r>
    <s v="T0274"/>
    <x v="0"/>
    <n v="1"/>
    <x v="0"/>
    <x v="2"/>
    <d v="2025-12-04T00:00:00"/>
    <n v="2226.2600000000002"/>
    <n v="4651.213448275862"/>
    <s v="DEV1257"/>
    <x v="1"/>
    <x v="1"/>
    <x v="2"/>
    <s v="Canada"/>
    <s v="Turkmenistan"/>
    <s v="Delivered by Post"/>
    <x v="0"/>
    <x v="0"/>
    <x v="0"/>
  </r>
  <r>
    <s v="T0317"/>
    <x v="0"/>
    <n v="1"/>
    <x v="0"/>
    <x v="2"/>
    <d v="2025-09-17T00:00:00"/>
    <n v="2658.74"/>
    <n v="4651.213448275862"/>
    <s v="DEV9209"/>
    <x v="0"/>
    <x v="1"/>
    <x v="3"/>
    <s v="Bhutan"/>
    <s v="Zimbabwe"/>
    <s v="Picked Up"/>
    <x v="0"/>
    <x v="0"/>
    <x v="0"/>
  </r>
  <r>
    <s v="T0325"/>
    <x v="0"/>
    <n v="1"/>
    <x v="1"/>
    <x v="1"/>
    <d v="2025-08-26T00:00:00"/>
    <n v="3720.75"/>
    <n v="4651.213448275862"/>
    <s v="DEV9083"/>
    <x v="3"/>
    <x v="2"/>
    <x v="0"/>
    <s v="Canada"/>
    <s v="Bhutan"/>
    <s v="Picked Up"/>
    <x v="0"/>
    <x v="1"/>
    <x v="0"/>
  </r>
  <r>
    <s v="T0385"/>
    <x v="0"/>
    <n v="1"/>
    <x v="0"/>
    <x v="3"/>
    <d v="2025-09-23T00:00:00"/>
    <n v="7060.45"/>
    <n v="4651.213448275862"/>
    <s v="DEV2560"/>
    <x v="0"/>
    <x v="2"/>
    <x v="4"/>
    <s v="New Zealand"/>
    <s v="Bhutan"/>
    <s v="Picked Up"/>
    <x v="1"/>
    <x v="1"/>
    <x v="0"/>
  </r>
  <r>
    <s v="T0471"/>
    <x v="0"/>
    <n v="1"/>
    <x v="1"/>
    <x v="0"/>
    <d v="2025-08-28T00:00:00"/>
    <n v="9305.6"/>
    <n v="4651.213448275862"/>
    <s v="DEV1994"/>
    <x v="4"/>
    <x v="1"/>
    <x v="1"/>
    <s v="Canada"/>
    <s v="France"/>
    <s v="Picked Up"/>
    <x v="1"/>
    <x v="0"/>
    <x v="1"/>
  </r>
  <r>
    <s v="T0530"/>
    <x v="0"/>
    <n v="1"/>
    <x v="1"/>
    <x v="2"/>
    <d v="2025-03-11T00:00:00"/>
    <n v="763.87"/>
    <n v="4651.213448275862"/>
    <s v="DEV3248"/>
    <x v="0"/>
    <x v="1"/>
    <x v="3"/>
    <s v="Bhutan"/>
    <s v="Norway"/>
    <s v="Delivered by Post"/>
    <x v="0"/>
    <x v="0"/>
    <x v="0"/>
  </r>
  <r>
    <s v="T0635"/>
    <x v="0"/>
    <n v="1"/>
    <x v="1"/>
    <x v="2"/>
    <d v="2025-12-10T00:00:00"/>
    <n v="2573.89"/>
    <n v="4651.213448275862"/>
    <s v="DEV3166"/>
    <x v="2"/>
    <x v="0"/>
    <x v="5"/>
    <s v="Norway"/>
    <s v="France"/>
    <s v="Picked Up"/>
    <x v="0"/>
    <x v="0"/>
    <x v="0"/>
  </r>
  <r>
    <s v="T0709"/>
    <x v="0"/>
    <n v="1"/>
    <x v="0"/>
    <x v="1"/>
    <d v="2025-05-29T00:00:00"/>
    <n v="783.63"/>
    <n v="4651.213448275862"/>
    <s v="DEV4185"/>
    <x v="2"/>
    <x v="3"/>
    <x v="2"/>
    <s v="Canada"/>
    <s v="Romania"/>
    <s v="Picked Up"/>
    <x v="0"/>
    <x v="1"/>
    <x v="0"/>
  </r>
  <r>
    <s v="T0720"/>
    <x v="0"/>
    <n v="1"/>
    <x v="1"/>
    <x v="2"/>
    <d v="2025-07-27T00:00:00"/>
    <n v="7712.26"/>
    <n v="4651.213448275862"/>
    <s v="DEV1194"/>
    <x v="0"/>
    <x v="2"/>
    <x v="4"/>
    <s v="Romania"/>
    <s v="Romania"/>
    <s v="Picked Up"/>
    <x v="1"/>
    <x v="1"/>
    <x v="0"/>
  </r>
  <r>
    <s v="T0796"/>
    <x v="0"/>
    <n v="1"/>
    <x v="1"/>
    <x v="0"/>
    <d v="2025-01-03T00:00:00"/>
    <n v="6174.53"/>
    <n v="4651.213448275862"/>
    <s v="DEV4050"/>
    <x v="0"/>
    <x v="3"/>
    <x v="2"/>
    <s v="Zimbabwe"/>
    <s v="Bhutan"/>
    <s v="Delivered by Post"/>
    <x v="1"/>
    <x v="1"/>
    <x v="0"/>
  </r>
  <r>
    <s v="T0829"/>
    <x v="0"/>
    <n v="1"/>
    <x v="1"/>
    <x v="2"/>
    <d v="2025-03-10T00:00:00"/>
    <n v="2072.63"/>
    <n v="4651.213448275862"/>
    <s v="DEV1976"/>
    <x v="4"/>
    <x v="3"/>
    <x v="0"/>
    <s v="France"/>
    <s v="Comoros"/>
    <s v="Picked Up"/>
    <x v="0"/>
    <x v="1"/>
    <x v="1"/>
  </r>
  <r>
    <s v="T0832"/>
    <x v="0"/>
    <n v="1"/>
    <x v="0"/>
    <x v="1"/>
    <d v="2025-08-29T00:00:00"/>
    <n v="5713.37"/>
    <n v="4651.213448275862"/>
    <s v="DEV3295"/>
    <x v="2"/>
    <x v="3"/>
    <x v="4"/>
    <s v="Bhutan"/>
    <s v="New Zealand"/>
    <s v="Delivered by Post"/>
    <x v="1"/>
    <x v="1"/>
    <x v="0"/>
  </r>
  <r>
    <s v="T0873"/>
    <x v="0"/>
    <n v="1"/>
    <x v="1"/>
    <x v="1"/>
    <d v="2025-08-27T00:00:00"/>
    <n v="3219.96"/>
    <n v="4651.213448275862"/>
    <s v="DEV6268"/>
    <x v="3"/>
    <x v="0"/>
    <x v="4"/>
    <s v="France"/>
    <s v="Romania"/>
    <s v="Picked Up"/>
    <x v="0"/>
    <x v="0"/>
    <x v="0"/>
  </r>
  <r>
    <s v="T0937"/>
    <x v="0"/>
    <n v="1"/>
    <x v="1"/>
    <x v="1"/>
    <d v="2025-07-29T00:00:00"/>
    <n v="4691.07"/>
    <n v="4651.213448275862"/>
    <s v="DEV2303"/>
    <x v="4"/>
    <x v="3"/>
    <x v="2"/>
    <s v="Comoros"/>
    <s v="Norway"/>
    <s v="Delivered by Post"/>
    <x v="1"/>
    <x v="1"/>
    <x v="1"/>
  </r>
  <r>
    <s v="T1043"/>
    <x v="0"/>
    <n v="1"/>
    <x v="1"/>
    <x v="2"/>
    <d v="2025-11-20T00:00:00"/>
    <n v="2554.89"/>
    <n v="4651.213448275862"/>
    <s v="DEV6384"/>
    <x v="2"/>
    <x v="1"/>
    <x v="5"/>
    <s v="France"/>
    <s v="France"/>
    <s v="Delivered by Post"/>
    <x v="0"/>
    <x v="1"/>
    <x v="0"/>
  </r>
  <r>
    <s v="T1248"/>
    <x v="0"/>
    <n v="1"/>
    <x v="1"/>
    <x v="3"/>
    <d v="2025-12-14T00:00:00"/>
    <n v="4738.5200000000004"/>
    <n v="4651.213448275862"/>
    <s v="DEV6853"/>
    <x v="2"/>
    <x v="0"/>
    <x v="2"/>
    <s v="Norway"/>
    <s v="France"/>
    <s v="Delivered by Post"/>
    <x v="1"/>
    <x v="0"/>
    <x v="0"/>
  </r>
  <r>
    <s v="T1289"/>
    <x v="0"/>
    <n v="1"/>
    <x v="1"/>
    <x v="2"/>
    <d v="2025-05-09T00:00:00"/>
    <n v="4836.1400000000003"/>
    <n v="4651.213448275862"/>
    <s v="DEV5455"/>
    <x v="2"/>
    <x v="2"/>
    <x v="3"/>
    <s v="Bhutan"/>
    <s v="New Zealand"/>
    <s v="Picked Up"/>
    <x v="1"/>
    <x v="1"/>
    <x v="0"/>
  </r>
  <r>
    <s v="T1295"/>
    <x v="0"/>
    <n v="1"/>
    <x v="1"/>
    <x v="2"/>
    <d v="2025-10-12T00:00:00"/>
    <n v="4299.7"/>
    <n v="4651.213448275862"/>
    <s v="DEV3691"/>
    <x v="1"/>
    <x v="0"/>
    <x v="3"/>
    <s v="Canada"/>
    <s v="France"/>
    <s v="Picked Up"/>
    <x v="0"/>
    <x v="0"/>
    <x v="0"/>
  </r>
  <r>
    <s v="T1338"/>
    <x v="0"/>
    <n v="1"/>
    <x v="0"/>
    <x v="1"/>
    <d v="2025-12-22T00:00:00"/>
    <n v="8977.65"/>
    <n v="4651.213448275862"/>
    <s v="DEV8113"/>
    <x v="4"/>
    <x v="0"/>
    <x v="5"/>
    <s v="Norway"/>
    <s v="Bhutan"/>
    <s v="Delivered by Post"/>
    <x v="1"/>
    <x v="0"/>
    <x v="1"/>
  </r>
  <r>
    <s v="T1575"/>
    <x v="0"/>
    <n v="1"/>
    <x v="0"/>
    <x v="1"/>
    <d v="2025-02-05T00:00:00"/>
    <n v="5576"/>
    <n v="4651.213448275862"/>
    <s v="DEV6906"/>
    <x v="2"/>
    <x v="3"/>
    <x v="0"/>
    <s v="France"/>
    <s v="New Zealand"/>
    <s v="Delivered by Post"/>
    <x v="1"/>
    <x v="1"/>
    <x v="0"/>
  </r>
  <r>
    <s v="T1582"/>
    <x v="0"/>
    <n v="1"/>
    <x v="1"/>
    <x v="2"/>
    <d v="2025-08-28T00:00:00"/>
    <n v="2335.73"/>
    <n v="4651.213448275862"/>
    <s v="DEV2109"/>
    <x v="1"/>
    <x v="1"/>
    <x v="4"/>
    <s v="New Zealand"/>
    <s v="Canada"/>
    <s v="Delivered by Post"/>
    <x v="0"/>
    <x v="0"/>
    <x v="0"/>
  </r>
  <r>
    <s v="T1624"/>
    <x v="0"/>
    <n v="1"/>
    <x v="0"/>
    <x v="0"/>
    <d v="2025-06-18T00:00:00"/>
    <n v="5585.01"/>
    <n v="4651.213448275862"/>
    <s v="DEV5999"/>
    <x v="2"/>
    <x v="2"/>
    <x v="5"/>
    <s v="Comoros"/>
    <s v="France"/>
    <s v="Picked Up"/>
    <x v="1"/>
    <x v="1"/>
    <x v="0"/>
  </r>
  <r>
    <s v="T1650"/>
    <x v="0"/>
    <n v="1"/>
    <x v="1"/>
    <x v="3"/>
    <d v="2025-06-18T00:00:00"/>
    <n v="9265.99"/>
    <n v="4651.213448275862"/>
    <s v="DEV5356"/>
    <x v="3"/>
    <x v="1"/>
    <x v="4"/>
    <s v="Norway"/>
    <s v="Turkmenistan"/>
    <s v="Delivered by Post"/>
    <x v="1"/>
    <x v="0"/>
    <x v="0"/>
  </r>
  <r>
    <s v="T1682"/>
    <x v="0"/>
    <n v="1"/>
    <x v="1"/>
    <x v="0"/>
    <d v="2025-03-14T00:00:00"/>
    <n v="1483.5"/>
    <n v="4651.213448275862"/>
    <s v="DEV1278"/>
    <x v="2"/>
    <x v="3"/>
    <x v="1"/>
    <s v="Comoros"/>
    <s v="Comoros"/>
    <s v="Picked Up"/>
    <x v="0"/>
    <x v="1"/>
    <x v="0"/>
  </r>
  <r>
    <s v="T1701"/>
    <x v="0"/>
    <n v="1"/>
    <x v="0"/>
    <x v="1"/>
    <d v="2025-10-10T00:00:00"/>
    <n v="2981.86"/>
    <n v="4651.213448275862"/>
    <s v="DEV6439"/>
    <x v="1"/>
    <x v="0"/>
    <x v="3"/>
    <s v="Bhutan"/>
    <s v="Zimbabwe"/>
    <s v="Picked Up"/>
    <x v="0"/>
    <x v="0"/>
    <x v="0"/>
  </r>
  <r>
    <s v="T1764"/>
    <x v="0"/>
    <n v="1"/>
    <x v="1"/>
    <x v="3"/>
    <d v="2025-03-12T00:00:00"/>
    <n v="5732.26"/>
    <n v="4651.213448275862"/>
    <s v="DEV2000"/>
    <x v="3"/>
    <x v="2"/>
    <x v="3"/>
    <s v="Zimbabwe"/>
    <s v="Zimbabwe"/>
    <s v="Delivered by Post"/>
    <x v="1"/>
    <x v="1"/>
    <x v="0"/>
  </r>
  <r>
    <s v="T1774"/>
    <x v="0"/>
    <n v="1"/>
    <x v="1"/>
    <x v="1"/>
    <d v="2025-12-22T00:00:00"/>
    <n v="6074.57"/>
    <n v="4651.213448275862"/>
    <s v="DEV1651"/>
    <x v="3"/>
    <x v="1"/>
    <x v="4"/>
    <s v="Canada"/>
    <s v="France"/>
    <s v="Delivered by Post"/>
    <x v="1"/>
    <x v="0"/>
    <x v="0"/>
  </r>
  <r>
    <s v="T1779"/>
    <x v="0"/>
    <n v="1"/>
    <x v="0"/>
    <x v="1"/>
    <d v="2025-05-19T00:00:00"/>
    <n v="5745.81"/>
    <n v="4651.213448275862"/>
    <s v="DEV2476"/>
    <x v="0"/>
    <x v="1"/>
    <x v="3"/>
    <s v="Norway"/>
    <s v="Romania"/>
    <s v="Picked Up"/>
    <x v="1"/>
    <x v="0"/>
    <x v="0"/>
  </r>
  <r>
    <s v="T1787"/>
    <x v="0"/>
    <n v="1"/>
    <x v="1"/>
    <x v="3"/>
    <d v="2025-09-04T00:00:00"/>
    <n v="5976.42"/>
    <n v="4651.213448275862"/>
    <s v="DEV5389"/>
    <x v="3"/>
    <x v="0"/>
    <x v="4"/>
    <s v="France"/>
    <s v="Romania"/>
    <s v="Delivered by Post"/>
    <x v="1"/>
    <x v="0"/>
    <x v="0"/>
  </r>
  <r>
    <s v="T1825"/>
    <x v="0"/>
    <n v="1"/>
    <x v="0"/>
    <x v="0"/>
    <d v="2025-08-18T00:00:00"/>
    <n v="897.49"/>
    <n v="4651.213448275862"/>
    <s v="DEV7692"/>
    <x v="0"/>
    <x v="0"/>
    <x v="5"/>
    <s v="Bhutan"/>
    <s v="New Zealand"/>
    <s v="Delivered by Post"/>
    <x v="0"/>
    <x v="0"/>
    <x v="0"/>
  </r>
  <r>
    <s v="T1847"/>
    <x v="0"/>
    <n v="1"/>
    <x v="0"/>
    <x v="1"/>
    <d v="2025-01-31T00:00:00"/>
    <n v="8602.83"/>
    <n v="4651.213448275862"/>
    <s v="DEV4887"/>
    <x v="1"/>
    <x v="2"/>
    <x v="1"/>
    <s v="Norway"/>
    <s v="Canada"/>
    <s v="Delivered by Post"/>
    <x v="1"/>
    <x v="1"/>
    <x v="0"/>
  </r>
  <r>
    <s v="T1942"/>
    <x v="0"/>
    <n v="1"/>
    <x v="1"/>
    <x v="2"/>
    <d v="2025-04-09T00:00:00"/>
    <n v="1773.96"/>
    <n v="4651.213448275862"/>
    <s v="DEV3848"/>
    <x v="1"/>
    <x v="3"/>
    <x v="0"/>
    <s v="Bhutan"/>
    <s v="Comoros"/>
    <s v="Delivered by Post"/>
    <x v="0"/>
    <x v="1"/>
    <x v="0"/>
  </r>
  <r>
    <s v="T1971"/>
    <x v="0"/>
    <n v="1"/>
    <x v="0"/>
    <x v="3"/>
    <d v="2025-12-01T00:00:00"/>
    <n v="4790.29"/>
    <n v="4651.213448275862"/>
    <s v="DEV2822"/>
    <x v="3"/>
    <x v="0"/>
    <x v="4"/>
    <s v="Turkmenistan"/>
    <s v="Bhutan"/>
    <s v="Picked Up"/>
    <x v="1"/>
    <x v="0"/>
    <x v="0"/>
  </r>
  <r>
    <s v="T1993"/>
    <x v="0"/>
    <n v="1"/>
    <x v="1"/>
    <x v="0"/>
    <d v="2025-04-21T00:00:00"/>
    <n v="3992.34"/>
    <n v="4651.213448275862"/>
    <s v="DEV4778"/>
    <x v="2"/>
    <x v="2"/>
    <x v="5"/>
    <s v="Canada"/>
    <s v="France"/>
    <s v="Delivered by Post"/>
    <x v="0"/>
    <x v="1"/>
    <x v="0"/>
  </r>
  <r>
    <s v="T1994"/>
    <x v="0"/>
    <n v="1"/>
    <x v="0"/>
    <x v="0"/>
    <d v="2025-02-24T00:00:00"/>
    <n v="1890.22"/>
    <n v="4651.213448275862"/>
    <s v="DEV4921"/>
    <x v="3"/>
    <x v="2"/>
    <x v="1"/>
    <s v="Romania"/>
    <s v="Comoros"/>
    <s v="Delivered by Post"/>
    <x v="0"/>
    <x v="1"/>
    <x v="0"/>
  </r>
  <r>
    <s v="T1997"/>
    <x v="0"/>
    <n v="1"/>
    <x v="0"/>
    <x v="1"/>
    <d v="2025-04-30T00:00:00"/>
    <n v="2892.26"/>
    <n v="4651.213448275862"/>
    <s v="DEV7308"/>
    <x v="0"/>
    <x v="1"/>
    <x v="5"/>
    <s v="Zimbabwe"/>
    <s v="France"/>
    <s v="Delivered by Post"/>
    <x v="0"/>
    <x v="0"/>
    <x v="0"/>
  </r>
  <r>
    <s v="T2018"/>
    <x v="0"/>
    <n v="1"/>
    <x v="1"/>
    <x v="3"/>
    <d v="2025-08-11T00:00:00"/>
    <n v="8525.6200000000008"/>
    <n v="4651.213448275862"/>
    <s v="DEV3180"/>
    <x v="1"/>
    <x v="3"/>
    <x v="4"/>
    <s v="France"/>
    <s v="Canada"/>
    <s v="Picked Up"/>
    <x v="1"/>
    <x v="1"/>
    <x v="0"/>
  </r>
  <r>
    <s v="T2092"/>
    <x v="0"/>
    <n v="1"/>
    <x v="0"/>
    <x v="2"/>
    <d v="2025-10-12T00:00:00"/>
    <n v="1352.77"/>
    <n v="4651.213448275862"/>
    <s v="DEV1560"/>
    <x v="3"/>
    <x v="3"/>
    <x v="3"/>
    <s v="New Zealand"/>
    <s v="Canada"/>
    <s v="Picked Up"/>
    <x v="0"/>
    <x v="1"/>
    <x v="0"/>
  </r>
  <r>
    <s v="T2164"/>
    <x v="0"/>
    <n v="1"/>
    <x v="0"/>
    <x v="2"/>
    <d v="2025-08-05T00:00:00"/>
    <n v="7313.45"/>
    <n v="4651.213448275862"/>
    <s v="DEV1284"/>
    <x v="4"/>
    <x v="3"/>
    <x v="4"/>
    <s v="Romania"/>
    <s v="Turkmenistan"/>
    <s v="Delivered by Post"/>
    <x v="1"/>
    <x v="1"/>
    <x v="1"/>
  </r>
  <r>
    <s v="T2333"/>
    <x v="0"/>
    <n v="1"/>
    <x v="0"/>
    <x v="1"/>
    <d v="2025-07-21T00:00:00"/>
    <n v="6062.47"/>
    <n v="4651.213448275862"/>
    <s v="DEV5733"/>
    <x v="1"/>
    <x v="2"/>
    <x v="3"/>
    <s v="Bhutan"/>
    <s v="France"/>
    <s v="Picked Up"/>
    <x v="1"/>
    <x v="1"/>
    <x v="0"/>
  </r>
  <r>
    <s v="T2334"/>
    <x v="0"/>
    <n v="1"/>
    <x v="0"/>
    <x v="2"/>
    <d v="2025-08-19T00:00:00"/>
    <n v="8342.8799999999992"/>
    <n v="4651.213448275862"/>
    <s v="DEV4829"/>
    <x v="1"/>
    <x v="0"/>
    <x v="1"/>
    <s v="Comoros"/>
    <s v="Bhutan"/>
    <s v="Picked Up"/>
    <x v="1"/>
    <x v="0"/>
    <x v="0"/>
  </r>
  <r>
    <s v="T2342"/>
    <x v="0"/>
    <n v="1"/>
    <x v="1"/>
    <x v="1"/>
    <d v="2025-07-16T00:00:00"/>
    <n v="8770.52"/>
    <n v="4651.213448275862"/>
    <s v="DEV7622"/>
    <x v="4"/>
    <x v="2"/>
    <x v="3"/>
    <s v="Bhutan"/>
    <s v="Zimbabwe"/>
    <s v="Delivered by Post"/>
    <x v="1"/>
    <x v="1"/>
    <x v="1"/>
  </r>
  <r>
    <s v="T2350"/>
    <x v="0"/>
    <n v="1"/>
    <x v="0"/>
    <x v="0"/>
    <d v="2025-02-12T00:00:00"/>
    <n v="526.71"/>
    <n v="4651.213448275862"/>
    <s v="DEV7948"/>
    <x v="1"/>
    <x v="1"/>
    <x v="2"/>
    <s v="Comoros"/>
    <s v="Romania"/>
    <s v="Delivered by Post"/>
    <x v="0"/>
    <x v="0"/>
    <x v="0"/>
  </r>
  <r>
    <s v="T2365"/>
    <x v="0"/>
    <n v="1"/>
    <x v="0"/>
    <x v="3"/>
    <d v="2025-07-21T00:00:00"/>
    <n v="2223.2600000000002"/>
    <n v="4651.213448275862"/>
    <s v="DEV8586"/>
    <x v="0"/>
    <x v="0"/>
    <x v="2"/>
    <s v="Norway"/>
    <s v="New Zealand"/>
    <s v="Delivered by Post"/>
    <x v="0"/>
    <x v="0"/>
    <x v="0"/>
  </r>
  <r>
    <s v="T2387"/>
    <x v="0"/>
    <n v="1"/>
    <x v="1"/>
    <x v="2"/>
    <d v="2025-12-15T00:00:00"/>
    <n v="9158.36"/>
    <n v="4651.213448275862"/>
    <s v="DEV2152"/>
    <x v="3"/>
    <x v="2"/>
    <x v="2"/>
    <s v="Comoros"/>
    <s v="France"/>
    <s v="Delivered by Post"/>
    <x v="1"/>
    <x v="1"/>
    <x v="0"/>
  </r>
  <r>
    <s v="T2397"/>
    <x v="0"/>
    <n v="1"/>
    <x v="1"/>
    <x v="1"/>
    <d v="2025-10-11T00:00:00"/>
    <n v="2401.15"/>
    <n v="4651.213448275862"/>
    <s v="DEV1708"/>
    <x v="3"/>
    <x v="2"/>
    <x v="2"/>
    <s v="Norway"/>
    <s v="Bhutan"/>
    <s v="Delivered by Post"/>
    <x v="0"/>
    <x v="1"/>
    <x v="0"/>
  </r>
  <r>
    <s v="T2410"/>
    <x v="0"/>
    <n v="1"/>
    <x v="1"/>
    <x v="0"/>
    <d v="2025-03-23T00:00:00"/>
    <n v="8508.5"/>
    <n v="4651.213448275862"/>
    <s v="DEV7846"/>
    <x v="1"/>
    <x v="0"/>
    <x v="5"/>
    <s v="Norway"/>
    <s v="Norway"/>
    <s v="Picked Up"/>
    <x v="1"/>
    <x v="1"/>
    <x v="0"/>
  </r>
  <r>
    <s v="T2434"/>
    <x v="0"/>
    <n v="1"/>
    <x v="0"/>
    <x v="2"/>
    <d v="2025-10-08T00:00:00"/>
    <n v="3382.72"/>
    <n v="4651.213448275862"/>
    <s v="DEV3308"/>
    <x v="1"/>
    <x v="3"/>
    <x v="4"/>
    <s v="France"/>
    <s v="Turkmenistan"/>
    <s v="Delivered by Post"/>
    <x v="0"/>
    <x v="1"/>
    <x v="0"/>
  </r>
  <r>
    <s v="T2489"/>
    <x v="0"/>
    <n v="1"/>
    <x v="1"/>
    <x v="3"/>
    <d v="2025-02-10T00:00:00"/>
    <n v="5153.07"/>
    <n v="4651.213448275862"/>
    <s v="DEV8199"/>
    <x v="3"/>
    <x v="0"/>
    <x v="3"/>
    <s v="France"/>
    <s v="Romania"/>
    <s v="Delivered by Post"/>
    <x v="1"/>
    <x v="0"/>
    <x v="0"/>
  </r>
  <r>
    <s v="T2537"/>
    <x v="0"/>
    <n v="1"/>
    <x v="0"/>
    <x v="0"/>
    <d v="2025-06-04T00:00:00"/>
    <n v="7979.64"/>
    <n v="4651.213448275862"/>
    <s v="DEV9509"/>
    <x v="0"/>
    <x v="1"/>
    <x v="3"/>
    <s v="Canada"/>
    <s v="Comoros"/>
    <s v="Picked Up"/>
    <x v="1"/>
    <x v="0"/>
    <x v="0"/>
  </r>
  <r>
    <s v="T2546"/>
    <x v="0"/>
    <n v="1"/>
    <x v="1"/>
    <x v="3"/>
    <d v="2025-08-03T00:00:00"/>
    <n v="5235.07"/>
    <n v="4651.213448275862"/>
    <s v="DEV5763"/>
    <x v="0"/>
    <x v="1"/>
    <x v="2"/>
    <s v="France"/>
    <s v="Canada"/>
    <s v="Picked Up"/>
    <x v="1"/>
    <x v="0"/>
    <x v="0"/>
  </r>
  <r>
    <s v="T2571"/>
    <x v="0"/>
    <n v="1"/>
    <x v="1"/>
    <x v="2"/>
    <d v="2025-02-02T00:00:00"/>
    <n v="5233.9399999999996"/>
    <n v="4651.213448275862"/>
    <s v="DEV3945"/>
    <x v="1"/>
    <x v="3"/>
    <x v="2"/>
    <s v="New Zealand"/>
    <s v="Norway"/>
    <s v="Picked Up"/>
    <x v="1"/>
    <x v="1"/>
    <x v="0"/>
  </r>
  <r>
    <s v="T2591"/>
    <x v="0"/>
    <n v="1"/>
    <x v="1"/>
    <x v="1"/>
    <d v="2025-03-24T00:00:00"/>
    <n v="87.13"/>
    <n v="4651.213448275862"/>
    <s v="DEV3533"/>
    <x v="1"/>
    <x v="2"/>
    <x v="3"/>
    <s v="Turkmenistan"/>
    <s v="Norway"/>
    <s v="Picked Up"/>
    <x v="0"/>
    <x v="1"/>
    <x v="0"/>
  </r>
  <r>
    <s v="T2626"/>
    <x v="0"/>
    <n v="1"/>
    <x v="1"/>
    <x v="2"/>
    <d v="2025-04-20T00:00:00"/>
    <n v="2318.58"/>
    <n v="4651.213448275862"/>
    <s v="DEV6383"/>
    <x v="4"/>
    <x v="0"/>
    <x v="1"/>
    <s v="France"/>
    <s v="Norway"/>
    <s v="Delivered by Post"/>
    <x v="0"/>
    <x v="0"/>
    <x v="1"/>
  </r>
  <r>
    <s v="T2659"/>
    <x v="0"/>
    <n v="1"/>
    <x v="0"/>
    <x v="2"/>
    <d v="2025-05-18T00:00:00"/>
    <n v="9418.41"/>
    <n v="4651.213448275862"/>
    <s v="DEV7366"/>
    <x v="0"/>
    <x v="1"/>
    <x v="3"/>
    <s v="Turkmenistan"/>
    <s v="Zimbabwe"/>
    <s v="Picked Up"/>
    <x v="1"/>
    <x v="0"/>
    <x v="0"/>
  </r>
  <r>
    <s v="T0020"/>
    <x v="1"/>
    <n v="1"/>
    <x v="0"/>
    <x v="3"/>
    <d v="2025-08-17T11:03:00"/>
    <n v="6390.18"/>
    <n v="5524.1660655737705"/>
    <s v="DEV6506"/>
    <x v="4"/>
    <x v="0"/>
    <x v="2"/>
    <s v="Norway"/>
    <s v="New Zealand"/>
    <s v="Picked Up"/>
    <x v="1"/>
    <x v="0"/>
    <x v="1"/>
  </r>
  <r>
    <s v="T0047"/>
    <x v="1"/>
    <n v="1"/>
    <x v="1"/>
    <x v="0"/>
    <d v="2025-05-23T20:01:00"/>
    <n v="9963.75"/>
    <n v="5524.1660655737705"/>
    <s v="DEV3332"/>
    <x v="2"/>
    <x v="0"/>
    <x v="5"/>
    <s v="Norway"/>
    <s v="New Caledonia"/>
    <s v="Picked Up"/>
    <x v="1"/>
    <x v="0"/>
    <x v="0"/>
  </r>
  <r>
    <s v="T0048"/>
    <x v="1"/>
    <n v="1"/>
    <x v="1"/>
    <x v="0"/>
    <d v="2025-05-20T03:03:00"/>
    <n v="9557.91"/>
    <n v="5524.1660655737705"/>
    <s v="DEV2966"/>
    <x v="3"/>
    <x v="2"/>
    <x v="1"/>
    <s v="Norway"/>
    <s v="Comoros"/>
    <s v="Picked Up"/>
    <x v="1"/>
    <x v="1"/>
    <x v="0"/>
  </r>
  <r>
    <s v="T0350"/>
    <x v="1"/>
    <n v="1"/>
    <x v="0"/>
    <x v="2"/>
    <d v="2025-03-01T00:00:00"/>
    <n v="2109.1799999999998"/>
    <n v="5524.1660655737705"/>
    <s v="DEV7512"/>
    <x v="0"/>
    <x v="1"/>
    <x v="3"/>
    <s v="France"/>
    <s v="Zimbabwe"/>
    <s v="Delivered by Post"/>
    <x v="0"/>
    <x v="0"/>
    <x v="0"/>
  </r>
  <r>
    <s v="T0373"/>
    <x v="1"/>
    <n v="1"/>
    <x v="0"/>
    <x v="1"/>
    <d v="2025-12-22T00:00:00"/>
    <n v="6783.64"/>
    <n v="5524.1660655737705"/>
    <s v="DEV6113"/>
    <x v="3"/>
    <x v="0"/>
    <x v="4"/>
    <s v="Turkmenistan"/>
    <s v="France"/>
    <s v="Picked Up"/>
    <x v="1"/>
    <x v="0"/>
    <x v="0"/>
  </r>
  <r>
    <s v="T0517"/>
    <x v="1"/>
    <n v="1"/>
    <x v="0"/>
    <x v="3"/>
    <d v="2025-04-13T00:00:00"/>
    <n v="5796.72"/>
    <n v="5524.1660655737705"/>
    <s v="DEV5695"/>
    <x v="4"/>
    <x v="3"/>
    <x v="4"/>
    <s v="Zimbabwe"/>
    <s v="France"/>
    <s v="Picked Up"/>
    <x v="1"/>
    <x v="1"/>
    <x v="1"/>
  </r>
  <r>
    <s v="T0569"/>
    <x v="1"/>
    <n v="1"/>
    <x v="1"/>
    <x v="0"/>
    <d v="2025-08-21T00:00:00"/>
    <n v="4823.84"/>
    <n v="5524.1660655737705"/>
    <s v="DEV3271"/>
    <x v="0"/>
    <x v="2"/>
    <x v="1"/>
    <s v="Comoros"/>
    <s v="Canada"/>
    <s v="Picked Up"/>
    <x v="0"/>
    <x v="1"/>
    <x v="0"/>
  </r>
  <r>
    <s v="T0589"/>
    <x v="1"/>
    <n v="1"/>
    <x v="0"/>
    <x v="3"/>
    <d v="2025-10-25T00:00:00"/>
    <n v="1237.58"/>
    <n v="5524.1660655737705"/>
    <s v="DEV8144"/>
    <x v="4"/>
    <x v="1"/>
    <x v="3"/>
    <s v="Zimbabwe"/>
    <s v="New Zealand"/>
    <s v="Picked Up"/>
    <x v="0"/>
    <x v="0"/>
    <x v="1"/>
  </r>
  <r>
    <s v="T0630"/>
    <x v="1"/>
    <n v="1"/>
    <x v="0"/>
    <x v="0"/>
    <d v="2025-08-25T00:00:00"/>
    <n v="9234.9699999999993"/>
    <n v="5524.1660655737705"/>
    <s v="DEV5289"/>
    <x v="3"/>
    <x v="0"/>
    <x v="4"/>
    <s v="Bhutan"/>
    <s v="France"/>
    <s v="Picked Up"/>
    <x v="1"/>
    <x v="0"/>
    <x v="0"/>
  </r>
  <r>
    <s v="T0642"/>
    <x v="1"/>
    <n v="1"/>
    <x v="1"/>
    <x v="2"/>
    <d v="2025-11-18T00:00:00"/>
    <n v="856.58"/>
    <n v="5524.1660655737705"/>
    <s v="DEV1095"/>
    <x v="4"/>
    <x v="0"/>
    <x v="3"/>
    <s v="Comoros"/>
    <s v="New Zealand"/>
    <s v="Picked Up"/>
    <x v="0"/>
    <x v="0"/>
    <x v="1"/>
  </r>
  <r>
    <s v="T0683"/>
    <x v="1"/>
    <n v="1"/>
    <x v="1"/>
    <x v="0"/>
    <d v="2025-02-28T00:00:00"/>
    <n v="8603.5"/>
    <n v="5524.1660655737705"/>
    <s v="DEV9876"/>
    <x v="3"/>
    <x v="3"/>
    <x v="0"/>
    <s v="Norway"/>
    <s v="France"/>
    <s v="Picked Up"/>
    <x v="1"/>
    <x v="1"/>
    <x v="0"/>
  </r>
  <r>
    <s v="T0718"/>
    <x v="1"/>
    <n v="1"/>
    <x v="0"/>
    <x v="3"/>
    <d v="2025-02-12T00:00:00"/>
    <n v="1836.68"/>
    <n v="5524.1660655737705"/>
    <s v="DEV9220"/>
    <x v="2"/>
    <x v="0"/>
    <x v="1"/>
    <s v="Romania"/>
    <s v="Zimbabwe"/>
    <s v="Picked Up"/>
    <x v="0"/>
    <x v="0"/>
    <x v="0"/>
  </r>
  <r>
    <s v="T0762"/>
    <x v="1"/>
    <n v="1"/>
    <x v="1"/>
    <x v="2"/>
    <d v="2025-04-30T00:00:00"/>
    <n v="6356.08"/>
    <n v="5524.1660655737705"/>
    <s v="DEV8938"/>
    <x v="0"/>
    <x v="0"/>
    <x v="1"/>
    <s v="Bhutan"/>
    <s v="Comoros"/>
    <s v="Picked Up"/>
    <x v="1"/>
    <x v="0"/>
    <x v="0"/>
  </r>
  <r>
    <s v="T0820"/>
    <x v="1"/>
    <n v="1"/>
    <x v="0"/>
    <x v="1"/>
    <d v="2025-05-08T00:00:00"/>
    <n v="1144.8499999999999"/>
    <n v="5524.1660655737705"/>
    <s v="DEV5385"/>
    <x v="3"/>
    <x v="0"/>
    <x v="2"/>
    <s v="Zimbabwe"/>
    <s v="Turkmenistan"/>
    <s v="Delivered by Post"/>
    <x v="0"/>
    <x v="0"/>
    <x v="0"/>
  </r>
  <r>
    <s v="T0822"/>
    <x v="1"/>
    <n v="1"/>
    <x v="1"/>
    <x v="0"/>
    <d v="2025-09-19T00:00:00"/>
    <n v="8258"/>
    <n v="5524.1660655737705"/>
    <s v="DEV3323"/>
    <x v="1"/>
    <x v="2"/>
    <x v="2"/>
    <s v="Romania"/>
    <s v="Bhutan"/>
    <s v="Delivered by Post"/>
    <x v="1"/>
    <x v="1"/>
    <x v="0"/>
  </r>
  <r>
    <s v="T0872"/>
    <x v="1"/>
    <n v="1"/>
    <x v="1"/>
    <x v="1"/>
    <d v="2025-07-03T00:00:00"/>
    <n v="1190.77"/>
    <n v="5524.1660655737705"/>
    <s v="DEV2190"/>
    <x v="3"/>
    <x v="3"/>
    <x v="1"/>
    <s v="Norway"/>
    <s v="New Zealand"/>
    <s v="Picked Up"/>
    <x v="0"/>
    <x v="1"/>
    <x v="0"/>
  </r>
  <r>
    <s v="T0886"/>
    <x v="1"/>
    <n v="1"/>
    <x v="1"/>
    <x v="3"/>
    <d v="2025-03-02T00:00:00"/>
    <n v="4788.59"/>
    <n v="5524.1660655737705"/>
    <s v="DEV2377"/>
    <x v="4"/>
    <x v="1"/>
    <x v="0"/>
    <s v="Norway"/>
    <s v="Bhutan"/>
    <s v="Delivered by Post"/>
    <x v="0"/>
    <x v="0"/>
    <x v="1"/>
  </r>
  <r>
    <s v="T0921"/>
    <x v="1"/>
    <n v="1"/>
    <x v="1"/>
    <x v="2"/>
    <d v="2025-12-27T00:00:00"/>
    <n v="2279.0100000000002"/>
    <n v="5524.1660655737705"/>
    <s v="DEV2113"/>
    <x v="3"/>
    <x v="3"/>
    <x v="2"/>
    <s v="Turkmenistan"/>
    <s v="Romania"/>
    <s v="Delivered by Post"/>
    <x v="0"/>
    <x v="1"/>
    <x v="0"/>
  </r>
  <r>
    <s v="T0925"/>
    <x v="1"/>
    <n v="1"/>
    <x v="0"/>
    <x v="2"/>
    <d v="2025-12-16T00:00:00"/>
    <n v="9315.9"/>
    <n v="5524.1660655737705"/>
    <s v="DEV1296"/>
    <x v="2"/>
    <x v="1"/>
    <x v="2"/>
    <s v="Bhutan"/>
    <s v="Bhutan"/>
    <s v="Picked Up"/>
    <x v="1"/>
    <x v="1"/>
    <x v="0"/>
  </r>
  <r>
    <s v="T0968"/>
    <x v="1"/>
    <n v="1"/>
    <x v="0"/>
    <x v="0"/>
    <d v="2025-05-20T00:00:00"/>
    <n v="2338.5500000000002"/>
    <n v="5524.1660655737705"/>
    <s v="DEV3025"/>
    <x v="0"/>
    <x v="1"/>
    <x v="0"/>
    <s v="France"/>
    <s v="Zimbabwe"/>
    <s v="Picked Up"/>
    <x v="0"/>
    <x v="0"/>
    <x v="0"/>
  </r>
  <r>
    <s v="T1059"/>
    <x v="1"/>
    <n v="1"/>
    <x v="0"/>
    <x v="3"/>
    <d v="2025-04-25T00:00:00"/>
    <n v="134.94999999999999"/>
    <n v="5524.1660655737705"/>
    <s v="DEV6351"/>
    <x v="2"/>
    <x v="1"/>
    <x v="3"/>
    <s v="Romania"/>
    <s v="New Zealand"/>
    <s v="Picked Up"/>
    <x v="0"/>
    <x v="0"/>
    <x v="0"/>
  </r>
  <r>
    <s v="T1124"/>
    <x v="1"/>
    <n v="1"/>
    <x v="0"/>
    <x v="3"/>
    <d v="2025-10-13T00:00:00"/>
    <n v="8719.81"/>
    <n v="5524.1660655737705"/>
    <s v="DEV3348"/>
    <x v="2"/>
    <x v="3"/>
    <x v="2"/>
    <s v="Zimbabwe"/>
    <s v="Zimbabwe"/>
    <s v="Delivered by Post"/>
    <x v="1"/>
    <x v="1"/>
    <x v="0"/>
  </r>
  <r>
    <s v="T1140"/>
    <x v="1"/>
    <n v="1"/>
    <x v="0"/>
    <x v="3"/>
    <d v="2025-05-10T00:00:00"/>
    <n v="6237.53"/>
    <n v="5524.1660655737705"/>
    <s v="DEV9411"/>
    <x v="4"/>
    <x v="0"/>
    <x v="4"/>
    <s v="New Zealand"/>
    <s v="Norway"/>
    <s v="Picked Up"/>
    <x v="1"/>
    <x v="0"/>
    <x v="1"/>
  </r>
  <r>
    <s v="T1166"/>
    <x v="1"/>
    <n v="1"/>
    <x v="1"/>
    <x v="3"/>
    <d v="2025-03-14T00:00:00"/>
    <n v="1282.95"/>
    <n v="5524.1660655737705"/>
    <s v="DEV7144"/>
    <x v="2"/>
    <x v="0"/>
    <x v="3"/>
    <s v="Bhutan"/>
    <s v="New Zealand"/>
    <s v="Delivered by Post"/>
    <x v="0"/>
    <x v="0"/>
    <x v="0"/>
  </r>
  <r>
    <s v="T1182"/>
    <x v="1"/>
    <n v="1"/>
    <x v="1"/>
    <x v="2"/>
    <d v="2025-03-31T00:00:00"/>
    <n v="419.75"/>
    <n v="5524.1660655737705"/>
    <s v="DEV1721"/>
    <x v="1"/>
    <x v="3"/>
    <x v="3"/>
    <s v="France"/>
    <s v="Comoros"/>
    <s v="Picked Up"/>
    <x v="0"/>
    <x v="1"/>
    <x v="0"/>
  </r>
  <r>
    <s v="T1261"/>
    <x v="1"/>
    <n v="1"/>
    <x v="1"/>
    <x v="0"/>
    <d v="2025-09-12T00:00:00"/>
    <n v="5042.43"/>
    <n v="5524.1660655737705"/>
    <s v="DEV4496"/>
    <x v="2"/>
    <x v="3"/>
    <x v="2"/>
    <s v="Romania"/>
    <s v="Bhutan"/>
    <s v="Delivered by Post"/>
    <x v="0"/>
    <x v="1"/>
    <x v="0"/>
  </r>
  <r>
    <s v="T1373"/>
    <x v="1"/>
    <n v="1"/>
    <x v="0"/>
    <x v="0"/>
    <d v="2025-05-26T00:00:00"/>
    <n v="9600.01"/>
    <n v="5524.1660655737705"/>
    <s v="DEV1576"/>
    <x v="4"/>
    <x v="2"/>
    <x v="4"/>
    <s v="Bhutan"/>
    <s v="Turkmenistan"/>
    <s v="Picked Up"/>
    <x v="1"/>
    <x v="1"/>
    <x v="1"/>
  </r>
  <r>
    <s v="T1402"/>
    <x v="1"/>
    <n v="1"/>
    <x v="1"/>
    <x v="3"/>
    <d v="2025-07-14T00:00:00"/>
    <n v="8407.91"/>
    <n v="5524.1660655737705"/>
    <s v="DEV1020"/>
    <x v="3"/>
    <x v="3"/>
    <x v="0"/>
    <s v="Comoros"/>
    <s v="Canada"/>
    <s v="Picked Up"/>
    <x v="1"/>
    <x v="1"/>
    <x v="0"/>
  </r>
  <r>
    <s v="T1404"/>
    <x v="1"/>
    <n v="1"/>
    <x v="0"/>
    <x v="0"/>
    <d v="2025-03-14T00:00:00"/>
    <n v="2630.6"/>
    <n v="5524.1660655737705"/>
    <s v="DEV1881"/>
    <x v="0"/>
    <x v="0"/>
    <x v="1"/>
    <s v="Norway"/>
    <s v="Comoros"/>
    <s v="Picked Up"/>
    <x v="0"/>
    <x v="0"/>
    <x v="0"/>
  </r>
  <r>
    <s v="T1464"/>
    <x v="1"/>
    <n v="1"/>
    <x v="0"/>
    <x v="1"/>
    <d v="2025-09-22T00:00:00"/>
    <n v="3949.38"/>
    <n v="5524.1660655737705"/>
    <s v="DEV1808"/>
    <x v="2"/>
    <x v="2"/>
    <x v="0"/>
    <s v="Norway"/>
    <s v="Zimbabwe"/>
    <s v="Picked Up"/>
    <x v="0"/>
    <x v="1"/>
    <x v="0"/>
  </r>
  <r>
    <s v="T1466"/>
    <x v="1"/>
    <n v="1"/>
    <x v="1"/>
    <x v="2"/>
    <d v="2025-03-04T00:00:00"/>
    <n v="5103.84"/>
    <n v="5524.1660655737705"/>
    <s v="DEV9974"/>
    <x v="1"/>
    <x v="3"/>
    <x v="0"/>
    <s v="New Zealand"/>
    <s v="Bhutan"/>
    <s v="Picked Up"/>
    <x v="0"/>
    <x v="1"/>
    <x v="0"/>
  </r>
  <r>
    <s v="T1532"/>
    <x v="1"/>
    <n v="1"/>
    <x v="1"/>
    <x v="3"/>
    <d v="2025-09-18T00:00:00"/>
    <n v="5378.09"/>
    <n v="5524.1660655737705"/>
    <s v="DEV6598"/>
    <x v="3"/>
    <x v="1"/>
    <x v="5"/>
    <s v="Norway"/>
    <s v="New Zealand"/>
    <s v="Delivered by Post"/>
    <x v="0"/>
    <x v="0"/>
    <x v="0"/>
  </r>
  <r>
    <s v="T1570"/>
    <x v="1"/>
    <n v="1"/>
    <x v="0"/>
    <x v="1"/>
    <d v="2025-04-25T00:00:00"/>
    <n v="5281.95"/>
    <n v="5524.1660655737705"/>
    <s v="DEV6377"/>
    <x v="2"/>
    <x v="1"/>
    <x v="0"/>
    <s v="Comoros"/>
    <s v="Romania"/>
    <s v="Delivered by Post"/>
    <x v="0"/>
    <x v="0"/>
    <x v="0"/>
  </r>
  <r>
    <s v="T1665"/>
    <x v="1"/>
    <n v="1"/>
    <x v="0"/>
    <x v="2"/>
    <d v="2025-09-11T00:00:00"/>
    <n v="5774.68"/>
    <n v="5524.1660655737705"/>
    <s v="DEV5261"/>
    <x v="2"/>
    <x v="0"/>
    <x v="5"/>
    <s v="Norway"/>
    <s v="Norway"/>
    <s v="Delivered by Post"/>
    <x v="1"/>
    <x v="1"/>
    <x v="0"/>
  </r>
  <r>
    <s v="T1673"/>
    <x v="1"/>
    <n v="1"/>
    <x v="1"/>
    <x v="1"/>
    <d v="2025-07-19T00:00:00"/>
    <n v="5894.45"/>
    <n v="5524.1660655737705"/>
    <s v="DEV7666"/>
    <x v="3"/>
    <x v="2"/>
    <x v="0"/>
    <s v="New Zealand"/>
    <s v="Zimbabwe"/>
    <s v="Delivered by Post"/>
    <x v="1"/>
    <x v="1"/>
    <x v="0"/>
  </r>
  <r>
    <s v="T1726"/>
    <x v="1"/>
    <n v="1"/>
    <x v="1"/>
    <x v="0"/>
    <d v="2025-08-12T00:00:00"/>
    <n v="3919.89"/>
    <n v="5524.1660655737705"/>
    <s v="DEV2939"/>
    <x v="3"/>
    <x v="3"/>
    <x v="3"/>
    <s v="Norway"/>
    <s v="Zimbabwe"/>
    <s v="Delivered by Post"/>
    <x v="0"/>
    <x v="1"/>
    <x v="0"/>
  </r>
  <r>
    <s v="T1835"/>
    <x v="1"/>
    <n v="1"/>
    <x v="0"/>
    <x v="1"/>
    <d v="2025-02-11T00:00:00"/>
    <n v="9944.89"/>
    <n v="5524.1660655737705"/>
    <s v="DEV1395"/>
    <x v="3"/>
    <x v="1"/>
    <x v="4"/>
    <s v="Norway"/>
    <s v="Canada"/>
    <s v="Picked Up"/>
    <x v="1"/>
    <x v="0"/>
    <x v="0"/>
  </r>
  <r>
    <s v="T1853"/>
    <x v="1"/>
    <n v="1"/>
    <x v="0"/>
    <x v="2"/>
    <d v="2025-07-27T00:00:00"/>
    <n v="4504.07"/>
    <n v="5524.1660655737705"/>
    <s v="DEV3147"/>
    <x v="3"/>
    <x v="3"/>
    <x v="2"/>
    <s v="New Zealand"/>
    <s v="Turkmenistan"/>
    <s v="Delivered by Post"/>
    <x v="0"/>
    <x v="1"/>
    <x v="0"/>
  </r>
  <r>
    <s v="T1854"/>
    <x v="1"/>
    <n v="1"/>
    <x v="0"/>
    <x v="0"/>
    <d v="2025-08-14T00:00:00"/>
    <n v="756.51"/>
    <n v="5524.1660655737705"/>
    <s v="DEV2477"/>
    <x v="0"/>
    <x v="1"/>
    <x v="2"/>
    <s v="New Zealand"/>
    <s v="Bhutan"/>
    <s v="Picked Up"/>
    <x v="0"/>
    <x v="0"/>
    <x v="0"/>
  </r>
  <r>
    <s v="T1894"/>
    <x v="1"/>
    <n v="1"/>
    <x v="1"/>
    <x v="3"/>
    <d v="2025-03-26T00:00:00"/>
    <n v="7381.45"/>
    <n v="5524.1660655737705"/>
    <s v="DEV7881"/>
    <x v="0"/>
    <x v="3"/>
    <x v="5"/>
    <s v="Romania"/>
    <s v="Zimbabwe"/>
    <s v="Delivered by Post"/>
    <x v="1"/>
    <x v="1"/>
    <x v="0"/>
  </r>
  <r>
    <s v="T1978"/>
    <x v="1"/>
    <n v="1"/>
    <x v="1"/>
    <x v="3"/>
    <d v="2025-05-05T00:00:00"/>
    <n v="8954.7999999999993"/>
    <n v="5524.1660655737705"/>
    <s v="DEV2264"/>
    <x v="2"/>
    <x v="3"/>
    <x v="0"/>
    <s v="Turkmenistan"/>
    <s v="Zimbabwe"/>
    <s v="Delivered by Post"/>
    <x v="1"/>
    <x v="1"/>
    <x v="0"/>
  </r>
  <r>
    <s v="T1980"/>
    <x v="1"/>
    <n v="1"/>
    <x v="1"/>
    <x v="0"/>
    <d v="2025-12-11T00:00:00"/>
    <n v="3885.98"/>
    <n v="5524.1660655737705"/>
    <s v="DEV8612"/>
    <x v="2"/>
    <x v="0"/>
    <x v="3"/>
    <s v="Norway"/>
    <s v="Zimbabwe"/>
    <s v="Picked Up"/>
    <x v="0"/>
    <x v="0"/>
    <x v="0"/>
  </r>
  <r>
    <s v="T2000"/>
    <x v="1"/>
    <n v="1"/>
    <x v="0"/>
    <x v="3"/>
    <d v="2025-09-02T00:00:00"/>
    <n v="7848.35"/>
    <n v="5524.1660655737705"/>
    <s v="DEV1900"/>
    <x v="0"/>
    <x v="0"/>
    <x v="3"/>
    <s v="Canada"/>
    <s v="Norway"/>
    <s v="Picked Up"/>
    <x v="1"/>
    <x v="0"/>
    <x v="0"/>
  </r>
  <r>
    <s v="T2057"/>
    <x v="1"/>
    <n v="1"/>
    <x v="1"/>
    <x v="0"/>
    <d v="2025-06-12T00:00:00"/>
    <n v="5512.99"/>
    <n v="5524.1660655737705"/>
    <s v="DEV2186"/>
    <x v="4"/>
    <x v="0"/>
    <x v="4"/>
    <s v="Zimbabwe"/>
    <s v="Bhutan"/>
    <s v="Delivered by Post"/>
    <x v="0"/>
    <x v="0"/>
    <x v="1"/>
  </r>
  <r>
    <s v="T2061"/>
    <x v="1"/>
    <n v="1"/>
    <x v="0"/>
    <x v="3"/>
    <d v="2025-11-21T00:00:00"/>
    <n v="1278.74"/>
    <n v="5524.1660655737705"/>
    <s v="DEV2045"/>
    <x v="2"/>
    <x v="1"/>
    <x v="3"/>
    <s v="Canada"/>
    <s v="Comoros"/>
    <s v="Delivered by Post"/>
    <x v="0"/>
    <x v="0"/>
    <x v="0"/>
  </r>
  <r>
    <s v="T2088"/>
    <x v="1"/>
    <n v="1"/>
    <x v="0"/>
    <x v="2"/>
    <d v="2025-11-06T00:00:00"/>
    <n v="4109.6000000000004"/>
    <n v="5524.1660655737705"/>
    <s v="DEV7386"/>
    <x v="4"/>
    <x v="0"/>
    <x v="4"/>
    <s v="Romania"/>
    <s v="Norway"/>
    <s v="Picked Up"/>
    <x v="0"/>
    <x v="0"/>
    <x v="1"/>
  </r>
  <r>
    <s v="T2156"/>
    <x v="1"/>
    <n v="1"/>
    <x v="1"/>
    <x v="3"/>
    <d v="2025-02-11T00:00:00"/>
    <n v="9585.06"/>
    <n v="5524.1660655737705"/>
    <s v="DEV8293"/>
    <x v="4"/>
    <x v="2"/>
    <x v="1"/>
    <s v="Zimbabwe"/>
    <s v="Zimbabwe"/>
    <s v="Delivered by Post"/>
    <x v="1"/>
    <x v="1"/>
    <x v="0"/>
  </r>
  <r>
    <s v="T2181"/>
    <x v="1"/>
    <n v="1"/>
    <x v="1"/>
    <x v="0"/>
    <d v="2025-01-02T00:00:00"/>
    <n v="5314.33"/>
    <n v="5524.1660655737705"/>
    <s v="DEV6656"/>
    <x v="2"/>
    <x v="2"/>
    <x v="0"/>
    <s v="New Zealand"/>
    <s v="Comoros"/>
    <s v="Picked Up"/>
    <x v="0"/>
    <x v="1"/>
    <x v="0"/>
  </r>
  <r>
    <s v="T2245"/>
    <x v="1"/>
    <n v="1"/>
    <x v="1"/>
    <x v="0"/>
    <d v="2025-02-15T00:00:00"/>
    <n v="8767.01"/>
    <n v="5524.1660655737705"/>
    <s v="DEV9897"/>
    <x v="3"/>
    <x v="2"/>
    <x v="2"/>
    <s v="New Zealand"/>
    <s v="New Zealand"/>
    <s v="Delivered by Post"/>
    <x v="1"/>
    <x v="1"/>
    <x v="0"/>
  </r>
  <r>
    <s v="T2420"/>
    <x v="1"/>
    <n v="1"/>
    <x v="1"/>
    <x v="0"/>
    <d v="2025-09-25T00:00:00"/>
    <n v="893.17"/>
    <n v="5524.1660655737705"/>
    <s v="DEV1045"/>
    <x v="1"/>
    <x v="1"/>
    <x v="2"/>
    <s v="Turkmenistan"/>
    <s v="Bhutan"/>
    <s v="Delivered by Post"/>
    <x v="0"/>
    <x v="0"/>
    <x v="0"/>
  </r>
  <r>
    <s v="T2441"/>
    <x v="1"/>
    <n v="1"/>
    <x v="1"/>
    <x v="0"/>
    <d v="2025-06-11T00:00:00"/>
    <n v="6589.45"/>
    <n v="5524.1660655737705"/>
    <s v="DEV2673"/>
    <x v="0"/>
    <x v="0"/>
    <x v="0"/>
    <s v="Norway"/>
    <s v="Comoros"/>
    <s v="Delivered by Post"/>
    <x v="1"/>
    <x v="0"/>
    <x v="0"/>
  </r>
  <r>
    <s v="T2450"/>
    <x v="1"/>
    <n v="1"/>
    <x v="1"/>
    <x v="2"/>
    <d v="2025-10-15T00:00:00"/>
    <n v="7237.63"/>
    <n v="5524.1660655737705"/>
    <s v="DEV5401"/>
    <x v="0"/>
    <x v="0"/>
    <x v="3"/>
    <s v="Canada"/>
    <s v="Bhutan"/>
    <s v="Picked Up"/>
    <x v="1"/>
    <x v="0"/>
    <x v="0"/>
  </r>
  <r>
    <s v="T2485"/>
    <x v="1"/>
    <n v="1"/>
    <x v="0"/>
    <x v="1"/>
    <d v="2025-08-08T00:00:00"/>
    <n v="9640.36"/>
    <n v="5524.1660655737705"/>
    <s v="DEV9890"/>
    <x v="2"/>
    <x v="2"/>
    <x v="5"/>
    <s v="Comoros"/>
    <s v="Romania"/>
    <s v="Delivered by Post"/>
    <x v="1"/>
    <x v="1"/>
    <x v="0"/>
  </r>
  <r>
    <s v="T2527"/>
    <x v="1"/>
    <n v="1"/>
    <x v="1"/>
    <x v="1"/>
    <d v="2025-11-28T00:00:00"/>
    <n v="3265.93"/>
    <n v="5524.1660655737705"/>
    <s v="DEV8023"/>
    <x v="2"/>
    <x v="3"/>
    <x v="5"/>
    <s v="Romania"/>
    <s v="France"/>
    <s v="Picked Up"/>
    <x v="0"/>
    <x v="1"/>
    <x v="0"/>
  </r>
  <r>
    <s v="T2529"/>
    <x v="1"/>
    <n v="1"/>
    <x v="1"/>
    <x v="2"/>
    <d v="2025-06-26T00:00:00"/>
    <n v="2418.3200000000002"/>
    <n v="5524.1660655737705"/>
    <s v="DEV2322"/>
    <x v="1"/>
    <x v="2"/>
    <x v="1"/>
    <s v="Canada"/>
    <s v="Bhutan"/>
    <s v="Delivered by Post"/>
    <x v="0"/>
    <x v="1"/>
    <x v="0"/>
  </r>
  <r>
    <s v="T2535"/>
    <x v="1"/>
    <n v="1"/>
    <x v="1"/>
    <x v="1"/>
    <d v="2025-07-14T00:00:00"/>
    <n v="6638.76"/>
    <n v="5524.1660655737705"/>
    <s v="DEV7161"/>
    <x v="3"/>
    <x v="2"/>
    <x v="1"/>
    <s v="Bhutan"/>
    <s v="Comoros"/>
    <s v="Picked Up"/>
    <x v="1"/>
    <x v="1"/>
    <x v="0"/>
  </r>
  <r>
    <s v="T2560"/>
    <x v="1"/>
    <n v="1"/>
    <x v="0"/>
    <x v="2"/>
    <d v="2025-10-08T00:00:00"/>
    <n v="8820.66"/>
    <n v="5524.1660655737705"/>
    <s v="DEV5721"/>
    <x v="4"/>
    <x v="0"/>
    <x v="1"/>
    <s v="Norway"/>
    <s v="Zimbabwe"/>
    <s v="Picked Up"/>
    <x v="1"/>
    <x v="0"/>
    <x v="1"/>
  </r>
  <r>
    <s v="T2625"/>
    <x v="1"/>
    <n v="1"/>
    <x v="1"/>
    <x v="0"/>
    <d v="2025-08-21T00:00:00"/>
    <n v="8195.77"/>
    <n v="5524.1660655737705"/>
    <s v="DEV4358"/>
    <x v="2"/>
    <x v="3"/>
    <x v="4"/>
    <s v="Turkmenistan"/>
    <s v="France"/>
    <s v="Picked Up"/>
    <x v="1"/>
    <x v="1"/>
    <x v="0"/>
  </r>
  <r>
    <s v="T2743"/>
    <x v="1"/>
    <n v="1"/>
    <x v="0"/>
    <x v="1"/>
    <d v="2025-01-28T00:00:00"/>
    <n v="9963.2999999999993"/>
    <n v="5524.1660655737705"/>
    <s v="DEV6477"/>
    <x v="2"/>
    <x v="3"/>
    <x v="3"/>
    <s v="Canada"/>
    <s v="Canada"/>
    <s v="Picked Up"/>
    <x v="1"/>
    <x v="1"/>
    <x v="0"/>
  </r>
  <r>
    <s v="T2779"/>
    <x v="1"/>
    <n v="1"/>
    <x v="0"/>
    <x v="3"/>
    <d v="2025-01-13T00:00:00"/>
    <n v="5848.96"/>
    <n v="5524.1660655737705"/>
    <s v="DEV3574"/>
    <x v="4"/>
    <x v="3"/>
    <x v="1"/>
    <s v="Romania"/>
    <s v="Bhutan"/>
    <s v="Picked Up"/>
    <x v="1"/>
    <x v="1"/>
    <x v="1"/>
  </r>
  <r>
    <s v="T2825"/>
    <x v="1"/>
    <n v="1"/>
    <x v="0"/>
    <x v="3"/>
    <d v="2025-12-09T00:00:00"/>
    <n v="8973.5400000000009"/>
    <n v="5524.1660655737705"/>
    <s v="DEV7561"/>
    <x v="4"/>
    <x v="3"/>
    <x v="5"/>
    <s v="Turkmenistan"/>
    <s v="New Zealand"/>
    <s v="Delivered by Post"/>
    <x v="1"/>
    <x v="1"/>
    <x v="1"/>
  </r>
  <r>
    <s v="T0011"/>
    <x v="2"/>
    <n v="1"/>
    <x v="2"/>
    <x v="0"/>
    <d v="2025-06-28T10:20:00"/>
    <n v="8383.33"/>
    <n v="5215.4396000000024"/>
    <s v="DEV2204"/>
    <x v="4"/>
    <x v="1"/>
    <x v="4"/>
    <s v="Romania"/>
    <s v="Indonesia"/>
    <s v="Picked Up"/>
    <x v="1"/>
    <x v="0"/>
    <x v="1"/>
  </r>
  <r>
    <s v="T0022"/>
    <x v="2"/>
    <n v="1"/>
    <x v="3"/>
    <x v="4"/>
    <d v="2025-02-26T06:52:00"/>
    <n v="8731.2800000000007"/>
    <n v="5215.4396000000024"/>
    <s v="DEV1585"/>
    <x v="2"/>
    <x v="1"/>
    <x v="2"/>
    <s v="Romania"/>
    <s v="Tajikistan"/>
    <s v="Delivered by Post"/>
    <x v="1"/>
    <x v="0"/>
    <x v="0"/>
  </r>
  <r>
    <s v="T0036"/>
    <x v="2"/>
    <n v="1"/>
    <x v="0"/>
    <x v="3"/>
    <d v="2025-08-25T02:32:00"/>
    <n v="3697.5"/>
    <n v="5215.4396000000024"/>
    <s v="DEV6305"/>
    <x v="0"/>
    <x v="3"/>
    <x v="0"/>
    <s v="Romania"/>
    <s v="Bhutan"/>
    <s v="Delivered by Post"/>
    <x v="0"/>
    <x v="1"/>
    <x v="0"/>
  </r>
  <r>
    <s v="T0063"/>
    <x v="2"/>
    <n v="1"/>
    <x v="2"/>
    <x v="1"/>
    <d v="2025-03-18T14:09:00"/>
    <n v="7432.01"/>
    <n v="5215.4396000000024"/>
    <s v="DEV1162"/>
    <x v="0"/>
    <x v="3"/>
    <x v="5"/>
    <s v="Romania"/>
    <s v="Panama"/>
    <s v="Delivered by Post"/>
    <x v="1"/>
    <x v="1"/>
    <x v="0"/>
  </r>
  <r>
    <s v="T0093"/>
    <x v="2"/>
    <n v="1"/>
    <x v="2"/>
    <x v="3"/>
    <d v="2025-03-09T00:09:00"/>
    <n v="4513.29"/>
    <n v="5215.4396000000024"/>
    <s v="DEV7980"/>
    <x v="5"/>
    <x v="2"/>
    <x v="3"/>
    <s v="Romania"/>
    <s v="Slovenia"/>
    <s v="Picked Up"/>
    <x v="0"/>
    <x v="1"/>
    <x v="1"/>
  </r>
  <r>
    <s v="T0107"/>
    <x v="2"/>
    <n v="1"/>
    <x v="0"/>
    <x v="1"/>
    <d v="2025-10-18T00:00:00"/>
    <n v="8060.21"/>
    <n v="5215.4396000000024"/>
    <s v="DEV6155"/>
    <x v="3"/>
    <x v="1"/>
    <x v="4"/>
    <s v="Comoros"/>
    <s v="Norway"/>
    <s v="Delivered by Post"/>
    <x v="1"/>
    <x v="0"/>
    <x v="0"/>
  </r>
  <r>
    <s v="T0128"/>
    <x v="2"/>
    <n v="1"/>
    <x v="1"/>
    <x v="3"/>
    <d v="2025-06-06T00:00:00"/>
    <n v="8593"/>
    <n v="5215.4396000000024"/>
    <s v="DEV4652"/>
    <x v="1"/>
    <x v="2"/>
    <x v="4"/>
    <s v="New Zealand"/>
    <s v="France"/>
    <s v="Picked Up"/>
    <x v="1"/>
    <x v="1"/>
    <x v="0"/>
  </r>
  <r>
    <s v="T0334"/>
    <x v="2"/>
    <n v="1"/>
    <x v="1"/>
    <x v="2"/>
    <d v="2025-09-12T00:00:00"/>
    <n v="9425.69"/>
    <n v="5215.4396000000024"/>
    <s v="DEV7270"/>
    <x v="0"/>
    <x v="2"/>
    <x v="1"/>
    <s v="Romania"/>
    <s v="Norway"/>
    <s v="Delivered by Post"/>
    <x v="1"/>
    <x v="1"/>
    <x v="0"/>
  </r>
  <r>
    <s v="T0419"/>
    <x v="2"/>
    <n v="1"/>
    <x v="1"/>
    <x v="3"/>
    <d v="2025-10-24T00:00:00"/>
    <n v="9806.8700000000008"/>
    <n v="5215.4396000000024"/>
    <s v="DEV3848"/>
    <x v="0"/>
    <x v="1"/>
    <x v="1"/>
    <s v="Zimbabwe"/>
    <s v="Turkmenistan"/>
    <s v="Delivered by Post"/>
    <x v="1"/>
    <x v="0"/>
    <x v="0"/>
  </r>
  <r>
    <s v="T0497"/>
    <x v="2"/>
    <n v="1"/>
    <x v="1"/>
    <x v="0"/>
    <d v="2025-10-13T00:00:00"/>
    <n v="8783.91"/>
    <n v="5215.4396000000024"/>
    <s v="DEV9456"/>
    <x v="1"/>
    <x v="2"/>
    <x v="1"/>
    <s v="Comoros"/>
    <s v="Bhutan"/>
    <s v="Delivered by Post"/>
    <x v="1"/>
    <x v="1"/>
    <x v="0"/>
  </r>
  <r>
    <s v="T0608"/>
    <x v="2"/>
    <n v="1"/>
    <x v="1"/>
    <x v="1"/>
    <d v="2025-09-09T00:00:00"/>
    <n v="1809.85"/>
    <n v="5215.4396000000024"/>
    <s v="DEV3203"/>
    <x v="4"/>
    <x v="1"/>
    <x v="4"/>
    <s v="Zimbabwe"/>
    <s v="Comoros"/>
    <s v="Delivered by Post"/>
    <x v="0"/>
    <x v="0"/>
    <x v="1"/>
  </r>
  <r>
    <s v="T0612"/>
    <x v="2"/>
    <n v="1"/>
    <x v="1"/>
    <x v="3"/>
    <d v="2025-01-11T00:00:00"/>
    <n v="4636.05"/>
    <n v="5215.4396000000024"/>
    <s v="DEV8695"/>
    <x v="2"/>
    <x v="0"/>
    <x v="1"/>
    <s v="Bhutan"/>
    <s v="Bhutan"/>
    <s v="Delivered by Post"/>
    <x v="0"/>
    <x v="1"/>
    <x v="0"/>
  </r>
  <r>
    <s v="T0626"/>
    <x v="2"/>
    <n v="1"/>
    <x v="1"/>
    <x v="2"/>
    <d v="2025-07-31T00:00:00"/>
    <n v="2776.66"/>
    <n v="5215.4396000000024"/>
    <s v="DEV7920"/>
    <x v="1"/>
    <x v="2"/>
    <x v="3"/>
    <s v="France"/>
    <s v="Turkmenistan"/>
    <s v="Picked Up"/>
    <x v="0"/>
    <x v="1"/>
    <x v="0"/>
  </r>
  <r>
    <s v="T0725"/>
    <x v="2"/>
    <n v="1"/>
    <x v="0"/>
    <x v="1"/>
    <d v="2025-04-12T00:00:00"/>
    <n v="8273.42"/>
    <n v="5215.4396000000024"/>
    <s v="DEV7322"/>
    <x v="4"/>
    <x v="2"/>
    <x v="0"/>
    <s v="France"/>
    <s v="Turkmenistan"/>
    <s v="Picked Up"/>
    <x v="1"/>
    <x v="1"/>
    <x v="1"/>
  </r>
  <r>
    <s v="T0733"/>
    <x v="2"/>
    <n v="1"/>
    <x v="0"/>
    <x v="3"/>
    <d v="2025-12-10T00:00:00"/>
    <n v="156.84"/>
    <n v="5215.4396000000024"/>
    <s v="DEV8606"/>
    <x v="0"/>
    <x v="1"/>
    <x v="2"/>
    <s v="Zimbabwe"/>
    <s v="Turkmenistan"/>
    <s v="Picked Up"/>
    <x v="0"/>
    <x v="0"/>
    <x v="0"/>
  </r>
  <r>
    <s v="T0738"/>
    <x v="2"/>
    <n v="1"/>
    <x v="1"/>
    <x v="3"/>
    <d v="2025-10-15T00:00:00"/>
    <n v="4186.0200000000004"/>
    <n v="5215.4396000000024"/>
    <s v="DEV4105"/>
    <x v="2"/>
    <x v="2"/>
    <x v="5"/>
    <s v="Bhutan"/>
    <s v="Bhutan"/>
    <s v="Picked Up"/>
    <x v="0"/>
    <x v="1"/>
    <x v="0"/>
  </r>
  <r>
    <s v="T0751"/>
    <x v="2"/>
    <n v="1"/>
    <x v="0"/>
    <x v="1"/>
    <d v="2025-08-12T00:00:00"/>
    <n v="9925.1"/>
    <n v="5215.4396000000024"/>
    <s v="DEV6711"/>
    <x v="2"/>
    <x v="1"/>
    <x v="3"/>
    <s v="New Zealand"/>
    <s v="Canada"/>
    <s v="Delivered by Post"/>
    <x v="1"/>
    <x v="0"/>
    <x v="0"/>
  </r>
  <r>
    <s v="T0811"/>
    <x v="2"/>
    <n v="1"/>
    <x v="0"/>
    <x v="2"/>
    <d v="2025-09-11T00:00:00"/>
    <n v="9560.24"/>
    <n v="5215.4396000000024"/>
    <s v="DEV9723"/>
    <x v="2"/>
    <x v="0"/>
    <x v="0"/>
    <s v="Comoros"/>
    <s v="Turkmenistan"/>
    <s v="Delivered by Post"/>
    <x v="1"/>
    <x v="0"/>
    <x v="0"/>
  </r>
  <r>
    <s v="T0875"/>
    <x v="2"/>
    <n v="1"/>
    <x v="0"/>
    <x v="2"/>
    <d v="2025-03-29T00:00:00"/>
    <n v="9903.08"/>
    <n v="5215.4396000000024"/>
    <s v="DEV6355"/>
    <x v="2"/>
    <x v="1"/>
    <x v="0"/>
    <s v="Canada"/>
    <s v="France"/>
    <s v="Picked Up"/>
    <x v="1"/>
    <x v="0"/>
    <x v="0"/>
  </r>
  <r>
    <s v="T0936"/>
    <x v="2"/>
    <n v="1"/>
    <x v="1"/>
    <x v="0"/>
    <d v="2025-03-05T00:00:00"/>
    <n v="6174.7"/>
    <n v="5215.4396000000024"/>
    <s v="DEV6259"/>
    <x v="4"/>
    <x v="2"/>
    <x v="4"/>
    <s v="Comoros"/>
    <s v="Canada"/>
    <s v="Delivered by Post"/>
    <x v="1"/>
    <x v="1"/>
    <x v="1"/>
  </r>
  <r>
    <s v="T0989"/>
    <x v="2"/>
    <n v="1"/>
    <x v="0"/>
    <x v="1"/>
    <d v="2025-03-09T00:00:00"/>
    <n v="3726.86"/>
    <n v="5215.4396000000024"/>
    <s v="DEV7874"/>
    <x v="1"/>
    <x v="0"/>
    <x v="4"/>
    <s v="Canada"/>
    <s v="New Zealand"/>
    <s v="Picked Up"/>
    <x v="0"/>
    <x v="0"/>
    <x v="0"/>
  </r>
  <r>
    <s v="T1015"/>
    <x v="2"/>
    <n v="1"/>
    <x v="0"/>
    <x v="2"/>
    <d v="2025-09-20T00:00:00"/>
    <n v="1510.17"/>
    <n v="5215.4396000000024"/>
    <s v="DEV2290"/>
    <x v="4"/>
    <x v="3"/>
    <x v="4"/>
    <s v="Bhutan"/>
    <s v="Canada"/>
    <s v="Picked Up"/>
    <x v="0"/>
    <x v="1"/>
    <x v="1"/>
  </r>
  <r>
    <s v="T1066"/>
    <x v="2"/>
    <n v="1"/>
    <x v="0"/>
    <x v="1"/>
    <d v="2025-09-23T00:00:00"/>
    <n v="1450.32"/>
    <n v="5215.4396000000024"/>
    <s v="DEV3297"/>
    <x v="0"/>
    <x v="0"/>
    <x v="2"/>
    <s v="Romania"/>
    <s v="France"/>
    <s v="Delivered by Post"/>
    <x v="0"/>
    <x v="0"/>
    <x v="0"/>
  </r>
  <r>
    <s v="T1085"/>
    <x v="2"/>
    <n v="1"/>
    <x v="0"/>
    <x v="2"/>
    <d v="2025-08-07T00:00:00"/>
    <n v="3845.94"/>
    <n v="5215.4396000000024"/>
    <s v="DEV3759"/>
    <x v="0"/>
    <x v="3"/>
    <x v="0"/>
    <s v="Turkmenistan"/>
    <s v="Zimbabwe"/>
    <s v="Picked Up"/>
    <x v="0"/>
    <x v="1"/>
    <x v="0"/>
  </r>
  <r>
    <s v="T1216"/>
    <x v="2"/>
    <n v="1"/>
    <x v="0"/>
    <x v="0"/>
    <d v="2025-06-22T00:00:00"/>
    <n v="8918.5499999999993"/>
    <n v="5215.4396000000024"/>
    <s v="DEV5541"/>
    <x v="4"/>
    <x v="1"/>
    <x v="0"/>
    <s v="Romania"/>
    <s v="Romania"/>
    <s v="Delivered by Post"/>
    <x v="1"/>
    <x v="1"/>
    <x v="0"/>
  </r>
  <r>
    <s v="T1240"/>
    <x v="2"/>
    <n v="1"/>
    <x v="0"/>
    <x v="2"/>
    <d v="2025-10-19T00:00:00"/>
    <n v="3063.96"/>
    <n v="5215.4396000000024"/>
    <s v="DEV7841"/>
    <x v="3"/>
    <x v="1"/>
    <x v="5"/>
    <s v="France"/>
    <s v="Romania"/>
    <s v="Picked Up"/>
    <x v="0"/>
    <x v="0"/>
    <x v="0"/>
  </r>
  <r>
    <s v="T1294"/>
    <x v="2"/>
    <n v="1"/>
    <x v="0"/>
    <x v="0"/>
    <d v="2025-09-08T00:00:00"/>
    <n v="4786.32"/>
    <n v="5215.4396000000024"/>
    <s v="DEV7747"/>
    <x v="4"/>
    <x v="0"/>
    <x v="2"/>
    <s v="Turkmenistan"/>
    <s v="Romania"/>
    <s v="Delivered by Post"/>
    <x v="0"/>
    <x v="0"/>
    <x v="1"/>
  </r>
  <r>
    <s v="T1316"/>
    <x v="2"/>
    <n v="1"/>
    <x v="1"/>
    <x v="3"/>
    <d v="2025-10-06T00:00:00"/>
    <n v="1906.56"/>
    <n v="5215.4396000000024"/>
    <s v="DEV4063"/>
    <x v="4"/>
    <x v="2"/>
    <x v="3"/>
    <s v="Canada"/>
    <s v="Zimbabwe"/>
    <s v="Delivered by Post"/>
    <x v="0"/>
    <x v="1"/>
    <x v="1"/>
  </r>
  <r>
    <s v="T1417"/>
    <x v="2"/>
    <n v="1"/>
    <x v="0"/>
    <x v="0"/>
    <d v="2025-10-16T00:00:00"/>
    <n v="245.5"/>
    <n v="5215.4396000000024"/>
    <s v="DEV5416"/>
    <x v="2"/>
    <x v="0"/>
    <x v="1"/>
    <s v="Romania"/>
    <s v="Zimbabwe"/>
    <s v="Delivered by Post"/>
    <x v="0"/>
    <x v="0"/>
    <x v="0"/>
  </r>
  <r>
    <s v="T1479"/>
    <x v="2"/>
    <n v="1"/>
    <x v="0"/>
    <x v="0"/>
    <d v="2025-10-23T00:00:00"/>
    <n v="3223.66"/>
    <n v="5215.4396000000024"/>
    <s v="DEV3069"/>
    <x v="4"/>
    <x v="1"/>
    <x v="2"/>
    <s v="Canada"/>
    <s v="Canada"/>
    <s v="Picked Up"/>
    <x v="0"/>
    <x v="1"/>
    <x v="0"/>
  </r>
  <r>
    <s v="T1623"/>
    <x v="2"/>
    <n v="1"/>
    <x v="0"/>
    <x v="0"/>
    <d v="2025-10-06T00:00:00"/>
    <n v="3997.24"/>
    <n v="5215.4396000000024"/>
    <s v="DEV5432"/>
    <x v="2"/>
    <x v="3"/>
    <x v="1"/>
    <s v="Turkmenistan"/>
    <s v="Zimbabwe"/>
    <s v="Picked Up"/>
    <x v="0"/>
    <x v="1"/>
    <x v="0"/>
  </r>
  <r>
    <s v="T1675"/>
    <x v="2"/>
    <n v="1"/>
    <x v="1"/>
    <x v="0"/>
    <d v="2025-12-19T00:00:00"/>
    <n v="1964.57"/>
    <n v="5215.4396000000024"/>
    <s v="DEV4524"/>
    <x v="1"/>
    <x v="1"/>
    <x v="2"/>
    <s v="Norway"/>
    <s v="Turkmenistan"/>
    <s v="Delivered by Post"/>
    <x v="0"/>
    <x v="0"/>
    <x v="0"/>
  </r>
  <r>
    <s v="T1738"/>
    <x v="2"/>
    <n v="1"/>
    <x v="0"/>
    <x v="0"/>
    <d v="2025-08-17T00:00:00"/>
    <n v="4514.51"/>
    <n v="5215.4396000000024"/>
    <s v="DEV7180"/>
    <x v="3"/>
    <x v="2"/>
    <x v="4"/>
    <s v="Zimbabwe"/>
    <s v="Romania"/>
    <s v="Delivered by Post"/>
    <x v="0"/>
    <x v="1"/>
    <x v="0"/>
  </r>
  <r>
    <s v="T1792"/>
    <x v="2"/>
    <n v="1"/>
    <x v="1"/>
    <x v="0"/>
    <d v="2025-05-29T00:00:00"/>
    <n v="6990.17"/>
    <n v="5215.4396000000024"/>
    <s v="DEV6952"/>
    <x v="0"/>
    <x v="1"/>
    <x v="2"/>
    <s v="New Zealand"/>
    <s v="Canada"/>
    <s v="Picked Up"/>
    <x v="1"/>
    <x v="0"/>
    <x v="0"/>
  </r>
  <r>
    <s v="T1839"/>
    <x v="2"/>
    <n v="1"/>
    <x v="0"/>
    <x v="0"/>
    <d v="2025-10-04T00:00:00"/>
    <n v="5985.98"/>
    <n v="5215.4396000000024"/>
    <s v="DEV5622"/>
    <x v="3"/>
    <x v="0"/>
    <x v="2"/>
    <s v="Romania"/>
    <s v="Norway"/>
    <s v="Delivered by Post"/>
    <x v="1"/>
    <x v="0"/>
    <x v="0"/>
  </r>
  <r>
    <s v="T1846"/>
    <x v="2"/>
    <n v="1"/>
    <x v="0"/>
    <x v="3"/>
    <d v="2025-01-23T00:00:00"/>
    <n v="3992.45"/>
    <n v="5215.4396000000024"/>
    <s v="DEV9698"/>
    <x v="1"/>
    <x v="1"/>
    <x v="1"/>
    <s v="Canada"/>
    <s v="Turkmenistan"/>
    <s v="Picked Up"/>
    <x v="0"/>
    <x v="0"/>
    <x v="0"/>
  </r>
  <r>
    <s v="T1861"/>
    <x v="2"/>
    <n v="1"/>
    <x v="0"/>
    <x v="3"/>
    <d v="2025-05-03T00:00:00"/>
    <n v="1901.13"/>
    <n v="5215.4396000000024"/>
    <s v="DEV7468"/>
    <x v="0"/>
    <x v="1"/>
    <x v="5"/>
    <s v="Norway"/>
    <s v="France"/>
    <s v="Picked Up"/>
    <x v="0"/>
    <x v="0"/>
    <x v="0"/>
  </r>
  <r>
    <s v="T1958"/>
    <x v="2"/>
    <n v="1"/>
    <x v="0"/>
    <x v="0"/>
    <d v="2025-07-25T00:00:00"/>
    <n v="785.44"/>
    <n v="5215.4396000000024"/>
    <s v="DEV5635"/>
    <x v="2"/>
    <x v="0"/>
    <x v="2"/>
    <s v="Canada"/>
    <s v="France"/>
    <s v="Picked Up"/>
    <x v="0"/>
    <x v="0"/>
    <x v="0"/>
  </r>
  <r>
    <s v="T1959"/>
    <x v="2"/>
    <n v="1"/>
    <x v="1"/>
    <x v="2"/>
    <d v="2025-03-02T00:00:00"/>
    <n v="1547.7"/>
    <n v="5215.4396000000024"/>
    <s v="DEV9917"/>
    <x v="1"/>
    <x v="0"/>
    <x v="5"/>
    <s v="Canada"/>
    <s v="Romania"/>
    <s v="Delivered by Post"/>
    <x v="0"/>
    <x v="0"/>
    <x v="0"/>
  </r>
  <r>
    <s v="T2026"/>
    <x v="2"/>
    <n v="1"/>
    <x v="1"/>
    <x v="1"/>
    <d v="2025-07-11T00:00:00"/>
    <n v="7208.2"/>
    <n v="5215.4396000000024"/>
    <s v="DEV5187"/>
    <x v="4"/>
    <x v="0"/>
    <x v="5"/>
    <s v="New Zealand"/>
    <s v="Bhutan"/>
    <s v="Delivered by Post"/>
    <x v="1"/>
    <x v="0"/>
    <x v="1"/>
  </r>
  <r>
    <s v="T2140"/>
    <x v="2"/>
    <n v="1"/>
    <x v="1"/>
    <x v="3"/>
    <d v="2025-03-11T00:00:00"/>
    <n v="7632.12"/>
    <n v="5215.4396000000024"/>
    <s v="DEV9333"/>
    <x v="0"/>
    <x v="2"/>
    <x v="1"/>
    <s v="France"/>
    <s v="Bhutan"/>
    <s v="Delivered by Post"/>
    <x v="1"/>
    <x v="1"/>
    <x v="0"/>
  </r>
  <r>
    <s v="T2237"/>
    <x v="2"/>
    <n v="1"/>
    <x v="1"/>
    <x v="0"/>
    <d v="2025-12-03T00:00:00"/>
    <n v="2855.29"/>
    <n v="5215.4396000000024"/>
    <s v="DEV2687"/>
    <x v="2"/>
    <x v="1"/>
    <x v="5"/>
    <s v="Romania"/>
    <s v="Canada"/>
    <s v="Picked Up"/>
    <x v="0"/>
    <x v="0"/>
    <x v="0"/>
  </r>
  <r>
    <s v="T2304"/>
    <x v="2"/>
    <n v="1"/>
    <x v="1"/>
    <x v="0"/>
    <d v="2025-01-26T00:00:00"/>
    <n v="832.54"/>
    <n v="5215.4396000000024"/>
    <s v="DEV4547"/>
    <x v="2"/>
    <x v="2"/>
    <x v="4"/>
    <s v="Turkmenistan"/>
    <s v="Turkmenistan"/>
    <s v="Picked Up"/>
    <x v="0"/>
    <x v="1"/>
    <x v="0"/>
  </r>
  <r>
    <s v="T2336"/>
    <x v="2"/>
    <n v="1"/>
    <x v="0"/>
    <x v="3"/>
    <d v="2025-08-14T00:00:00"/>
    <n v="3915.55"/>
    <n v="5215.4396000000024"/>
    <s v="DEV9536"/>
    <x v="0"/>
    <x v="1"/>
    <x v="5"/>
    <s v="France"/>
    <s v="Turkmenistan"/>
    <s v="Delivered by Post"/>
    <x v="0"/>
    <x v="0"/>
    <x v="0"/>
  </r>
  <r>
    <s v="T2386"/>
    <x v="2"/>
    <n v="1"/>
    <x v="1"/>
    <x v="1"/>
    <d v="2025-04-03T00:00:00"/>
    <n v="7990.02"/>
    <n v="5215.4396000000024"/>
    <s v="DEV4360"/>
    <x v="3"/>
    <x v="1"/>
    <x v="3"/>
    <s v="Turkmenistan"/>
    <s v="Bhutan"/>
    <s v="Picked Up"/>
    <x v="1"/>
    <x v="0"/>
    <x v="0"/>
  </r>
  <r>
    <s v="T2418"/>
    <x v="2"/>
    <n v="1"/>
    <x v="1"/>
    <x v="0"/>
    <d v="2025-04-14T00:00:00"/>
    <n v="3380.15"/>
    <n v="5215.4396000000024"/>
    <s v="DEV7576"/>
    <x v="0"/>
    <x v="3"/>
    <x v="4"/>
    <s v="New Zealand"/>
    <s v="Zimbabwe"/>
    <s v="Picked Up"/>
    <x v="0"/>
    <x v="1"/>
    <x v="0"/>
  </r>
  <r>
    <s v="T2506"/>
    <x v="2"/>
    <n v="1"/>
    <x v="1"/>
    <x v="0"/>
    <d v="2025-01-02T00:00:00"/>
    <n v="6767.6"/>
    <n v="5215.4396000000024"/>
    <s v="DEV2979"/>
    <x v="1"/>
    <x v="1"/>
    <x v="2"/>
    <s v="Zimbabwe"/>
    <s v="France"/>
    <s v="Delivered by Post"/>
    <x v="1"/>
    <x v="0"/>
    <x v="0"/>
  </r>
  <r>
    <s v="T2548"/>
    <x v="2"/>
    <n v="1"/>
    <x v="1"/>
    <x v="3"/>
    <d v="2025-06-29T00:00:00"/>
    <n v="9850.8799999999992"/>
    <n v="5215.4396000000024"/>
    <s v="DEV7697"/>
    <x v="2"/>
    <x v="0"/>
    <x v="3"/>
    <s v="Canada"/>
    <s v="Canada"/>
    <s v="Delivered by Post"/>
    <x v="1"/>
    <x v="1"/>
    <x v="0"/>
  </r>
  <r>
    <s v="T2748"/>
    <x v="2"/>
    <n v="1"/>
    <x v="1"/>
    <x v="0"/>
    <d v="2025-02-03T00:00:00"/>
    <n v="8057.66"/>
    <n v="5215.4396000000024"/>
    <s v="DEV5788"/>
    <x v="1"/>
    <x v="2"/>
    <x v="2"/>
    <s v="Romania"/>
    <s v="New Zealand"/>
    <s v="Delivered by Post"/>
    <x v="1"/>
    <x v="1"/>
    <x v="0"/>
  </r>
  <r>
    <s v="T2777"/>
    <x v="2"/>
    <n v="1"/>
    <x v="0"/>
    <x v="0"/>
    <d v="2025-08-11T00:00:00"/>
    <n v="3095.89"/>
    <n v="5215.4396000000024"/>
    <s v="DEV7332"/>
    <x v="2"/>
    <x v="2"/>
    <x v="4"/>
    <s v="France"/>
    <s v="Turkmenistan"/>
    <s v="Delivered by Post"/>
    <x v="0"/>
    <x v="1"/>
    <x v="0"/>
  </r>
  <r>
    <s v="T0021"/>
    <x v="3"/>
    <n v="1"/>
    <x v="3"/>
    <x v="1"/>
    <d v="2025-01-12T09:07:00"/>
    <n v="6817.68"/>
    <n v="4963.9629090909084"/>
    <s v="DEV8361"/>
    <x v="5"/>
    <x v="2"/>
    <x v="4"/>
    <s v="Cameroon"/>
    <s v="Rwanda"/>
    <s v="Picked Up"/>
    <x v="1"/>
    <x v="1"/>
    <x v="1"/>
  </r>
  <r>
    <s v="T0026"/>
    <x v="3"/>
    <n v="1"/>
    <x v="1"/>
    <x v="1"/>
    <d v="2025-06-14T16:53:00"/>
    <n v="7265.09"/>
    <n v="4963.9629090909084"/>
    <s v="DEV8529"/>
    <x v="5"/>
    <x v="3"/>
    <x v="4"/>
    <s v="Cameroon"/>
    <s v="Turkey"/>
    <s v="Delivered by Post"/>
    <x v="1"/>
    <x v="1"/>
    <x v="1"/>
  </r>
  <r>
    <s v="T0060"/>
    <x v="3"/>
    <n v="1"/>
    <x v="1"/>
    <x v="0"/>
    <d v="2025-04-27T01:39:00"/>
    <n v="1144.97"/>
    <n v="4963.9629090909084"/>
    <s v="DEV8738"/>
    <x v="2"/>
    <x v="1"/>
    <x v="3"/>
    <s v="Cameroon"/>
    <s v="Mexico"/>
    <s v="Picked Up"/>
    <x v="0"/>
    <x v="0"/>
    <x v="0"/>
  </r>
  <r>
    <s v="T0204"/>
    <x v="3"/>
    <n v="1"/>
    <x v="1"/>
    <x v="0"/>
    <d v="2025-09-16T00:00:00"/>
    <n v="4532.7"/>
    <n v="4963.9629090909084"/>
    <s v="DEV3827"/>
    <x v="1"/>
    <x v="2"/>
    <x v="3"/>
    <s v="Comoros"/>
    <s v="Comoros"/>
    <s v="Picked Up"/>
    <x v="0"/>
    <x v="1"/>
    <x v="0"/>
  </r>
  <r>
    <s v="T0249"/>
    <x v="3"/>
    <n v="1"/>
    <x v="1"/>
    <x v="0"/>
    <d v="2025-12-15T00:00:00"/>
    <n v="1046.97"/>
    <n v="4963.9629090909084"/>
    <s v="DEV1084"/>
    <x v="2"/>
    <x v="2"/>
    <x v="4"/>
    <s v="Comoros"/>
    <s v="Comoros"/>
    <s v="Picked Up"/>
    <x v="0"/>
    <x v="1"/>
    <x v="0"/>
  </r>
  <r>
    <s v="T0348"/>
    <x v="3"/>
    <n v="1"/>
    <x v="0"/>
    <x v="2"/>
    <d v="2025-12-23T00:00:00"/>
    <n v="1057.52"/>
    <n v="4963.9629090909084"/>
    <s v="DEV9849"/>
    <x v="4"/>
    <x v="3"/>
    <x v="1"/>
    <s v="Romania"/>
    <s v="Zimbabwe"/>
    <s v="Picked Up"/>
    <x v="0"/>
    <x v="1"/>
    <x v="1"/>
  </r>
  <r>
    <s v="T0357"/>
    <x v="3"/>
    <n v="1"/>
    <x v="1"/>
    <x v="0"/>
    <d v="2025-06-22T00:00:00"/>
    <n v="7470.21"/>
    <n v="4963.9629090909084"/>
    <s v="DEV6094"/>
    <x v="4"/>
    <x v="1"/>
    <x v="3"/>
    <s v="Zimbabwe"/>
    <s v="Romania"/>
    <s v="Picked Up"/>
    <x v="1"/>
    <x v="0"/>
    <x v="1"/>
  </r>
  <r>
    <s v="T0359"/>
    <x v="3"/>
    <n v="1"/>
    <x v="1"/>
    <x v="2"/>
    <d v="2025-03-11T00:00:00"/>
    <n v="5176.93"/>
    <n v="4963.9629090909084"/>
    <s v="DEV1474"/>
    <x v="3"/>
    <x v="2"/>
    <x v="0"/>
    <s v="Canada"/>
    <s v="Romania"/>
    <s v="Picked Up"/>
    <x v="1"/>
    <x v="1"/>
    <x v="0"/>
  </r>
  <r>
    <s v="T0591"/>
    <x v="3"/>
    <n v="1"/>
    <x v="0"/>
    <x v="1"/>
    <d v="2025-11-18T00:00:00"/>
    <n v="2934.07"/>
    <n v="4963.9629090909084"/>
    <s v="DEV2548"/>
    <x v="2"/>
    <x v="2"/>
    <x v="5"/>
    <s v="New Zealand"/>
    <s v="New Zealand"/>
    <s v="Delivered by Post"/>
    <x v="0"/>
    <x v="1"/>
    <x v="0"/>
  </r>
  <r>
    <s v="T0611"/>
    <x v="3"/>
    <n v="1"/>
    <x v="1"/>
    <x v="0"/>
    <d v="2025-12-19T00:00:00"/>
    <n v="6629.34"/>
    <n v="4963.9629090909084"/>
    <s v="DEV5995"/>
    <x v="1"/>
    <x v="3"/>
    <x v="0"/>
    <s v="Canada"/>
    <s v="Turkmenistan"/>
    <s v="Delivered by Post"/>
    <x v="1"/>
    <x v="1"/>
    <x v="0"/>
  </r>
  <r>
    <s v="T0701"/>
    <x v="3"/>
    <n v="1"/>
    <x v="0"/>
    <x v="1"/>
    <d v="2025-02-01T00:00:00"/>
    <n v="9171.31"/>
    <n v="4963.9629090909084"/>
    <s v="DEV1897"/>
    <x v="4"/>
    <x v="1"/>
    <x v="2"/>
    <s v="Zimbabwe"/>
    <s v="Canada"/>
    <s v="Picked Up"/>
    <x v="1"/>
    <x v="0"/>
    <x v="1"/>
  </r>
  <r>
    <s v="T0743"/>
    <x v="3"/>
    <n v="1"/>
    <x v="0"/>
    <x v="1"/>
    <d v="2025-07-12T00:00:00"/>
    <n v="1418.68"/>
    <n v="4963.9629090909084"/>
    <s v="DEV1621"/>
    <x v="3"/>
    <x v="1"/>
    <x v="3"/>
    <s v="New Zealand"/>
    <s v="Norway"/>
    <s v="Delivered by Post"/>
    <x v="0"/>
    <x v="0"/>
    <x v="0"/>
  </r>
  <r>
    <s v="T0794"/>
    <x v="3"/>
    <n v="1"/>
    <x v="1"/>
    <x v="0"/>
    <d v="2025-06-23T00:00:00"/>
    <n v="4256.09"/>
    <n v="4963.9629090909084"/>
    <s v="DEV5092"/>
    <x v="2"/>
    <x v="0"/>
    <x v="1"/>
    <s v="France"/>
    <s v="Comoros"/>
    <s v="Delivered by Post"/>
    <x v="0"/>
    <x v="0"/>
    <x v="0"/>
  </r>
  <r>
    <s v="T0806"/>
    <x v="3"/>
    <n v="1"/>
    <x v="1"/>
    <x v="1"/>
    <d v="2025-05-27T00:00:00"/>
    <n v="1858.43"/>
    <n v="4963.9629090909084"/>
    <s v="DEV5590"/>
    <x v="2"/>
    <x v="0"/>
    <x v="4"/>
    <s v="Norway"/>
    <s v="France"/>
    <s v="Delivered by Post"/>
    <x v="0"/>
    <x v="0"/>
    <x v="0"/>
  </r>
  <r>
    <s v="T0831"/>
    <x v="3"/>
    <n v="1"/>
    <x v="0"/>
    <x v="2"/>
    <d v="2025-11-01T00:00:00"/>
    <n v="7028.95"/>
    <n v="4963.9629090909084"/>
    <s v="DEV1494"/>
    <x v="3"/>
    <x v="3"/>
    <x v="0"/>
    <s v="Zimbabwe"/>
    <s v="Romania"/>
    <s v="Picked Up"/>
    <x v="1"/>
    <x v="1"/>
    <x v="0"/>
  </r>
  <r>
    <s v="T0916"/>
    <x v="3"/>
    <n v="1"/>
    <x v="0"/>
    <x v="2"/>
    <d v="2025-07-11T00:00:00"/>
    <n v="6138.44"/>
    <n v="4963.9629090909084"/>
    <s v="DEV1482"/>
    <x v="3"/>
    <x v="3"/>
    <x v="2"/>
    <s v="Comoros"/>
    <s v="Bhutan"/>
    <s v="Picked Up"/>
    <x v="1"/>
    <x v="1"/>
    <x v="0"/>
  </r>
  <r>
    <s v="T0974"/>
    <x v="3"/>
    <n v="1"/>
    <x v="1"/>
    <x v="3"/>
    <d v="2025-03-19T00:00:00"/>
    <n v="7685.71"/>
    <n v="4963.9629090909084"/>
    <s v="DEV6266"/>
    <x v="2"/>
    <x v="1"/>
    <x v="2"/>
    <s v="France"/>
    <s v="Romania"/>
    <s v="Delivered by Post"/>
    <x v="1"/>
    <x v="0"/>
    <x v="0"/>
  </r>
  <r>
    <s v="T0980"/>
    <x v="3"/>
    <n v="1"/>
    <x v="0"/>
    <x v="3"/>
    <d v="2025-11-22T00:00:00"/>
    <n v="6268.48"/>
    <n v="4963.9629090909084"/>
    <s v="DEV4703"/>
    <x v="4"/>
    <x v="0"/>
    <x v="0"/>
    <s v="France"/>
    <s v="France"/>
    <s v="Delivered by Post"/>
    <x v="1"/>
    <x v="1"/>
    <x v="0"/>
  </r>
  <r>
    <s v="T1002"/>
    <x v="3"/>
    <n v="1"/>
    <x v="0"/>
    <x v="3"/>
    <d v="2025-08-23T00:00:00"/>
    <n v="9704.74"/>
    <n v="4963.9629090909084"/>
    <s v="DEV3708"/>
    <x v="0"/>
    <x v="0"/>
    <x v="3"/>
    <s v="Norway"/>
    <s v="Romania"/>
    <s v="Picked Up"/>
    <x v="1"/>
    <x v="0"/>
    <x v="0"/>
  </r>
  <r>
    <s v="T1052"/>
    <x v="3"/>
    <n v="1"/>
    <x v="1"/>
    <x v="2"/>
    <d v="2025-05-26T00:00:00"/>
    <n v="6414.31"/>
    <n v="4963.9629090909084"/>
    <s v="DEV8730"/>
    <x v="3"/>
    <x v="0"/>
    <x v="1"/>
    <s v="Bhutan"/>
    <s v="Norway"/>
    <s v="Picked Up"/>
    <x v="1"/>
    <x v="0"/>
    <x v="0"/>
  </r>
  <r>
    <s v="T1132"/>
    <x v="3"/>
    <n v="1"/>
    <x v="0"/>
    <x v="2"/>
    <d v="2025-09-22T00:00:00"/>
    <n v="2034.13"/>
    <n v="4963.9629090909084"/>
    <s v="DEV3954"/>
    <x v="0"/>
    <x v="0"/>
    <x v="3"/>
    <s v="Romania"/>
    <s v="Bhutan"/>
    <s v="Picked Up"/>
    <x v="0"/>
    <x v="0"/>
    <x v="0"/>
  </r>
  <r>
    <s v="T1170"/>
    <x v="3"/>
    <n v="1"/>
    <x v="0"/>
    <x v="1"/>
    <d v="2025-09-03T00:00:00"/>
    <n v="6465.35"/>
    <n v="4963.9629090909084"/>
    <s v="DEV1691"/>
    <x v="3"/>
    <x v="2"/>
    <x v="0"/>
    <s v="Norway"/>
    <s v="Turkmenistan"/>
    <s v="Delivered by Post"/>
    <x v="1"/>
    <x v="1"/>
    <x v="0"/>
  </r>
  <r>
    <s v="T1235"/>
    <x v="3"/>
    <n v="1"/>
    <x v="0"/>
    <x v="3"/>
    <d v="2025-07-11T00:00:00"/>
    <n v="2491.39"/>
    <n v="4963.9629090909084"/>
    <s v="DEV6743"/>
    <x v="0"/>
    <x v="1"/>
    <x v="3"/>
    <s v="Bhutan"/>
    <s v="Zimbabwe"/>
    <s v="Delivered by Post"/>
    <x v="0"/>
    <x v="0"/>
    <x v="0"/>
  </r>
  <r>
    <s v="T1284"/>
    <x v="3"/>
    <n v="1"/>
    <x v="1"/>
    <x v="3"/>
    <d v="2025-04-15T00:00:00"/>
    <n v="7824.86"/>
    <n v="4963.9629090909084"/>
    <s v="DEV2809"/>
    <x v="4"/>
    <x v="2"/>
    <x v="1"/>
    <s v="France"/>
    <s v="Norway"/>
    <s v="Delivered by Post"/>
    <x v="1"/>
    <x v="1"/>
    <x v="1"/>
  </r>
  <r>
    <s v="T1302"/>
    <x v="3"/>
    <n v="1"/>
    <x v="0"/>
    <x v="1"/>
    <d v="2025-10-03T00:00:00"/>
    <n v="5108.74"/>
    <n v="4963.9629090909084"/>
    <s v="DEV2369"/>
    <x v="4"/>
    <x v="0"/>
    <x v="1"/>
    <s v="France"/>
    <s v="New Zealand"/>
    <s v="Picked Up"/>
    <x v="1"/>
    <x v="0"/>
    <x v="1"/>
  </r>
  <r>
    <s v="T1394"/>
    <x v="3"/>
    <n v="1"/>
    <x v="0"/>
    <x v="1"/>
    <d v="2025-01-09T00:00:00"/>
    <n v="7996.99"/>
    <n v="4963.9629090909084"/>
    <s v="DEV5949"/>
    <x v="3"/>
    <x v="1"/>
    <x v="3"/>
    <s v="Zimbabwe"/>
    <s v="New Zealand"/>
    <s v="Picked Up"/>
    <x v="1"/>
    <x v="0"/>
    <x v="0"/>
  </r>
  <r>
    <s v="T1407"/>
    <x v="3"/>
    <n v="1"/>
    <x v="1"/>
    <x v="2"/>
    <d v="2025-10-16T00:00:00"/>
    <n v="1290.71"/>
    <n v="4963.9629090909084"/>
    <s v="DEV8396"/>
    <x v="4"/>
    <x v="1"/>
    <x v="1"/>
    <s v="Zimbabwe"/>
    <s v="New Zealand"/>
    <s v="Delivered by Post"/>
    <x v="0"/>
    <x v="0"/>
    <x v="1"/>
  </r>
  <r>
    <s v="T1449"/>
    <x v="3"/>
    <n v="1"/>
    <x v="0"/>
    <x v="0"/>
    <d v="2025-08-31T00:00:00"/>
    <n v="110.89"/>
    <n v="4963.9629090909084"/>
    <s v="DEV9458"/>
    <x v="0"/>
    <x v="1"/>
    <x v="3"/>
    <s v="Comoros"/>
    <s v="Turkmenistan"/>
    <s v="Picked Up"/>
    <x v="0"/>
    <x v="0"/>
    <x v="0"/>
  </r>
  <r>
    <s v="T1478"/>
    <x v="3"/>
    <n v="1"/>
    <x v="1"/>
    <x v="3"/>
    <d v="2025-05-17T00:00:00"/>
    <n v="8121.07"/>
    <n v="4963.9629090909084"/>
    <s v="DEV2724"/>
    <x v="2"/>
    <x v="3"/>
    <x v="3"/>
    <s v="France"/>
    <s v="New Zealand"/>
    <s v="Delivered by Post"/>
    <x v="1"/>
    <x v="1"/>
    <x v="0"/>
  </r>
  <r>
    <s v="T1498"/>
    <x v="3"/>
    <n v="1"/>
    <x v="0"/>
    <x v="3"/>
    <d v="2025-01-07T00:00:00"/>
    <n v="146.74"/>
    <n v="4963.9629090909084"/>
    <s v="DEV2941"/>
    <x v="1"/>
    <x v="3"/>
    <x v="1"/>
    <s v="Norway"/>
    <s v="Canada"/>
    <s v="Picked Up"/>
    <x v="0"/>
    <x v="1"/>
    <x v="0"/>
  </r>
  <r>
    <s v="T1515"/>
    <x v="3"/>
    <n v="1"/>
    <x v="1"/>
    <x v="1"/>
    <d v="2025-11-17T00:00:00"/>
    <n v="1817.44"/>
    <n v="4963.9629090909084"/>
    <s v="DEV3216"/>
    <x v="3"/>
    <x v="0"/>
    <x v="1"/>
    <s v="Zimbabwe"/>
    <s v="France"/>
    <s v="Delivered by Post"/>
    <x v="0"/>
    <x v="0"/>
    <x v="0"/>
  </r>
  <r>
    <s v="T1587"/>
    <x v="3"/>
    <n v="1"/>
    <x v="0"/>
    <x v="2"/>
    <d v="2025-03-20T00:00:00"/>
    <n v="3893.86"/>
    <n v="4963.9629090909084"/>
    <s v="DEV8686"/>
    <x v="3"/>
    <x v="3"/>
    <x v="5"/>
    <s v="Zimbabwe"/>
    <s v="Norway"/>
    <s v="Picked Up"/>
    <x v="0"/>
    <x v="1"/>
    <x v="0"/>
  </r>
  <r>
    <s v="T1608"/>
    <x v="3"/>
    <n v="1"/>
    <x v="1"/>
    <x v="0"/>
    <d v="2025-12-19T00:00:00"/>
    <n v="2232.4299999999998"/>
    <n v="4963.9629090909084"/>
    <s v="DEV3754"/>
    <x v="1"/>
    <x v="0"/>
    <x v="2"/>
    <s v="New Zealand"/>
    <s v="Romania"/>
    <s v="Picked Up"/>
    <x v="0"/>
    <x v="0"/>
    <x v="0"/>
  </r>
  <r>
    <s v="T1727"/>
    <x v="3"/>
    <n v="1"/>
    <x v="1"/>
    <x v="1"/>
    <d v="2025-07-18T00:00:00"/>
    <n v="7371.21"/>
    <n v="4963.9629090909084"/>
    <s v="DEV1072"/>
    <x v="0"/>
    <x v="0"/>
    <x v="0"/>
    <s v="Romania"/>
    <s v="New Zealand"/>
    <s v="Picked Up"/>
    <x v="1"/>
    <x v="0"/>
    <x v="0"/>
  </r>
  <r>
    <s v="T1775"/>
    <x v="3"/>
    <n v="1"/>
    <x v="0"/>
    <x v="1"/>
    <d v="2025-02-04T00:00:00"/>
    <n v="9630.59"/>
    <n v="4963.9629090909084"/>
    <s v="DEV5670"/>
    <x v="1"/>
    <x v="0"/>
    <x v="3"/>
    <s v="Romania"/>
    <s v="Zimbabwe"/>
    <s v="Picked Up"/>
    <x v="1"/>
    <x v="0"/>
    <x v="0"/>
  </r>
  <r>
    <s v="T1821"/>
    <x v="3"/>
    <n v="1"/>
    <x v="1"/>
    <x v="2"/>
    <d v="2025-03-17T00:00:00"/>
    <n v="6541.1"/>
    <n v="4963.9629090909084"/>
    <s v="DEV2103"/>
    <x v="4"/>
    <x v="2"/>
    <x v="2"/>
    <s v="France"/>
    <s v="Zimbabwe"/>
    <s v="Picked Up"/>
    <x v="1"/>
    <x v="1"/>
    <x v="1"/>
  </r>
  <r>
    <s v="T1838"/>
    <x v="3"/>
    <n v="1"/>
    <x v="1"/>
    <x v="3"/>
    <d v="2025-05-15T00:00:00"/>
    <n v="9328.7800000000007"/>
    <n v="4963.9629090909084"/>
    <s v="DEV9243"/>
    <x v="2"/>
    <x v="0"/>
    <x v="4"/>
    <s v="Comoros"/>
    <s v="Canada"/>
    <s v="Delivered by Post"/>
    <x v="1"/>
    <x v="0"/>
    <x v="0"/>
  </r>
  <r>
    <s v="T1849"/>
    <x v="3"/>
    <n v="1"/>
    <x v="0"/>
    <x v="1"/>
    <d v="2025-08-26T00:00:00"/>
    <n v="6251.65"/>
    <n v="4963.9629090909084"/>
    <s v="DEV9077"/>
    <x v="4"/>
    <x v="3"/>
    <x v="1"/>
    <s v="France"/>
    <s v="Norway"/>
    <s v="Picked Up"/>
    <x v="1"/>
    <x v="1"/>
    <x v="1"/>
  </r>
  <r>
    <s v="T1868"/>
    <x v="3"/>
    <n v="1"/>
    <x v="1"/>
    <x v="3"/>
    <d v="2025-03-28T00:00:00"/>
    <n v="2418.5"/>
    <n v="4963.9629090909084"/>
    <s v="DEV9248"/>
    <x v="4"/>
    <x v="2"/>
    <x v="3"/>
    <s v="France"/>
    <s v="Zimbabwe"/>
    <s v="Picked Up"/>
    <x v="0"/>
    <x v="1"/>
    <x v="1"/>
  </r>
  <r>
    <s v="T1877"/>
    <x v="3"/>
    <n v="1"/>
    <x v="1"/>
    <x v="0"/>
    <d v="2025-07-18T00:00:00"/>
    <n v="3331.79"/>
    <n v="4963.9629090909084"/>
    <s v="DEV1810"/>
    <x v="0"/>
    <x v="0"/>
    <x v="3"/>
    <s v="Romania"/>
    <s v="France"/>
    <s v="Delivered by Post"/>
    <x v="0"/>
    <x v="0"/>
    <x v="0"/>
  </r>
  <r>
    <s v="T1904"/>
    <x v="3"/>
    <n v="1"/>
    <x v="1"/>
    <x v="1"/>
    <d v="2025-10-29T00:00:00"/>
    <n v="4574.08"/>
    <n v="4963.9629090909084"/>
    <s v="DEV3358"/>
    <x v="0"/>
    <x v="2"/>
    <x v="0"/>
    <s v="France"/>
    <s v="Turkmenistan"/>
    <s v="Delivered by Post"/>
    <x v="0"/>
    <x v="1"/>
    <x v="0"/>
  </r>
  <r>
    <s v="T1969"/>
    <x v="3"/>
    <n v="1"/>
    <x v="1"/>
    <x v="2"/>
    <d v="2025-08-20T00:00:00"/>
    <n v="354.72"/>
    <n v="4963.9629090909084"/>
    <s v="DEV7584"/>
    <x v="3"/>
    <x v="3"/>
    <x v="1"/>
    <s v="Turkmenistan"/>
    <s v="France"/>
    <s v="Picked Up"/>
    <x v="0"/>
    <x v="1"/>
    <x v="0"/>
  </r>
  <r>
    <s v="T2046"/>
    <x v="3"/>
    <n v="1"/>
    <x v="0"/>
    <x v="1"/>
    <d v="2025-02-03T00:00:00"/>
    <n v="615.79999999999995"/>
    <n v="4963.9629090909084"/>
    <s v="DEV8264"/>
    <x v="2"/>
    <x v="0"/>
    <x v="3"/>
    <s v="Canada"/>
    <s v="France"/>
    <s v="Picked Up"/>
    <x v="0"/>
    <x v="0"/>
    <x v="0"/>
  </r>
  <r>
    <s v="T2096"/>
    <x v="3"/>
    <n v="1"/>
    <x v="0"/>
    <x v="0"/>
    <d v="2025-02-20T00:00:00"/>
    <n v="1050.47"/>
    <n v="4963.9629090909084"/>
    <s v="DEV9772"/>
    <x v="2"/>
    <x v="2"/>
    <x v="1"/>
    <s v="Romania"/>
    <s v="Norway"/>
    <s v="Picked Up"/>
    <x v="0"/>
    <x v="1"/>
    <x v="0"/>
  </r>
  <r>
    <s v="T2258"/>
    <x v="3"/>
    <n v="1"/>
    <x v="1"/>
    <x v="0"/>
    <d v="2025-03-08T00:00:00"/>
    <n v="9466.2099999999991"/>
    <n v="4963.9629090909084"/>
    <s v="DEV7872"/>
    <x v="3"/>
    <x v="2"/>
    <x v="3"/>
    <s v="Canada"/>
    <s v="Bhutan"/>
    <s v="Picked Up"/>
    <x v="1"/>
    <x v="1"/>
    <x v="0"/>
  </r>
  <r>
    <s v="T2309"/>
    <x v="3"/>
    <n v="1"/>
    <x v="1"/>
    <x v="0"/>
    <d v="2025-11-25T00:00:00"/>
    <n v="7698.03"/>
    <n v="4963.9629090909084"/>
    <s v="DEV6679"/>
    <x v="4"/>
    <x v="2"/>
    <x v="4"/>
    <s v="Comoros"/>
    <s v="Zimbabwe"/>
    <s v="Delivered by Post"/>
    <x v="1"/>
    <x v="1"/>
    <x v="1"/>
  </r>
  <r>
    <s v="T2408"/>
    <x v="3"/>
    <n v="1"/>
    <x v="1"/>
    <x v="3"/>
    <d v="2025-11-10T00:00:00"/>
    <n v="2111.6999999999998"/>
    <n v="4963.9629090909084"/>
    <s v="DEV8489"/>
    <x v="0"/>
    <x v="1"/>
    <x v="0"/>
    <s v="Zimbabwe"/>
    <s v="Bhutan"/>
    <s v="Picked Up"/>
    <x v="0"/>
    <x v="0"/>
    <x v="0"/>
  </r>
  <r>
    <s v="T2478"/>
    <x v="3"/>
    <n v="1"/>
    <x v="1"/>
    <x v="1"/>
    <d v="2025-07-03T00:00:00"/>
    <n v="8272.44"/>
    <n v="4963.9629090909084"/>
    <s v="DEV8524"/>
    <x v="3"/>
    <x v="2"/>
    <x v="2"/>
    <s v="Bhutan"/>
    <s v="Romania"/>
    <s v="Picked Up"/>
    <x v="1"/>
    <x v="1"/>
    <x v="0"/>
  </r>
  <r>
    <s v="T2480"/>
    <x v="3"/>
    <n v="1"/>
    <x v="0"/>
    <x v="0"/>
    <d v="2025-06-26T00:00:00"/>
    <n v="4274.03"/>
    <n v="4963.9629090909084"/>
    <s v="DEV5602"/>
    <x v="0"/>
    <x v="1"/>
    <x v="4"/>
    <s v="Romania"/>
    <s v="Norway"/>
    <s v="Picked Up"/>
    <x v="0"/>
    <x v="0"/>
    <x v="0"/>
  </r>
  <r>
    <s v="T2661"/>
    <x v="3"/>
    <n v="1"/>
    <x v="1"/>
    <x v="3"/>
    <d v="2025-01-28T00:00:00"/>
    <n v="2304.2399999999998"/>
    <n v="4963.9629090909084"/>
    <s v="DEV2053"/>
    <x v="3"/>
    <x v="1"/>
    <x v="4"/>
    <s v="France"/>
    <s v="Turkmenistan"/>
    <s v="Delivered by Post"/>
    <x v="0"/>
    <x v="0"/>
    <x v="0"/>
  </r>
  <r>
    <s v="T2686"/>
    <x v="3"/>
    <n v="1"/>
    <x v="0"/>
    <x v="2"/>
    <d v="2025-11-07T00:00:00"/>
    <n v="6872.03"/>
    <n v="4963.9629090909084"/>
    <s v="DEV4099"/>
    <x v="3"/>
    <x v="0"/>
    <x v="4"/>
    <s v="Romania"/>
    <s v="Bhutan"/>
    <s v="Delivered by Post"/>
    <x v="1"/>
    <x v="0"/>
    <x v="0"/>
  </r>
  <r>
    <s v="T2706"/>
    <x v="3"/>
    <n v="1"/>
    <x v="0"/>
    <x v="2"/>
    <d v="2025-10-30T00:00:00"/>
    <n v="6208.06"/>
    <n v="4963.9629090909084"/>
    <s v="DEV7113"/>
    <x v="0"/>
    <x v="3"/>
    <x v="4"/>
    <s v="Norway"/>
    <s v="France"/>
    <s v="Picked Up"/>
    <x v="1"/>
    <x v="1"/>
    <x v="0"/>
  </r>
  <r>
    <s v="T2715"/>
    <x v="3"/>
    <n v="1"/>
    <x v="1"/>
    <x v="0"/>
    <d v="2025-07-20T00:00:00"/>
    <n v="4442.8900000000003"/>
    <n v="4963.9629090909084"/>
    <s v="DEV6526"/>
    <x v="3"/>
    <x v="0"/>
    <x v="1"/>
    <s v="Zimbabwe"/>
    <s v="Norway"/>
    <s v="Picked Up"/>
    <x v="0"/>
    <x v="0"/>
    <x v="0"/>
  </r>
  <r>
    <s v="T2757"/>
    <x v="3"/>
    <n v="1"/>
    <x v="0"/>
    <x v="3"/>
    <d v="2025-04-11T00:00:00"/>
    <n v="7401.87"/>
    <n v="4963.9629090909084"/>
    <s v="DEV5572"/>
    <x v="3"/>
    <x v="0"/>
    <x v="3"/>
    <s v="New Zealand"/>
    <s v="New Zealand"/>
    <s v="Delivered by Post"/>
    <x v="1"/>
    <x v="1"/>
    <x v="0"/>
  </r>
  <r>
    <s v="T2794"/>
    <x v="3"/>
    <n v="1"/>
    <x v="1"/>
    <x v="3"/>
    <d v="2025-11-07T00:00:00"/>
    <n v="8942.5499999999993"/>
    <n v="4963.9629090909084"/>
    <s v="DEV1439"/>
    <x v="2"/>
    <x v="2"/>
    <x v="4"/>
    <s v="Turkmenistan"/>
    <s v="Canada"/>
    <s v="Picked Up"/>
    <x v="1"/>
    <x v="1"/>
    <x v="0"/>
  </r>
  <r>
    <s v="T0065"/>
    <x v="4"/>
    <n v="1"/>
    <x v="2"/>
    <x v="1"/>
    <d v="2025-04-27T04:28:00"/>
    <n v="3286.08"/>
    <n v="4446.326724137929"/>
    <s v="DEV3243"/>
    <x v="1"/>
    <x v="3"/>
    <x v="2"/>
    <s v="Jamaica"/>
    <s v="Israel"/>
    <s v="Delivered by Post"/>
    <x v="0"/>
    <x v="1"/>
    <x v="0"/>
  </r>
  <r>
    <s v="T0122"/>
    <x v="4"/>
    <n v="1"/>
    <x v="0"/>
    <x v="3"/>
    <d v="2025-02-05T00:00:00"/>
    <n v="5399.46"/>
    <n v="4446.326724137929"/>
    <s v="DEV7054"/>
    <x v="4"/>
    <x v="2"/>
    <x v="4"/>
    <s v="Turkmenistan"/>
    <s v="France"/>
    <s v="Picked Up"/>
    <x v="1"/>
    <x v="1"/>
    <x v="1"/>
  </r>
  <r>
    <s v="T0166"/>
    <x v="4"/>
    <n v="1"/>
    <x v="1"/>
    <x v="3"/>
    <d v="2025-09-17T00:00:00"/>
    <n v="2798.66"/>
    <n v="4446.326724137929"/>
    <s v="DEV1042"/>
    <x v="4"/>
    <x v="3"/>
    <x v="5"/>
    <s v="Comoros"/>
    <s v="Norway"/>
    <s v="Delivered by Post"/>
    <x v="0"/>
    <x v="1"/>
    <x v="1"/>
  </r>
  <r>
    <s v="T0202"/>
    <x v="4"/>
    <n v="1"/>
    <x v="1"/>
    <x v="0"/>
    <d v="2025-06-30T00:00:00"/>
    <n v="4715.76"/>
    <n v="4446.326724137929"/>
    <s v="DEV2215"/>
    <x v="4"/>
    <x v="1"/>
    <x v="4"/>
    <s v="Canada"/>
    <s v="Canada"/>
    <s v="Delivered by Post"/>
    <x v="1"/>
    <x v="1"/>
    <x v="0"/>
  </r>
  <r>
    <s v="T0257"/>
    <x v="4"/>
    <n v="1"/>
    <x v="0"/>
    <x v="1"/>
    <d v="2025-03-26T00:00:00"/>
    <n v="9176.58"/>
    <n v="4446.326724137929"/>
    <s v="DEV9525"/>
    <x v="0"/>
    <x v="0"/>
    <x v="3"/>
    <s v="Romania"/>
    <s v="Comoros"/>
    <s v="Picked Up"/>
    <x v="1"/>
    <x v="0"/>
    <x v="0"/>
  </r>
  <r>
    <s v="T0286"/>
    <x v="4"/>
    <n v="1"/>
    <x v="1"/>
    <x v="1"/>
    <d v="2025-08-23T00:00:00"/>
    <n v="3643.19"/>
    <n v="4446.326724137929"/>
    <s v="DEV3219"/>
    <x v="4"/>
    <x v="0"/>
    <x v="4"/>
    <s v="New Zealand"/>
    <s v="Bhutan"/>
    <s v="Delivered by Post"/>
    <x v="0"/>
    <x v="0"/>
    <x v="1"/>
  </r>
  <r>
    <s v="T0374"/>
    <x v="4"/>
    <n v="1"/>
    <x v="1"/>
    <x v="2"/>
    <d v="2025-09-24T00:00:00"/>
    <n v="8247.25"/>
    <n v="4446.326724137929"/>
    <s v="DEV9587"/>
    <x v="4"/>
    <x v="1"/>
    <x v="3"/>
    <s v="Norway"/>
    <s v="New Zealand"/>
    <s v="Delivered by Post"/>
    <x v="1"/>
    <x v="0"/>
    <x v="1"/>
  </r>
  <r>
    <s v="T0439"/>
    <x v="4"/>
    <n v="1"/>
    <x v="1"/>
    <x v="3"/>
    <d v="2025-04-22T00:00:00"/>
    <n v="5567.79"/>
    <n v="4446.326724137929"/>
    <s v="DEV5408"/>
    <x v="3"/>
    <x v="2"/>
    <x v="4"/>
    <s v="Romania"/>
    <s v="Romania"/>
    <s v="Picked Up"/>
    <x v="1"/>
    <x v="1"/>
    <x v="0"/>
  </r>
  <r>
    <s v="T0449"/>
    <x v="4"/>
    <n v="1"/>
    <x v="1"/>
    <x v="3"/>
    <d v="2025-12-01T00:00:00"/>
    <n v="837.16"/>
    <n v="4446.326724137929"/>
    <s v="DEV5382"/>
    <x v="2"/>
    <x v="1"/>
    <x v="1"/>
    <s v="Comoros"/>
    <s v="New Zealand"/>
    <s v="Delivered by Post"/>
    <x v="0"/>
    <x v="0"/>
    <x v="0"/>
  </r>
  <r>
    <s v="T0510"/>
    <x v="4"/>
    <n v="1"/>
    <x v="1"/>
    <x v="0"/>
    <d v="2025-02-28T00:00:00"/>
    <n v="3112.34"/>
    <n v="4446.326724137929"/>
    <s v="DEV6460"/>
    <x v="4"/>
    <x v="1"/>
    <x v="3"/>
    <s v="Canada"/>
    <s v="Norway"/>
    <s v="Picked Up"/>
    <x v="0"/>
    <x v="0"/>
    <x v="1"/>
  </r>
  <r>
    <s v="T0519"/>
    <x v="4"/>
    <n v="1"/>
    <x v="1"/>
    <x v="0"/>
    <d v="2025-03-08T00:00:00"/>
    <n v="3148.21"/>
    <n v="4446.326724137929"/>
    <s v="DEV8712"/>
    <x v="1"/>
    <x v="0"/>
    <x v="4"/>
    <s v="Canada"/>
    <s v="Zimbabwe"/>
    <s v="Delivered by Post"/>
    <x v="0"/>
    <x v="0"/>
    <x v="0"/>
  </r>
  <r>
    <s v="T0562"/>
    <x v="4"/>
    <n v="1"/>
    <x v="1"/>
    <x v="2"/>
    <d v="2025-04-12T00:00:00"/>
    <n v="8956.0400000000009"/>
    <n v="4446.326724137929"/>
    <s v="DEV6336"/>
    <x v="3"/>
    <x v="0"/>
    <x v="1"/>
    <s v="Romania"/>
    <s v="Zimbabwe"/>
    <s v="Picked Up"/>
    <x v="1"/>
    <x v="0"/>
    <x v="0"/>
  </r>
  <r>
    <s v="T0597"/>
    <x v="4"/>
    <n v="1"/>
    <x v="0"/>
    <x v="0"/>
    <d v="2025-11-05T00:00:00"/>
    <n v="3051.38"/>
    <n v="4446.326724137929"/>
    <s v="DEV4277"/>
    <x v="3"/>
    <x v="3"/>
    <x v="2"/>
    <s v="Zimbabwe"/>
    <s v="Norway"/>
    <s v="Delivered by Post"/>
    <x v="0"/>
    <x v="1"/>
    <x v="0"/>
  </r>
  <r>
    <s v="T0699"/>
    <x v="4"/>
    <n v="1"/>
    <x v="1"/>
    <x v="3"/>
    <d v="2025-02-02T00:00:00"/>
    <n v="9174.1"/>
    <n v="4446.326724137929"/>
    <s v="DEV2584"/>
    <x v="1"/>
    <x v="1"/>
    <x v="4"/>
    <s v="Canada"/>
    <s v="New Zealand"/>
    <s v="Delivered by Post"/>
    <x v="1"/>
    <x v="0"/>
    <x v="0"/>
  </r>
  <r>
    <s v="T0719"/>
    <x v="4"/>
    <n v="1"/>
    <x v="1"/>
    <x v="1"/>
    <d v="2025-12-12T00:00:00"/>
    <n v="3634.36"/>
    <n v="4446.326724137929"/>
    <s v="DEV5096"/>
    <x v="4"/>
    <x v="3"/>
    <x v="0"/>
    <s v="Norway"/>
    <s v="Turkmenistan"/>
    <s v="Delivered by Post"/>
    <x v="0"/>
    <x v="1"/>
    <x v="1"/>
  </r>
  <r>
    <s v="T0735"/>
    <x v="4"/>
    <n v="1"/>
    <x v="1"/>
    <x v="1"/>
    <d v="2025-08-14T00:00:00"/>
    <n v="6730.35"/>
    <n v="4446.326724137929"/>
    <s v="DEV3915"/>
    <x v="3"/>
    <x v="0"/>
    <x v="3"/>
    <s v="Turkmenistan"/>
    <s v="Romania"/>
    <s v="Delivered by Post"/>
    <x v="1"/>
    <x v="0"/>
    <x v="0"/>
  </r>
  <r>
    <s v="T0779"/>
    <x v="4"/>
    <n v="1"/>
    <x v="0"/>
    <x v="1"/>
    <d v="2025-12-04T00:00:00"/>
    <n v="5213.07"/>
    <n v="4446.326724137929"/>
    <s v="DEV3960"/>
    <x v="2"/>
    <x v="2"/>
    <x v="2"/>
    <s v="Turkmenistan"/>
    <s v="Comoros"/>
    <s v="Delivered by Post"/>
    <x v="1"/>
    <x v="1"/>
    <x v="0"/>
  </r>
  <r>
    <s v="T0786"/>
    <x v="4"/>
    <n v="1"/>
    <x v="1"/>
    <x v="3"/>
    <d v="2025-03-16T00:00:00"/>
    <n v="3327.11"/>
    <n v="4446.326724137929"/>
    <s v="DEV5483"/>
    <x v="1"/>
    <x v="0"/>
    <x v="4"/>
    <s v="Romania"/>
    <s v="Bhutan"/>
    <s v="Picked Up"/>
    <x v="0"/>
    <x v="0"/>
    <x v="0"/>
  </r>
  <r>
    <s v="T0819"/>
    <x v="4"/>
    <n v="1"/>
    <x v="1"/>
    <x v="2"/>
    <d v="2025-02-21T00:00:00"/>
    <n v="1478.05"/>
    <n v="4446.326724137929"/>
    <s v="DEV9630"/>
    <x v="3"/>
    <x v="0"/>
    <x v="5"/>
    <s v="Zimbabwe"/>
    <s v="Bhutan"/>
    <s v="Delivered by Post"/>
    <x v="0"/>
    <x v="0"/>
    <x v="0"/>
  </r>
  <r>
    <s v="T0846"/>
    <x v="4"/>
    <n v="1"/>
    <x v="0"/>
    <x v="3"/>
    <d v="2025-08-27T00:00:00"/>
    <n v="2269.36"/>
    <n v="4446.326724137929"/>
    <s v="DEV9767"/>
    <x v="0"/>
    <x v="0"/>
    <x v="2"/>
    <s v="Norway"/>
    <s v="Zimbabwe"/>
    <s v="Delivered by Post"/>
    <x v="0"/>
    <x v="0"/>
    <x v="0"/>
  </r>
  <r>
    <s v="T0865"/>
    <x v="4"/>
    <n v="1"/>
    <x v="0"/>
    <x v="2"/>
    <d v="2025-02-21T00:00:00"/>
    <n v="4967.74"/>
    <n v="4446.326724137929"/>
    <s v="DEV1359"/>
    <x v="0"/>
    <x v="0"/>
    <x v="4"/>
    <s v="Zimbabwe"/>
    <s v="Romania"/>
    <s v="Delivered by Post"/>
    <x v="1"/>
    <x v="0"/>
    <x v="0"/>
  </r>
  <r>
    <s v="T0880"/>
    <x v="4"/>
    <n v="1"/>
    <x v="1"/>
    <x v="3"/>
    <d v="2025-12-24T00:00:00"/>
    <n v="2674.08"/>
    <n v="4446.326724137929"/>
    <s v="DEV3257"/>
    <x v="2"/>
    <x v="1"/>
    <x v="2"/>
    <s v="Norway"/>
    <s v="New Zealand"/>
    <s v="Picked Up"/>
    <x v="0"/>
    <x v="0"/>
    <x v="0"/>
  </r>
  <r>
    <s v="T0969"/>
    <x v="4"/>
    <n v="1"/>
    <x v="1"/>
    <x v="0"/>
    <d v="2025-01-08T00:00:00"/>
    <n v="5069.87"/>
    <n v="4446.326724137929"/>
    <s v="DEV9875"/>
    <x v="2"/>
    <x v="2"/>
    <x v="2"/>
    <s v="Bhutan"/>
    <s v="Romania"/>
    <s v="Delivered by Post"/>
    <x v="1"/>
    <x v="1"/>
    <x v="0"/>
  </r>
  <r>
    <s v="T1019"/>
    <x v="4"/>
    <n v="1"/>
    <x v="1"/>
    <x v="2"/>
    <d v="2025-11-22T00:00:00"/>
    <n v="6133.29"/>
    <n v="4446.326724137929"/>
    <s v="DEV6386"/>
    <x v="2"/>
    <x v="1"/>
    <x v="4"/>
    <s v="Turkmenistan"/>
    <s v="Canada"/>
    <s v="Delivered by Post"/>
    <x v="1"/>
    <x v="0"/>
    <x v="0"/>
  </r>
  <r>
    <s v="T1081"/>
    <x v="4"/>
    <n v="1"/>
    <x v="1"/>
    <x v="1"/>
    <d v="2025-11-10T00:00:00"/>
    <n v="2550.73"/>
    <n v="4446.326724137929"/>
    <s v="DEV2094"/>
    <x v="1"/>
    <x v="1"/>
    <x v="0"/>
    <s v="Norway"/>
    <s v="Comoros"/>
    <s v="Picked Up"/>
    <x v="0"/>
    <x v="0"/>
    <x v="0"/>
  </r>
  <r>
    <s v="T1145"/>
    <x v="4"/>
    <n v="1"/>
    <x v="0"/>
    <x v="0"/>
    <d v="2025-01-05T00:00:00"/>
    <n v="1582.36"/>
    <n v="4446.326724137929"/>
    <s v="DEV1220"/>
    <x v="4"/>
    <x v="0"/>
    <x v="0"/>
    <s v="Comoros"/>
    <s v="New Zealand"/>
    <s v="Picked Up"/>
    <x v="0"/>
    <x v="0"/>
    <x v="1"/>
  </r>
  <r>
    <s v="T1168"/>
    <x v="4"/>
    <n v="1"/>
    <x v="0"/>
    <x v="1"/>
    <d v="2025-02-17T00:00:00"/>
    <n v="1442.12"/>
    <n v="4446.326724137929"/>
    <s v="DEV6850"/>
    <x v="4"/>
    <x v="0"/>
    <x v="4"/>
    <s v="New Zealand"/>
    <s v="Zimbabwe"/>
    <s v="Delivered by Post"/>
    <x v="0"/>
    <x v="0"/>
    <x v="1"/>
  </r>
  <r>
    <s v="T1200"/>
    <x v="4"/>
    <n v="1"/>
    <x v="1"/>
    <x v="2"/>
    <d v="2025-07-25T00:00:00"/>
    <n v="698.49"/>
    <n v="4446.326724137929"/>
    <s v="DEV4985"/>
    <x v="3"/>
    <x v="0"/>
    <x v="2"/>
    <s v="Norway"/>
    <s v="Zimbabwe"/>
    <s v="Picked Up"/>
    <x v="0"/>
    <x v="0"/>
    <x v="0"/>
  </r>
  <r>
    <s v="T1241"/>
    <x v="4"/>
    <n v="1"/>
    <x v="1"/>
    <x v="0"/>
    <d v="2025-04-23T00:00:00"/>
    <n v="1675.74"/>
    <n v="4446.326724137929"/>
    <s v="DEV3713"/>
    <x v="0"/>
    <x v="0"/>
    <x v="2"/>
    <s v="Comoros"/>
    <s v="New Zealand"/>
    <s v="Delivered by Post"/>
    <x v="0"/>
    <x v="0"/>
    <x v="0"/>
  </r>
  <r>
    <s v="T1264"/>
    <x v="4"/>
    <n v="1"/>
    <x v="0"/>
    <x v="1"/>
    <d v="2025-02-03T00:00:00"/>
    <n v="9829"/>
    <n v="4446.326724137929"/>
    <s v="DEV3932"/>
    <x v="1"/>
    <x v="1"/>
    <x v="1"/>
    <s v="Zimbabwe"/>
    <s v="Turkmenistan"/>
    <s v="Delivered by Post"/>
    <x v="1"/>
    <x v="0"/>
    <x v="0"/>
  </r>
  <r>
    <s v="T1326"/>
    <x v="4"/>
    <n v="1"/>
    <x v="1"/>
    <x v="2"/>
    <d v="2025-02-09T00:00:00"/>
    <n v="2439.42"/>
    <n v="4446.326724137929"/>
    <s v="DEV5180"/>
    <x v="1"/>
    <x v="3"/>
    <x v="0"/>
    <s v="Turkmenistan"/>
    <s v="Turkmenistan"/>
    <s v="Delivered by Post"/>
    <x v="0"/>
    <x v="1"/>
    <x v="0"/>
  </r>
  <r>
    <s v="T1347"/>
    <x v="4"/>
    <n v="1"/>
    <x v="1"/>
    <x v="1"/>
    <d v="2025-02-15T00:00:00"/>
    <n v="9704.4500000000007"/>
    <n v="4446.326724137929"/>
    <s v="DEV6147"/>
    <x v="4"/>
    <x v="2"/>
    <x v="0"/>
    <s v="New Zealand"/>
    <s v="Bhutan"/>
    <s v="Picked Up"/>
    <x v="1"/>
    <x v="1"/>
    <x v="1"/>
  </r>
  <r>
    <s v="T1441"/>
    <x v="4"/>
    <n v="1"/>
    <x v="0"/>
    <x v="1"/>
    <d v="2025-11-02T00:00:00"/>
    <n v="4771.08"/>
    <n v="4446.326724137929"/>
    <s v="DEV7469"/>
    <x v="3"/>
    <x v="1"/>
    <x v="1"/>
    <s v="Romania"/>
    <s v="Bhutan"/>
    <s v="Picked Up"/>
    <x v="1"/>
    <x v="0"/>
    <x v="0"/>
  </r>
  <r>
    <s v="T1541"/>
    <x v="4"/>
    <n v="1"/>
    <x v="0"/>
    <x v="0"/>
    <d v="2025-08-06T00:00:00"/>
    <n v="3126.43"/>
    <n v="4446.326724137929"/>
    <s v="DEV5933"/>
    <x v="3"/>
    <x v="0"/>
    <x v="0"/>
    <s v="Bhutan"/>
    <s v="Turkmenistan"/>
    <s v="Picked Up"/>
    <x v="0"/>
    <x v="0"/>
    <x v="0"/>
  </r>
  <r>
    <s v="T1555"/>
    <x v="4"/>
    <n v="1"/>
    <x v="1"/>
    <x v="3"/>
    <d v="2025-08-08T00:00:00"/>
    <n v="821.06"/>
    <n v="4446.326724137929"/>
    <s v="DEV1277"/>
    <x v="2"/>
    <x v="0"/>
    <x v="5"/>
    <s v="Bhutan"/>
    <s v="Romania"/>
    <s v="Delivered by Post"/>
    <x v="0"/>
    <x v="0"/>
    <x v="0"/>
  </r>
  <r>
    <s v="T1557"/>
    <x v="4"/>
    <n v="1"/>
    <x v="0"/>
    <x v="1"/>
    <d v="2025-12-05T00:00:00"/>
    <n v="6246.36"/>
    <n v="4446.326724137929"/>
    <s v="DEV3452"/>
    <x v="4"/>
    <x v="0"/>
    <x v="0"/>
    <s v="Romania"/>
    <s v="Bhutan"/>
    <s v="Delivered by Post"/>
    <x v="1"/>
    <x v="0"/>
    <x v="1"/>
  </r>
  <r>
    <s v="T1662"/>
    <x v="4"/>
    <n v="1"/>
    <x v="1"/>
    <x v="3"/>
    <d v="2025-11-21T00:00:00"/>
    <n v="397.87"/>
    <n v="4446.326724137929"/>
    <s v="DEV6484"/>
    <x v="2"/>
    <x v="3"/>
    <x v="4"/>
    <s v="France"/>
    <s v="Canada"/>
    <s v="Delivered by Post"/>
    <x v="0"/>
    <x v="1"/>
    <x v="0"/>
  </r>
  <r>
    <s v="T1748"/>
    <x v="4"/>
    <n v="1"/>
    <x v="0"/>
    <x v="1"/>
    <d v="2025-02-11T00:00:00"/>
    <n v="4533.24"/>
    <n v="4446.326724137929"/>
    <s v="DEV4178"/>
    <x v="0"/>
    <x v="0"/>
    <x v="1"/>
    <s v="Canada"/>
    <s v="Canada"/>
    <s v="Delivered by Post"/>
    <x v="1"/>
    <x v="1"/>
    <x v="0"/>
  </r>
  <r>
    <s v="T1783"/>
    <x v="4"/>
    <n v="1"/>
    <x v="0"/>
    <x v="2"/>
    <d v="2025-01-11T00:00:00"/>
    <n v="4760.1499999999996"/>
    <n v="4446.326724137929"/>
    <s v="DEV9100"/>
    <x v="2"/>
    <x v="2"/>
    <x v="0"/>
    <s v="France"/>
    <s v="Norway"/>
    <s v="Picked Up"/>
    <x v="1"/>
    <x v="1"/>
    <x v="0"/>
  </r>
  <r>
    <s v="T1827"/>
    <x v="4"/>
    <n v="1"/>
    <x v="1"/>
    <x v="2"/>
    <d v="2025-02-19T00:00:00"/>
    <n v="6583.65"/>
    <n v="4446.326724137929"/>
    <s v="DEV1849"/>
    <x v="0"/>
    <x v="1"/>
    <x v="4"/>
    <s v="Romania"/>
    <s v="Norway"/>
    <s v="Picked Up"/>
    <x v="1"/>
    <x v="0"/>
    <x v="0"/>
  </r>
  <r>
    <s v="T1831"/>
    <x v="4"/>
    <n v="1"/>
    <x v="1"/>
    <x v="0"/>
    <d v="2025-12-19T00:00:00"/>
    <n v="7785.05"/>
    <n v="4446.326724137929"/>
    <s v="DEV6853"/>
    <x v="1"/>
    <x v="1"/>
    <x v="3"/>
    <s v="Romania"/>
    <s v="Norway"/>
    <s v="Delivered by Post"/>
    <x v="1"/>
    <x v="0"/>
    <x v="0"/>
  </r>
  <r>
    <s v="T1929"/>
    <x v="4"/>
    <n v="1"/>
    <x v="1"/>
    <x v="0"/>
    <d v="2025-07-11T00:00:00"/>
    <n v="2564.27"/>
    <n v="4446.326724137929"/>
    <s v="DEV8900"/>
    <x v="4"/>
    <x v="2"/>
    <x v="0"/>
    <s v="New Zealand"/>
    <s v="Zimbabwe"/>
    <s v="Picked Up"/>
    <x v="0"/>
    <x v="1"/>
    <x v="1"/>
  </r>
  <r>
    <s v="T2050"/>
    <x v="4"/>
    <n v="1"/>
    <x v="0"/>
    <x v="0"/>
    <d v="2025-06-28T00:00:00"/>
    <n v="9935.41"/>
    <n v="4446.326724137929"/>
    <s v="DEV9986"/>
    <x v="3"/>
    <x v="2"/>
    <x v="2"/>
    <s v="Bhutan"/>
    <s v="Comoros"/>
    <s v="Picked Up"/>
    <x v="1"/>
    <x v="1"/>
    <x v="0"/>
  </r>
  <r>
    <s v="T2095"/>
    <x v="4"/>
    <n v="1"/>
    <x v="0"/>
    <x v="2"/>
    <d v="2025-03-30T00:00:00"/>
    <n v="8892.2199999999993"/>
    <n v="4446.326724137929"/>
    <s v="DEV1794"/>
    <x v="4"/>
    <x v="0"/>
    <x v="0"/>
    <s v="Romania"/>
    <s v="France"/>
    <s v="Delivered by Post"/>
    <x v="1"/>
    <x v="0"/>
    <x v="1"/>
  </r>
  <r>
    <s v="T2160"/>
    <x v="4"/>
    <n v="1"/>
    <x v="1"/>
    <x v="3"/>
    <d v="2025-08-04T00:00:00"/>
    <n v="646.29999999999995"/>
    <n v="4446.326724137929"/>
    <s v="DEV2288"/>
    <x v="2"/>
    <x v="1"/>
    <x v="1"/>
    <s v="Zimbabwe"/>
    <s v="Zimbabwe"/>
    <s v="Picked Up"/>
    <x v="0"/>
    <x v="1"/>
    <x v="0"/>
  </r>
  <r>
    <s v="T2169"/>
    <x v="4"/>
    <n v="1"/>
    <x v="0"/>
    <x v="3"/>
    <d v="2025-09-21T00:00:00"/>
    <n v="5079.55"/>
    <n v="4446.326724137929"/>
    <s v="DEV4204"/>
    <x v="4"/>
    <x v="1"/>
    <x v="1"/>
    <s v="Turkmenistan"/>
    <s v="Zimbabwe"/>
    <s v="Delivered by Post"/>
    <x v="1"/>
    <x v="0"/>
    <x v="1"/>
  </r>
  <r>
    <s v="T2209"/>
    <x v="4"/>
    <n v="1"/>
    <x v="1"/>
    <x v="3"/>
    <d v="2025-02-19T00:00:00"/>
    <n v="1574.11"/>
    <n v="4446.326724137929"/>
    <s v="DEV3706"/>
    <x v="4"/>
    <x v="2"/>
    <x v="3"/>
    <s v="Zimbabwe"/>
    <s v="Bhutan"/>
    <s v="Delivered by Post"/>
    <x v="0"/>
    <x v="1"/>
    <x v="1"/>
  </r>
  <r>
    <s v="T2274"/>
    <x v="4"/>
    <n v="1"/>
    <x v="1"/>
    <x v="0"/>
    <d v="2025-11-14T00:00:00"/>
    <n v="2715.52"/>
    <n v="4446.326724137929"/>
    <s v="DEV8541"/>
    <x v="1"/>
    <x v="0"/>
    <x v="1"/>
    <s v="Canada"/>
    <s v="Zimbabwe"/>
    <s v="Delivered by Post"/>
    <x v="0"/>
    <x v="0"/>
    <x v="0"/>
  </r>
  <r>
    <s v="T2355"/>
    <x v="4"/>
    <n v="1"/>
    <x v="0"/>
    <x v="0"/>
    <d v="2025-03-21T00:00:00"/>
    <n v="6398.85"/>
    <n v="4446.326724137929"/>
    <s v="DEV7774"/>
    <x v="4"/>
    <x v="0"/>
    <x v="3"/>
    <s v="Bhutan"/>
    <s v="Romania"/>
    <s v="Delivered by Post"/>
    <x v="1"/>
    <x v="0"/>
    <x v="1"/>
  </r>
  <r>
    <s v="T2369"/>
    <x v="4"/>
    <n v="1"/>
    <x v="1"/>
    <x v="1"/>
    <d v="2025-10-06T00:00:00"/>
    <n v="6190.97"/>
    <n v="4446.326724137929"/>
    <s v="DEV5151"/>
    <x v="1"/>
    <x v="1"/>
    <x v="3"/>
    <s v="Norway"/>
    <s v="Comoros"/>
    <s v="Delivered by Post"/>
    <x v="1"/>
    <x v="0"/>
    <x v="0"/>
  </r>
  <r>
    <s v="T2438"/>
    <x v="4"/>
    <n v="1"/>
    <x v="0"/>
    <x v="1"/>
    <d v="2025-08-01T00:00:00"/>
    <n v="2394.2199999999998"/>
    <n v="4446.326724137929"/>
    <s v="DEV6378"/>
    <x v="2"/>
    <x v="1"/>
    <x v="0"/>
    <s v="Comoros"/>
    <s v="New Zealand"/>
    <s v="Picked Up"/>
    <x v="0"/>
    <x v="0"/>
    <x v="0"/>
  </r>
  <r>
    <s v="T2490"/>
    <x v="4"/>
    <n v="1"/>
    <x v="0"/>
    <x v="0"/>
    <d v="2025-06-07T00:00:00"/>
    <n v="773.28"/>
    <n v="4446.326724137929"/>
    <s v="DEV1508"/>
    <x v="3"/>
    <x v="1"/>
    <x v="2"/>
    <s v="Zimbabwe"/>
    <s v="Turkmenistan"/>
    <s v="Picked Up"/>
    <x v="0"/>
    <x v="0"/>
    <x v="0"/>
  </r>
  <r>
    <s v="T2672"/>
    <x v="4"/>
    <n v="1"/>
    <x v="0"/>
    <x v="0"/>
    <d v="2025-07-25T00:00:00"/>
    <n v="157.85"/>
    <n v="4446.326724137929"/>
    <s v="DEV8467"/>
    <x v="4"/>
    <x v="3"/>
    <x v="0"/>
    <s v="Comoros"/>
    <s v="Zimbabwe"/>
    <s v="Delivered by Post"/>
    <x v="0"/>
    <x v="1"/>
    <x v="1"/>
  </r>
  <r>
    <s v="T2769"/>
    <x v="4"/>
    <n v="1"/>
    <x v="0"/>
    <x v="0"/>
    <d v="2025-10-31T00:00:00"/>
    <n v="8225.11"/>
    <n v="4446.326724137929"/>
    <s v="DEV3252"/>
    <x v="1"/>
    <x v="1"/>
    <x v="2"/>
    <s v="Comoros"/>
    <s v="Zimbabwe"/>
    <s v="Picked Up"/>
    <x v="1"/>
    <x v="0"/>
    <x v="0"/>
  </r>
  <r>
    <s v="T2805"/>
    <x v="4"/>
    <n v="1"/>
    <x v="0"/>
    <x v="0"/>
    <d v="2025-08-09T00:00:00"/>
    <n v="9671.7999999999993"/>
    <n v="4446.326724137929"/>
    <s v="DEV5357"/>
    <x v="4"/>
    <x v="2"/>
    <x v="1"/>
    <s v="Romania"/>
    <s v="Comoros"/>
    <s v="Picked Up"/>
    <x v="1"/>
    <x v="1"/>
    <x v="1"/>
  </r>
  <r>
    <s v="T2815"/>
    <x v="4"/>
    <n v="1"/>
    <x v="1"/>
    <x v="1"/>
    <d v="2025-11-18T00:00:00"/>
    <n v="2776.84"/>
    <n v="4446.326724137929"/>
    <s v="DEV5107"/>
    <x v="1"/>
    <x v="1"/>
    <x v="0"/>
    <s v="Bhutan"/>
    <s v="Romania"/>
    <s v="Delivered by Post"/>
    <x v="0"/>
    <x v="0"/>
    <x v="0"/>
  </r>
  <r>
    <s v="T2818"/>
    <x v="4"/>
    <n v="1"/>
    <x v="1"/>
    <x v="0"/>
    <d v="2025-08-26T00:00:00"/>
    <n v="3665.62"/>
    <n v="4446.326724137929"/>
    <s v="DEV7223"/>
    <x v="0"/>
    <x v="0"/>
    <x v="1"/>
    <s v="New Zealand"/>
    <s v="Bhutan"/>
    <s v="Picked Up"/>
    <x v="0"/>
    <x v="0"/>
    <x v="0"/>
  </r>
  <r>
    <s v="T2829"/>
    <x v="4"/>
    <n v="1"/>
    <x v="0"/>
    <x v="3"/>
    <d v="2025-12-16T00:00:00"/>
    <n v="4666.55"/>
    <n v="4446.326724137929"/>
    <s v="DEV1752"/>
    <x v="1"/>
    <x v="0"/>
    <x v="3"/>
    <s v="Bhutan"/>
    <s v="Norway"/>
    <s v="Delivered by Post"/>
    <x v="1"/>
    <x v="0"/>
    <x v="0"/>
  </r>
  <r>
    <s v="T0029"/>
    <x v="5"/>
    <n v="1"/>
    <x v="3"/>
    <x v="0"/>
    <d v="2025-05-15T05:51:00"/>
    <n v="9967.93"/>
    <n v="5156.1630909090918"/>
    <s v="DEV7857"/>
    <x v="5"/>
    <x v="2"/>
    <x v="4"/>
    <s v="Bosnia and Herzegovina"/>
    <s v="Seychelles"/>
    <s v="Delivered by Post"/>
    <x v="1"/>
    <x v="1"/>
    <x v="1"/>
  </r>
  <r>
    <s v="T0050"/>
    <x v="5"/>
    <n v="1"/>
    <x v="3"/>
    <x v="1"/>
    <d v="2025-01-16T12:14:00"/>
    <n v="5743.25"/>
    <n v="5156.1630909090918"/>
    <s v="DEV2724"/>
    <x v="5"/>
    <x v="1"/>
    <x v="0"/>
    <s v="Bosnia and Herzegovina"/>
    <s v="Antarctica (the territory South of 60 deg S)"/>
    <s v="Delivered by Post"/>
    <x v="1"/>
    <x v="0"/>
    <x v="1"/>
  </r>
  <r>
    <s v="T0102"/>
    <x v="5"/>
    <n v="1"/>
    <x v="0"/>
    <x v="1"/>
    <d v="2025-11-29T00:00:00"/>
    <n v="2225.4499999999998"/>
    <n v="5156.1630909090918"/>
    <s v="DEV9928"/>
    <x v="0"/>
    <x v="2"/>
    <x v="4"/>
    <s v="France"/>
    <s v="Canada"/>
    <s v="Picked Up"/>
    <x v="0"/>
    <x v="1"/>
    <x v="0"/>
  </r>
  <r>
    <s v="T0112"/>
    <x v="5"/>
    <n v="1"/>
    <x v="0"/>
    <x v="1"/>
    <d v="2025-12-04T00:00:00"/>
    <n v="7332.48"/>
    <n v="5156.1630909090918"/>
    <s v="DEV3705"/>
    <x v="4"/>
    <x v="1"/>
    <x v="0"/>
    <s v="Turkmenistan"/>
    <s v="Romania"/>
    <s v="Delivered by Post"/>
    <x v="1"/>
    <x v="0"/>
    <x v="1"/>
  </r>
  <r>
    <s v="T0143"/>
    <x v="5"/>
    <n v="1"/>
    <x v="0"/>
    <x v="3"/>
    <d v="2025-04-25T00:00:00"/>
    <n v="4729.55"/>
    <n v="5156.1630909090918"/>
    <s v="DEV2124"/>
    <x v="1"/>
    <x v="0"/>
    <x v="0"/>
    <s v="Romania"/>
    <s v="Canada"/>
    <s v="Picked Up"/>
    <x v="0"/>
    <x v="0"/>
    <x v="0"/>
  </r>
  <r>
    <s v="T0161"/>
    <x v="5"/>
    <n v="1"/>
    <x v="1"/>
    <x v="0"/>
    <d v="2025-03-24T00:00:00"/>
    <n v="4726.6000000000004"/>
    <n v="5156.1630909090918"/>
    <s v="DEV7744"/>
    <x v="0"/>
    <x v="3"/>
    <x v="3"/>
    <s v="Bhutan"/>
    <s v="Turkmenistan"/>
    <s v="Picked Up"/>
    <x v="0"/>
    <x v="1"/>
    <x v="0"/>
  </r>
  <r>
    <s v="T0183"/>
    <x v="5"/>
    <n v="1"/>
    <x v="0"/>
    <x v="0"/>
    <d v="2025-06-20T00:00:00"/>
    <n v="6644.55"/>
    <n v="5156.1630909090918"/>
    <s v="DEV3063"/>
    <x v="2"/>
    <x v="2"/>
    <x v="2"/>
    <s v="Turkmenistan"/>
    <s v="Romania"/>
    <s v="Picked Up"/>
    <x v="1"/>
    <x v="1"/>
    <x v="0"/>
  </r>
  <r>
    <s v="T0354"/>
    <x v="5"/>
    <n v="1"/>
    <x v="0"/>
    <x v="3"/>
    <d v="2025-06-13T00:00:00"/>
    <n v="9883.39"/>
    <n v="5156.1630909090918"/>
    <s v="DEV2097"/>
    <x v="1"/>
    <x v="1"/>
    <x v="5"/>
    <s v="Bhutan"/>
    <s v="Turkmenistan"/>
    <s v="Delivered by Post"/>
    <x v="1"/>
    <x v="0"/>
    <x v="0"/>
  </r>
  <r>
    <s v="T0454"/>
    <x v="5"/>
    <n v="1"/>
    <x v="1"/>
    <x v="1"/>
    <d v="2025-06-05T00:00:00"/>
    <n v="4446.51"/>
    <n v="5156.1630909090918"/>
    <s v="DEV1001"/>
    <x v="2"/>
    <x v="2"/>
    <x v="1"/>
    <s v="France"/>
    <s v="Comoros"/>
    <s v="Picked Up"/>
    <x v="0"/>
    <x v="1"/>
    <x v="0"/>
  </r>
  <r>
    <s v="T0460"/>
    <x v="5"/>
    <n v="1"/>
    <x v="0"/>
    <x v="3"/>
    <d v="2025-07-20T00:00:00"/>
    <n v="8443.2900000000009"/>
    <n v="5156.1630909090918"/>
    <s v="DEV9899"/>
    <x v="0"/>
    <x v="2"/>
    <x v="0"/>
    <s v="France"/>
    <s v="Bhutan"/>
    <s v="Picked Up"/>
    <x v="1"/>
    <x v="1"/>
    <x v="0"/>
  </r>
  <r>
    <s v="T0505"/>
    <x v="5"/>
    <n v="1"/>
    <x v="0"/>
    <x v="1"/>
    <d v="2025-12-11T00:00:00"/>
    <n v="537.86"/>
    <n v="5156.1630909090918"/>
    <s v="DEV3906"/>
    <x v="0"/>
    <x v="3"/>
    <x v="2"/>
    <s v="Zimbabwe"/>
    <s v="France"/>
    <s v="Delivered by Post"/>
    <x v="0"/>
    <x v="1"/>
    <x v="0"/>
  </r>
  <r>
    <s v="T0515"/>
    <x v="5"/>
    <n v="1"/>
    <x v="1"/>
    <x v="1"/>
    <d v="2025-04-08T00:00:00"/>
    <n v="4465.55"/>
    <n v="5156.1630909090918"/>
    <s v="DEV8921"/>
    <x v="2"/>
    <x v="3"/>
    <x v="1"/>
    <s v="Norway"/>
    <s v="Zimbabwe"/>
    <s v="Picked Up"/>
    <x v="0"/>
    <x v="1"/>
    <x v="0"/>
  </r>
  <r>
    <s v="T0601"/>
    <x v="5"/>
    <n v="1"/>
    <x v="1"/>
    <x v="2"/>
    <d v="2025-11-04T00:00:00"/>
    <n v="3314.75"/>
    <n v="5156.1630909090918"/>
    <s v="DEV6111"/>
    <x v="0"/>
    <x v="2"/>
    <x v="5"/>
    <s v="Bhutan"/>
    <s v="France"/>
    <s v="Delivered by Post"/>
    <x v="0"/>
    <x v="1"/>
    <x v="0"/>
  </r>
  <r>
    <s v="T0631"/>
    <x v="5"/>
    <n v="1"/>
    <x v="0"/>
    <x v="0"/>
    <d v="2025-09-27T00:00:00"/>
    <n v="9582.43"/>
    <n v="5156.1630909090918"/>
    <s v="DEV8433"/>
    <x v="0"/>
    <x v="0"/>
    <x v="0"/>
    <s v="Romania"/>
    <s v="Romania"/>
    <s v="Delivered by Post"/>
    <x v="1"/>
    <x v="1"/>
    <x v="0"/>
  </r>
  <r>
    <s v="T0640"/>
    <x v="5"/>
    <n v="1"/>
    <x v="0"/>
    <x v="3"/>
    <d v="2025-10-16T00:00:00"/>
    <n v="2077.15"/>
    <n v="5156.1630909090918"/>
    <s v="DEV4479"/>
    <x v="2"/>
    <x v="0"/>
    <x v="5"/>
    <s v="Norway"/>
    <s v="Bhutan"/>
    <s v="Picked Up"/>
    <x v="0"/>
    <x v="0"/>
    <x v="0"/>
  </r>
  <r>
    <s v="T0651"/>
    <x v="5"/>
    <n v="1"/>
    <x v="0"/>
    <x v="2"/>
    <d v="2025-10-01T00:00:00"/>
    <n v="7482.94"/>
    <n v="5156.1630909090918"/>
    <s v="DEV1095"/>
    <x v="0"/>
    <x v="0"/>
    <x v="2"/>
    <s v="Norway"/>
    <s v="Comoros"/>
    <s v="Delivered by Post"/>
    <x v="1"/>
    <x v="0"/>
    <x v="0"/>
  </r>
  <r>
    <s v="T0808"/>
    <x v="5"/>
    <n v="1"/>
    <x v="0"/>
    <x v="0"/>
    <d v="2025-10-28T00:00:00"/>
    <n v="8877.58"/>
    <n v="5156.1630909090918"/>
    <s v="DEV4120"/>
    <x v="3"/>
    <x v="1"/>
    <x v="2"/>
    <s v="Zimbabwe"/>
    <s v="Turkmenistan"/>
    <s v="Delivered by Post"/>
    <x v="1"/>
    <x v="0"/>
    <x v="0"/>
  </r>
  <r>
    <s v="T0815"/>
    <x v="5"/>
    <n v="1"/>
    <x v="1"/>
    <x v="1"/>
    <d v="2025-07-29T00:00:00"/>
    <n v="9466.9599999999991"/>
    <n v="5156.1630909090918"/>
    <s v="DEV5831"/>
    <x v="4"/>
    <x v="0"/>
    <x v="3"/>
    <s v="Canada"/>
    <s v="New Zealand"/>
    <s v="Picked Up"/>
    <x v="1"/>
    <x v="0"/>
    <x v="1"/>
  </r>
  <r>
    <s v="T0840"/>
    <x v="5"/>
    <n v="1"/>
    <x v="0"/>
    <x v="1"/>
    <d v="2025-12-15T00:00:00"/>
    <n v="8857.7800000000007"/>
    <n v="5156.1630909090918"/>
    <s v="DEV3307"/>
    <x v="3"/>
    <x v="3"/>
    <x v="4"/>
    <s v="Norway"/>
    <s v="New Zealand"/>
    <s v="Delivered by Post"/>
    <x v="1"/>
    <x v="1"/>
    <x v="0"/>
  </r>
  <r>
    <s v="T0900"/>
    <x v="5"/>
    <n v="1"/>
    <x v="0"/>
    <x v="2"/>
    <d v="2025-10-27T00:00:00"/>
    <n v="7146.31"/>
    <n v="5156.1630909090918"/>
    <s v="DEV5764"/>
    <x v="3"/>
    <x v="0"/>
    <x v="4"/>
    <s v="New Zealand"/>
    <s v="Romania"/>
    <s v="Delivered by Post"/>
    <x v="1"/>
    <x v="0"/>
    <x v="0"/>
  </r>
  <r>
    <s v="T0918"/>
    <x v="5"/>
    <n v="1"/>
    <x v="0"/>
    <x v="1"/>
    <d v="2025-01-18T00:00:00"/>
    <n v="5841.97"/>
    <n v="5156.1630909090918"/>
    <s v="DEV1085"/>
    <x v="4"/>
    <x v="1"/>
    <x v="5"/>
    <s v="Turkmenistan"/>
    <s v="Zimbabwe"/>
    <s v="Delivered by Post"/>
    <x v="1"/>
    <x v="0"/>
    <x v="1"/>
  </r>
  <r>
    <s v="T0947"/>
    <x v="5"/>
    <n v="1"/>
    <x v="0"/>
    <x v="2"/>
    <d v="2025-11-20T00:00:00"/>
    <n v="4114.6000000000004"/>
    <n v="5156.1630909090918"/>
    <s v="DEV3947"/>
    <x v="0"/>
    <x v="0"/>
    <x v="0"/>
    <s v="Zimbabwe"/>
    <s v="Bhutan"/>
    <s v="Delivered by Post"/>
    <x v="0"/>
    <x v="0"/>
    <x v="0"/>
  </r>
  <r>
    <s v="T1007"/>
    <x v="5"/>
    <n v="1"/>
    <x v="1"/>
    <x v="1"/>
    <d v="2025-05-26T00:00:00"/>
    <n v="3428.89"/>
    <n v="5156.1630909090918"/>
    <s v="DEV7337"/>
    <x v="0"/>
    <x v="0"/>
    <x v="1"/>
    <s v="Bhutan"/>
    <s v="Norway"/>
    <s v="Picked Up"/>
    <x v="0"/>
    <x v="0"/>
    <x v="0"/>
  </r>
  <r>
    <s v="T1042"/>
    <x v="5"/>
    <n v="1"/>
    <x v="0"/>
    <x v="2"/>
    <d v="2025-06-03T00:00:00"/>
    <n v="4786.5600000000004"/>
    <n v="5156.1630909090918"/>
    <s v="DEV1157"/>
    <x v="2"/>
    <x v="1"/>
    <x v="2"/>
    <s v="Comoros"/>
    <s v="Romania"/>
    <s v="Delivered by Post"/>
    <x v="0"/>
    <x v="0"/>
    <x v="0"/>
  </r>
  <r>
    <s v="T1104"/>
    <x v="5"/>
    <n v="1"/>
    <x v="1"/>
    <x v="2"/>
    <d v="2025-07-15T00:00:00"/>
    <n v="986.91"/>
    <n v="5156.1630909090918"/>
    <s v="DEV8772"/>
    <x v="3"/>
    <x v="3"/>
    <x v="0"/>
    <s v="Zimbabwe"/>
    <s v="France"/>
    <s v="Delivered by Post"/>
    <x v="0"/>
    <x v="1"/>
    <x v="0"/>
  </r>
  <r>
    <s v="T1320"/>
    <x v="5"/>
    <n v="1"/>
    <x v="1"/>
    <x v="0"/>
    <d v="2025-10-06T00:00:00"/>
    <n v="991.02"/>
    <n v="5156.1630909090918"/>
    <s v="DEV4254"/>
    <x v="3"/>
    <x v="0"/>
    <x v="3"/>
    <s v="Romania"/>
    <s v="Comoros"/>
    <s v="Picked Up"/>
    <x v="0"/>
    <x v="0"/>
    <x v="0"/>
  </r>
  <r>
    <s v="T1397"/>
    <x v="5"/>
    <n v="1"/>
    <x v="1"/>
    <x v="0"/>
    <d v="2025-11-21T00:00:00"/>
    <n v="6106.54"/>
    <n v="5156.1630909090918"/>
    <s v="DEV3486"/>
    <x v="1"/>
    <x v="2"/>
    <x v="0"/>
    <s v="Zimbabwe"/>
    <s v="Comoros"/>
    <s v="Delivered by Post"/>
    <x v="1"/>
    <x v="1"/>
    <x v="0"/>
  </r>
  <r>
    <s v="T1401"/>
    <x v="5"/>
    <n v="1"/>
    <x v="1"/>
    <x v="1"/>
    <d v="2025-06-22T00:00:00"/>
    <n v="2880.28"/>
    <n v="5156.1630909090918"/>
    <s v="DEV6351"/>
    <x v="3"/>
    <x v="2"/>
    <x v="5"/>
    <s v="France"/>
    <s v="Bhutan"/>
    <s v="Picked Up"/>
    <x v="0"/>
    <x v="1"/>
    <x v="0"/>
  </r>
  <r>
    <s v="T1470"/>
    <x v="5"/>
    <n v="1"/>
    <x v="1"/>
    <x v="3"/>
    <d v="2025-06-03T00:00:00"/>
    <n v="784.57"/>
    <n v="5156.1630909090918"/>
    <s v="DEV2479"/>
    <x v="3"/>
    <x v="3"/>
    <x v="2"/>
    <s v="Comoros"/>
    <s v="Turkmenistan"/>
    <s v="Delivered by Post"/>
    <x v="0"/>
    <x v="1"/>
    <x v="0"/>
  </r>
  <r>
    <s v="T1477"/>
    <x v="5"/>
    <n v="1"/>
    <x v="0"/>
    <x v="2"/>
    <d v="2025-05-17T00:00:00"/>
    <n v="6105.09"/>
    <n v="5156.1630909090918"/>
    <s v="DEV3665"/>
    <x v="3"/>
    <x v="1"/>
    <x v="1"/>
    <s v="Turkmenistan"/>
    <s v="Zimbabwe"/>
    <s v="Delivered by Post"/>
    <x v="1"/>
    <x v="0"/>
    <x v="0"/>
  </r>
  <r>
    <s v="T1482"/>
    <x v="5"/>
    <n v="1"/>
    <x v="1"/>
    <x v="3"/>
    <d v="2025-01-04T00:00:00"/>
    <n v="1405.68"/>
    <n v="5156.1630909090918"/>
    <s v="DEV2079"/>
    <x v="1"/>
    <x v="3"/>
    <x v="5"/>
    <s v="Canada"/>
    <s v="Zimbabwe"/>
    <s v="Picked Up"/>
    <x v="0"/>
    <x v="1"/>
    <x v="0"/>
  </r>
  <r>
    <s v="T1495"/>
    <x v="5"/>
    <n v="1"/>
    <x v="1"/>
    <x v="3"/>
    <d v="2025-01-31T00:00:00"/>
    <n v="6685.27"/>
    <n v="5156.1630909090918"/>
    <s v="DEV3587"/>
    <x v="0"/>
    <x v="0"/>
    <x v="2"/>
    <s v="New Zealand"/>
    <s v="Zimbabwe"/>
    <s v="Delivered by Post"/>
    <x v="1"/>
    <x v="0"/>
    <x v="0"/>
  </r>
  <r>
    <s v="T1584"/>
    <x v="5"/>
    <n v="1"/>
    <x v="0"/>
    <x v="3"/>
    <d v="2025-09-07T00:00:00"/>
    <n v="9418.5400000000009"/>
    <n v="5156.1630909090918"/>
    <s v="DEV4850"/>
    <x v="1"/>
    <x v="2"/>
    <x v="1"/>
    <s v="Norway"/>
    <s v="Canada"/>
    <s v="Picked Up"/>
    <x v="1"/>
    <x v="1"/>
    <x v="0"/>
  </r>
  <r>
    <s v="T1679"/>
    <x v="5"/>
    <n v="1"/>
    <x v="1"/>
    <x v="0"/>
    <d v="2025-09-18T00:00:00"/>
    <n v="1136.1099999999999"/>
    <n v="5156.1630909090918"/>
    <s v="DEV2238"/>
    <x v="0"/>
    <x v="1"/>
    <x v="0"/>
    <s v="Norway"/>
    <s v="Zimbabwe"/>
    <s v="Picked Up"/>
    <x v="0"/>
    <x v="0"/>
    <x v="0"/>
  </r>
  <r>
    <s v="T1684"/>
    <x v="5"/>
    <n v="1"/>
    <x v="1"/>
    <x v="0"/>
    <d v="2025-12-13T00:00:00"/>
    <n v="6532.88"/>
    <n v="5156.1630909090918"/>
    <s v="DEV5429"/>
    <x v="4"/>
    <x v="3"/>
    <x v="5"/>
    <s v="Turkmenistan"/>
    <s v="New Zealand"/>
    <s v="Picked Up"/>
    <x v="1"/>
    <x v="1"/>
    <x v="1"/>
  </r>
  <r>
    <s v="T1718"/>
    <x v="5"/>
    <n v="1"/>
    <x v="0"/>
    <x v="1"/>
    <d v="2025-06-02T00:00:00"/>
    <n v="940.18"/>
    <n v="5156.1630909090918"/>
    <s v="DEV2913"/>
    <x v="3"/>
    <x v="0"/>
    <x v="3"/>
    <s v="Comoros"/>
    <s v="Zimbabwe"/>
    <s v="Delivered by Post"/>
    <x v="0"/>
    <x v="0"/>
    <x v="0"/>
  </r>
  <r>
    <s v="T1832"/>
    <x v="5"/>
    <n v="1"/>
    <x v="1"/>
    <x v="0"/>
    <d v="2025-11-06T00:00:00"/>
    <n v="2716.45"/>
    <n v="5156.1630909090918"/>
    <s v="DEV6800"/>
    <x v="2"/>
    <x v="0"/>
    <x v="1"/>
    <s v="New Zealand"/>
    <s v="Turkmenistan"/>
    <s v="Picked Up"/>
    <x v="0"/>
    <x v="0"/>
    <x v="0"/>
  </r>
  <r>
    <s v="T1880"/>
    <x v="5"/>
    <n v="1"/>
    <x v="0"/>
    <x v="2"/>
    <d v="2025-06-15T00:00:00"/>
    <n v="3872.7"/>
    <n v="5156.1630909090918"/>
    <s v="DEV6220"/>
    <x v="0"/>
    <x v="1"/>
    <x v="1"/>
    <s v="New Zealand"/>
    <s v="Comoros"/>
    <s v="Delivered by Post"/>
    <x v="0"/>
    <x v="0"/>
    <x v="0"/>
  </r>
  <r>
    <s v="T1995"/>
    <x v="5"/>
    <n v="1"/>
    <x v="0"/>
    <x v="1"/>
    <d v="2025-12-29T00:00:00"/>
    <n v="6056.84"/>
    <n v="5156.1630909090918"/>
    <s v="DEV6596"/>
    <x v="0"/>
    <x v="0"/>
    <x v="4"/>
    <s v="Norway"/>
    <s v="Norway"/>
    <s v="Delivered by Post"/>
    <x v="1"/>
    <x v="1"/>
    <x v="0"/>
  </r>
  <r>
    <s v="T2055"/>
    <x v="5"/>
    <n v="1"/>
    <x v="1"/>
    <x v="1"/>
    <d v="2025-04-06T00:00:00"/>
    <n v="9498.5400000000009"/>
    <n v="5156.1630909090918"/>
    <s v="DEV9810"/>
    <x v="2"/>
    <x v="0"/>
    <x v="4"/>
    <s v="France"/>
    <s v="Romania"/>
    <s v="Delivered by Post"/>
    <x v="1"/>
    <x v="0"/>
    <x v="0"/>
  </r>
  <r>
    <s v="T2078"/>
    <x v="5"/>
    <n v="1"/>
    <x v="1"/>
    <x v="3"/>
    <d v="2025-07-03T00:00:00"/>
    <n v="4792.53"/>
    <n v="5156.1630909090918"/>
    <s v="DEV4603"/>
    <x v="0"/>
    <x v="0"/>
    <x v="4"/>
    <s v="Norway"/>
    <s v="Comoros"/>
    <s v="Picked Up"/>
    <x v="0"/>
    <x v="0"/>
    <x v="0"/>
  </r>
  <r>
    <s v="T2116"/>
    <x v="5"/>
    <n v="1"/>
    <x v="0"/>
    <x v="2"/>
    <d v="2025-09-29T00:00:00"/>
    <n v="5760.89"/>
    <n v="5156.1630909090918"/>
    <s v="DEV1775"/>
    <x v="1"/>
    <x v="2"/>
    <x v="3"/>
    <s v="Canada"/>
    <s v="Comoros"/>
    <s v="Picked Up"/>
    <x v="1"/>
    <x v="1"/>
    <x v="0"/>
  </r>
  <r>
    <s v="T2134"/>
    <x v="5"/>
    <n v="1"/>
    <x v="0"/>
    <x v="0"/>
    <d v="2025-11-15T00:00:00"/>
    <n v="8355.91"/>
    <n v="5156.1630909090918"/>
    <s v="DEV6006"/>
    <x v="3"/>
    <x v="3"/>
    <x v="3"/>
    <s v="Norway"/>
    <s v="France"/>
    <s v="Picked Up"/>
    <x v="1"/>
    <x v="1"/>
    <x v="0"/>
  </r>
  <r>
    <s v="T2200"/>
    <x v="5"/>
    <n v="1"/>
    <x v="1"/>
    <x v="1"/>
    <d v="2025-03-30T00:00:00"/>
    <n v="7598.08"/>
    <n v="5156.1630909090918"/>
    <s v="DEV3368"/>
    <x v="3"/>
    <x v="3"/>
    <x v="5"/>
    <s v="Romania"/>
    <s v="France"/>
    <s v="Picked Up"/>
    <x v="1"/>
    <x v="1"/>
    <x v="0"/>
  </r>
  <r>
    <s v="T2278"/>
    <x v="5"/>
    <n v="1"/>
    <x v="0"/>
    <x v="2"/>
    <d v="2025-06-21T00:00:00"/>
    <n v="2860.1"/>
    <n v="5156.1630909090918"/>
    <s v="DEV5959"/>
    <x v="1"/>
    <x v="3"/>
    <x v="0"/>
    <s v="France"/>
    <s v="Turkmenistan"/>
    <s v="Delivered by Post"/>
    <x v="0"/>
    <x v="1"/>
    <x v="0"/>
  </r>
  <r>
    <s v="T2306"/>
    <x v="5"/>
    <n v="1"/>
    <x v="1"/>
    <x v="0"/>
    <d v="2025-06-29T00:00:00"/>
    <n v="5298.05"/>
    <n v="5156.1630909090918"/>
    <s v="DEV1576"/>
    <x v="2"/>
    <x v="1"/>
    <x v="1"/>
    <s v="Bhutan"/>
    <s v="Turkmenistan"/>
    <s v="Picked Up"/>
    <x v="1"/>
    <x v="0"/>
    <x v="0"/>
  </r>
  <r>
    <s v="T2335"/>
    <x v="5"/>
    <n v="1"/>
    <x v="0"/>
    <x v="2"/>
    <d v="2025-11-26T00:00:00"/>
    <n v="6870.18"/>
    <n v="5156.1630909090918"/>
    <s v="DEV5838"/>
    <x v="0"/>
    <x v="0"/>
    <x v="0"/>
    <s v="New Zealand"/>
    <s v="Romania"/>
    <s v="Delivered by Post"/>
    <x v="1"/>
    <x v="0"/>
    <x v="0"/>
  </r>
  <r>
    <s v="T2368"/>
    <x v="5"/>
    <n v="1"/>
    <x v="1"/>
    <x v="3"/>
    <d v="2025-05-29T00:00:00"/>
    <n v="1759.06"/>
    <n v="5156.1630909090918"/>
    <s v="DEV6716"/>
    <x v="3"/>
    <x v="2"/>
    <x v="2"/>
    <s v="Comoros"/>
    <s v="Norway"/>
    <s v="Picked Up"/>
    <x v="0"/>
    <x v="1"/>
    <x v="0"/>
  </r>
  <r>
    <s v="T2371"/>
    <x v="5"/>
    <n v="1"/>
    <x v="1"/>
    <x v="3"/>
    <d v="2025-12-30T00:00:00"/>
    <n v="371.99"/>
    <n v="5156.1630909090918"/>
    <s v="DEV3110"/>
    <x v="0"/>
    <x v="2"/>
    <x v="0"/>
    <s v="Canada"/>
    <s v="Canada"/>
    <s v="Picked Up"/>
    <x v="0"/>
    <x v="1"/>
    <x v="0"/>
  </r>
  <r>
    <s v="T2448"/>
    <x v="5"/>
    <n v="1"/>
    <x v="0"/>
    <x v="1"/>
    <d v="2025-03-23T00:00:00"/>
    <n v="7937.06"/>
    <n v="5156.1630909090918"/>
    <s v="DEV4407"/>
    <x v="0"/>
    <x v="1"/>
    <x v="5"/>
    <s v="Bhutan"/>
    <s v="France"/>
    <s v="Picked Up"/>
    <x v="1"/>
    <x v="0"/>
    <x v="0"/>
  </r>
  <r>
    <s v="T2502"/>
    <x v="5"/>
    <n v="1"/>
    <x v="0"/>
    <x v="1"/>
    <d v="2025-12-16T00:00:00"/>
    <n v="4477.3100000000004"/>
    <n v="5156.1630909090918"/>
    <s v="DEV5650"/>
    <x v="4"/>
    <x v="1"/>
    <x v="4"/>
    <s v="Zimbabwe"/>
    <s v="Romania"/>
    <s v="Picked Up"/>
    <x v="0"/>
    <x v="0"/>
    <x v="1"/>
  </r>
  <r>
    <s v="T2519"/>
    <x v="5"/>
    <n v="1"/>
    <x v="0"/>
    <x v="3"/>
    <d v="2025-08-27T00:00:00"/>
    <n v="4355.17"/>
    <n v="5156.1630909090918"/>
    <s v="DEV8841"/>
    <x v="4"/>
    <x v="0"/>
    <x v="0"/>
    <s v="New Zealand"/>
    <s v="Turkmenistan"/>
    <s v="Picked Up"/>
    <x v="0"/>
    <x v="0"/>
    <x v="1"/>
  </r>
  <r>
    <s v="T2553"/>
    <x v="5"/>
    <n v="1"/>
    <x v="1"/>
    <x v="0"/>
    <d v="2025-09-05T00:00:00"/>
    <n v="5041.58"/>
    <n v="5156.1630909090918"/>
    <s v="DEV9786"/>
    <x v="1"/>
    <x v="3"/>
    <x v="5"/>
    <s v="Norway"/>
    <s v="Romania"/>
    <s v="Picked Up"/>
    <x v="0"/>
    <x v="1"/>
    <x v="0"/>
  </r>
  <r>
    <s v="T2586"/>
    <x v="5"/>
    <n v="1"/>
    <x v="0"/>
    <x v="3"/>
    <d v="2025-04-26T00:00:00"/>
    <n v="300.25"/>
    <n v="5156.1630909090918"/>
    <s v="DEV5940"/>
    <x v="2"/>
    <x v="1"/>
    <x v="1"/>
    <s v="Turkmenistan"/>
    <s v="New Zealand"/>
    <s v="Delivered by Post"/>
    <x v="0"/>
    <x v="0"/>
    <x v="0"/>
  </r>
  <r>
    <s v="T2780"/>
    <x v="5"/>
    <n v="1"/>
    <x v="0"/>
    <x v="1"/>
    <d v="2025-11-20T00:00:00"/>
    <n v="7568.88"/>
    <n v="5156.1630909090918"/>
    <s v="DEV5143"/>
    <x v="0"/>
    <x v="0"/>
    <x v="4"/>
    <s v="Norway"/>
    <s v="Bhutan"/>
    <s v="Picked Up"/>
    <x v="1"/>
    <x v="0"/>
    <x v="0"/>
  </r>
  <r>
    <s v="T0034"/>
    <x v="6"/>
    <n v="1"/>
    <x v="2"/>
    <x v="0"/>
    <d v="2025-03-25T13:30:00"/>
    <n v="1133.69"/>
    <n v="5075.1522222222229"/>
    <s v="DEV4990"/>
    <x v="2"/>
    <x v="2"/>
    <x v="3"/>
    <s v="Palestinian Territory"/>
    <s v="Oman"/>
    <s v="Delivered by Post"/>
    <x v="0"/>
    <x v="1"/>
    <x v="0"/>
  </r>
  <r>
    <s v="T0040"/>
    <x v="6"/>
    <n v="1"/>
    <x v="1"/>
    <x v="3"/>
    <d v="2025-06-01T21:24:00"/>
    <n v="1487.33"/>
    <n v="5075.1522222222229"/>
    <s v="DEV3682"/>
    <x v="5"/>
    <x v="1"/>
    <x v="3"/>
    <s v="Palestinian Territory"/>
    <s v="Sudan"/>
    <s v="Delivered by Post"/>
    <x v="0"/>
    <x v="0"/>
    <x v="1"/>
  </r>
  <r>
    <s v="T0071"/>
    <x v="6"/>
    <n v="1"/>
    <x v="2"/>
    <x v="3"/>
    <d v="2025-01-24T00:59:00"/>
    <n v="8815.84"/>
    <n v="5075.1522222222229"/>
    <s v="DEV9898"/>
    <x v="0"/>
    <x v="3"/>
    <x v="1"/>
    <s v="Palestinian Territory"/>
    <s v="Mauritius"/>
    <s v="Picked Up"/>
    <x v="1"/>
    <x v="1"/>
    <x v="0"/>
  </r>
  <r>
    <s v="T0199"/>
    <x v="6"/>
    <n v="1"/>
    <x v="0"/>
    <x v="2"/>
    <d v="2025-06-08T00:00:00"/>
    <n v="2471"/>
    <n v="5075.1522222222229"/>
    <s v="DEV6562"/>
    <x v="3"/>
    <x v="3"/>
    <x v="0"/>
    <s v="Zimbabwe"/>
    <s v="Turkmenistan"/>
    <s v="Picked Up"/>
    <x v="0"/>
    <x v="1"/>
    <x v="0"/>
  </r>
  <r>
    <s v="T0292"/>
    <x v="6"/>
    <n v="1"/>
    <x v="0"/>
    <x v="2"/>
    <d v="2025-07-11T00:00:00"/>
    <n v="154.94999999999999"/>
    <n v="5075.1522222222229"/>
    <s v="DEV8586"/>
    <x v="2"/>
    <x v="2"/>
    <x v="1"/>
    <s v="Canada"/>
    <s v="Comoros"/>
    <s v="Picked Up"/>
    <x v="0"/>
    <x v="1"/>
    <x v="0"/>
  </r>
  <r>
    <s v="T0294"/>
    <x v="6"/>
    <n v="1"/>
    <x v="1"/>
    <x v="0"/>
    <d v="2025-06-03T00:00:00"/>
    <n v="4409.75"/>
    <n v="5075.1522222222229"/>
    <s v="DEV2885"/>
    <x v="1"/>
    <x v="3"/>
    <x v="3"/>
    <s v="Zimbabwe"/>
    <s v="Norway"/>
    <s v="Picked Up"/>
    <x v="0"/>
    <x v="1"/>
    <x v="0"/>
  </r>
  <r>
    <s v="T0346"/>
    <x v="6"/>
    <n v="1"/>
    <x v="0"/>
    <x v="1"/>
    <d v="2025-08-20T00:00:00"/>
    <n v="8296.6299999999992"/>
    <n v="5075.1522222222229"/>
    <s v="DEV1547"/>
    <x v="4"/>
    <x v="0"/>
    <x v="1"/>
    <s v="France"/>
    <s v="Zimbabwe"/>
    <s v="Picked Up"/>
    <x v="1"/>
    <x v="0"/>
    <x v="1"/>
  </r>
  <r>
    <s v="T0390"/>
    <x v="6"/>
    <n v="1"/>
    <x v="1"/>
    <x v="3"/>
    <d v="2025-11-21T00:00:00"/>
    <n v="7605.23"/>
    <n v="5075.1522222222229"/>
    <s v="DEV9973"/>
    <x v="2"/>
    <x v="3"/>
    <x v="3"/>
    <s v="Zimbabwe"/>
    <s v="Canada"/>
    <s v="Picked Up"/>
    <x v="1"/>
    <x v="1"/>
    <x v="0"/>
  </r>
  <r>
    <s v="T0405"/>
    <x v="6"/>
    <n v="1"/>
    <x v="0"/>
    <x v="0"/>
    <d v="2025-04-18T00:00:00"/>
    <n v="1715.58"/>
    <n v="5075.1522222222229"/>
    <s v="DEV4492"/>
    <x v="0"/>
    <x v="0"/>
    <x v="0"/>
    <s v="Turkmenistan"/>
    <s v="Bhutan"/>
    <s v="Picked Up"/>
    <x v="0"/>
    <x v="0"/>
    <x v="0"/>
  </r>
  <r>
    <s v="T0521"/>
    <x v="6"/>
    <n v="1"/>
    <x v="1"/>
    <x v="2"/>
    <d v="2025-04-29T00:00:00"/>
    <n v="4583.0600000000004"/>
    <n v="5075.1522222222229"/>
    <s v="DEV3354"/>
    <x v="2"/>
    <x v="3"/>
    <x v="1"/>
    <s v="Bhutan"/>
    <s v="Norway"/>
    <s v="Delivered by Post"/>
    <x v="0"/>
    <x v="1"/>
    <x v="0"/>
  </r>
  <r>
    <s v="T0660"/>
    <x v="6"/>
    <n v="1"/>
    <x v="1"/>
    <x v="3"/>
    <d v="2025-05-01T00:00:00"/>
    <n v="7945.15"/>
    <n v="5075.1522222222229"/>
    <s v="DEV1770"/>
    <x v="1"/>
    <x v="3"/>
    <x v="1"/>
    <s v="New Zealand"/>
    <s v="Norway"/>
    <s v="Picked Up"/>
    <x v="1"/>
    <x v="1"/>
    <x v="0"/>
  </r>
  <r>
    <s v="T0673"/>
    <x v="6"/>
    <n v="1"/>
    <x v="1"/>
    <x v="0"/>
    <d v="2025-02-17T00:00:00"/>
    <n v="1508.2"/>
    <n v="5075.1522222222229"/>
    <s v="DEV7961"/>
    <x v="3"/>
    <x v="1"/>
    <x v="0"/>
    <s v="Comoros"/>
    <s v="Zimbabwe"/>
    <s v="Delivered by Post"/>
    <x v="0"/>
    <x v="0"/>
    <x v="0"/>
  </r>
  <r>
    <s v="T0741"/>
    <x v="6"/>
    <n v="1"/>
    <x v="1"/>
    <x v="1"/>
    <d v="2025-06-20T00:00:00"/>
    <n v="6018.68"/>
    <n v="5075.1522222222229"/>
    <s v="DEV6209"/>
    <x v="0"/>
    <x v="0"/>
    <x v="1"/>
    <s v="Canada"/>
    <s v="Comoros"/>
    <s v="Delivered by Post"/>
    <x v="1"/>
    <x v="0"/>
    <x v="0"/>
  </r>
  <r>
    <s v="T0874"/>
    <x v="6"/>
    <n v="1"/>
    <x v="0"/>
    <x v="2"/>
    <d v="2025-12-16T00:00:00"/>
    <n v="5631.54"/>
    <n v="5075.1522222222229"/>
    <s v="DEV6206"/>
    <x v="4"/>
    <x v="2"/>
    <x v="0"/>
    <s v="Canada"/>
    <s v="Comoros"/>
    <s v="Delivered by Post"/>
    <x v="1"/>
    <x v="1"/>
    <x v="1"/>
  </r>
  <r>
    <s v="T0877"/>
    <x v="6"/>
    <n v="1"/>
    <x v="1"/>
    <x v="3"/>
    <d v="2025-06-12T00:00:00"/>
    <n v="8307.01"/>
    <n v="5075.1522222222229"/>
    <s v="DEV7559"/>
    <x v="1"/>
    <x v="3"/>
    <x v="4"/>
    <s v="Canada"/>
    <s v="Bhutan"/>
    <s v="Delivered by Post"/>
    <x v="1"/>
    <x v="1"/>
    <x v="0"/>
  </r>
  <r>
    <s v="T0908"/>
    <x v="6"/>
    <n v="1"/>
    <x v="1"/>
    <x v="2"/>
    <d v="2025-01-29T00:00:00"/>
    <n v="4763.74"/>
    <n v="5075.1522222222229"/>
    <s v="DEV5913"/>
    <x v="0"/>
    <x v="1"/>
    <x v="0"/>
    <s v="Romania"/>
    <s v="Turkmenistan"/>
    <s v="Delivered by Post"/>
    <x v="0"/>
    <x v="0"/>
    <x v="0"/>
  </r>
  <r>
    <s v="T1004"/>
    <x v="6"/>
    <n v="1"/>
    <x v="0"/>
    <x v="2"/>
    <d v="2025-12-09T00:00:00"/>
    <n v="4734.47"/>
    <n v="5075.1522222222229"/>
    <s v="DEV8593"/>
    <x v="3"/>
    <x v="0"/>
    <x v="4"/>
    <s v="Norway"/>
    <s v="New Zealand"/>
    <s v="Picked Up"/>
    <x v="0"/>
    <x v="0"/>
    <x v="0"/>
  </r>
  <r>
    <s v="T1023"/>
    <x v="6"/>
    <n v="1"/>
    <x v="0"/>
    <x v="3"/>
    <d v="2025-04-02T00:00:00"/>
    <n v="3987.71"/>
    <n v="5075.1522222222229"/>
    <s v="DEV7571"/>
    <x v="2"/>
    <x v="1"/>
    <x v="1"/>
    <s v="Romania"/>
    <s v="Bhutan"/>
    <s v="Delivered by Post"/>
    <x v="0"/>
    <x v="0"/>
    <x v="0"/>
  </r>
  <r>
    <s v="T1065"/>
    <x v="6"/>
    <n v="1"/>
    <x v="0"/>
    <x v="2"/>
    <d v="2025-11-30T00:00:00"/>
    <n v="3579.08"/>
    <n v="5075.1522222222229"/>
    <s v="DEV4757"/>
    <x v="1"/>
    <x v="1"/>
    <x v="4"/>
    <s v="Canada"/>
    <s v="France"/>
    <s v="Delivered by Post"/>
    <x v="0"/>
    <x v="0"/>
    <x v="0"/>
  </r>
  <r>
    <s v="T1077"/>
    <x v="6"/>
    <n v="1"/>
    <x v="0"/>
    <x v="0"/>
    <d v="2025-10-09T00:00:00"/>
    <n v="2309.89"/>
    <n v="5075.1522222222229"/>
    <s v="DEV5844"/>
    <x v="3"/>
    <x v="3"/>
    <x v="1"/>
    <s v="Comoros"/>
    <s v="Bhutan"/>
    <s v="Picked Up"/>
    <x v="0"/>
    <x v="1"/>
    <x v="0"/>
  </r>
  <r>
    <s v="T1175"/>
    <x v="6"/>
    <n v="1"/>
    <x v="0"/>
    <x v="3"/>
    <d v="2025-12-20T00:00:00"/>
    <n v="7440.99"/>
    <n v="5075.1522222222229"/>
    <s v="DEV4511"/>
    <x v="2"/>
    <x v="3"/>
    <x v="1"/>
    <s v="Comoros"/>
    <s v="Canada"/>
    <s v="Picked Up"/>
    <x v="1"/>
    <x v="1"/>
    <x v="0"/>
  </r>
  <r>
    <s v="T1249"/>
    <x v="6"/>
    <n v="1"/>
    <x v="0"/>
    <x v="0"/>
    <d v="2025-04-09T00:00:00"/>
    <n v="437.48"/>
    <n v="5075.1522222222229"/>
    <s v="DEV7403"/>
    <x v="0"/>
    <x v="0"/>
    <x v="1"/>
    <s v="France"/>
    <s v="Turkmenistan"/>
    <s v="Picked Up"/>
    <x v="0"/>
    <x v="0"/>
    <x v="0"/>
  </r>
  <r>
    <s v="T1271"/>
    <x v="6"/>
    <n v="1"/>
    <x v="0"/>
    <x v="3"/>
    <d v="2025-07-14T00:00:00"/>
    <n v="596.38"/>
    <n v="5075.1522222222229"/>
    <s v="DEV5598"/>
    <x v="4"/>
    <x v="1"/>
    <x v="2"/>
    <s v="Turkmenistan"/>
    <s v="New Zealand"/>
    <s v="Picked Up"/>
    <x v="0"/>
    <x v="0"/>
    <x v="1"/>
  </r>
  <r>
    <s v="T1273"/>
    <x v="6"/>
    <n v="1"/>
    <x v="1"/>
    <x v="0"/>
    <d v="2025-04-04T00:00:00"/>
    <n v="9747.66"/>
    <n v="5075.1522222222229"/>
    <s v="DEV4478"/>
    <x v="2"/>
    <x v="0"/>
    <x v="0"/>
    <s v="Canada"/>
    <s v="France"/>
    <s v="Delivered by Post"/>
    <x v="1"/>
    <x v="0"/>
    <x v="0"/>
  </r>
  <r>
    <s v="T1292"/>
    <x v="6"/>
    <n v="1"/>
    <x v="1"/>
    <x v="1"/>
    <d v="2025-04-24T00:00:00"/>
    <n v="6825.56"/>
    <n v="5075.1522222222229"/>
    <s v="DEV4514"/>
    <x v="3"/>
    <x v="3"/>
    <x v="2"/>
    <s v="Canada"/>
    <s v="France"/>
    <s v="Picked Up"/>
    <x v="1"/>
    <x v="1"/>
    <x v="0"/>
  </r>
  <r>
    <s v="T1410"/>
    <x v="6"/>
    <n v="1"/>
    <x v="0"/>
    <x v="2"/>
    <d v="2025-03-24T00:00:00"/>
    <n v="4520.79"/>
    <n v="5075.1522222222229"/>
    <s v="DEV9458"/>
    <x v="1"/>
    <x v="0"/>
    <x v="5"/>
    <s v="Zimbabwe"/>
    <s v="New Zealand"/>
    <s v="Delivered by Post"/>
    <x v="0"/>
    <x v="0"/>
    <x v="0"/>
  </r>
  <r>
    <s v="T1411"/>
    <x v="6"/>
    <n v="1"/>
    <x v="0"/>
    <x v="3"/>
    <d v="2025-12-27T00:00:00"/>
    <n v="1523.91"/>
    <n v="5075.1522222222229"/>
    <s v="DEV8593"/>
    <x v="1"/>
    <x v="2"/>
    <x v="5"/>
    <s v="Canada"/>
    <s v="Bhutan"/>
    <s v="Delivered by Post"/>
    <x v="0"/>
    <x v="1"/>
    <x v="0"/>
  </r>
  <r>
    <s v="T1412"/>
    <x v="6"/>
    <n v="1"/>
    <x v="0"/>
    <x v="3"/>
    <d v="2025-02-10T00:00:00"/>
    <n v="2502.6999999999998"/>
    <n v="5075.1522222222229"/>
    <s v="DEV5714"/>
    <x v="4"/>
    <x v="3"/>
    <x v="4"/>
    <s v="France"/>
    <s v="Romania"/>
    <s v="Delivered by Post"/>
    <x v="0"/>
    <x v="1"/>
    <x v="1"/>
  </r>
  <r>
    <s v="T1434"/>
    <x v="6"/>
    <n v="1"/>
    <x v="1"/>
    <x v="0"/>
    <d v="2025-06-24T00:00:00"/>
    <n v="2364.86"/>
    <n v="5075.1522222222229"/>
    <s v="DEV5073"/>
    <x v="1"/>
    <x v="3"/>
    <x v="1"/>
    <s v="Turkmenistan"/>
    <s v="Turkmenistan"/>
    <s v="Picked Up"/>
    <x v="0"/>
    <x v="1"/>
    <x v="0"/>
  </r>
  <r>
    <s v="T1442"/>
    <x v="6"/>
    <n v="1"/>
    <x v="1"/>
    <x v="0"/>
    <d v="2025-07-14T00:00:00"/>
    <n v="5170.9399999999996"/>
    <n v="5075.1522222222229"/>
    <s v="DEV1125"/>
    <x v="1"/>
    <x v="0"/>
    <x v="5"/>
    <s v="France"/>
    <s v="Norway"/>
    <s v="Delivered by Post"/>
    <x v="1"/>
    <x v="0"/>
    <x v="0"/>
  </r>
  <r>
    <s v="T1471"/>
    <x v="6"/>
    <n v="1"/>
    <x v="1"/>
    <x v="2"/>
    <d v="2025-01-22T00:00:00"/>
    <n v="4018.29"/>
    <n v="5075.1522222222229"/>
    <s v="DEV1246"/>
    <x v="4"/>
    <x v="2"/>
    <x v="4"/>
    <s v="Bhutan"/>
    <s v="Turkmenistan"/>
    <s v="Picked Up"/>
    <x v="0"/>
    <x v="1"/>
    <x v="1"/>
  </r>
  <r>
    <s v="T1493"/>
    <x v="6"/>
    <n v="1"/>
    <x v="1"/>
    <x v="2"/>
    <d v="2025-02-18T00:00:00"/>
    <n v="9512.8700000000008"/>
    <n v="5075.1522222222229"/>
    <s v="DEV1312"/>
    <x v="3"/>
    <x v="3"/>
    <x v="1"/>
    <s v="Comoros"/>
    <s v="Bhutan"/>
    <s v="Picked Up"/>
    <x v="1"/>
    <x v="1"/>
    <x v="0"/>
  </r>
  <r>
    <s v="T1552"/>
    <x v="6"/>
    <n v="1"/>
    <x v="1"/>
    <x v="1"/>
    <d v="2025-10-14T00:00:00"/>
    <n v="8285.35"/>
    <n v="5075.1522222222229"/>
    <s v="DEV2999"/>
    <x v="2"/>
    <x v="3"/>
    <x v="0"/>
    <s v="Canada"/>
    <s v="Zimbabwe"/>
    <s v="Picked Up"/>
    <x v="1"/>
    <x v="1"/>
    <x v="0"/>
  </r>
  <r>
    <s v="T1571"/>
    <x v="6"/>
    <n v="1"/>
    <x v="0"/>
    <x v="2"/>
    <d v="2025-03-08T00:00:00"/>
    <n v="2529.31"/>
    <n v="5075.1522222222229"/>
    <s v="DEV3839"/>
    <x v="1"/>
    <x v="1"/>
    <x v="2"/>
    <s v="Comoros"/>
    <s v="New Zealand"/>
    <s v="Delivered by Post"/>
    <x v="0"/>
    <x v="0"/>
    <x v="0"/>
  </r>
  <r>
    <s v="T1633"/>
    <x v="6"/>
    <n v="1"/>
    <x v="0"/>
    <x v="3"/>
    <d v="2025-01-04T00:00:00"/>
    <n v="8488.6299999999992"/>
    <n v="5075.1522222222229"/>
    <s v="DEV2340"/>
    <x v="3"/>
    <x v="3"/>
    <x v="1"/>
    <s v="New Zealand"/>
    <s v="Romania"/>
    <s v="Picked Up"/>
    <x v="1"/>
    <x v="1"/>
    <x v="0"/>
  </r>
  <r>
    <s v="T1751"/>
    <x v="6"/>
    <n v="1"/>
    <x v="0"/>
    <x v="1"/>
    <d v="2025-08-25T00:00:00"/>
    <n v="7003.86"/>
    <n v="5075.1522222222229"/>
    <s v="DEV3588"/>
    <x v="0"/>
    <x v="2"/>
    <x v="5"/>
    <s v="Zimbabwe"/>
    <s v="Norway"/>
    <s v="Picked Up"/>
    <x v="1"/>
    <x v="1"/>
    <x v="0"/>
  </r>
  <r>
    <s v="T1769"/>
    <x v="6"/>
    <n v="1"/>
    <x v="0"/>
    <x v="1"/>
    <d v="2025-06-24T00:00:00"/>
    <n v="3611.79"/>
    <n v="5075.1522222222229"/>
    <s v="DEV9894"/>
    <x v="4"/>
    <x v="1"/>
    <x v="1"/>
    <s v="Canada"/>
    <s v="Turkmenistan"/>
    <s v="Delivered by Post"/>
    <x v="0"/>
    <x v="0"/>
    <x v="1"/>
  </r>
  <r>
    <s v="T1874"/>
    <x v="6"/>
    <n v="1"/>
    <x v="0"/>
    <x v="0"/>
    <d v="2025-06-18T00:00:00"/>
    <n v="1351.08"/>
    <n v="5075.1522222222229"/>
    <s v="DEV5723"/>
    <x v="2"/>
    <x v="3"/>
    <x v="0"/>
    <s v="France"/>
    <s v="Canada"/>
    <s v="Picked Up"/>
    <x v="0"/>
    <x v="1"/>
    <x v="0"/>
  </r>
  <r>
    <s v="T1909"/>
    <x v="6"/>
    <n v="1"/>
    <x v="1"/>
    <x v="2"/>
    <d v="2025-01-27T00:00:00"/>
    <n v="9719.99"/>
    <n v="5075.1522222222229"/>
    <s v="DEV2677"/>
    <x v="3"/>
    <x v="2"/>
    <x v="3"/>
    <s v="New Zealand"/>
    <s v="Canada"/>
    <s v="Picked Up"/>
    <x v="1"/>
    <x v="1"/>
    <x v="0"/>
  </r>
  <r>
    <s v="T1962"/>
    <x v="6"/>
    <n v="1"/>
    <x v="1"/>
    <x v="0"/>
    <d v="2025-04-15T00:00:00"/>
    <n v="8559.3700000000008"/>
    <n v="5075.1522222222229"/>
    <s v="DEV2601"/>
    <x v="2"/>
    <x v="3"/>
    <x v="2"/>
    <s v="Norway"/>
    <s v="France"/>
    <s v="Delivered by Post"/>
    <x v="1"/>
    <x v="1"/>
    <x v="0"/>
  </r>
  <r>
    <s v="T2028"/>
    <x v="6"/>
    <n v="1"/>
    <x v="1"/>
    <x v="3"/>
    <d v="2025-10-14T00:00:00"/>
    <n v="4707.84"/>
    <n v="5075.1522222222229"/>
    <s v="DEV2090"/>
    <x v="4"/>
    <x v="3"/>
    <x v="4"/>
    <s v="Bhutan"/>
    <s v="Turkmenistan"/>
    <s v="Delivered by Post"/>
    <x v="0"/>
    <x v="1"/>
    <x v="1"/>
  </r>
  <r>
    <s v="T2035"/>
    <x v="6"/>
    <n v="1"/>
    <x v="1"/>
    <x v="3"/>
    <d v="2025-07-24T00:00:00"/>
    <n v="3793.17"/>
    <n v="5075.1522222222229"/>
    <s v="DEV8458"/>
    <x v="0"/>
    <x v="3"/>
    <x v="2"/>
    <s v="Bhutan"/>
    <s v="Turkmenistan"/>
    <s v="Picked Up"/>
    <x v="0"/>
    <x v="1"/>
    <x v="0"/>
  </r>
  <r>
    <s v="T2041"/>
    <x v="6"/>
    <n v="1"/>
    <x v="0"/>
    <x v="3"/>
    <d v="2025-07-16T00:00:00"/>
    <n v="2872.7"/>
    <n v="5075.1522222222229"/>
    <s v="DEV9279"/>
    <x v="0"/>
    <x v="1"/>
    <x v="1"/>
    <s v="Romania"/>
    <s v="Norway"/>
    <s v="Picked Up"/>
    <x v="0"/>
    <x v="0"/>
    <x v="0"/>
  </r>
  <r>
    <s v="T2230"/>
    <x v="6"/>
    <n v="1"/>
    <x v="0"/>
    <x v="3"/>
    <d v="2025-11-13T00:00:00"/>
    <n v="5876.53"/>
    <n v="5075.1522222222229"/>
    <s v="DEV7460"/>
    <x v="4"/>
    <x v="1"/>
    <x v="1"/>
    <s v="France"/>
    <s v="Bhutan"/>
    <s v="Delivered by Post"/>
    <x v="1"/>
    <x v="0"/>
    <x v="1"/>
  </r>
  <r>
    <s v="T2311"/>
    <x v="6"/>
    <n v="1"/>
    <x v="1"/>
    <x v="0"/>
    <d v="2025-06-29T00:00:00"/>
    <n v="885.81"/>
    <n v="5075.1522222222229"/>
    <s v="DEV6987"/>
    <x v="0"/>
    <x v="2"/>
    <x v="1"/>
    <s v="Romania"/>
    <s v="Zimbabwe"/>
    <s v="Picked Up"/>
    <x v="0"/>
    <x v="1"/>
    <x v="0"/>
  </r>
  <r>
    <s v="T2348"/>
    <x v="6"/>
    <n v="1"/>
    <x v="1"/>
    <x v="3"/>
    <d v="2025-09-06T00:00:00"/>
    <n v="9389.7800000000007"/>
    <n v="5075.1522222222229"/>
    <s v="DEV4781"/>
    <x v="2"/>
    <x v="2"/>
    <x v="1"/>
    <s v="Norway"/>
    <s v="Comoros"/>
    <s v="Picked Up"/>
    <x v="1"/>
    <x v="1"/>
    <x v="0"/>
  </r>
  <r>
    <s v="T2388"/>
    <x v="6"/>
    <n v="1"/>
    <x v="1"/>
    <x v="1"/>
    <d v="2025-08-27T00:00:00"/>
    <n v="7417.71"/>
    <n v="5075.1522222222229"/>
    <s v="DEV6379"/>
    <x v="0"/>
    <x v="0"/>
    <x v="0"/>
    <s v="Romania"/>
    <s v="Turkmenistan"/>
    <s v="Delivered by Post"/>
    <x v="1"/>
    <x v="0"/>
    <x v="0"/>
  </r>
  <r>
    <s v="T2421"/>
    <x v="6"/>
    <n v="1"/>
    <x v="1"/>
    <x v="0"/>
    <d v="2025-01-29T00:00:00"/>
    <n v="3701.84"/>
    <n v="5075.1522222222229"/>
    <s v="DEV5673"/>
    <x v="1"/>
    <x v="3"/>
    <x v="0"/>
    <s v="Romania"/>
    <s v="Bhutan"/>
    <s v="Delivered by Post"/>
    <x v="0"/>
    <x v="1"/>
    <x v="0"/>
  </r>
  <r>
    <s v="T2475"/>
    <x v="6"/>
    <n v="1"/>
    <x v="1"/>
    <x v="2"/>
    <d v="2025-09-08T00:00:00"/>
    <n v="4450.57"/>
    <n v="5075.1522222222229"/>
    <s v="DEV5921"/>
    <x v="1"/>
    <x v="1"/>
    <x v="2"/>
    <s v="Canada"/>
    <s v="Romania"/>
    <s v="Picked Up"/>
    <x v="0"/>
    <x v="0"/>
    <x v="0"/>
  </r>
  <r>
    <s v="T2525"/>
    <x v="6"/>
    <n v="1"/>
    <x v="1"/>
    <x v="0"/>
    <d v="2025-09-02T00:00:00"/>
    <n v="5944.8"/>
    <n v="5075.1522222222229"/>
    <s v="DEV7318"/>
    <x v="2"/>
    <x v="0"/>
    <x v="3"/>
    <s v="Bhutan"/>
    <s v="France"/>
    <s v="Delivered by Post"/>
    <x v="1"/>
    <x v="0"/>
    <x v="0"/>
  </r>
  <r>
    <s v="T2583"/>
    <x v="6"/>
    <n v="1"/>
    <x v="1"/>
    <x v="0"/>
    <d v="2025-05-12T00:00:00"/>
    <n v="6583.84"/>
    <n v="5075.1522222222229"/>
    <s v="DEV4602"/>
    <x v="1"/>
    <x v="0"/>
    <x v="2"/>
    <s v="Bhutan"/>
    <s v="Zimbabwe"/>
    <s v="Delivered by Post"/>
    <x v="1"/>
    <x v="0"/>
    <x v="0"/>
  </r>
  <r>
    <s v="T2585"/>
    <x v="6"/>
    <n v="1"/>
    <x v="1"/>
    <x v="1"/>
    <d v="2025-04-27T00:00:00"/>
    <n v="8117.2"/>
    <n v="5075.1522222222229"/>
    <s v="DEV5532"/>
    <x v="2"/>
    <x v="1"/>
    <x v="0"/>
    <s v="Bhutan"/>
    <s v="Comoros"/>
    <s v="Picked Up"/>
    <x v="1"/>
    <x v="0"/>
    <x v="0"/>
  </r>
  <r>
    <s v="T2603"/>
    <x v="6"/>
    <n v="1"/>
    <x v="1"/>
    <x v="2"/>
    <d v="2025-12-27T00:00:00"/>
    <n v="8012.27"/>
    <n v="5075.1522222222229"/>
    <s v="DEV1303"/>
    <x v="4"/>
    <x v="0"/>
    <x v="1"/>
    <s v="Comoros"/>
    <s v="Romania"/>
    <s v="Picked Up"/>
    <x v="1"/>
    <x v="0"/>
    <x v="1"/>
  </r>
  <r>
    <s v="T2623"/>
    <x v="6"/>
    <n v="1"/>
    <x v="0"/>
    <x v="1"/>
    <d v="2025-09-09T00:00:00"/>
    <n v="8633.82"/>
    <n v="5075.1522222222229"/>
    <s v="DEV5154"/>
    <x v="4"/>
    <x v="3"/>
    <x v="3"/>
    <s v="Zimbabwe"/>
    <s v="Romania"/>
    <s v="Picked Up"/>
    <x v="1"/>
    <x v="1"/>
    <x v="1"/>
  </r>
  <r>
    <s v="T0024"/>
    <x v="7"/>
    <n v="1"/>
    <x v="2"/>
    <x v="0"/>
    <d v="2025-05-12T22:55:00"/>
    <n v="2748.66"/>
    <n v="5007.8805084745773"/>
    <s v="DEV8739"/>
    <x v="2"/>
    <x v="2"/>
    <x v="1"/>
    <s v="United States Virgin Islands"/>
    <s v="Myanmar"/>
    <s v="Delivered by Post"/>
    <x v="0"/>
    <x v="1"/>
    <x v="0"/>
  </r>
  <r>
    <s v="T0095"/>
    <x v="7"/>
    <n v="1"/>
    <x v="2"/>
    <x v="3"/>
    <d v="2025-04-28T14:16:00"/>
    <n v="9172.2999999999993"/>
    <n v="5007.8805084745773"/>
    <s v="DEV7635"/>
    <x v="0"/>
    <x v="2"/>
    <x v="4"/>
    <s v="United States Virgin Islands"/>
    <s v="Slovenia"/>
    <s v="Picked Up"/>
    <x v="1"/>
    <x v="1"/>
    <x v="0"/>
  </r>
  <r>
    <s v="T0097"/>
    <x v="7"/>
    <n v="1"/>
    <x v="2"/>
    <x v="4"/>
    <d v="2025-02-10T03:53:00"/>
    <n v="1973.48"/>
    <n v="5007.8805084745773"/>
    <s v="DEV5783"/>
    <x v="1"/>
    <x v="0"/>
    <x v="5"/>
    <s v="United States Virgin Islands"/>
    <s v="Botswana"/>
    <s v="Delivered by Post"/>
    <x v="0"/>
    <x v="0"/>
    <x v="0"/>
  </r>
  <r>
    <s v="T0109"/>
    <x v="7"/>
    <n v="1"/>
    <x v="1"/>
    <x v="0"/>
    <d v="2025-07-17T00:00:00"/>
    <n v="1570.77"/>
    <n v="5007.8805084745773"/>
    <s v="DEV8668"/>
    <x v="2"/>
    <x v="3"/>
    <x v="5"/>
    <s v="Canada"/>
    <s v="Zimbabwe"/>
    <s v="Delivered by Post"/>
    <x v="0"/>
    <x v="1"/>
    <x v="0"/>
  </r>
  <r>
    <s v="T0216"/>
    <x v="7"/>
    <n v="1"/>
    <x v="0"/>
    <x v="1"/>
    <d v="2025-03-15T00:00:00"/>
    <n v="8375.0400000000009"/>
    <n v="5007.8805084745773"/>
    <s v="DEV8032"/>
    <x v="1"/>
    <x v="3"/>
    <x v="0"/>
    <s v="Bhutan"/>
    <s v="Norway"/>
    <s v="Picked Up"/>
    <x v="1"/>
    <x v="1"/>
    <x v="0"/>
  </r>
  <r>
    <s v="T0228"/>
    <x v="7"/>
    <n v="1"/>
    <x v="0"/>
    <x v="2"/>
    <d v="2025-01-14T00:00:00"/>
    <n v="9852.07"/>
    <n v="5007.8805084745773"/>
    <s v="DEV7044"/>
    <x v="0"/>
    <x v="2"/>
    <x v="5"/>
    <s v="Zimbabwe"/>
    <s v="Zimbabwe"/>
    <s v="Delivered by Post"/>
    <x v="1"/>
    <x v="1"/>
    <x v="0"/>
  </r>
  <r>
    <s v="T0247"/>
    <x v="7"/>
    <n v="1"/>
    <x v="1"/>
    <x v="3"/>
    <d v="2025-03-16T00:00:00"/>
    <n v="5756.09"/>
    <n v="5007.8805084745773"/>
    <s v="DEV1689"/>
    <x v="4"/>
    <x v="0"/>
    <x v="1"/>
    <s v="Comoros"/>
    <s v="France"/>
    <s v="Delivered by Post"/>
    <x v="1"/>
    <x v="0"/>
    <x v="1"/>
  </r>
  <r>
    <s v="T0261"/>
    <x v="7"/>
    <n v="1"/>
    <x v="0"/>
    <x v="1"/>
    <d v="2025-01-02T00:00:00"/>
    <n v="1825.81"/>
    <n v="5007.8805084745773"/>
    <s v="DEV5888"/>
    <x v="0"/>
    <x v="1"/>
    <x v="5"/>
    <s v="Bhutan"/>
    <s v="Romania"/>
    <s v="Picked Up"/>
    <x v="0"/>
    <x v="0"/>
    <x v="0"/>
  </r>
  <r>
    <s v="T0388"/>
    <x v="7"/>
    <n v="1"/>
    <x v="0"/>
    <x v="0"/>
    <d v="2025-07-26T00:00:00"/>
    <n v="9807.67"/>
    <n v="5007.8805084745773"/>
    <s v="DEV1587"/>
    <x v="2"/>
    <x v="0"/>
    <x v="2"/>
    <s v="France"/>
    <s v="Turkmenistan"/>
    <s v="Picked Up"/>
    <x v="1"/>
    <x v="0"/>
    <x v="0"/>
  </r>
  <r>
    <s v="T0411"/>
    <x v="7"/>
    <n v="1"/>
    <x v="0"/>
    <x v="2"/>
    <d v="2025-11-27T00:00:00"/>
    <n v="1854.51"/>
    <n v="5007.8805084745773"/>
    <s v="DEV2198"/>
    <x v="4"/>
    <x v="0"/>
    <x v="1"/>
    <s v="Zimbabwe"/>
    <s v="Romania"/>
    <s v="Delivered by Post"/>
    <x v="0"/>
    <x v="0"/>
    <x v="1"/>
  </r>
  <r>
    <s v="T0461"/>
    <x v="7"/>
    <n v="1"/>
    <x v="1"/>
    <x v="2"/>
    <d v="2025-05-07T00:00:00"/>
    <n v="9747.26"/>
    <n v="5007.8805084745773"/>
    <s v="DEV1549"/>
    <x v="3"/>
    <x v="1"/>
    <x v="3"/>
    <s v="Zimbabwe"/>
    <s v="Turkmenistan"/>
    <s v="Picked Up"/>
    <x v="1"/>
    <x v="0"/>
    <x v="0"/>
  </r>
  <r>
    <s v="T0479"/>
    <x v="7"/>
    <n v="1"/>
    <x v="0"/>
    <x v="2"/>
    <d v="2025-01-28T00:00:00"/>
    <n v="8704.3799999999992"/>
    <n v="5007.8805084745773"/>
    <s v="DEV9591"/>
    <x v="1"/>
    <x v="3"/>
    <x v="5"/>
    <s v="Norway"/>
    <s v="New Zealand"/>
    <s v="Picked Up"/>
    <x v="1"/>
    <x v="1"/>
    <x v="0"/>
  </r>
  <r>
    <s v="T0552"/>
    <x v="7"/>
    <n v="1"/>
    <x v="1"/>
    <x v="1"/>
    <d v="2025-10-24T00:00:00"/>
    <n v="2156.1999999999998"/>
    <n v="5007.8805084745773"/>
    <s v="DEV2180"/>
    <x v="1"/>
    <x v="2"/>
    <x v="4"/>
    <s v="Canada"/>
    <s v="Comoros"/>
    <s v="Picked Up"/>
    <x v="0"/>
    <x v="1"/>
    <x v="0"/>
  </r>
  <r>
    <s v="T0565"/>
    <x v="7"/>
    <n v="1"/>
    <x v="0"/>
    <x v="3"/>
    <d v="2025-04-23T00:00:00"/>
    <n v="8523.93"/>
    <n v="5007.8805084745773"/>
    <s v="DEV3568"/>
    <x v="2"/>
    <x v="2"/>
    <x v="5"/>
    <s v="Turkmenistan"/>
    <s v="Romania"/>
    <s v="Picked Up"/>
    <x v="1"/>
    <x v="1"/>
    <x v="0"/>
  </r>
  <r>
    <s v="T0676"/>
    <x v="7"/>
    <n v="1"/>
    <x v="0"/>
    <x v="3"/>
    <d v="2025-10-20T00:00:00"/>
    <n v="6035.92"/>
    <n v="5007.8805084745773"/>
    <s v="DEV1659"/>
    <x v="2"/>
    <x v="2"/>
    <x v="2"/>
    <s v="New Zealand"/>
    <s v="France"/>
    <s v="Delivered by Post"/>
    <x v="1"/>
    <x v="1"/>
    <x v="0"/>
  </r>
  <r>
    <s v="T0678"/>
    <x v="7"/>
    <n v="1"/>
    <x v="0"/>
    <x v="2"/>
    <d v="2025-09-04T00:00:00"/>
    <n v="5498"/>
    <n v="5007.8805084745773"/>
    <s v="DEV6074"/>
    <x v="2"/>
    <x v="1"/>
    <x v="1"/>
    <s v="Bhutan"/>
    <s v="Comoros"/>
    <s v="Picked Up"/>
    <x v="1"/>
    <x v="0"/>
    <x v="0"/>
  </r>
  <r>
    <s v="T0686"/>
    <x v="7"/>
    <n v="1"/>
    <x v="1"/>
    <x v="0"/>
    <d v="2025-09-05T00:00:00"/>
    <n v="2729.41"/>
    <n v="5007.8805084745773"/>
    <s v="DEV7676"/>
    <x v="3"/>
    <x v="0"/>
    <x v="1"/>
    <s v="Turkmenistan"/>
    <s v="Zimbabwe"/>
    <s v="Picked Up"/>
    <x v="0"/>
    <x v="0"/>
    <x v="0"/>
  </r>
  <r>
    <s v="T0777"/>
    <x v="7"/>
    <n v="1"/>
    <x v="0"/>
    <x v="0"/>
    <d v="2025-10-28T00:00:00"/>
    <n v="4917.72"/>
    <n v="5007.8805084745773"/>
    <s v="DEV8856"/>
    <x v="4"/>
    <x v="0"/>
    <x v="5"/>
    <s v="Norway"/>
    <s v="Bhutan"/>
    <s v="Delivered by Post"/>
    <x v="0"/>
    <x v="0"/>
    <x v="1"/>
  </r>
  <r>
    <s v="T0780"/>
    <x v="7"/>
    <n v="1"/>
    <x v="0"/>
    <x v="0"/>
    <d v="2025-10-15T00:00:00"/>
    <n v="439.47"/>
    <n v="5007.8805084745773"/>
    <s v="DEV1573"/>
    <x v="1"/>
    <x v="0"/>
    <x v="5"/>
    <s v="France"/>
    <s v="New Zealand"/>
    <s v="Picked Up"/>
    <x v="0"/>
    <x v="0"/>
    <x v="0"/>
  </r>
  <r>
    <s v="T0787"/>
    <x v="7"/>
    <n v="1"/>
    <x v="1"/>
    <x v="2"/>
    <d v="2025-02-18T00:00:00"/>
    <n v="1798.53"/>
    <n v="5007.8805084745773"/>
    <s v="DEV6716"/>
    <x v="2"/>
    <x v="3"/>
    <x v="5"/>
    <s v="France"/>
    <s v="Zimbabwe"/>
    <s v="Picked Up"/>
    <x v="0"/>
    <x v="1"/>
    <x v="0"/>
  </r>
  <r>
    <s v="T0800"/>
    <x v="7"/>
    <n v="1"/>
    <x v="0"/>
    <x v="3"/>
    <d v="2025-07-24T00:00:00"/>
    <n v="4239.8999999999996"/>
    <n v="5007.8805084745773"/>
    <s v="DEV7370"/>
    <x v="3"/>
    <x v="0"/>
    <x v="2"/>
    <s v="Canada"/>
    <s v="Norway"/>
    <s v="Picked Up"/>
    <x v="0"/>
    <x v="0"/>
    <x v="0"/>
  </r>
  <r>
    <s v="T0824"/>
    <x v="7"/>
    <n v="1"/>
    <x v="0"/>
    <x v="0"/>
    <d v="2025-11-06T00:00:00"/>
    <n v="3636.91"/>
    <n v="5007.8805084745773"/>
    <s v="DEV3917"/>
    <x v="0"/>
    <x v="3"/>
    <x v="5"/>
    <s v="Norway"/>
    <s v="Bhutan"/>
    <s v="Picked Up"/>
    <x v="0"/>
    <x v="1"/>
    <x v="0"/>
  </r>
  <r>
    <s v="T0858"/>
    <x v="7"/>
    <n v="1"/>
    <x v="0"/>
    <x v="3"/>
    <d v="2025-08-26T00:00:00"/>
    <n v="1995.82"/>
    <n v="5007.8805084745773"/>
    <s v="DEV7484"/>
    <x v="1"/>
    <x v="3"/>
    <x v="0"/>
    <s v="Turkmenistan"/>
    <s v="France"/>
    <s v="Delivered by Post"/>
    <x v="0"/>
    <x v="1"/>
    <x v="0"/>
  </r>
  <r>
    <s v="T0993"/>
    <x v="7"/>
    <n v="1"/>
    <x v="0"/>
    <x v="1"/>
    <d v="2025-06-12T00:00:00"/>
    <n v="9184.2099999999991"/>
    <n v="5007.8805084745773"/>
    <s v="DEV1329"/>
    <x v="3"/>
    <x v="0"/>
    <x v="0"/>
    <s v="New Zealand"/>
    <s v="Comoros"/>
    <s v="Picked Up"/>
    <x v="1"/>
    <x v="0"/>
    <x v="0"/>
  </r>
  <r>
    <s v="T1110"/>
    <x v="7"/>
    <n v="1"/>
    <x v="0"/>
    <x v="3"/>
    <d v="2025-03-14T00:00:00"/>
    <n v="6703.62"/>
    <n v="5007.8805084745773"/>
    <s v="DEV9040"/>
    <x v="3"/>
    <x v="1"/>
    <x v="2"/>
    <s v="New Zealand"/>
    <s v="Canada"/>
    <s v="Delivered by Post"/>
    <x v="1"/>
    <x v="0"/>
    <x v="0"/>
  </r>
  <r>
    <s v="T1218"/>
    <x v="7"/>
    <n v="1"/>
    <x v="0"/>
    <x v="1"/>
    <d v="2025-08-24T00:00:00"/>
    <n v="1002.05"/>
    <n v="5007.8805084745773"/>
    <s v="DEV3713"/>
    <x v="3"/>
    <x v="2"/>
    <x v="1"/>
    <s v="Zimbabwe"/>
    <s v="Canada"/>
    <s v="Picked Up"/>
    <x v="0"/>
    <x v="1"/>
    <x v="0"/>
  </r>
  <r>
    <s v="T1312"/>
    <x v="7"/>
    <n v="1"/>
    <x v="0"/>
    <x v="0"/>
    <d v="2025-05-14T00:00:00"/>
    <n v="8659.25"/>
    <n v="5007.8805084745773"/>
    <s v="DEV5237"/>
    <x v="3"/>
    <x v="1"/>
    <x v="4"/>
    <s v="Romania"/>
    <s v="Turkmenistan"/>
    <s v="Picked Up"/>
    <x v="1"/>
    <x v="0"/>
    <x v="0"/>
  </r>
  <r>
    <s v="T1328"/>
    <x v="7"/>
    <n v="1"/>
    <x v="0"/>
    <x v="0"/>
    <d v="2025-04-09T00:00:00"/>
    <n v="7476.11"/>
    <n v="5007.8805084745773"/>
    <s v="DEV9523"/>
    <x v="3"/>
    <x v="3"/>
    <x v="4"/>
    <s v="Bhutan"/>
    <s v="Zimbabwe"/>
    <s v="Picked Up"/>
    <x v="1"/>
    <x v="1"/>
    <x v="0"/>
  </r>
  <r>
    <s v="T1331"/>
    <x v="7"/>
    <n v="1"/>
    <x v="0"/>
    <x v="2"/>
    <d v="2025-04-10T00:00:00"/>
    <n v="2458.9"/>
    <n v="5007.8805084745773"/>
    <s v="DEV5889"/>
    <x v="3"/>
    <x v="1"/>
    <x v="3"/>
    <s v="Turkmenistan"/>
    <s v="Turkmenistan"/>
    <s v="Picked Up"/>
    <x v="0"/>
    <x v="1"/>
    <x v="0"/>
  </r>
  <r>
    <s v="T1386"/>
    <x v="7"/>
    <n v="1"/>
    <x v="1"/>
    <x v="1"/>
    <d v="2025-04-12T00:00:00"/>
    <n v="6471.93"/>
    <n v="5007.8805084745773"/>
    <s v="DEV4559"/>
    <x v="2"/>
    <x v="2"/>
    <x v="2"/>
    <s v="New Zealand"/>
    <s v="Norway"/>
    <s v="Picked Up"/>
    <x v="1"/>
    <x v="1"/>
    <x v="0"/>
  </r>
  <r>
    <s v="T1440"/>
    <x v="7"/>
    <n v="1"/>
    <x v="0"/>
    <x v="0"/>
    <d v="2025-12-18T00:00:00"/>
    <n v="1284.96"/>
    <n v="5007.8805084745773"/>
    <s v="DEV6919"/>
    <x v="3"/>
    <x v="1"/>
    <x v="3"/>
    <s v="Canada"/>
    <s v="New Zealand"/>
    <s v="Picked Up"/>
    <x v="0"/>
    <x v="0"/>
    <x v="0"/>
  </r>
  <r>
    <s v="T1465"/>
    <x v="7"/>
    <n v="1"/>
    <x v="0"/>
    <x v="0"/>
    <d v="2025-02-02T00:00:00"/>
    <n v="198.28"/>
    <n v="5007.8805084745773"/>
    <s v="DEV9552"/>
    <x v="0"/>
    <x v="1"/>
    <x v="4"/>
    <s v="Bhutan"/>
    <s v="Zimbabwe"/>
    <s v="Picked Up"/>
    <x v="0"/>
    <x v="0"/>
    <x v="0"/>
  </r>
  <r>
    <s v="T1521"/>
    <x v="7"/>
    <n v="1"/>
    <x v="0"/>
    <x v="3"/>
    <d v="2025-02-04T00:00:00"/>
    <n v="9443.92"/>
    <n v="5007.8805084745773"/>
    <s v="DEV7342"/>
    <x v="0"/>
    <x v="2"/>
    <x v="0"/>
    <s v="Zimbabwe"/>
    <s v="Romania"/>
    <s v="Picked Up"/>
    <x v="1"/>
    <x v="1"/>
    <x v="0"/>
  </r>
  <r>
    <s v="T1593"/>
    <x v="7"/>
    <n v="1"/>
    <x v="1"/>
    <x v="3"/>
    <d v="2025-10-30T00:00:00"/>
    <n v="3788.02"/>
    <n v="5007.8805084745773"/>
    <s v="DEV7266"/>
    <x v="3"/>
    <x v="2"/>
    <x v="3"/>
    <s v="Canada"/>
    <s v="Turkmenistan"/>
    <s v="Picked Up"/>
    <x v="0"/>
    <x v="1"/>
    <x v="0"/>
  </r>
  <r>
    <s v="T1621"/>
    <x v="7"/>
    <n v="1"/>
    <x v="1"/>
    <x v="3"/>
    <d v="2025-04-16T00:00:00"/>
    <n v="4138.99"/>
    <n v="5007.8805084745773"/>
    <s v="DEV9788"/>
    <x v="2"/>
    <x v="0"/>
    <x v="4"/>
    <s v="France"/>
    <s v="Turkmenistan"/>
    <s v="Picked Up"/>
    <x v="0"/>
    <x v="0"/>
    <x v="0"/>
  </r>
  <r>
    <s v="T1663"/>
    <x v="7"/>
    <n v="1"/>
    <x v="0"/>
    <x v="1"/>
    <d v="2025-09-09T00:00:00"/>
    <n v="422.86"/>
    <n v="5007.8805084745773"/>
    <s v="DEV1135"/>
    <x v="4"/>
    <x v="2"/>
    <x v="4"/>
    <s v="Bhutan"/>
    <s v="Romania"/>
    <s v="Delivered by Post"/>
    <x v="0"/>
    <x v="1"/>
    <x v="1"/>
  </r>
  <r>
    <s v="T1797"/>
    <x v="7"/>
    <n v="1"/>
    <x v="1"/>
    <x v="0"/>
    <d v="2025-10-07T00:00:00"/>
    <n v="6959.97"/>
    <n v="5007.8805084745773"/>
    <s v="DEV8254"/>
    <x v="1"/>
    <x v="1"/>
    <x v="4"/>
    <s v="Romania"/>
    <s v="Norway"/>
    <s v="Picked Up"/>
    <x v="1"/>
    <x v="0"/>
    <x v="0"/>
  </r>
  <r>
    <s v="T1799"/>
    <x v="7"/>
    <n v="1"/>
    <x v="1"/>
    <x v="1"/>
    <d v="2025-04-30T00:00:00"/>
    <n v="5640.43"/>
    <n v="5007.8805084745773"/>
    <s v="DEV2481"/>
    <x v="0"/>
    <x v="0"/>
    <x v="5"/>
    <s v="Bhutan"/>
    <s v="France"/>
    <s v="Delivered by Post"/>
    <x v="1"/>
    <x v="0"/>
    <x v="0"/>
  </r>
  <r>
    <s v="T1852"/>
    <x v="7"/>
    <n v="1"/>
    <x v="1"/>
    <x v="2"/>
    <d v="2025-07-14T00:00:00"/>
    <n v="4958.57"/>
    <n v="5007.8805084745773"/>
    <s v="DEV4845"/>
    <x v="0"/>
    <x v="0"/>
    <x v="4"/>
    <s v="Norway"/>
    <s v="France"/>
    <s v="Delivered by Post"/>
    <x v="0"/>
    <x v="0"/>
    <x v="0"/>
  </r>
  <r>
    <s v="T1913"/>
    <x v="7"/>
    <n v="1"/>
    <x v="1"/>
    <x v="2"/>
    <d v="2025-12-28T00:00:00"/>
    <n v="3582.92"/>
    <n v="5007.8805084745773"/>
    <s v="DEV3413"/>
    <x v="0"/>
    <x v="2"/>
    <x v="2"/>
    <s v="Turkmenistan"/>
    <s v="Bhutan"/>
    <s v="Picked Up"/>
    <x v="0"/>
    <x v="1"/>
    <x v="0"/>
  </r>
  <r>
    <s v="T2045"/>
    <x v="7"/>
    <n v="1"/>
    <x v="0"/>
    <x v="1"/>
    <d v="2025-05-01T00:00:00"/>
    <n v="4036.41"/>
    <n v="5007.8805084745773"/>
    <s v="DEV7894"/>
    <x v="3"/>
    <x v="1"/>
    <x v="5"/>
    <s v="Romania"/>
    <s v="Canada"/>
    <s v="Picked Up"/>
    <x v="0"/>
    <x v="0"/>
    <x v="0"/>
  </r>
  <r>
    <s v="T2214"/>
    <x v="7"/>
    <n v="1"/>
    <x v="1"/>
    <x v="2"/>
    <d v="2025-08-21T00:00:00"/>
    <n v="1274.54"/>
    <n v="5007.8805084745773"/>
    <s v="DEV5714"/>
    <x v="2"/>
    <x v="3"/>
    <x v="0"/>
    <s v="Zimbabwe"/>
    <s v="France"/>
    <s v="Delivered by Post"/>
    <x v="0"/>
    <x v="1"/>
    <x v="0"/>
  </r>
  <r>
    <s v="T2220"/>
    <x v="7"/>
    <n v="1"/>
    <x v="1"/>
    <x v="0"/>
    <d v="2025-09-23T00:00:00"/>
    <n v="5581.91"/>
    <n v="5007.8805084745773"/>
    <s v="DEV4551"/>
    <x v="0"/>
    <x v="3"/>
    <x v="1"/>
    <s v="Bhutan"/>
    <s v="Canada"/>
    <s v="Picked Up"/>
    <x v="1"/>
    <x v="1"/>
    <x v="0"/>
  </r>
  <r>
    <s v="T2282"/>
    <x v="7"/>
    <n v="1"/>
    <x v="1"/>
    <x v="1"/>
    <d v="2025-09-23T00:00:00"/>
    <n v="3408.71"/>
    <n v="5007.8805084745773"/>
    <s v="DEV1704"/>
    <x v="3"/>
    <x v="0"/>
    <x v="0"/>
    <s v="France"/>
    <s v="Turkmenistan"/>
    <s v="Picked Up"/>
    <x v="0"/>
    <x v="0"/>
    <x v="0"/>
  </r>
  <r>
    <s v="T2326"/>
    <x v="7"/>
    <n v="1"/>
    <x v="0"/>
    <x v="2"/>
    <d v="2025-12-14T00:00:00"/>
    <n v="9138.33"/>
    <n v="5007.8805084745773"/>
    <s v="DEV2995"/>
    <x v="4"/>
    <x v="0"/>
    <x v="5"/>
    <s v="Romania"/>
    <s v="Bhutan"/>
    <s v="Picked Up"/>
    <x v="1"/>
    <x v="0"/>
    <x v="1"/>
  </r>
  <r>
    <s v="T2378"/>
    <x v="7"/>
    <n v="1"/>
    <x v="1"/>
    <x v="3"/>
    <d v="2025-03-23T00:00:00"/>
    <n v="3332.47"/>
    <n v="5007.8805084745773"/>
    <s v="DEV5006"/>
    <x v="3"/>
    <x v="2"/>
    <x v="3"/>
    <s v="Turkmenistan"/>
    <s v="Canada"/>
    <s v="Delivered by Post"/>
    <x v="0"/>
    <x v="1"/>
    <x v="0"/>
  </r>
  <r>
    <s v="T2472"/>
    <x v="7"/>
    <n v="1"/>
    <x v="0"/>
    <x v="0"/>
    <d v="2025-12-23T00:00:00"/>
    <n v="7691.63"/>
    <n v="5007.8805084745773"/>
    <s v="DEV4339"/>
    <x v="2"/>
    <x v="0"/>
    <x v="0"/>
    <s v="Canada"/>
    <s v="Zimbabwe"/>
    <s v="Delivered by Post"/>
    <x v="1"/>
    <x v="0"/>
    <x v="0"/>
  </r>
  <r>
    <s v="T2549"/>
    <x v="7"/>
    <n v="1"/>
    <x v="0"/>
    <x v="1"/>
    <d v="2025-07-10T00:00:00"/>
    <n v="3172.87"/>
    <n v="5007.8805084745773"/>
    <s v="DEV9909"/>
    <x v="0"/>
    <x v="1"/>
    <x v="2"/>
    <s v="Zimbabwe"/>
    <s v="Romania"/>
    <s v="Delivered by Post"/>
    <x v="0"/>
    <x v="0"/>
    <x v="0"/>
  </r>
  <r>
    <s v="T2558"/>
    <x v="7"/>
    <n v="1"/>
    <x v="0"/>
    <x v="0"/>
    <d v="2025-03-04T00:00:00"/>
    <n v="1222.9000000000001"/>
    <n v="5007.8805084745773"/>
    <s v="DEV3158"/>
    <x v="3"/>
    <x v="2"/>
    <x v="0"/>
    <s v="Canada"/>
    <s v="Norway"/>
    <s v="Delivered by Post"/>
    <x v="0"/>
    <x v="1"/>
    <x v="0"/>
  </r>
  <r>
    <s v="T2567"/>
    <x v="7"/>
    <n v="1"/>
    <x v="1"/>
    <x v="3"/>
    <d v="2025-10-26T00:00:00"/>
    <n v="4720.66"/>
    <n v="5007.8805084745773"/>
    <s v="DEV3207"/>
    <x v="0"/>
    <x v="2"/>
    <x v="5"/>
    <s v="Comoros"/>
    <s v="Bhutan"/>
    <s v="Picked Up"/>
    <x v="0"/>
    <x v="1"/>
    <x v="0"/>
  </r>
  <r>
    <s v="T2568"/>
    <x v="7"/>
    <n v="1"/>
    <x v="1"/>
    <x v="2"/>
    <d v="2025-01-05T00:00:00"/>
    <n v="7597.62"/>
    <n v="5007.8805084745773"/>
    <s v="DEV6053"/>
    <x v="2"/>
    <x v="2"/>
    <x v="1"/>
    <s v="Bhutan"/>
    <s v="Turkmenistan"/>
    <s v="Delivered by Post"/>
    <x v="1"/>
    <x v="1"/>
    <x v="0"/>
  </r>
  <r>
    <s v="T2595"/>
    <x v="7"/>
    <n v="1"/>
    <x v="1"/>
    <x v="3"/>
    <d v="2025-02-20T00:00:00"/>
    <n v="9667.5400000000009"/>
    <n v="5007.8805084745773"/>
    <s v="DEV5282"/>
    <x v="3"/>
    <x v="0"/>
    <x v="2"/>
    <s v="Bhutan"/>
    <s v="Romania"/>
    <s v="Delivered by Post"/>
    <x v="1"/>
    <x v="0"/>
    <x v="0"/>
  </r>
  <r>
    <s v="T2601"/>
    <x v="7"/>
    <n v="1"/>
    <x v="0"/>
    <x v="0"/>
    <d v="2025-02-11T00:00:00"/>
    <n v="3665.03"/>
    <n v="5007.8805084745773"/>
    <s v="DEV2741"/>
    <x v="4"/>
    <x v="3"/>
    <x v="5"/>
    <s v="Canada"/>
    <s v="France"/>
    <s v="Delivered by Post"/>
    <x v="0"/>
    <x v="1"/>
    <x v="1"/>
  </r>
  <r>
    <s v="T2683"/>
    <x v="7"/>
    <n v="1"/>
    <x v="0"/>
    <x v="2"/>
    <d v="2025-08-18T00:00:00"/>
    <n v="4085.92"/>
    <n v="5007.8805084745773"/>
    <s v="DEV3403"/>
    <x v="1"/>
    <x v="1"/>
    <x v="2"/>
    <s v="France"/>
    <s v="Comoros"/>
    <s v="Picked Up"/>
    <x v="0"/>
    <x v="0"/>
    <x v="0"/>
  </r>
  <r>
    <s v="T2684"/>
    <x v="7"/>
    <n v="1"/>
    <x v="0"/>
    <x v="1"/>
    <d v="2025-04-19T00:00:00"/>
    <n v="8198.2099999999991"/>
    <n v="5007.8805084745773"/>
    <s v="DEV8711"/>
    <x v="1"/>
    <x v="1"/>
    <x v="3"/>
    <s v="Turkmenistan"/>
    <s v="New Zealand"/>
    <s v="Delivered by Post"/>
    <x v="1"/>
    <x v="0"/>
    <x v="0"/>
  </r>
  <r>
    <s v="T2742"/>
    <x v="7"/>
    <n v="1"/>
    <x v="1"/>
    <x v="2"/>
    <d v="2025-05-06T00:00:00"/>
    <n v="752.53"/>
    <n v="5007.8805084745773"/>
    <s v="DEV4562"/>
    <x v="1"/>
    <x v="0"/>
    <x v="1"/>
    <s v="Romania"/>
    <s v="Romania"/>
    <s v="Picked Up"/>
    <x v="0"/>
    <x v="1"/>
    <x v="0"/>
  </r>
  <r>
    <s v="T2760"/>
    <x v="7"/>
    <n v="1"/>
    <x v="0"/>
    <x v="2"/>
    <d v="2025-07-07T00:00:00"/>
    <n v="7833.8"/>
    <n v="5007.8805084745773"/>
    <s v="DEV9057"/>
    <x v="2"/>
    <x v="0"/>
    <x v="1"/>
    <s v="Zimbabwe"/>
    <s v="Canada"/>
    <s v="Delivered by Post"/>
    <x v="1"/>
    <x v="0"/>
    <x v="0"/>
  </r>
  <r>
    <s v="T2798"/>
    <x v="7"/>
    <n v="1"/>
    <x v="0"/>
    <x v="2"/>
    <d v="2025-09-20T00:00:00"/>
    <n v="9470.83"/>
    <n v="5007.8805084745773"/>
    <s v="DEV9949"/>
    <x v="0"/>
    <x v="1"/>
    <x v="3"/>
    <s v="New Zealand"/>
    <s v="Turkmenistan"/>
    <s v="Delivered by Post"/>
    <x v="1"/>
    <x v="0"/>
    <x v="0"/>
  </r>
  <r>
    <s v="T2831"/>
    <x v="7"/>
    <n v="1"/>
    <x v="0"/>
    <x v="2"/>
    <d v="2025-09-04T00:00:00"/>
    <n v="4878.2"/>
    <n v="5007.8805084745773"/>
    <s v="DEV1796"/>
    <x v="1"/>
    <x v="0"/>
    <x v="0"/>
    <s v="Comoros"/>
    <s v="Zimbabwe"/>
    <s v="Picked Up"/>
    <x v="0"/>
    <x v="0"/>
    <x v="0"/>
  </r>
  <r>
    <s v="T0046"/>
    <x v="8"/>
    <n v="1"/>
    <x v="2"/>
    <x v="1"/>
    <d v="2025-02-06T16:42:00"/>
    <n v="2333.02"/>
    <n v="5671.5049206349195"/>
    <s v="DEV9728"/>
    <x v="2"/>
    <x v="0"/>
    <x v="3"/>
    <s v="Congo"/>
    <s v="Saint Barthelemy"/>
    <s v="Picked Up"/>
    <x v="0"/>
    <x v="0"/>
    <x v="0"/>
  </r>
  <r>
    <s v="T0075"/>
    <x v="8"/>
    <n v="1"/>
    <x v="3"/>
    <x v="0"/>
    <d v="2025-05-28T07:49:00"/>
    <n v="7949.64"/>
    <n v="5671.5049206349195"/>
    <s v="DEV3370"/>
    <x v="2"/>
    <x v="2"/>
    <x v="2"/>
    <s v="Congo"/>
    <s v="Kenya"/>
    <s v="Delivered by Post"/>
    <x v="1"/>
    <x v="1"/>
    <x v="0"/>
  </r>
  <r>
    <s v="T0108"/>
    <x v="8"/>
    <n v="1"/>
    <x v="1"/>
    <x v="2"/>
    <d v="2025-10-26T00:00:00"/>
    <n v="2503.94"/>
    <n v="5671.5049206349195"/>
    <s v="DEV6930"/>
    <x v="3"/>
    <x v="2"/>
    <x v="5"/>
    <s v="Comoros"/>
    <s v="Zimbabwe"/>
    <s v="Picked Up"/>
    <x v="0"/>
    <x v="1"/>
    <x v="0"/>
  </r>
  <r>
    <s v="T0117"/>
    <x v="8"/>
    <n v="1"/>
    <x v="0"/>
    <x v="0"/>
    <d v="2025-08-15T00:00:00"/>
    <n v="4247.72"/>
    <n v="5671.5049206349195"/>
    <s v="DEV2604"/>
    <x v="1"/>
    <x v="0"/>
    <x v="2"/>
    <s v="Romania"/>
    <s v="Norway"/>
    <s v="Delivered by Post"/>
    <x v="0"/>
    <x v="0"/>
    <x v="0"/>
  </r>
  <r>
    <s v="T0126"/>
    <x v="8"/>
    <n v="1"/>
    <x v="0"/>
    <x v="3"/>
    <d v="2025-04-18T00:00:00"/>
    <n v="466.2"/>
    <n v="5671.5049206349195"/>
    <s v="DEV5088"/>
    <x v="1"/>
    <x v="3"/>
    <x v="5"/>
    <s v="Bhutan"/>
    <s v="Norway"/>
    <s v="Picked Up"/>
    <x v="0"/>
    <x v="1"/>
    <x v="0"/>
  </r>
  <r>
    <s v="T0142"/>
    <x v="8"/>
    <n v="1"/>
    <x v="1"/>
    <x v="2"/>
    <d v="2025-06-17T00:00:00"/>
    <n v="8675.17"/>
    <n v="5671.5049206349195"/>
    <s v="DEV8449"/>
    <x v="4"/>
    <x v="3"/>
    <x v="4"/>
    <s v="France"/>
    <s v="Bhutan"/>
    <s v="Delivered by Post"/>
    <x v="1"/>
    <x v="1"/>
    <x v="1"/>
  </r>
  <r>
    <s v="T0177"/>
    <x v="8"/>
    <n v="1"/>
    <x v="1"/>
    <x v="3"/>
    <d v="2025-03-26T00:00:00"/>
    <n v="7875.8"/>
    <n v="5671.5049206349195"/>
    <s v="DEV8894"/>
    <x v="4"/>
    <x v="3"/>
    <x v="2"/>
    <s v="Comoros"/>
    <s v="Zimbabwe"/>
    <s v="Picked Up"/>
    <x v="1"/>
    <x v="1"/>
    <x v="1"/>
  </r>
  <r>
    <s v="T0224"/>
    <x v="8"/>
    <n v="1"/>
    <x v="1"/>
    <x v="3"/>
    <d v="2025-07-16T00:00:00"/>
    <n v="718.97"/>
    <n v="5671.5049206349195"/>
    <s v="DEV1530"/>
    <x v="2"/>
    <x v="2"/>
    <x v="3"/>
    <s v="Comoros"/>
    <s v="New Zealand"/>
    <s v="Delivered by Post"/>
    <x v="0"/>
    <x v="1"/>
    <x v="0"/>
  </r>
  <r>
    <s v="T0230"/>
    <x v="8"/>
    <n v="1"/>
    <x v="0"/>
    <x v="1"/>
    <d v="2025-08-10T00:00:00"/>
    <n v="8785.7000000000007"/>
    <n v="5671.5049206349195"/>
    <s v="DEV1907"/>
    <x v="1"/>
    <x v="2"/>
    <x v="1"/>
    <s v="Norway"/>
    <s v="Norway"/>
    <s v="Delivered by Post"/>
    <x v="1"/>
    <x v="1"/>
    <x v="0"/>
  </r>
  <r>
    <s v="T0252"/>
    <x v="8"/>
    <n v="1"/>
    <x v="0"/>
    <x v="0"/>
    <d v="2025-06-19T00:00:00"/>
    <n v="8518.0400000000009"/>
    <n v="5671.5049206349195"/>
    <s v="DEV8518"/>
    <x v="4"/>
    <x v="2"/>
    <x v="2"/>
    <s v="New Zealand"/>
    <s v="France"/>
    <s v="Picked Up"/>
    <x v="1"/>
    <x v="1"/>
    <x v="1"/>
  </r>
  <r>
    <s v="T0305"/>
    <x v="8"/>
    <n v="1"/>
    <x v="0"/>
    <x v="3"/>
    <d v="2025-12-02T00:00:00"/>
    <n v="9629.58"/>
    <n v="5671.5049206349195"/>
    <s v="DEV3174"/>
    <x v="3"/>
    <x v="2"/>
    <x v="3"/>
    <s v="New Zealand"/>
    <s v="Romania"/>
    <s v="Delivered by Post"/>
    <x v="1"/>
    <x v="1"/>
    <x v="0"/>
  </r>
  <r>
    <s v="T0409"/>
    <x v="8"/>
    <n v="1"/>
    <x v="1"/>
    <x v="1"/>
    <d v="2025-06-02T00:00:00"/>
    <n v="7480.2"/>
    <n v="5671.5049206349195"/>
    <s v="DEV7113"/>
    <x v="1"/>
    <x v="2"/>
    <x v="2"/>
    <s v="Canada"/>
    <s v="Canada"/>
    <s v="Delivered by Post"/>
    <x v="1"/>
    <x v="1"/>
    <x v="0"/>
  </r>
  <r>
    <s v="T0414"/>
    <x v="8"/>
    <n v="1"/>
    <x v="1"/>
    <x v="2"/>
    <d v="2025-08-17T00:00:00"/>
    <n v="6811.82"/>
    <n v="5671.5049206349195"/>
    <s v="DEV6004"/>
    <x v="0"/>
    <x v="0"/>
    <x v="0"/>
    <s v="Zimbabwe"/>
    <s v="France"/>
    <s v="Picked Up"/>
    <x v="1"/>
    <x v="0"/>
    <x v="0"/>
  </r>
  <r>
    <s v="T0453"/>
    <x v="8"/>
    <n v="1"/>
    <x v="0"/>
    <x v="2"/>
    <d v="2025-11-20T00:00:00"/>
    <n v="9696.9500000000007"/>
    <n v="5671.5049206349195"/>
    <s v="DEV8126"/>
    <x v="2"/>
    <x v="3"/>
    <x v="1"/>
    <s v="Comoros"/>
    <s v="Turkmenistan"/>
    <s v="Picked Up"/>
    <x v="1"/>
    <x v="1"/>
    <x v="0"/>
  </r>
  <r>
    <s v="T0481"/>
    <x v="8"/>
    <n v="1"/>
    <x v="0"/>
    <x v="2"/>
    <d v="2025-05-15T00:00:00"/>
    <n v="3394.87"/>
    <n v="5671.5049206349195"/>
    <s v="DEV7529"/>
    <x v="2"/>
    <x v="1"/>
    <x v="3"/>
    <s v="Norway"/>
    <s v="Norway"/>
    <s v="Delivered by Post"/>
    <x v="0"/>
    <x v="1"/>
    <x v="0"/>
  </r>
  <r>
    <s v="T0594"/>
    <x v="8"/>
    <n v="1"/>
    <x v="1"/>
    <x v="3"/>
    <d v="2025-03-13T00:00:00"/>
    <n v="9237.93"/>
    <n v="5671.5049206349195"/>
    <s v="DEV9570"/>
    <x v="4"/>
    <x v="2"/>
    <x v="3"/>
    <s v="France"/>
    <s v="Canada"/>
    <s v="Picked Up"/>
    <x v="1"/>
    <x v="1"/>
    <x v="1"/>
  </r>
  <r>
    <s v="T0637"/>
    <x v="8"/>
    <n v="1"/>
    <x v="1"/>
    <x v="3"/>
    <d v="2025-08-09T00:00:00"/>
    <n v="5017.1499999999996"/>
    <n v="5671.5049206349195"/>
    <s v="DEV5312"/>
    <x v="2"/>
    <x v="3"/>
    <x v="5"/>
    <s v="New Zealand"/>
    <s v="Bhutan"/>
    <s v="Picked Up"/>
    <x v="0"/>
    <x v="1"/>
    <x v="0"/>
  </r>
  <r>
    <s v="T0690"/>
    <x v="8"/>
    <n v="1"/>
    <x v="1"/>
    <x v="1"/>
    <d v="2025-11-09T00:00:00"/>
    <n v="7264.48"/>
    <n v="5671.5049206349195"/>
    <s v="DEV6215"/>
    <x v="4"/>
    <x v="3"/>
    <x v="3"/>
    <s v="Comoros"/>
    <s v="France"/>
    <s v="Picked Up"/>
    <x v="1"/>
    <x v="1"/>
    <x v="1"/>
  </r>
  <r>
    <s v="T0976"/>
    <x v="8"/>
    <n v="1"/>
    <x v="0"/>
    <x v="1"/>
    <d v="2025-04-12T00:00:00"/>
    <n v="7581.02"/>
    <n v="5671.5049206349195"/>
    <s v="DEV2862"/>
    <x v="1"/>
    <x v="1"/>
    <x v="4"/>
    <s v="Norway"/>
    <s v="Turkmenistan"/>
    <s v="Delivered by Post"/>
    <x v="1"/>
    <x v="0"/>
    <x v="0"/>
  </r>
  <r>
    <s v="T0977"/>
    <x v="8"/>
    <n v="1"/>
    <x v="1"/>
    <x v="0"/>
    <d v="2025-06-01T00:00:00"/>
    <n v="7502.48"/>
    <n v="5671.5049206349195"/>
    <s v="DEV8134"/>
    <x v="4"/>
    <x v="3"/>
    <x v="5"/>
    <s v="New Zealand"/>
    <s v="New Zealand"/>
    <s v="Picked Up"/>
    <x v="1"/>
    <x v="1"/>
    <x v="0"/>
  </r>
  <r>
    <s v="T1112"/>
    <x v="8"/>
    <n v="1"/>
    <x v="1"/>
    <x v="2"/>
    <d v="2025-08-11T00:00:00"/>
    <n v="4506.6499999999996"/>
    <n v="5671.5049206349195"/>
    <s v="DEV2349"/>
    <x v="0"/>
    <x v="0"/>
    <x v="4"/>
    <s v="Zimbabwe"/>
    <s v="New Zealand"/>
    <s v="Delivered by Post"/>
    <x v="0"/>
    <x v="0"/>
    <x v="0"/>
  </r>
  <r>
    <s v="T1119"/>
    <x v="8"/>
    <n v="1"/>
    <x v="0"/>
    <x v="0"/>
    <d v="2025-03-23T00:00:00"/>
    <n v="6646.48"/>
    <n v="5671.5049206349195"/>
    <s v="DEV2089"/>
    <x v="3"/>
    <x v="3"/>
    <x v="0"/>
    <s v="France"/>
    <s v="Bhutan"/>
    <s v="Delivered by Post"/>
    <x v="1"/>
    <x v="1"/>
    <x v="0"/>
  </r>
  <r>
    <s v="T1186"/>
    <x v="8"/>
    <n v="1"/>
    <x v="1"/>
    <x v="2"/>
    <d v="2025-10-04T00:00:00"/>
    <n v="3361.4"/>
    <n v="5671.5049206349195"/>
    <s v="DEV3691"/>
    <x v="1"/>
    <x v="3"/>
    <x v="5"/>
    <s v="Norway"/>
    <s v="New Zealand"/>
    <s v="Picked Up"/>
    <x v="0"/>
    <x v="1"/>
    <x v="0"/>
  </r>
  <r>
    <s v="T1255"/>
    <x v="8"/>
    <n v="1"/>
    <x v="1"/>
    <x v="3"/>
    <d v="2025-10-18T00:00:00"/>
    <n v="8167.02"/>
    <n v="5671.5049206349195"/>
    <s v="DEV4014"/>
    <x v="1"/>
    <x v="2"/>
    <x v="1"/>
    <s v="Bhutan"/>
    <s v="Zimbabwe"/>
    <s v="Delivered by Post"/>
    <x v="1"/>
    <x v="1"/>
    <x v="0"/>
  </r>
  <r>
    <s v="T1281"/>
    <x v="8"/>
    <n v="1"/>
    <x v="0"/>
    <x v="0"/>
    <d v="2025-11-30T00:00:00"/>
    <n v="9653.94"/>
    <n v="5671.5049206349195"/>
    <s v="DEV2814"/>
    <x v="1"/>
    <x v="1"/>
    <x v="2"/>
    <s v="New Zealand"/>
    <s v="Romania"/>
    <s v="Delivered by Post"/>
    <x v="1"/>
    <x v="0"/>
    <x v="0"/>
  </r>
  <r>
    <s v="T1321"/>
    <x v="8"/>
    <n v="1"/>
    <x v="0"/>
    <x v="0"/>
    <d v="2025-07-28T00:00:00"/>
    <n v="4079.7"/>
    <n v="5671.5049206349195"/>
    <s v="DEV2258"/>
    <x v="1"/>
    <x v="1"/>
    <x v="1"/>
    <s v="Bhutan"/>
    <s v="Zimbabwe"/>
    <s v="Delivered by Post"/>
    <x v="0"/>
    <x v="0"/>
    <x v="0"/>
  </r>
  <r>
    <s v="T1392"/>
    <x v="8"/>
    <n v="1"/>
    <x v="0"/>
    <x v="1"/>
    <d v="2025-07-06T00:00:00"/>
    <n v="1534.93"/>
    <n v="5671.5049206349195"/>
    <s v="DEV1889"/>
    <x v="2"/>
    <x v="2"/>
    <x v="0"/>
    <s v="Canada"/>
    <s v="Canada"/>
    <s v="Delivered by Post"/>
    <x v="0"/>
    <x v="1"/>
    <x v="0"/>
  </r>
  <r>
    <s v="T1463"/>
    <x v="8"/>
    <n v="1"/>
    <x v="0"/>
    <x v="2"/>
    <d v="2025-03-25T00:00:00"/>
    <n v="9050.36"/>
    <n v="5671.5049206349195"/>
    <s v="DEV4857"/>
    <x v="3"/>
    <x v="0"/>
    <x v="0"/>
    <s v="Zimbabwe"/>
    <s v="Turkmenistan"/>
    <s v="Delivered by Post"/>
    <x v="1"/>
    <x v="0"/>
    <x v="0"/>
  </r>
  <r>
    <s v="T1507"/>
    <x v="8"/>
    <n v="1"/>
    <x v="1"/>
    <x v="2"/>
    <d v="2025-06-21T00:00:00"/>
    <n v="6181.85"/>
    <n v="5671.5049206349195"/>
    <s v="DEV9897"/>
    <x v="0"/>
    <x v="3"/>
    <x v="5"/>
    <s v="Norway"/>
    <s v="Zimbabwe"/>
    <s v="Picked Up"/>
    <x v="1"/>
    <x v="1"/>
    <x v="0"/>
  </r>
  <r>
    <s v="T1517"/>
    <x v="8"/>
    <n v="1"/>
    <x v="0"/>
    <x v="3"/>
    <d v="2026-01-01T00:00:00"/>
    <n v="409.35"/>
    <n v="5671.5049206349195"/>
    <s v="DEV3445"/>
    <x v="3"/>
    <x v="2"/>
    <x v="0"/>
    <s v="Comoros"/>
    <s v="Comoros"/>
    <s v="Delivered by Post"/>
    <x v="0"/>
    <x v="1"/>
    <x v="0"/>
  </r>
  <r>
    <s v="T1518"/>
    <x v="8"/>
    <n v="1"/>
    <x v="1"/>
    <x v="1"/>
    <d v="2025-01-22T00:00:00"/>
    <n v="6969.75"/>
    <n v="5671.5049206349195"/>
    <s v="DEV9246"/>
    <x v="1"/>
    <x v="1"/>
    <x v="1"/>
    <s v="Canada"/>
    <s v="Bhutan"/>
    <s v="Delivered by Post"/>
    <x v="1"/>
    <x v="0"/>
    <x v="0"/>
  </r>
  <r>
    <s v="T1520"/>
    <x v="8"/>
    <n v="1"/>
    <x v="0"/>
    <x v="0"/>
    <d v="2025-08-01T00:00:00"/>
    <n v="7690.66"/>
    <n v="5671.5049206349195"/>
    <s v="DEV2212"/>
    <x v="0"/>
    <x v="3"/>
    <x v="4"/>
    <s v="Canada"/>
    <s v="Norway"/>
    <s v="Picked Up"/>
    <x v="1"/>
    <x v="1"/>
    <x v="0"/>
  </r>
  <r>
    <s v="T1574"/>
    <x v="8"/>
    <n v="1"/>
    <x v="1"/>
    <x v="3"/>
    <d v="2025-07-21T00:00:00"/>
    <n v="7798.91"/>
    <n v="5671.5049206349195"/>
    <s v="DEV9663"/>
    <x v="2"/>
    <x v="1"/>
    <x v="0"/>
    <s v="New Zealand"/>
    <s v="New Zealand"/>
    <s v="Delivered by Post"/>
    <x v="1"/>
    <x v="1"/>
    <x v="0"/>
  </r>
  <r>
    <s v="T1581"/>
    <x v="8"/>
    <n v="1"/>
    <x v="0"/>
    <x v="0"/>
    <d v="2025-03-11T00:00:00"/>
    <n v="5227.12"/>
    <n v="5671.5049206349195"/>
    <s v="DEV3202"/>
    <x v="4"/>
    <x v="1"/>
    <x v="5"/>
    <s v="Zimbabwe"/>
    <s v="Romania"/>
    <s v="Picked Up"/>
    <x v="0"/>
    <x v="0"/>
    <x v="1"/>
  </r>
  <r>
    <s v="T1645"/>
    <x v="8"/>
    <n v="1"/>
    <x v="1"/>
    <x v="2"/>
    <d v="2025-05-15T00:00:00"/>
    <n v="5897.22"/>
    <n v="5671.5049206349195"/>
    <s v="DEV1862"/>
    <x v="2"/>
    <x v="0"/>
    <x v="3"/>
    <s v="Canada"/>
    <s v="Zimbabwe"/>
    <s v="Picked Up"/>
    <x v="1"/>
    <x v="0"/>
    <x v="0"/>
  </r>
  <r>
    <s v="T1664"/>
    <x v="8"/>
    <n v="1"/>
    <x v="0"/>
    <x v="3"/>
    <d v="2025-11-21T00:00:00"/>
    <n v="9339.59"/>
    <n v="5671.5049206349195"/>
    <s v="DEV5433"/>
    <x v="0"/>
    <x v="0"/>
    <x v="5"/>
    <s v="Romania"/>
    <s v="New Zealand"/>
    <s v="Picked Up"/>
    <x v="1"/>
    <x v="0"/>
    <x v="0"/>
  </r>
  <r>
    <s v="T1670"/>
    <x v="8"/>
    <n v="1"/>
    <x v="0"/>
    <x v="3"/>
    <d v="2025-02-04T00:00:00"/>
    <n v="3519.37"/>
    <n v="5671.5049206349195"/>
    <s v="DEV3791"/>
    <x v="3"/>
    <x v="0"/>
    <x v="5"/>
    <s v="Canada"/>
    <s v="New Zealand"/>
    <s v="Delivered by Post"/>
    <x v="0"/>
    <x v="0"/>
    <x v="0"/>
  </r>
  <r>
    <s v="T1767"/>
    <x v="8"/>
    <n v="1"/>
    <x v="0"/>
    <x v="3"/>
    <d v="2025-11-18T00:00:00"/>
    <n v="1575.59"/>
    <n v="5671.5049206349195"/>
    <s v="DEV6264"/>
    <x v="2"/>
    <x v="0"/>
    <x v="5"/>
    <s v="Norway"/>
    <s v="Canada"/>
    <s v="Delivered by Post"/>
    <x v="0"/>
    <x v="0"/>
    <x v="0"/>
  </r>
  <r>
    <s v="T1845"/>
    <x v="8"/>
    <n v="1"/>
    <x v="1"/>
    <x v="0"/>
    <d v="2025-04-21T00:00:00"/>
    <n v="3771"/>
    <n v="5671.5049206349195"/>
    <s v="DEV9469"/>
    <x v="0"/>
    <x v="0"/>
    <x v="1"/>
    <s v="Canada"/>
    <s v="Bhutan"/>
    <s v="Picked Up"/>
    <x v="0"/>
    <x v="0"/>
    <x v="0"/>
  </r>
  <r>
    <s v="T1925"/>
    <x v="8"/>
    <n v="1"/>
    <x v="0"/>
    <x v="0"/>
    <d v="2025-10-09T00:00:00"/>
    <n v="8692.11"/>
    <n v="5671.5049206349195"/>
    <s v="DEV5035"/>
    <x v="0"/>
    <x v="2"/>
    <x v="4"/>
    <s v="Romania"/>
    <s v="Zimbabwe"/>
    <s v="Delivered by Post"/>
    <x v="1"/>
    <x v="1"/>
    <x v="0"/>
  </r>
  <r>
    <s v="T1968"/>
    <x v="8"/>
    <n v="1"/>
    <x v="0"/>
    <x v="2"/>
    <d v="2025-10-26T00:00:00"/>
    <n v="6348.32"/>
    <n v="5671.5049206349195"/>
    <s v="DEV5520"/>
    <x v="2"/>
    <x v="3"/>
    <x v="4"/>
    <s v="Bhutan"/>
    <s v="France"/>
    <s v="Picked Up"/>
    <x v="1"/>
    <x v="1"/>
    <x v="0"/>
  </r>
  <r>
    <s v="T1973"/>
    <x v="8"/>
    <n v="1"/>
    <x v="1"/>
    <x v="1"/>
    <d v="2025-04-09T00:00:00"/>
    <n v="5386.17"/>
    <n v="5671.5049206349195"/>
    <s v="DEV2823"/>
    <x v="1"/>
    <x v="3"/>
    <x v="3"/>
    <s v="Norway"/>
    <s v="Norway"/>
    <s v="Picked Up"/>
    <x v="0"/>
    <x v="1"/>
    <x v="0"/>
  </r>
  <r>
    <s v="T1991"/>
    <x v="8"/>
    <n v="1"/>
    <x v="0"/>
    <x v="2"/>
    <d v="2025-03-22T00:00:00"/>
    <n v="6070.75"/>
    <n v="5671.5049206349195"/>
    <s v="DEV8952"/>
    <x v="4"/>
    <x v="2"/>
    <x v="5"/>
    <s v="Norway"/>
    <s v="Norway"/>
    <s v="Picked Up"/>
    <x v="1"/>
    <x v="1"/>
    <x v="0"/>
  </r>
  <r>
    <s v="T2013"/>
    <x v="8"/>
    <n v="1"/>
    <x v="1"/>
    <x v="0"/>
    <d v="2025-08-23T00:00:00"/>
    <n v="3767.12"/>
    <n v="5671.5049206349195"/>
    <s v="DEV4335"/>
    <x v="3"/>
    <x v="2"/>
    <x v="2"/>
    <s v="France"/>
    <s v="Comoros"/>
    <s v="Picked Up"/>
    <x v="0"/>
    <x v="1"/>
    <x v="0"/>
  </r>
  <r>
    <s v="T2016"/>
    <x v="8"/>
    <n v="1"/>
    <x v="0"/>
    <x v="0"/>
    <d v="2025-12-13T00:00:00"/>
    <n v="8838.64"/>
    <n v="5671.5049206349195"/>
    <s v="DEV5787"/>
    <x v="2"/>
    <x v="3"/>
    <x v="0"/>
    <s v="Bhutan"/>
    <s v="France"/>
    <s v="Picked Up"/>
    <x v="1"/>
    <x v="1"/>
    <x v="0"/>
  </r>
  <r>
    <s v="T2049"/>
    <x v="8"/>
    <n v="1"/>
    <x v="1"/>
    <x v="0"/>
    <d v="2025-06-28T00:00:00"/>
    <n v="9851.2000000000007"/>
    <n v="5671.5049206349195"/>
    <s v="DEV5965"/>
    <x v="0"/>
    <x v="3"/>
    <x v="4"/>
    <s v="Canada"/>
    <s v="New Zealand"/>
    <s v="Picked Up"/>
    <x v="1"/>
    <x v="1"/>
    <x v="0"/>
  </r>
  <r>
    <s v="T2053"/>
    <x v="8"/>
    <n v="1"/>
    <x v="0"/>
    <x v="2"/>
    <d v="2025-05-01T00:00:00"/>
    <n v="6599.11"/>
    <n v="5671.5049206349195"/>
    <s v="DEV9925"/>
    <x v="2"/>
    <x v="3"/>
    <x v="2"/>
    <s v="Zimbabwe"/>
    <s v="Bhutan"/>
    <s v="Picked Up"/>
    <x v="1"/>
    <x v="1"/>
    <x v="0"/>
  </r>
  <r>
    <s v="T2083"/>
    <x v="8"/>
    <n v="1"/>
    <x v="1"/>
    <x v="2"/>
    <d v="2025-04-27T00:00:00"/>
    <n v="9148.08"/>
    <n v="5671.5049206349195"/>
    <s v="DEV2637"/>
    <x v="3"/>
    <x v="2"/>
    <x v="1"/>
    <s v="Romania"/>
    <s v="Turkmenistan"/>
    <s v="Picked Up"/>
    <x v="1"/>
    <x v="1"/>
    <x v="0"/>
  </r>
  <r>
    <s v="T2167"/>
    <x v="8"/>
    <n v="1"/>
    <x v="1"/>
    <x v="3"/>
    <d v="2025-02-22T00:00:00"/>
    <n v="76.489999999999995"/>
    <n v="5671.5049206349195"/>
    <s v="DEV3727"/>
    <x v="3"/>
    <x v="1"/>
    <x v="3"/>
    <s v="Romania"/>
    <s v="New Zealand"/>
    <s v="Picked Up"/>
    <x v="0"/>
    <x v="0"/>
    <x v="0"/>
  </r>
  <r>
    <s v="T2215"/>
    <x v="8"/>
    <n v="1"/>
    <x v="1"/>
    <x v="3"/>
    <d v="2025-07-25T00:00:00"/>
    <n v="1770.84"/>
    <n v="5671.5049206349195"/>
    <s v="DEV2701"/>
    <x v="3"/>
    <x v="3"/>
    <x v="1"/>
    <s v="Comoros"/>
    <s v="France"/>
    <s v="Picked Up"/>
    <x v="0"/>
    <x v="1"/>
    <x v="0"/>
  </r>
  <r>
    <s v="T2240"/>
    <x v="8"/>
    <n v="1"/>
    <x v="0"/>
    <x v="2"/>
    <d v="2025-12-16T00:00:00"/>
    <n v="3396.12"/>
    <n v="5671.5049206349195"/>
    <s v="DEV3021"/>
    <x v="2"/>
    <x v="0"/>
    <x v="3"/>
    <s v="New Zealand"/>
    <s v="Turkmenistan"/>
    <s v="Picked Up"/>
    <x v="0"/>
    <x v="0"/>
    <x v="0"/>
  </r>
  <r>
    <s v="T2315"/>
    <x v="8"/>
    <n v="1"/>
    <x v="1"/>
    <x v="3"/>
    <d v="2025-06-14T00:00:00"/>
    <n v="9541.67"/>
    <n v="5671.5049206349195"/>
    <s v="DEV1947"/>
    <x v="4"/>
    <x v="3"/>
    <x v="5"/>
    <s v="Canada"/>
    <s v="Turkmenistan"/>
    <s v="Picked Up"/>
    <x v="1"/>
    <x v="1"/>
    <x v="1"/>
  </r>
  <r>
    <s v="T2324"/>
    <x v="8"/>
    <n v="1"/>
    <x v="1"/>
    <x v="3"/>
    <d v="2025-06-05T00:00:00"/>
    <n v="4762.67"/>
    <n v="5671.5049206349195"/>
    <s v="DEV1242"/>
    <x v="3"/>
    <x v="2"/>
    <x v="1"/>
    <s v="Turkmenistan"/>
    <s v="Norway"/>
    <s v="Delivered by Post"/>
    <x v="0"/>
    <x v="1"/>
    <x v="0"/>
  </r>
  <r>
    <s v="T2399"/>
    <x v="8"/>
    <n v="1"/>
    <x v="0"/>
    <x v="3"/>
    <d v="2025-08-06T00:00:00"/>
    <n v="2494.39"/>
    <n v="5671.5049206349195"/>
    <s v="DEV6402"/>
    <x v="1"/>
    <x v="2"/>
    <x v="3"/>
    <s v="New Zealand"/>
    <s v="New Zealand"/>
    <s v="Delivered by Post"/>
    <x v="0"/>
    <x v="1"/>
    <x v="0"/>
  </r>
  <r>
    <s v="T2555"/>
    <x v="8"/>
    <n v="1"/>
    <x v="1"/>
    <x v="1"/>
    <d v="2025-03-11T00:00:00"/>
    <n v="788.55"/>
    <n v="5671.5049206349195"/>
    <s v="DEV5344"/>
    <x v="1"/>
    <x v="0"/>
    <x v="0"/>
    <s v="Comoros"/>
    <s v="Zimbabwe"/>
    <s v="Delivered by Post"/>
    <x v="0"/>
    <x v="0"/>
    <x v="0"/>
  </r>
  <r>
    <s v="T2570"/>
    <x v="8"/>
    <n v="1"/>
    <x v="0"/>
    <x v="3"/>
    <d v="2025-03-17T00:00:00"/>
    <n v="2102.5"/>
    <n v="5671.5049206349195"/>
    <s v="DEV3937"/>
    <x v="3"/>
    <x v="3"/>
    <x v="0"/>
    <s v="New Zealand"/>
    <s v="Bhutan"/>
    <s v="Picked Up"/>
    <x v="0"/>
    <x v="1"/>
    <x v="0"/>
  </r>
  <r>
    <s v="T2618"/>
    <x v="8"/>
    <n v="1"/>
    <x v="1"/>
    <x v="3"/>
    <d v="2025-02-27T00:00:00"/>
    <n v="9039.1200000000008"/>
    <n v="5671.5049206349195"/>
    <s v="DEV3402"/>
    <x v="1"/>
    <x v="3"/>
    <x v="2"/>
    <s v="Canada"/>
    <s v="Zimbabwe"/>
    <s v="Picked Up"/>
    <x v="1"/>
    <x v="1"/>
    <x v="0"/>
  </r>
  <r>
    <s v="T2644"/>
    <x v="8"/>
    <n v="1"/>
    <x v="1"/>
    <x v="2"/>
    <d v="2025-03-02T00:00:00"/>
    <n v="2014.91"/>
    <n v="5671.5049206349195"/>
    <s v="DEV6404"/>
    <x v="4"/>
    <x v="2"/>
    <x v="1"/>
    <s v="Canada"/>
    <s v="Norway"/>
    <s v="Delivered by Post"/>
    <x v="0"/>
    <x v="1"/>
    <x v="1"/>
  </r>
  <r>
    <s v="T2666"/>
    <x v="8"/>
    <n v="1"/>
    <x v="0"/>
    <x v="3"/>
    <d v="2025-12-10T00:00:00"/>
    <n v="554.55999999999995"/>
    <n v="5671.5049206349195"/>
    <s v="DEV1355"/>
    <x v="4"/>
    <x v="1"/>
    <x v="1"/>
    <s v="Zimbabwe"/>
    <s v="Romania"/>
    <s v="Picked Up"/>
    <x v="0"/>
    <x v="0"/>
    <x v="1"/>
  </r>
  <r>
    <s v="T2776"/>
    <x v="8"/>
    <n v="1"/>
    <x v="1"/>
    <x v="2"/>
    <d v="2025-09-08T00:00:00"/>
    <n v="3613.38"/>
    <n v="5671.5049206349195"/>
    <s v="DEV5146"/>
    <x v="4"/>
    <x v="3"/>
    <x v="5"/>
    <s v="Bhutan"/>
    <s v="France"/>
    <s v="Picked Up"/>
    <x v="0"/>
    <x v="1"/>
    <x v="1"/>
  </r>
  <r>
    <s v="T2778"/>
    <x v="8"/>
    <n v="1"/>
    <x v="1"/>
    <x v="3"/>
    <d v="2025-04-17T00:00:00"/>
    <n v="9604.81"/>
    <n v="5671.5049206349195"/>
    <s v="DEV8579"/>
    <x v="2"/>
    <x v="2"/>
    <x v="5"/>
    <s v="New Zealand"/>
    <s v="France"/>
    <s v="Delivered by Post"/>
    <x v="1"/>
    <x v="1"/>
    <x v="0"/>
  </r>
  <r>
    <s v="T2785"/>
    <x v="8"/>
    <n v="1"/>
    <x v="1"/>
    <x v="0"/>
    <d v="2025-03-24T00:00:00"/>
    <n v="8507.56"/>
    <n v="5671.5049206349195"/>
    <s v="DEV4418"/>
    <x v="0"/>
    <x v="2"/>
    <x v="4"/>
    <s v="Bhutan"/>
    <s v="Zimbabwe"/>
    <s v="Delivered by Post"/>
    <x v="1"/>
    <x v="1"/>
    <x v="0"/>
  </r>
  <r>
    <s v="T2835"/>
    <x v="8"/>
    <n v="1"/>
    <x v="0"/>
    <x v="3"/>
    <d v="2025-01-08T00:00:00"/>
    <n v="3264.17"/>
    <n v="5671.5049206349195"/>
    <s v="DEV1879"/>
    <x v="0"/>
    <x v="3"/>
    <x v="1"/>
    <s v="Turkmenistan"/>
    <s v="France"/>
    <s v="Picked Up"/>
    <x v="0"/>
    <x v="1"/>
    <x v="0"/>
  </r>
  <r>
    <s v="T0044"/>
    <x v="9"/>
    <n v="1"/>
    <x v="1"/>
    <x v="1"/>
    <d v="2025-05-18T17:38:00"/>
    <n v="3615.25"/>
    <n v="4320.8560784313731"/>
    <s v="DEV6393"/>
    <x v="1"/>
    <x v="3"/>
    <x v="0"/>
    <s v="Burkina Faso"/>
    <s v="Burundi"/>
    <s v="Delivered by Post"/>
    <x v="0"/>
    <x v="1"/>
    <x v="0"/>
  </r>
  <r>
    <s v="T0111"/>
    <x v="9"/>
    <n v="1"/>
    <x v="0"/>
    <x v="3"/>
    <d v="2025-09-08T00:00:00"/>
    <n v="3770.44"/>
    <n v="4320.8560784313731"/>
    <s v="DEV2832"/>
    <x v="4"/>
    <x v="3"/>
    <x v="0"/>
    <s v="Canada"/>
    <s v="Romania"/>
    <s v="Picked Up"/>
    <x v="0"/>
    <x v="1"/>
    <x v="1"/>
  </r>
  <r>
    <s v="T0119"/>
    <x v="9"/>
    <n v="1"/>
    <x v="0"/>
    <x v="0"/>
    <d v="2025-06-10T00:00:00"/>
    <n v="1939.48"/>
    <n v="4320.8560784313731"/>
    <s v="DEV1821"/>
    <x v="2"/>
    <x v="1"/>
    <x v="5"/>
    <s v="Turkmenistan"/>
    <s v="Norway"/>
    <s v="Picked Up"/>
    <x v="0"/>
    <x v="0"/>
    <x v="0"/>
  </r>
  <r>
    <s v="T0214"/>
    <x v="9"/>
    <n v="1"/>
    <x v="1"/>
    <x v="1"/>
    <d v="2025-12-28T00:00:00"/>
    <n v="1419.12"/>
    <n v="4320.8560784313731"/>
    <s v="DEV8349"/>
    <x v="2"/>
    <x v="0"/>
    <x v="2"/>
    <s v="Canada"/>
    <s v="France"/>
    <s v="Picked Up"/>
    <x v="0"/>
    <x v="0"/>
    <x v="0"/>
  </r>
  <r>
    <s v="T0215"/>
    <x v="9"/>
    <n v="1"/>
    <x v="1"/>
    <x v="0"/>
    <d v="2025-05-28T00:00:00"/>
    <n v="5510.6"/>
    <n v="4320.8560784313731"/>
    <s v="DEV5934"/>
    <x v="1"/>
    <x v="0"/>
    <x v="0"/>
    <s v="Bhutan"/>
    <s v="Comoros"/>
    <s v="Picked Up"/>
    <x v="1"/>
    <x v="0"/>
    <x v="0"/>
  </r>
  <r>
    <s v="T0266"/>
    <x v="9"/>
    <n v="1"/>
    <x v="1"/>
    <x v="1"/>
    <d v="2025-04-26T00:00:00"/>
    <n v="3033.89"/>
    <n v="4320.8560784313731"/>
    <s v="DEV3365"/>
    <x v="0"/>
    <x v="0"/>
    <x v="5"/>
    <s v="Bhutan"/>
    <s v="Bhutan"/>
    <s v="Picked Up"/>
    <x v="0"/>
    <x v="1"/>
    <x v="0"/>
  </r>
  <r>
    <s v="T0323"/>
    <x v="9"/>
    <n v="1"/>
    <x v="0"/>
    <x v="2"/>
    <d v="2025-04-25T00:00:00"/>
    <n v="1830.66"/>
    <n v="4320.8560784313731"/>
    <s v="DEV5067"/>
    <x v="0"/>
    <x v="3"/>
    <x v="1"/>
    <s v="Zimbabwe"/>
    <s v="New Zealand"/>
    <s v="Picked Up"/>
    <x v="0"/>
    <x v="1"/>
    <x v="0"/>
  </r>
  <r>
    <s v="T0426"/>
    <x v="9"/>
    <n v="1"/>
    <x v="0"/>
    <x v="0"/>
    <d v="2025-02-17T00:00:00"/>
    <n v="6074.83"/>
    <n v="4320.8560784313731"/>
    <s v="DEV3135"/>
    <x v="2"/>
    <x v="0"/>
    <x v="3"/>
    <s v="Bhutan"/>
    <s v="Turkmenistan"/>
    <s v="Delivered by Post"/>
    <x v="1"/>
    <x v="0"/>
    <x v="0"/>
  </r>
  <r>
    <s v="T0432"/>
    <x v="9"/>
    <n v="1"/>
    <x v="0"/>
    <x v="0"/>
    <d v="2025-05-15T00:00:00"/>
    <n v="4743.1000000000004"/>
    <n v="4320.8560784313731"/>
    <s v="DEV7075"/>
    <x v="1"/>
    <x v="0"/>
    <x v="3"/>
    <s v="Bhutan"/>
    <s v="Bhutan"/>
    <s v="Delivered by Post"/>
    <x v="1"/>
    <x v="1"/>
    <x v="0"/>
  </r>
  <r>
    <s v="T0477"/>
    <x v="9"/>
    <n v="1"/>
    <x v="0"/>
    <x v="1"/>
    <d v="2025-05-12T00:00:00"/>
    <n v="1427.16"/>
    <n v="4320.8560784313731"/>
    <s v="DEV2505"/>
    <x v="2"/>
    <x v="1"/>
    <x v="5"/>
    <s v="Romania"/>
    <s v="Zimbabwe"/>
    <s v="Delivered by Post"/>
    <x v="0"/>
    <x v="0"/>
    <x v="0"/>
  </r>
  <r>
    <s v="T0480"/>
    <x v="9"/>
    <n v="1"/>
    <x v="1"/>
    <x v="2"/>
    <d v="2025-11-01T00:00:00"/>
    <n v="552.66999999999996"/>
    <n v="4320.8560784313731"/>
    <s v="DEV9269"/>
    <x v="1"/>
    <x v="2"/>
    <x v="4"/>
    <s v="France"/>
    <s v="Bhutan"/>
    <s v="Picked Up"/>
    <x v="0"/>
    <x v="1"/>
    <x v="0"/>
  </r>
  <r>
    <s v="T0490"/>
    <x v="9"/>
    <n v="1"/>
    <x v="0"/>
    <x v="0"/>
    <d v="2025-07-15T00:00:00"/>
    <n v="3450.77"/>
    <n v="4320.8560784313731"/>
    <s v="DEV4726"/>
    <x v="0"/>
    <x v="2"/>
    <x v="5"/>
    <s v="Norway"/>
    <s v="Bhutan"/>
    <s v="Delivered by Post"/>
    <x v="0"/>
    <x v="1"/>
    <x v="0"/>
  </r>
  <r>
    <s v="T0513"/>
    <x v="9"/>
    <n v="1"/>
    <x v="1"/>
    <x v="1"/>
    <d v="2025-10-20T00:00:00"/>
    <n v="2840.58"/>
    <n v="4320.8560784313731"/>
    <s v="DEV7382"/>
    <x v="3"/>
    <x v="0"/>
    <x v="1"/>
    <s v="New Zealand"/>
    <s v="Canada"/>
    <s v="Delivered by Post"/>
    <x v="0"/>
    <x v="0"/>
    <x v="0"/>
  </r>
  <r>
    <s v="T0560"/>
    <x v="9"/>
    <n v="1"/>
    <x v="1"/>
    <x v="2"/>
    <d v="2025-04-01T00:00:00"/>
    <n v="6868.18"/>
    <n v="4320.8560784313731"/>
    <s v="DEV1706"/>
    <x v="1"/>
    <x v="3"/>
    <x v="1"/>
    <s v="Romania"/>
    <s v="Bhutan"/>
    <s v="Delivered by Post"/>
    <x v="1"/>
    <x v="1"/>
    <x v="0"/>
  </r>
  <r>
    <s v="T0603"/>
    <x v="9"/>
    <n v="1"/>
    <x v="0"/>
    <x v="1"/>
    <d v="2025-02-03T00:00:00"/>
    <n v="3978.37"/>
    <n v="4320.8560784313731"/>
    <s v="DEV4261"/>
    <x v="4"/>
    <x v="2"/>
    <x v="5"/>
    <s v="Bhutan"/>
    <s v="Zimbabwe"/>
    <s v="Picked Up"/>
    <x v="0"/>
    <x v="1"/>
    <x v="1"/>
  </r>
  <r>
    <s v="T0684"/>
    <x v="9"/>
    <n v="1"/>
    <x v="0"/>
    <x v="0"/>
    <d v="2025-11-11T00:00:00"/>
    <n v="3102.6"/>
    <n v="4320.8560784313731"/>
    <s v="DEV3973"/>
    <x v="1"/>
    <x v="0"/>
    <x v="1"/>
    <s v="Bhutan"/>
    <s v="Zimbabwe"/>
    <s v="Delivered by Post"/>
    <x v="0"/>
    <x v="0"/>
    <x v="0"/>
  </r>
  <r>
    <s v="T0685"/>
    <x v="9"/>
    <n v="1"/>
    <x v="1"/>
    <x v="0"/>
    <d v="2025-01-27T00:00:00"/>
    <n v="4157.59"/>
    <n v="4320.8560784313731"/>
    <s v="DEV4925"/>
    <x v="2"/>
    <x v="2"/>
    <x v="4"/>
    <s v="Turkmenistan"/>
    <s v="Turkmenistan"/>
    <s v="Delivered by Post"/>
    <x v="0"/>
    <x v="1"/>
    <x v="0"/>
  </r>
  <r>
    <s v="T0785"/>
    <x v="9"/>
    <n v="1"/>
    <x v="1"/>
    <x v="0"/>
    <d v="2025-11-06T00:00:00"/>
    <n v="3197.79"/>
    <n v="4320.8560784313731"/>
    <s v="DEV2270"/>
    <x v="4"/>
    <x v="0"/>
    <x v="5"/>
    <s v="Zimbabwe"/>
    <s v="Turkmenistan"/>
    <s v="Delivered by Post"/>
    <x v="0"/>
    <x v="0"/>
    <x v="1"/>
  </r>
  <r>
    <s v="T0823"/>
    <x v="9"/>
    <n v="1"/>
    <x v="1"/>
    <x v="0"/>
    <d v="2025-09-09T00:00:00"/>
    <n v="3565.43"/>
    <n v="4320.8560784313731"/>
    <s v="DEV2804"/>
    <x v="3"/>
    <x v="0"/>
    <x v="1"/>
    <s v="New Zealand"/>
    <s v="Zimbabwe"/>
    <s v="Delivered by Post"/>
    <x v="0"/>
    <x v="0"/>
    <x v="0"/>
  </r>
  <r>
    <s v="T0895"/>
    <x v="9"/>
    <n v="1"/>
    <x v="0"/>
    <x v="3"/>
    <d v="2025-09-12T00:00:00"/>
    <n v="9787.44"/>
    <n v="4320.8560784313731"/>
    <s v="DEV5003"/>
    <x v="2"/>
    <x v="1"/>
    <x v="1"/>
    <s v="Romania"/>
    <s v="Zimbabwe"/>
    <s v="Picked Up"/>
    <x v="1"/>
    <x v="0"/>
    <x v="0"/>
  </r>
  <r>
    <s v="T0973"/>
    <x v="9"/>
    <n v="1"/>
    <x v="0"/>
    <x v="1"/>
    <d v="2025-04-17T00:00:00"/>
    <n v="8106.32"/>
    <n v="4320.8560784313731"/>
    <s v="DEV5095"/>
    <x v="1"/>
    <x v="2"/>
    <x v="4"/>
    <s v="Comoros"/>
    <s v="Turkmenistan"/>
    <s v="Picked Up"/>
    <x v="1"/>
    <x v="1"/>
    <x v="0"/>
  </r>
  <r>
    <s v="T0978"/>
    <x v="9"/>
    <n v="1"/>
    <x v="1"/>
    <x v="3"/>
    <d v="2025-08-30T00:00:00"/>
    <n v="2937.46"/>
    <n v="4320.8560784313731"/>
    <s v="DEV4450"/>
    <x v="4"/>
    <x v="2"/>
    <x v="0"/>
    <s v="Turkmenistan"/>
    <s v="Comoros"/>
    <s v="Picked Up"/>
    <x v="0"/>
    <x v="1"/>
    <x v="1"/>
  </r>
  <r>
    <s v="T1035"/>
    <x v="9"/>
    <n v="1"/>
    <x v="1"/>
    <x v="1"/>
    <d v="2025-01-15T00:00:00"/>
    <n v="6094.12"/>
    <n v="4320.8560784313731"/>
    <s v="DEV5963"/>
    <x v="3"/>
    <x v="0"/>
    <x v="1"/>
    <s v="New Zealand"/>
    <s v="Turkmenistan"/>
    <s v="Delivered by Post"/>
    <x v="1"/>
    <x v="0"/>
    <x v="0"/>
  </r>
  <r>
    <s v="T1048"/>
    <x v="9"/>
    <n v="1"/>
    <x v="1"/>
    <x v="2"/>
    <d v="2025-06-07T00:00:00"/>
    <n v="3097.01"/>
    <n v="4320.8560784313731"/>
    <s v="DEV7447"/>
    <x v="0"/>
    <x v="0"/>
    <x v="4"/>
    <s v="Canada"/>
    <s v="Bhutan"/>
    <s v="Delivered by Post"/>
    <x v="0"/>
    <x v="0"/>
    <x v="0"/>
  </r>
  <r>
    <s v="T1128"/>
    <x v="9"/>
    <n v="1"/>
    <x v="1"/>
    <x v="3"/>
    <d v="2025-03-24T00:00:00"/>
    <n v="2904.29"/>
    <n v="4320.8560784313731"/>
    <s v="DEV1343"/>
    <x v="0"/>
    <x v="3"/>
    <x v="0"/>
    <s v="Canada"/>
    <s v="Comoros"/>
    <s v="Delivered by Post"/>
    <x v="0"/>
    <x v="1"/>
    <x v="0"/>
  </r>
  <r>
    <s v="T1173"/>
    <x v="9"/>
    <n v="1"/>
    <x v="1"/>
    <x v="3"/>
    <d v="2025-10-12T00:00:00"/>
    <n v="5385.49"/>
    <n v="4320.8560784313731"/>
    <s v="DEV9370"/>
    <x v="0"/>
    <x v="2"/>
    <x v="0"/>
    <s v="France"/>
    <s v="New Zealand"/>
    <s v="Picked Up"/>
    <x v="1"/>
    <x v="1"/>
    <x v="0"/>
  </r>
  <r>
    <s v="T1213"/>
    <x v="9"/>
    <n v="1"/>
    <x v="0"/>
    <x v="2"/>
    <d v="2025-10-09T00:00:00"/>
    <n v="2584.52"/>
    <n v="4320.8560784313731"/>
    <s v="DEV1053"/>
    <x v="1"/>
    <x v="2"/>
    <x v="1"/>
    <s v="Comoros"/>
    <s v="Comoros"/>
    <s v="Delivered by Post"/>
    <x v="0"/>
    <x v="1"/>
    <x v="0"/>
  </r>
  <r>
    <s v="T1234"/>
    <x v="9"/>
    <n v="1"/>
    <x v="1"/>
    <x v="3"/>
    <d v="2025-09-07T00:00:00"/>
    <n v="212.96"/>
    <n v="4320.8560784313731"/>
    <s v="DEV8640"/>
    <x v="0"/>
    <x v="3"/>
    <x v="0"/>
    <s v="Comoros"/>
    <s v="Norway"/>
    <s v="Delivered by Post"/>
    <x v="0"/>
    <x v="1"/>
    <x v="0"/>
  </r>
  <r>
    <s v="T1237"/>
    <x v="9"/>
    <n v="1"/>
    <x v="0"/>
    <x v="0"/>
    <d v="2025-09-18T00:00:00"/>
    <n v="7456.16"/>
    <n v="4320.8560784313731"/>
    <s v="DEV9537"/>
    <x v="4"/>
    <x v="0"/>
    <x v="4"/>
    <s v="Bhutan"/>
    <s v="New Zealand"/>
    <s v="Delivered by Post"/>
    <x v="1"/>
    <x v="0"/>
    <x v="1"/>
  </r>
  <r>
    <s v="T1239"/>
    <x v="9"/>
    <n v="1"/>
    <x v="1"/>
    <x v="3"/>
    <d v="2025-03-15T00:00:00"/>
    <n v="9332.83"/>
    <n v="4320.8560784313731"/>
    <s v="DEV4216"/>
    <x v="1"/>
    <x v="1"/>
    <x v="1"/>
    <s v="Bhutan"/>
    <s v="Romania"/>
    <s v="Picked Up"/>
    <x v="1"/>
    <x v="0"/>
    <x v="0"/>
  </r>
  <r>
    <s v="T1282"/>
    <x v="9"/>
    <n v="1"/>
    <x v="0"/>
    <x v="3"/>
    <d v="2025-06-16T00:00:00"/>
    <n v="1512.53"/>
    <n v="4320.8560784313731"/>
    <s v="DEV7205"/>
    <x v="2"/>
    <x v="3"/>
    <x v="4"/>
    <s v="Romania"/>
    <s v="Norway"/>
    <s v="Picked Up"/>
    <x v="0"/>
    <x v="1"/>
    <x v="0"/>
  </r>
  <r>
    <s v="T1385"/>
    <x v="9"/>
    <n v="1"/>
    <x v="1"/>
    <x v="2"/>
    <d v="2025-12-03T00:00:00"/>
    <n v="6205.18"/>
    <n v="4320.8560784313731"/>
    <s v="DEV4950"/>
    <x v="1"/>
    <x v="1"/>
    <x v="2"/>
    <s v="Turkmenistan"/>
    <s v="Norway"/>
    <s v="Delivered by Post"/>
    <x v="1"/>
    <x v="0"/>
    <x v="0"/>
  </r>
  <r>
    <s v="T1387"/>
    <x v="9"/>
    <n v="1"/>
    <x v="0"/>
    <x v="2"/>
    <d v="2025-03-29T00:00:00"/>
    <n v="5787.65"/>
    <n v="4320.8560784313731"/>
    <s v="DEV7997"/>
    <x v="4"/>
    <x v="0"/>
    <x v="3"/>
    <s v="France"/>
    <s v="Romania"/>
    <s v="Picked Up"/>
    <x v="1"/>
    <x v="0"/>
    <x v="1"/>
  </r>
  <r>
    <s v="T1451"/>
    <x v="9"/>
    <n v="1"/>
    <x v="0"/>
    <x v="1"/>
    <d v="2025-09-28T00:00:00"/>
    <n v="7317.95"/>
    <n v="4320.8560784313731"/>
    <s v="DEV4748"/>
    <x v="0"/>
    <x v="3"/>
    <x v="0"/>
    <s v="Bhutan"/>
    <s v="New Zealand"/>
    <s v="Delivered by Post"/>
    <x v="1"/>
    <x v="1"/>
    <x v="0"/>
  </r>
  <r>
    <s v="T1523"/>
    <x v="9"/>
    <n v="1"/>
    <x v="1"/>
    <x v="3"/>
    <d v="2025-07-05T00:00:00"/>
    <n v="886.92"/>
    <n v="4320.8560784313731"/>
    <s v="DEV5967"/>
    <x v="2"/>
    <x v="3"/>
    <x v="1"/>
    <s v="France"/>
    <s v="Canada"/>
    <s v="Delivered by Post"/>
    <x v="0"/>
    <x v="1"/>
    <x v="0"/>
  </r>
  <r>
    <s v="T1549"/>
    <x v="9"/>
    <n v="1"/>
    <x v="0"/>
    <x v="1"/>
    <d v="2025-03-14T00:00:00"/>
    <n v="2137.71"/>
    <n v="4320.8560784313731"/>
    <s v="DEV9328"/>
    <x v="1"/>
    <x v="0"/>
    <x v="5"/>
    <s v="France"/>
    <s v="France"/>
    <s v="Picked Up"/>
    <x v="0"/>
    <x v="1"/>
    <x v="0"/>
  </r>
  <r>
    <s v="T1649"/>
    <x v="9"/>
    <n v="1"/>
    <x v="1"/>
    <x v="0"/>
    <d v="2025-03-12T00:00:00"/>
    <n v="761"/>
    <n v="4320.8560784313731"/>
    <s v="DEV9664"/>
    <x v="2"/>
    <x v="2"/>
    <x v="3"/>
    <s v="Comoros"/>
    <s v="Zimbabwe"/>
    <s v="Delivered by Post"/>
    <x v="0"/>
    <x v="1"/>
    <x v="0"/>
  </r>
  <r>
    <s v="T1763"/>
    <x v="9"/>
    <n v="1"/>
    <x v="1"/>
    <x v="3"/>
    <d v="2025-07-16T00:00:00"/>
    <n v="6694.41"/>
    <n v="4320.8560784313731"/>
    <s v="DEV3324"/>
    <x v="1"/>
    <x v="1"/>
    <x v="2"/>
    <s v="Comoros"/>
    <s v="Romania"/>
    <s v="Picked Up"/>
    <x v="1"/>
    <x v="0"/>
    <x v="0"/>
  </r>
  <r>
    <s v="T1826"/>
    <x v="9"/>
    <n v="1"/>
    <x v="1"/>
    <x v="0"/>
    <d v="2025-06-08T00:00:00"/>
    <n v="7589.07"/>
    <n v="4320.8560784313731"/>
    <s v="DEV6035"/>
    <x v="0"/>
    <x v="3"/>
    <x v="2"/>
    <s v="Norway"/>
    <s v="New Zealand"/>
    <s v="Picked Up"/>
    <x v="1"/>
    <x v="1"/>
    <x v="0"/>
  </r>
  <r>
    <s v="T1902"/>
    <x v="9"/>
    <n v="1"/>
    <x v="0"/>
    <x v="1"/>
    <d v="2025-02-28T00:00:00"/>
    <n v="2416.06"/>
    <n v="4320.8560784313731"/>
    <s v="DEV1456"/>
    <x v="4"/>
    <x v="0"/>
    <x v="5"/>
    <s v="Turkmenistan"/>
    <s v="Zimbabwe"/>
    <s v="Picked Up"/>
    <x v="0"/>
    <x v="0"/>
    <x v="1"/>
  </r>
  <r>
    <s v="T1911"/>
    <x v="9"/>
    <n v="1"/>
    <x v="1"/>
    <x v="3"/>
    <d v="2025-08-07T00:00:00"/>
    <n v="2359.6"/>
    <n v="4320.8560784313731"/>
    <s v="DEV5782"/>
    <x v="4"/>
    <x v="1"/>
    <x v="4"/>
    <s v="France"/>
    <s v="Canada"/>
    <s v="Picked Up"/>
    <x v="0"/>
    <x v="0"/>
    <x v="1"/>
  </r>
  <r>
    <s v="T1920"/>
    <x v="9"/>
    <n v="1"/>
    <x v="1"/>
    <x v="0"/>
    <d v="2025-10-22T00:00:00"/>
    <n v="4276.29"/>
    <n v="4320.8560784313731"/>
    <s v="DEV7299"/>
    <x v="3"/>
    <x v="0"/>
    <x v="5"/>
    <s v="Romania"/>
    <s v="Bhutan"/>
    <s v="Delivered by Post"/>
    <x v="0"/>
    <x v="0"/>
    <x v="0"/>
  </r>
  <r>
    <s v="T1937"/>
    <x v="9"/>
    <n v="1"/>
    <x v="0"/>
    <x v="0"/>
    <d v="2025-06-11T00:00:00"/>
    <n v="321.72000000000003"/>
    <n v="4320.8560784313731"/>
    <s v="DEV5195"/>
    <x v="4"/>
    <x v="2"/>
    <x v="2"/>
    <s v="Zimbabwe"/>
    <s v="Bhutan"/>
    <s v="Delivered by Post"/>
    <x v="0"/>
    <x v="1"/>
    <x v="1"/>
  </r>
  <r>
    <s v="T1960"/>
    <x v="9"/>
    <n v="1"/>
    <x v="0"/>
    <x v="3"/>
    <d v="2025-09-14T00:00:00"/>
    <n v="1263.8399999999999"/>
    <n v="4320.8560784313731"/>
    <s v="DEV6392"/>
    <x v="4"/>
    <x v="3"/>
    <x v="0"/>
    <s v="Canada"/>
    <s v="Romania"/>
    <s v="Delivered by Post"/>
    <x v="0"/>
    <x v="1"/>
    <x v="1"/>
  </r>
  <r>
    <s v="T1974"/>
    <x v="9"/>
    <n v="1"/>
    <x v="0"/>
    <x v="3"/>
    <d v="2025-01-07T00:00:00"/>
    <n v="5544.53"/>
    <n v="4320.8560784313731"/>
    <s v="DEV5550"/>
    <x v="0"/>
    <x v="3"/>
    <x v="0"/>
    <s v="Turkmenistan"/>
    <s v="Romania"/>
    <s v="Delivered by Post"/>
    <x v="1"/>
    <x v="1"/>
    <x v="0"/>
  </r>
  <r>
    <s v="T2218"/>
    <x v="9"/>
    <n v="1"/>
    <x v="1"/>
    <x v="0"/>
    <d v="2025-04-10T00:00:00"/>
    <n v="7884.78"/>
    <n v="4320.8560784313731"/>
    <s v="DEV3746"/>
    <x v="3"/>
    <x v="2"/>
    <x v="3"/>
    <s v="France"/>
    <s v="Comoros"/>
    <s v="Picked Up"/>
    <x v="1"/>
    <x v="1"/>
    <x v="0"/>
  </r>
  <r>
    <s v="T2561"/>
    <x v="9"/>
    <n v="1"/>
    <x v="1"/>
    <x v="0"/>
    <d v="2025-09-23T00:00:00"/>
    <n v="7557.62"/>
    <n v="4320.8560784313731"/>
    <s v="DEV7634"/>
    <x v="4"/>
    <x v="0"/>
    <x v="3"/>
    <s v="Turkmenistan"/>
    <s v="Canada"/>
    <s v="Delivered by Post"/>
    <x v="1"/>
    <x v="0"/>
    <x v="1"/>
  </r>
  <r>
    <s v="T2565"/>
    <x v="9"/>
    <n v="1"/>
    <x v="1"/>
    <x v="3"/>
    <d v="2025-08-21T00:00:00"/>
    <n v="6668.3"/>
    <n v="4320.8560784313731"/>
    <s v="DEV8259"/>
    <x v="0"/>
    <x v="2"/>
    <x v="1"/>
    <s v="Romania"/>
    <s v="Turkmenistan"/>
    <s v="Delivered by Post"/>
    <x v="1"/>
    <x v="1"/>
    <x v="0"/>
  </r>
  <r>
    <s v="T2577"/>
    <x v="9"/>
    <n v="1"/>
    <x v="1"/>
    <x v="3"/>
    <d v="2025-08-26T00:00:00"/>
    <n v="8622.08"/>
    <n v="4320.8560784313731"/>
    <s v="DEV8130"/>
    <x v="3"/>
    <x v="3"/>
    <x v="1"/>
    <s v="Turkmenistan"/>
    <s v="Comoros"/>
    <s v="Delivered by Post"/>
    <x v="1"/>
    <x v="1"/>
    <x v="0"/>
  </r>
  <r>
    <s v="T2783"/>
    <x v="9"/>
    <n v="1"/>
    <x v="0"/>
    <x v="2"/>
    <d v="2025-10-30T00:00:00"/>
    <n v="6872.51"/>
    <n v="4320.8560784313731"/>
    <s v="DEV7785"/>
    <x v="4"/>
    <x v="3"/>
    <x v="1"/>
    <s v="New Zealand"/>
    <s v="New Zealand"/>
    <s v="Delivered by Post"/>
    <x v="1"/>
    <x v="1"/>
    <x v="0"/>
  </r>
  <r>
    <s v="T2822"/>
    <x v="9"/>
    <n v="1"/>
    <x v="1"/>
    <x v="1"/>
    <d v="2025-03-27T00:00:00"/>
    <n v="4706.8"/>
    <n v="4320.8560784313731"/>
    <s v="DEV8063"/>
    <x v="1"/>
    <x v="3"/>
    <x v="3"/>
    <s v="Canada"/>
    <s v="Bhutan"/>
    <s v="Picked Up"/>
    <x v="1"/>
    <x v="1"/>
    <x v="0"/>
  </r>
  <r>
    <s v="T0125"/>
    <x v="10"/>
    <n v="1"/>
    <x v="1"/>
    <x v="0"/>
    <d v="2025-02-27T00:00:00"/>
    <n v="7425.25"/>
    <n v="4796.3042592592574"/>
    <s v="DEV3442"/>
    <x v="2"/>
    <x v="0"/>
    <x v="1"/>
    <s v="Turkmenistan"/>
    <s v="Norway"/>
    <s v="Delivered by Post"/>
    <x v="1"/>
    <x v="0"/>
    <x v="0"/>
  </r>
  <r>
    <s v="T0127"/>
    <x v="10"/>
    <n v="1"/>
    <x v="1"/>
    <x v="0"/>
    <d v="2025-04-02T00:00:00"/>
    <n v="9763.25"/>
    <n v="4796.3042592592574"/>
    <s v="DEV6442"/>
    <x v="0"/>
    <x v="2"/>
    <x v="1"/>
    <s v="Norway"/>
    <s v="Zimbabwe"/>
    <s v="Delivered by Post"/>
    <x v="1"/>
    <x v="1"/>
    <x v="0"/>
  </r>
  <r>
    <s v="T0157"/>
    <x v="10"/>
    <n v="1"/>
    <x v="1"/>
    <x v="3"/>
    <d v="2025-01-17T00:00:00"/>
    <n v="76.62"/>
    <n v="4796.3042592592574"/>
    <s v="DEV5720"/>
    <x v="4"/>
    <x v="1"/>
    <x v="2"/>
    <s v="Romania"/>
    <s v="France"/>
    <s v="Picked Up"/>
    <x v="0"/>
    <x v="0"/>
    <x v="1"/>
  </r>
  <r>
    <s v="T0309"/>
    <x v="10"/>
    <n v="1"/>
    <x v="1"/>
    <x v="1"/>
    <d v="2025-12-19T00:00:00"/>
    <n v="4440.8"/>
    <n v="4796.3042592592574"/>
    <s v="DEV5945"/>
    <x v="3"/>
    <x v="3"/>
    <x v="2"/>
    <s v="New Zealand"/>
    <s v="France"/>
    <s v="Picked Up"/>
    <x v="0"/>
    <x v="1"/>
    <x v="0"/>
  </r>
  <r>
    <s v="T0330"/>
    <x v="10"/>
    <n v="1"/>
    <x v="0"/>
    <x v="3"/>
    <d v="2025-04-17T00:00:00"/>
    <n v="4523.1899999999996"/>
    <n v="4796.3042592592574"/>
    <s v="DEV6051"/>
    <x v="0"/>
    <x v="3"/>
    <x v="2"/>
    <s v="Zimbabwe"/>
    <s v="Norway"/>
    <s v="Delivered by Post"/>
    <x v="0"/>
    <x v="1"/>
    <x v="0"/>
  </r>
  <r>
    <s v="T0342"/>
    <x v="10"/>
    <n v="1"/>
    <x v="1"/>
    <x v="3"/>
    <d v="2025-03-31T00:00:00"/>
    <n v="7336.9"/>
    <n v="4796.3042592592574"/>
    <s v="DEV6846"/>
    <x v="3"/>
    <x v="2"/>
    <x v="4"/>
    <s v="France"/>
    <s v="France"/>
    <s v="Picked Up"/>
    <x v="1"/>
    <x v="1"/>
    <x v="0"/>
  </r>
  <r>
    <s v="T0495"/>
    <x v="10"/>
    <n v="1"/>
    <x v="0"/>
    <x v="3"/>
    <d v="2025-07-31T00:00:00"/>
    <n v="1972.94"/>
    <n v="4796.3042592592574"/>
    <s v="DEV4323"/>
    <x v="3"/>
    <x v="0"/>
    <x v="0"/>
    <s v="Comoros"/>
    <s v="Comoros"/>
    <s v="Delivered by Post"/>
    <x v="0"/>
    <x v="1"/>
    <x v="0"/>
  </r>
  <r>
    <s v="T0518"/>
    <x v="10"/>
    <n v="1"/>
    <x v="0"/>
    <x v="1"/>
    <d v="2025-10-05T00:00:00"/>
    <n v="2772.69"/>
    <n v="4796.3042592592574"/>
    <s v="DEV6218"/>
    <x v="4"/>
    <x v="2"/>
    <x v="3"/>
    <s v="France"/>
    <s v="Romania"/>
    <s v="Picked Up"/>
    <x v="0"/>
    <x v="1"/>
    <x v="1"/>
  </r>
  <r>
    <s v="T0593"/>
    <x v="10"/>
    <n v="1"/>
    <x v="0"/>
    <x v="1"/>
    <d v="2025-10-14T00:00:00"/>
    <n v="1069.06"/>
    <n v="4796.3042592592574"/>
    <s v="DEV9612"/>
    <x v="2"/>
    <x v="0"/>
    <x v="4"/>
    <s v="Comoros"/>
    <s v="Zimbabwe"/>
    <s v="Picked Up"/>
    <x v="0"/>
    <x v="0"/>
    <x v="0"/>
  </r>
  <r>
    <s v="T0639"/>
    <x v="10"/>
    <n v="1"/>
    <x v="1"/>
    <x v="0"/>
    <d v="2025-08-15T00:00:00"/>
    <n v="7074.33"/>
    <n v="4796.3042592592574"/>
    <s v="DEV8949"/>
    <x v="0"/>
    <x v="1"/>
    <x v="2"/>
    <s v="Norway"/>
    <s v="Zimbabwe"/>
    <s v="Delivered by Post"/>
    <x v="1"/>
    <x v="0"/>
    <x v="0"/>
  </r>
  <r>
    <s v="T0732"/>
    <x v="10"/>
    <n v="1"/>
    <x v="1"/>
    <x v="0"/>
    <d v="2025-02-07T00:00:00"/>
    <n v="2565.0300000000002"/>
    <n v="4796.3042592592574"/>
    <s v="DEV8567"/>
    <x v="0"/>
    <x v="3"/>
    <x v="3"/>
    <s v="Bhutan"/>
    <s v="Romania"/>
    <s v="Delivered by Post"/>
    <x v="0"/>
    <x v="1"/>
    <x v="0"/>
  </r>
  <r>
    <s v="T0788"/>
    <x v="10"/>
    <n v="1"/>
    <x v="0"/>
    <x v="3"/>
    <d v="2025-12-14T00:00:00"/>
    <n v="3214.06"/>
    <n v="4796.3042592592574"/>
    <s v="DEV7597"/>
    <x v="0"/>
    <x v="2"/>
    <x v="1"/>
    <s v="Canada"/>
    <s v="Turkmenistan"/>
    <s v="Picked Up"/>
    <x v="0"/>
    <x v="1"/>
    <x v="0"/>
  </r>
  <r>
    <s v="T0892"/>
    <x v="10"/>
    <n v="1"/>
    <x v="1"/>
    <x v="2"/>
    <d v="2025-10-26T00:00:00"/>
    <n v="6808.07"/>
    <n v="4796.3042592592574"/>
    <s v="DEV9000"/>
    <x v="3"/>
    <x v="1"/>
    <x v="2"/>
    <s v="Canada"/>
    <s v="Canada"/>
    <s v="Delivered by Post"/>
    <x v="1"/>
    <x v="1"/>
    <x v="0"/>
  </r>
  <r>
    <s v="T1029"/>
    <x v="10"/>
    <n v="1"/>
    <x v="0"/>
    <x v="0"/>
    <d v="2025-01-17T00:00:00"/>
    <n v="2486.39"/>
    <n v="4796.3042592592574"/>
    <s v="DEV7657"/>
    <x v="2"/>
    <x v="1"/>
    <x v="4"/>
    <s v="Zimbabwe"/>
    <s v="Bhutan"/>
    <s v="Delivered by Post"/>
    <x v="0"/>
    <x v="0"/>
    <x v="0"/>
  </r>
  <r>
    <s v="T1047"/>
    <x v="10"/>
    <n v="1"/>
    <x v="0"/>
    <x v="3"/>
    <d v="2025-09-22T00:00:00"/>
    <n v="8530.9500000000007"/>
    <n v="4796.3042592592574"/>
    <s v="DEV7830"/>
    <x v="4"/>
    <x v="2"/>
    <x v="1"/>
    <s v="Comoros"/>
    <s v="France"/>
    <s v="Delivered by Post"/>
    <x v="1"/>
    <x v="1"/>
    <x v="1"/>
  </r>
  <r>
    <s v="T1149"/>
    <x v="10"/>
    <n v="1"/>
    <x v="1"/>
    <x v="2"/>
    <d v="2025-09-17T00:00:00"/>
    <n v="3976.95"/>
    <n v="4796.3042592592574"/>
    <s v="DEV5676"/>
    <x v="3"/>
    <x v="1"/>
    <x v="1"/>
    <s v="New Zealand"/>
    <s v="Romania"/>
    <s v="Picked Up"/>
    <x v="0"/>
    <x v="0"/>
    <x v="0"/>
  </r>
  <r>
    <s v="T1247"/>
    <x v="10"/>
    <n v="1"/>
    <x v="0"/>
    <x v="0"/>
    <d v="2025-02-12T00:00:00"/>
    <n v="5999.92"/>
    <n v="4796.3042592592574"/>
    <s v="DEV1139"/>
    <x v="3"/>
    <x v="1"/>
    <x v="4"/>
    <s v="Zimbabwe"/>
    <s v="Norway"/>
    <s v="Picked Up"/>
    <x v="1"/>
    <x v="0"/>
    <x v="0"/>
  </r>
  <r>
    <s v="T1298"/>
    <x v="10"/>
    <n v="1"/>
    <x v="1"/>
    <x v="0"/>
    <d v="2025-02-13T00:00:00"/>
    <n v="3776.63"/>
    <n v="4796.3042592592574"/>
    <s v="DEV4469"/>
    <x v="1"/>
    <x v="2"/>
    <x v="4"/>
    <s v="Zimbabwe"/>
    <s v="Bhutan"/>
    <s v="Picked Up"/>
    <x v="0"/>
    <x v="1"/>
    <x v="0"/>
  </r>
  <r>
    <s v="T1391"/>
    <x v="10"/>
    <n v="1"/>
    <x v="1"/>
    <x v="2"/>
    <d v="2025-02-27T00:00:00"/>
    <n v="601.6"/>
    <n v="4796.3042592592574"/>
    <s v="DEV9033"/>
    <x v="4"/>
    <x v="2"/>
    <x v="5"/>
    <s v="Turkmenistan"/>
    <s v="Turkmenistan"/>
    <s v="Picked Up"/>
    <x v="0"/>
    <x v="1"/>
    <x v="0"/>
  </r>
  <r>
    <s v="T1447"/>
    <x v="10"/>
    <n v="1"/>
    <x v="0"/>
    <x v="3"/>
    <d v="2025-04-03T00:00:00"/>
    <n v="8562.98"/>
    <n v="4796.3042592592574"/>
    <s v="DEV8015"/>
    <x v="0"/>
    <x v="1"/>
    <x v="1"/>
    <s v="Bhutan"/>
    <s v="Norway"/>
    <s v="Delivered by Post"/>
    <x v="1"/>
    <x v="0"/>
    <x v="0"/>
  </r>
  <r>
    <s v="T1544"/>
    <x v="10"/>
    <n v="1"/>
    <x v="1"/>
    <x v="1"/>
    <d v="2025-12-25T00:00:00"/>
    <n v="1550.22"/>
    <n v="4796.3042592592574"/>
    <s v="DEV4114"/>
    <x v="2"/>
    <x v="2"/>
    <x v="2"/>
    <s v="France"/>
    <s v="New Zealand"/>
    <s v="Delivered by Post"/>
    <x v="0"/>
    <x v="1"/>
    <x v="0"/>
  </r>
  <r>
    <s v="T1580"/>
    <x v="10"/>
    <n v="1"/>
    <x v="1"/>
    <x v="2"/>
    <d v="2025-07-20T00:00:00"/>
    <n v="8159.91"/>
    <n v="4796.3042592592574"/>
    <s v="DEV3968"/>
    <x v="0"/>
    <x v="3"/>
    <x v="3"/>
    <s v="Norway"/>
    <s v="Romania"/>
    <s v="Picked Up"/>
    <x v="1"/>
    <x v="1"/>
    <x v="0"/>
  </r>
  <r>
    <s v="T1595"/>
    <x v="10"/>
    <n v="1"/>
    <x v="1"/>
    <x v="3"/>
    <d v="2025-02-06T00:00:00"/>
    <n v="152.72999999999999"/>
    <n v="4796.3042592592574"/>
    <s v="DEV6131"/>
    <x v="3"/>
    <x v="1"/>
    <x v="4"/>
    <s v="France"/>
    <s v="Norway"/>
    <s v="Delivered by Post"/>
    <x v="0"/>
    <x v="0"/>
    <x v="0"/>
  </r>
  <r>
    <s v="T1628"/>
    <x v="10"/>
    <n v="1"/>
    <x v="0"/>
    <x v="0"/>
    <d v="2025-02-27T00:00:00"/>
    <n v="4173.7299999999996"/>
    <n v="4796.3042592592574"/>
    <s v="DEV4343"/>
    <x v="0"/>
    <x v="3"/>
    <x v="3"/>
    <s v="Zimbabwe"/>
    <s v="Canada"/>
    <s v="Picked Up"/>
    <x v="0"/>
    <x v="1"/>
    <x v="0"/>
  </r>
  <r>
    <s v="T1634"/>
    <x v="10"/>
    <n v="1"/>
    <x v="0"/>
    <x v="0"/>
    <d v="2025-05-08T00:00:00"/>
    <n v="7030.09"/>
    <n v="4796.3042592592574"/>
    <s v="DEV3092"/>
    <x v="3"/>
    <x v="0"/>
    <x v="2"/>
    <s v="Comoros"/>
    <s v="Romania"/>
    <s v="Picked Up"/>
    <x v="1"/>
    <x v="0"/>
    <x v="0"/>
  </r>
  <r>
    <s v="T1636"/>
    <x v="10"/>
    <n v="1"/>
    <x v="0"/>
    <x v="3"/>
    <d v="2025-03-13T00:00:00"/>
    <n v="1850.4"/>
    <n v="4796.3042592592574"/>
    <s v="DEV6122"/>
    <x v="1"/>
    <x v="1"/>
    <x v="2"/>
    <s v="Turkmenistan"/>
    <s v="New Zealand"/>
    <s v="Delivered by Post"/>
    <x v="0"/>
    <x v="0"/>
    <x v="0"/>
  </r>
  <r>
    <s v="T1648"/>
    <x v="10"/>
    <n v="1"/>
    <x v="1"/>
    <x v="3"/>
    <d v="2025-11-22T00:00:00"/>
    <n v="5632.35"/>
    <n v="4796.3042592592574"/>
    <s v="DEV6710"/>
    <x v="2"/>
    <x v="2"/>
    <x v="5"/>
    <s v="Zimbabwe"/>
    <s v="Canada"/>
    <s v="Picked Up"/>
    <x v="1"/>
    <x v="1"/>
    <x v="0"/>
  </r>
  <r>
    <s v="T1721"/>
    <x v="10"/>
    <n v="1"/>
    <x v="1"/>
    <x v="0"/>
    <d v="2025-08-30T00:00:00"/>
    <n v="5603.21"/>
    <n v="4796.3042592592574"/>
    <s v="DEV8667"/>
    <x v="2"/>
    <x v="0"/>
    <x v="3"/>
    <s v="Romania"/>
    <s v="Comoros"/>
    <s v="Picked Up"/>
    <x v="1"/>
    <x v="0"/>
    <x v="0"/>
  </r>
  <r>
    <s v="T1725"/>
    <x v="10"/>
    <n v="1"/>
    <x v="0"/>
    <x v="2"/>
    <d v="2025-11-05T00:00:00"/>
    <n v="9704.26"/>
    <n v="4796.3042592592574"/>
    <s v="DEV7265"/>
    <x v="2"/>
    <x v="3"/>
    <x v="4"/>
    <s v="France"/>
    <s v="Bhutan"/>
    <s v="Delivered by Post"/>
    <x v="1"/>
    <x v="1"/>
    <x v="0"/>
  </r>
  <r>
    <s v="T1743"/>
    <x v="10"/>
    <n v="1"/>
    <x v="0"/>
    <x v="1"/>
    <d v="2025-09-27T00:00:00"/>
    <n v="4391.53"/>
    <n v="4796.3042592592574"/>
    <s v="DEV3411"/>
    <x v="3"/>
    <x v="1"/>
    <x v="0"/>
    <s v="Bhutan"/>
    <s v="Norway"/>
    <s v="Delivered by Post"/>
    <x v="0"/>
    <x v="0"/>
    <x v="0"/>
  </r>
  <r>
    <s v="T1753"/>
    <x v="10"/>
    <n v="1"/>
    <x v="0"/>
    <x v="2"/>
    <d v="2025-05-16T00:00:00"/>
    <n v="5552"/>
    <n v="4796.3042592592574"/>
    <s v="DEV7121"/>
    <x v="1"/>
    <x v="1"/>
    <x v="3"/>
    <s v="Canada"/>
    <s v="Turkmenistan"/>
    <s v="Delivered by Post"/>
    <x v="1"/>
    <x v="0"/>
    <x v="0"/>
  </r>
  <r>
    <s v="T1755"/>
    <x v="10"/>
    <n v="1"/>
    <x v="1"/>
    <x v="3"/>
    <d v="2025-05-02T00:00:00"/>
    <n v="1902.4"/>
    <n v="4796.3042592592574"/>
    <s v="DEV1533"/>
    <x v="4"/>
    <x v="3"/>
    <x v="5"/>
    <s v="Canada"/>
    <s v="Romania"/>
    <s v="Picked Up"/>
    <x v="0"/>
    <x v="1"/>
    <x v="1"/>
  </r>
  <r>
    <s v="T1756"/>
    <x v="10"/>
    <n v="1"/>
    <x v="0"/>
    <x v="1"/>
    <d v="2025-01-04T00:00:00"/>
    <n v="3517.53"/>
    <n v="4796.3042592592574"/>
    <s v="DEV5008"/>
    <x v="4"/>
    <x v="0"/>
    <x v="2"/>
    <s v="Norway"/>
    <s v="New Zealand"/>
    <s v="Delivered by Post"/>
    <x v="0"/>
    <x v="0"/>
    <x v="1"/>
  </r>
  <r>
    <s v="T1784"/>
    <x v="10"/>
    <n v="1"/>
    <x v="1"/>
    <x v="3"/>
    <d v="2025-05-17T00:00:00"/>
    <n v="2905.96"/>
    <n v="4796.3042592592574"/>
    <s v="DEV9129"/>
    <x v="3"/>
    <x v="2"/>
    <x v="1"/>
    <s v="New Zealand"/>
    <s v="Bhutan"/>
    <s v="Delivered by Post"/>
    <x v="0"/>
    <x v="1"/>
    <x v="0"/>
  </r>
  <r>
    <s v="T1800"/>
    <x v="10"/>
    <n v="1"/>
    <x v="0"/>
    <x v="1"/>
    <d v="2025-12-23T00:00:00"/>
    <n v="4081.99"/>
    <n v="4796.3042592592574"/>
    <s v="DEV9774"/>
    <x v="3"/>
    <x v="0"/>
    <x v="3"/>
    <s v="Romania"/>
    <s v="New Zealand"/>
    <s v="Delivered by Post"/>
    <x v="0"/>
    <x v="0"/>
    <x v="0"/>
  </r>
  <r>
    <s v="T1808"/>
    <x v="10"/>
    <n v="1"/>
    <x v="0"/>
    <x v="0"/>
    <d v="2025-10-13T00:00:00"/>
    <n v="8008.1"/>
    <n v="4796.3042592592574"/>
    <s v="DEV9689"/>
    <x v="3"/>
    <x v="0"/>
    <x v="0"/>
    <s v="Zimbabwe"/>
    <s v="Comoros"/>
    <s v="Picked Up"/>
    <x v="1"/>
    <x v="0"/>
    <x v="0"/>
  </r>
  <r>
    <s v="T1817"/>
    <x v="10"/>
    <n v="1"/>
    <x v="0"/>
    <x v="0"/>
    <d v="2025-07-16T00:00:00"/>
    <n v="9614.4"/>
    <n v="4796.3042592592574"/>
    <s v="DEV7523"/>
    <x v="1"/>
    <x v="1"/>
    <x v="5"/>
    <s v="Bhutan"/>
    <s v="Norway"/>
    <s v="Picked Up"/>
    <x v="1"/>
    <x v="0"/>
    <x v="0"/>
  </r>
  <r>
    <s v="T1901"/>
    <x v="10"/>
    <n v="1"/>
    <x v="1"/>
    <x v="2"/>
    <d v="2025-07-30T00:00:00"/>
    <n v="4079.62"/>
    <n v="4796.3042592592574"/>
    <s v="DEV9603"/>
    <x v="1"/>
    <x v="2"/>
    <x v="2"/>
    <s v="Comoros"/>
    <s v="Bhutan"/>
    <s v="Picked Up"/>
    <x v="0"/>
    <x v="1"/>
    <x v="0"/>
  </r>
  <r>
    <s v="T2062"/>
    <x v="10"/>
    <n v="1"/>
    <x v="1"/>
    <x v="3"/>
    <d v="2025-03-18T00:00:00"/>
    <n v="5737.63"/>
    <n v="4796.3042592592574"/>
    <s v="DEV3655"/>
    <x v="3"/>
    <x v="2"/>
    <x v="4"/>
    <s v="Romania"/>
    <s v="Zimbabwe"/>
    <s v="Picked Up"/>
    <x v="1"/>
    <x v="1"/>
    <x v="0"/>
  </r>
  <r>
    <s v="T2071"/>
    <x v="10"/>
    <n v="1"/>
    <x v="1"/>
    <x v="1"/>
    <d v="2025-05-24T00:00:00"/>
    <n v="7341.52"/>
    <n v="4796.3042592592574"/>
    <s v="DEV4213"/>
    <x v="2"/>
    <x v="0"/>
    <x v="3"/>
    <s v="Comoros"/>
    <s v="Comoros"/>
    <s v="Picked Up"/>
    <x v="1"/>
    <x v="1"/>
    <x v="0"/>
  </r>
  <r>
    <s v="T2128"/>
    <x v="10"/>
    <n v="1"/>
    <x v="1"/>
    <x v="1"/>
    <d v="2025-12-09T00:00:00"/>
    <n v="3000.48"/>
    <n v="4796.3042592592574"/>
    <s v="DEV1504"/>
    <x v="3"/>
    <x v="3"/>
    <x v="0"/>
    <s v="New Zealand"/>
    <s v="Canada"/>
    <s v="Delivered by Post"/>
    <x v="0"/>
    <x v="1"/>
    <x v="0"/>
  </r>
  <r>
    <s v="T2207"/>
    <x v="10"/>
    <n v="1"/>
    <x v="0"/>
    <x v="3"/>
    <d v="2025-07-23T00:00:00"/>
    <n v="3893.46"/>
    <n v="4796.3042592592574"/>
    <s v="DEV9388"/>
    <x v="4"/>
    <x v="3"/>
    <x v="3"/>
    <s v="Bhutan"/>
    <s v="Canada"/>
    <s v="Delivered by Post"/>
    <x v="0"/>
    <x v="1"/>
    <x v="1"/>
  </r>
  <r>
    <s v="T2226"/>
    <x v="10"/>
    <n v="1"/>
    <x v="0"/>
    <x v="2"/>
    <d v="2025-07-27T00:00:00"/>
    <n v="4950.3599999999997"/>
    <n v="4796.3042592592574"/>
    <s v="DEV4686"/>
    <x v="4"/>
    <x v="1"/>
    <x v="3"/>
    <s v="Bhutan"/>
    <s v="Comoros"/>
    <s v="Picked Up"/>
    <x v="1"/>
    <x v="0"/>
    <x v="1"/>
  </r>
  <r>
    <s v="T2271"/>
    <x v="10"/>
    <n v="1"/>
    <x v="1"/>
    <x v="3"/>
    <d v="2025-05-22T00:00:00"/>
    <n v="4087.25"/>
    <n v="4796.3042592592574"/>
    <s v="DEV1832"/>
    <x v="3"/>
    <x v="1"/>
    <x v="2"/>
    <s v="Comoros"/>
    <s v="Turkmenistan"/>
    <s v="Delivered by Post"/>
    <x v="0"/>
    <x v="0"/>
    <x v="0"/>
  </r>
  <r>
    <s v="T2361"/>
    <x v="10"/>
    <n v="1"/>
    <x v="0"/>
    <x v="0"/>
    <d v="2026-01-01T00:00:00"/>
    <n v="9226.83"/>
    <n v="4796.3042592592574"/>
    <s v="DEV5365"/>
    <x v="0"/>
    <x v="2"/>
    <x v="4"/>
    <s v="Norway"/>
    <s v="Zimbabwe"/>
    <s v="Delivered by Post"/>
    <x v="1"/>
    <x v="1"/>
    <x v="0"/>
  </r>
  <r>
    <s v="T2412"/>
    <x v="10"/>
    <n v="1"/>
    <x v="0"/>
    <x v="2"/>
    <d v="2025-04-10T00:00:00"/>
    <n v="8912.11"/>
    <n v="4796.3042592592574"/>
    <s v="DEV3601"/>
    <x v="2"/>
    <x v="0"/>
    <x v="2"/>
    <s v="Norway"/>
    <s v="Bhutan"/>
    <s v="Picked Up"/>
    <x v="1"/>
    <x v="0"/>
    <x v="0"/>
  </r>
  <r>
    <s v="T2430"/>
    <x v="10"/>
    <n v="1"/>
    <x v="1"/>
    <x v="2"/>
    <d v="2025-05-11T00:00:00"/>
    <n v="2868.25"/>
    <n v="4796.3042592592574"/>
    <s v="DEV6418"/>
    <x v="1"/>
    <x v="1"/>
    <x v="0"/>
    <s v="Norway"/>
    <s v="France"/>
    <s v="Delivered by Post"/>
    <x v="0"/>
    <x v="0"/>
    <x v="0"/>
  </r>
  <r>
    <s v="T2458"/>
    <x v="10"/>
    <n v="1"/>
    <x v="1"/>
    <x v="0"/>
    <d v="2025-11-22T00:00:00"/>
    <n v="4246.37"/>
    <n v="4796.3042592592574"/>
    <s v="DEV6292"/>
    <x v="3"/>
    <x v="0"/>
    <x v="2"/>
    <s v="Norway"/>
    <s v="Canada"/>
    <s v="Picked Up"/>
    <x v="0"/>
    <x v="0"/>
    <x v="0"/>
  </r>
  <r>
    <s v="T2474"/>
    <x v="10"/>
    <n v="1"/>
    <x v="0"/>
    <x v="0"/>
    <d v="2025-09-20T00:00:00"/>
    <n v="1923.15"/>
    <n v="4796.3042592592574"/>
    <s v="DEV2148"/>
    <x v="3"/>
    <x v="2"/>
    <x v="1"/>
    <s v="Bhutan"/>
    <s v="Turkmenistan"/>
    <s v="Picked Up"/>
    <x v="0"/>
    <x v="1"/>
    <x v="0"/>
  </r>
  <r>
    <s v="T2518"/>
    <x v="10"/>
    <n v="1"/>
    <x v="1"/>
    <x v="1"/>
    <d v="2025-05-04T00:00:00"/>
    <n v="9532.65"/>
    <n v="4796.3042592592574"/>
    <s v="DEV1540"/>
    <x v="0"/>
    <x v="3"/>
    <x v="2"/>
    <s v="Bhutan"/>
    <s v="Romania"/>
    <s v="Delivered by Post"/>
    <x v="1"/>
    <x v="1"/>
    <x v="0"/>
  </r>
  <r>
    <s v="T2632"/>
    <x v="10"/>
    <n v="1"/>
    <x v="1"/>
    <x v="1"/>
    <d v="2025-02-17T00:00:00"/>
    <n v="306.27"/>
    <n v="4796.3042592592574"/>
    <s v="DEV6347"/>
    <x v="1"/>
    <x v="0"/>
    <x v="1"/>
    <s v="Norway"/>
    <s v="Romania"/>
    <s v="Picked Up"/>
    <x v="0"/>
    <x v="0"/>
    <x v="0"/>
  </r>
  <r>
    <s v="T2716"/>
    <x v="10"/>
    <n v="1"/>
    <x v="1"/>
    <x v="3"/>
    <d v="2025-07-24T00:00:00"/>
    <n v="1696.31"/>
    <n v="4796.3042592592574"/>
    <s v="DEV7274"/>
    <x v="2"/>
    <x v="0"/>
    <x v="5"/>
    <s v="New Zealand"/>
    <s v="Bhutan"/>
    <s v="Delivered by Post"/>
    <x v="0"/>
    <x v="0"/>
    <x v="0"/>
  </r>
  <r>
    <s v="T2720"/>
    <x v="10"/>
    <n v="1"/>
    <x v="1"/>
    <x v="0"/>
    <d v="2025-05-29T00:00:00"/>
    <n v="5725.77"/>
    <n v="4796.3042592592574"/>
    <s v="DEV5657"/>
    <x v="1"/>
    <x v="0"/>
    <x v="0"/>
    <s v="Turkmenistan"/>
    <s v="New Zealand"/>
    <s v="Delivered by Post"/>
    <x v="1"/>
    <x v="0"/>
    <x v="0"/>
  </r>
  <r>
    <s v="T2767"/>
    <x v="10"/>
    <n v="1"/>
    <x v="1"/>
    <x v="0"/>
    <d v="2025-01-12T00:00:00"/>
    <n v="4663.9799999999996"/>
    <n v="4796.3042592592574"/>
    <s v="DEV5443"/>
    <x v="3"/>
    <x v="1"/>
    <x v="1"/>
    <s v="Romania"/>
    <s v="Norway"/>
    <s v="Delivered by Post"/>
    <x v="0"/>
    <x v="0"/>
    <x v="0"/>
  </r>
  <r>
    <s v="T0004"/>
    <x v="11"/>
    <n v="1"/>
    <x v="2"/>
    <x v="3"/>
    <d v="2025-02-21T11:37:00"/>
    <n v="9427.1"/>
    <n v="5172.7072580645145"/>
    <s v="DEV6247"/>
    <x v="4"/>
    <x v="3"/>
    <x v="5"/>
    <s v="Jersey"/>
    <s v="Mexico"/>
    <s v="Delivered by Post"/>
    <x v="1"/>
    <x v="1"/>
    <x v="1"/>
  </r>
  <r>
    <s v="T0018"/>
    <x v="11"/>
    <n v="1"/>
    <x v="2"/>
    <x v="1"/>
    <d v="2025-07-13T15:37:00"/>
    <n v="5763.63"/>
    <n v="5172.7072580645145"/>
    <s v="DEV2591"/>
    <x v="1"/>
    <x v="3"/>
    <x v="5"/>
    <s v="Jersey"/>
    <s v="Central African Republic"/>
    <s v="Picked Up"/>
    <x v="1"/>
    <x v="1"/>
    <x v="0"/>
  </r>
  <r>
    <s v="T0025"/>
    <x v="11"/>
    <n v="1"/>
    <x v="3"/>
    <x v="3"/>
    <d v="2025-02-16T03:15:00"/>
    <n v="9980.01"/>
    <n v="5172.7072580645145"/>
    <s v="DEV4529"/>
    <x v="4"/>
    <x v="1"/>
    <x v="0"/>
    <s v="Jersey"/>
    <s v="Ethiopia"/>
    <s v="Delivered by Post"/>
    <x v="1"/>
    <x v="0"/>
    <x v="1"/>
  </r>
  <r>
    <s v="T0030"/>
    <x v="11"/>
    <n v="1"/>
    <x v="3"/>
    <x v="1"/>
    <d v="2025-06-01T01:07:00"/>
    <n v="8004.85"/>
    <n v="5172.7072580645145"/>
    <s v="DEV1204"/>
    <x v="2"/>
    <x v="1"/>
    <x v="0"/>
    <s v="Jersey"/>
    <s v="Malawi"/>
    <s v="Picked Up"/>
    <x v="1"/>
    <x v="0"/>
    <x v="0"/>
  </r>
  <r>
    <s v="T0073"/>
    <x v="11"/>
    <n v="1"/>
    <x v="3"/>
    <x v="4"/>
    <d v="2025-05-19T23:22:00"/>
    <n v="8280.0499999999993"/>
    <n v="5172.7072580645145"/>
    <s v="DEV5109"/>
    <x v="4"/>
    <x v="1"/>
    <x v="1"/>
    <s v="Jersey"/>
    <s v="Belarus"/>
    <s v="Delivered by Post"/>
    <x v="1"/>
    <x v="0"/>
    <x v="1"/>
  </r>
  <r>
    <s v="T0147"/>
    <x v="11"/>
    <n v="1"/>
    <x v="1"/>
    <x v="2"/>
    <d v="2025-08-27T00:00:00"/>
    <n v="7351.26"/>
    <n v="5172.7072580645145"/>
    <s v="DEV5397"/>
    <x v="4"/>
    <x v="2"/>
    <x v="2"/>
    <s v="France"/>
    <s v="Comoros"/>
    <s v="Picked Up"/>
    <x v="1"/>
    <x v="1"/>
    <x v="1"/>
  </r>
  <r>
    <s v="T0197"/>
    <x v="11"/>
    <n v="1"/>
    <x v="0"/>
    <x v="3"/>
    <d v="2025-02-06T00:00:00"/>
    <n v="1335.4"/>
    <n v="5172.7072580645145"/>
    <s v="DEV1693"/>
    <x v="0"/>
    <x v="0"/>
    <x v="4"/>
    <s v="Zimbabwe"/>
    <s v="New Zealand"/>
    <s v="Delivered by Post"/>
    <x v="0"/>
    <x v="0"/>
    <x v="0"/>
  </r>
  <r>
    <s v="T0253"/>
    <x v="11"/>
    <n v="1"/>
    <x v="1"/>
    <x v="2"/>
    <d v="2025-09-21T00:00:00"/>
    <n v="6129"/>
    <n v="5172.7072580645145"/>
    <s v="DEV2421"/>
    <x v="0"/>
    <x v="0"/>
    <x v="0"/>
    <s v="Norway"/>
    <s v="Comoros"/>
    <s v="Delivered by Post"/>
    <x v="1"/>
    <x v="0"/>
    <x v="0"/>
  </r>
  <r>
    <s v="T0332"/>
    <x v="11"/>
    <n v="1"/>
    <x v="1"/>
    <x v="1"/>
    <d v="2025-02-18T00:00:00"/>
    <n v="359.27"/>
    <n v="5172.7072580645145"/>
    <s v="DEV2669"/>
    <x v="3"/>
    <x v="0"/>
    <x v="2"/>
    <s v="Canada"/>
    <s v="Romania"/>
    <s v="Picked Up"/>
    <x v="0"/>
    <x v="0"/>
    <x v="0"/>
  </r>
  <r>
    <s v="T0343"/>
    <x v="11"/>
    <n v="1"/>
    <x v="1"/>
    <x v="0"/>
    <d v="2025-04-04T00:00:00"/>
    <n v="7301.87"/>
    <n v="5172.7072580645145"/>
    <s v="DEV6213"/>
    <x v="2"/>
    <x v="2"/>
    <x v="3"/>
    <s v="Zimbabwe"/>
    <s v="Comoros"/>
    <s v="Picked Up"/>
    <x v="1"/>
    <x v="1"/>
    <x v="0"/>
  </r>
  <r>
    <s v="T0351"/>
    <x v="11"/>
    <n v="1"/>
    <x v="0"/>
    <x v="2"/>
    <d v="2025-01-23T00:00:00"/>
    <n v="3741.65"/>
    <n v="5172.7072580645145"/>
    <s v="DEV8204"/>
    <x v="0"/>
    <x v="3"/>
    <x v="0"/>
    <s v="France"/>
    <s v="Canada"/>
    <s v="Picked Up"/>
    <x v="0"/>
    <x v="1"/>
    <x v="0"/>
  </r>
  <r>
    <s v="T0381"/>
    <x v="11"/>
    <n v="1"/>
    <x v="1"/>
    <x v="3"/>
    <d v="2025-08-07T00:00:00"/>
    <n v="8747.7000000000007"/>
    <n v="5172.7072580645145"/>
    <s v="DEV2898"/>
    <x v="1"/>
    <x v="0"/>
    <x v="2"/>
    <s v="Norway"/>
    <s v="Norway"/>
    <s v="Delivered by Post"/>
    <x v="1"/>
    <x v="1"/>
    <x v="0"/>
  </r>
  <r>
    <s v="T0470"/>
    <x v="11"/>
    <n v="1"/>
    <x v="1"/>
    <x v="1"/>
    <d v="2025-02-20T00:00:00"/>
    <n v="8741.25"/>
    <n v="5172.7072580645145"/>
    <s v="DEV7366"/>
    <x v="0"/>
    <x v="3"/>
    <x v="2"/>
    <s v="New Zealand"/>
    <s v="Romania"/>
    <s v="Picked Up"/>
    <x v="1"/>
    <x v="1"/>
    <x v="0"/>
  </r>
  <r>
    <s v="T0499"/>
    <x v="11"/>
    <n v="1"/>
    <x v="0"/>
    <x v="2"/>
    <d v="2025-07-31T00:00:00"/>
    <n v="7798.37"/>
    <n v="5172.7072580645145"/>
    <s v="DEV8387"/>
    <x v="1"/>
    <x v="2"/>
    <x v="4"/>
    <s v="Romania"/>
    <s v="Comoros"/>
    <s v="Picked Up"/>
    <x v="1"/>
    <x v="1"/>
    <x v="0"/>
  </r>
  <r>
    <s v="T0557"/>
    <x v="11"/>
    <n v="1"/>
    <x v="1"/>
    <x v="2"/>
    <d v="2025-12-22T00:00:00"/>
    <n v="9265.06"/>
    <n v="5172.7072580645145"/>
    <s v="DEV3079"/>
    <x v="3"/>
    <x v="2"/>
    <x v="3"/>
    <s v="France"/>
    <s v="Turkmenistan"/>
    <s v="Delivered by Post"/>
    <x v="1"/>
    <x v="1"/>
    <x v="0"/>
  </r>
  <r>
    <s v="T0747"/>
    <x v="11"/>
    <n v="1"/>
    <x v="1"/>
    <x v="1"/>
    <d v="2025-05-20T00:00:00"/>
    <n v="6078.22"/>
    <n v="5172.7072580645145"/>
    <s v="DEV2310"/>
    <x v="4"/>
    <x v="1"/>
    <x v="4"/>
    <s v="Norway"/>
    <s v="Comoros"/>
    <s v="Delivered by Post"/>
    <x v="1"/>
    <x v="0"/>
    <x v="1"/>
  </r>
  <r>
    <s v="T0756"/>
    <x v="11"/>
    <n v="1"/>
    <x v="0"/>
    <x v="2"/>
    <d v="2025-04-04T00:00:00"/>
    <n v="3777.78"/>
    <n v="5172.7072580645145"/>
    <s v="DEV2806"/>
    <x v="0"/>
    <x v="2"/>
    <x v="0"/>
    <s v="Romania"/>
    <s v="Canada"/>
    <s v="Picked Up"/>
    <x v="0"/>
    <x v="1"/>
    <x v="0"/>
  </r>
  <r>
    <s v="T0919"/>
    <x v="11"/>
    <n v="1"/>
    <x v="1"/>
    <x v="1"/>
    <d v="2025-04-17T00:00:00"/>
    <n v="6839.49"/>
    <n v="5172.7072580645145"/>
    <s v="DEV8761"/>
    <x v="2"/>
    <x v="3"/>
    <x v="1"/>
    <s v="Turkmenistan"/>
    <s v="Norway"/>
    <s v="Picked Up"/>
    <x v="1"/>
    <x v="1"/>
    <x v="0"/>
  </r>
  <r>
    <s v="T0992"/>
    <x v="11"/>
    <n v="1"/>
    <x v="0"/>
    <x v="3"/>
    <d v="2025-05-21T00:00:00"/>
    <n v="6371.23"/>
    <n v="5172.7072580645145"/>
    <s v="DEV6745"/>
    <x v="1"/>
    <x v="3"/>
    <x v="4"/>
    <s v="Zimbabwe"/>
    <s v="Comoros"/>
    <s v="Picked Up"/>
    <x v="1"/>
    <x v="1"/>
    <x v="0"/>
  </r>
  <r>
    <s v="T1037"/>
    <x v="11"/>
    <n v="1"/>
    <x v="0"/>
    <x v="3"/>
    <d v="2025-04-26T00:00:00"/>
    <n v="4865.78"/>
    <n v="5172.7072580645145"/>
    <s v="DEV4382"/>
    <x v="3"/>
    <x v="2"/>
    <x v="1"/>
    <s v="Zimbabwe"/>
    <s v="Romania"/>
    <s v="Delivered by Post"/>
    <x v="0"/>
    <x v="1"/>
    <x v="0"/>
  </r>
  <r>
    <s v="T1045"/>
    <x v="11"/>
    <n v="1"/>
    <x v="1"/>
    <x v="0"/>
    <d v="2025-08-15T00:00:00"/>
    <n v="702.32"/>
    <n v="5172.7072580645145"/>
    <s v="DEV9824"/>
    <x v="3"/>
    <x v="2"/>
    <x v="2"/>
    <s v="Romania"/>
    <s v="Romania"/>
    <s v="Delivered by Post"/>
    <x v="0"/>
    <x v="1"/>
    <x v="0"/>
  </r>
  <r>
    <s v="T1063"/>
    <x v="11"/>
    <n v="1"/>
    <x v="0"/>
    <x v="1"/>
    <d v="2025-04-18T00:00:00"/>
    <n v="5091.7"/>
    <n v="5172.7072580645145"/>
    <s v="DEV9013"/>
    <x v="2"/>
    <x v="3"/>
    <x v="3"/>
    <s v="New Zealand"/>
    <s v="Bhutan"/>
    <s v="Picked Up"/>
    <x v="0"/>
    <x v="1"/>
    <x v="0"/>
  </r>
  <r>
    <s v="T1074"/>
    <x v="11"/>
    <n v="1"/>
    <x v="0"/>
    <x v="1"/>
    <d v="2025-07-23T00:00:00"/>
    <n v="192.5"/>
    <n v="5172.7072580645145"/>
    <s v="DEV1191"/>
    <x v="2"/>
    <x v="1"/>
    <x v="4"/>
    <s v="New Zealand"/>
    <s v="Romania"/>
    <s v="Delivered by Post"/>
    <x v="0"/>
    <x v="0"/>
    <x v="0"/>
  </r>
  <r>
    <s v="T1105"/>
    <x v="11"/>
    <n v="1"/>
    <x v="1"/>
    <x v="0"/>
    <d v="2025-04-05T00:00:00"/>
    <n v="7087.27"/>
    <n v="5172.7072580645145"/>
    <s v="DEV7576"/>
    <x v="3"/>
    <x v="2"/>
    <x v="1"/>
    <s v="Zimbabwe"/>
    <s v="New Zealand"/>
    <s v="Delivered by Post"/>
    <x v="1"/>
    <x v="1"/>
    <x v="0"/>
  </r>
  <r>
    <s v="T1148"/>
    <x v="11"/>
    <n v="1"/>
    <x v="0"/>
    <x v="3"/>
    <d v="2025-03-15T00:00:00"/>
    <n v="5100.46"/>
    <n v="5172.7072580645145"/>
    <s v="DEV4102"/>
    <x v="1"/>
    <x v="0"/>
    <x v="0"/>
    <s v="Norway"/>
    <s v="New Zealand"/>
    <s v="Picked Up"/>
    <x v="0"/>
    <x v="0"/>
    <x v="0"/>
  </r>
  <r>
    <s v="T1167"/>
    <x v="11"/>
    <n v="1"/>
    <x v="0"/>
    <x v="3"/>
    <d v="2025-06-15T00:00:00"/>
    <n v="3299.77"/>
    <n v="5172.7072580645145"/>
    <s v="DEV1645"/>
    <x v="2"/>
    <x v="0"/>
    <x v="3"/>
    <s v="Norway"/>
    <s v="Comoros"/>
    <s v="Picked Up"/>
    <x v="0"/>
    <x v="0"/>
    <x v="0"/>
  </r>
  <r>
    <s v="T1215"/>
    <x v="11"/>
    <n v="1"/>
    <x v="0"/>
    <x v="0"/>
    <d v="2025-02-05T00:00:00"/>
    <n v="1273.02"/>
    <n v="5172.7072580645145"/>
    <s v="DEV2760"/>
    <x v="2"/>
    <x v="3"/>
    <x v="0"/>
    <s v="Zimbabwe"/>
    <s v="Bhutan"/>
    <s v="Picked Up"/>
    <x v="0"/>
    <x v="1"/>
    <x v="0"/>
  </r>
  <r>
    <s v="T1262"/>
    <x v="11"/>
    <n v="1"/>
    <x v="1"/>
    <x v="0"/>
    <d v="2025-06-18T00:00:00"/>
    <n v="5473.38"/>
    <n v="5172.7072580645145"/>
    <s v="DEV5023"/>
    <x v="0"/>
    <x v="0"/>
    <x v="2"/>
    <s v="Norway"/>
    <s v="France"/>
    <s v="Picked Up"/>
    <x v="1"/>
    <x v="0"/>
    <x v="0"/>
  </r>
  <r>
    <s v="T1296"/>
    <x v="11"/>
    <n v="1"/>
    <x v="0"/>
    <x v="1"/>
    <d v="2025-04-11T00:00:00"/>
    <n v="8232.02"/>
    <n v="5172.7072580645145"/>
    <s v="DEV4238"/>
    <x v="3"/>
    <x v="3"/>
    <x v="4"/>
    <s v="Canada"/>
    <s v="Comoros"/>
    <s v="Picked Up"/>
    <x v="1"/>
    <x v="1"/>
    <x v="0"/>
  </r>
  <r>
    <s v="T1303"/>
    <x v="11"/>
    <n v="1"/>
    <x v="0"/>
    <x v="1"/>
    <d v="2025-04-23T00:00:00"/>
    <n v="487.98"/>
    <n v="5172.7072580645145"/>
    <s v="DEV2464"/>
    <x v="2"/>
    <x v="2"/>
    <x v="5"/>
    <s v="Comoros"/>
    <s v="Zimbabwe"/>
    <s v="Delivered by Post"/>
    <x v="0"/>
    <x v="1"/>
    <x v="0"/>
  </r>
  <r>
    <s v="T1337"/>
    <x v="11"/>
    <n v="1"/>
    <x v="0"/>
    <x v="1"/>
    <d v="2025-06-16T00:00:00"/>
    <n v="7505.3"/>
    <n v="5172.7072580645145"/>
    <s v="DEV6927"/>
    <x v="3"/>
    <x v="2"/>
    <x v="3"/>
    <s v="Turkmenistan"/>
    <s v="Canada"/>
    <s v="Delivered by Post"/>
    <x v="1"/>
    <x v="1"/>
    <x v="0"/>
  </r>
  <r>
    <s v="T1384"/>
    <x v="11"/>
    <n v="1"/>
    <x v="1"/>
    <x v="3"/>
    <d v="2025-07-05T00:00:00"/>
    <n v="9003.52"/>
    <n v="5172.7072580645145"/>
    <s v="DEV5352"/>
    <x v="0"/>
    <x v="2"/>
    <x v="4"/>
    <s v="Norway"/>
    <s v="Canada"/>
    <s v="Delivered by Post"/>
    <x v="1"/>
    <x v="1"/>
    <x v="0"/>
  </r>
  <r>
    <s v="T1413"/>
    <x v="11"/>
    <n v="1"/>
    <x v="0"/>
    <x v="2"/>
    <d v="2025-04-04T00:00:00"/>
    <n v="1186.3499999999999"/>
    <n v="5172.7072580645145"/>
    <s v="DEV9711"/>
    <x v="2"/>
    <x v="3"/>
    <x v="4"/>
    <s v="Bhutan"/>
    <s v="Bhutan"/>
    <s v="Delivered by Post"/>
    <x v="0"/>
    <x v="1"/>
    <x v="0"/>
  </r>
  <r>
    <s v="T1418"/>
    <x v="11"/>
    <n v="1"/>
    <x v="0"/>
    <x v="3"/>
    <d v="2025-11-28T00:00:00"/>
    <n v="470.85"/>
    <n v="5172.7072580645145"/>
    <s v="DEV9141"/>
    <x v="0"/>
    <x v="1"/>
    <x v="3"/>
    <s v="Romania"/>
    <s v="Zimbabwe"/>
    <s v="Picked Up"/>
    <x v="0"/>
    <x v="0"/>
    <x v="0"/>
  </r>
  <r>
    <s v="T1459"/>
    <x v="11"/>
    <n v="1"/>
    <x v="1"/>
    <x v="3"/>
    <d v="2025-05-15T00:00:00"/>
    <n v="2824.6"/>
    <n v="5172.7072580645145"/>
    <s v="DEV1876"/>
    <x v="2"/>
    <x v="2"/>
    <x v="5"/>
    <s v="New Zealand"/>
    <s v="Zimbabwe"/>
    <s v="Delivered by Post"/>
    <x v="0"/>
    <x v="1"/>
    <x v="0"/>
  </r>
  <r>
    <s v="T1514"/>
    <x v="11"/>
    <n v="1"/>
    <x v="1"/>
    <x v="0"/>
    <d v="2025-12-03T00:00:00"/>
    <n v="8046.87"/>
    <n v="5172.7072580645145"/>
    <s v="DEV9419"/>
    <x v="3"/>
    <x v="2"/>
    <x v="3"/>
    <s v="Comoros"/>
    <s v="Norway"/>
    <s v="Picked Up"/>
    <x v="1"/>
    <x v="1"/>
    <x v="0"/>
  </r>
  <r>
    <s v="T1528"/>
    <x v="11"/>
    <n v="1"/>
    <x v="1"/>
    <x v="1"/>
    <d v="2025-04-26T00:00:00"/>
    <n v="8895.19"/>
    <n v="5172.7072580645145"/>
    <s v="DEV5271"/>
    <x v="3"/>
    <x v="0"/>
    <x v="3"/>
    <s v="Romania"/>
    <s v="Zimbabwe"/>
    <s v="Picked Up"/>
    <x v="1"/>
    <x v="0"/>
    <x v="0"/>
  </r>
  <r>
    <s v="T1561"/>
    <x v="11"/>
    <n v="1"/>
    <x v="0"/>
    <x v="0"/>
    <d v="2025-10-28T00:00:00"/>
    <n v="2370.09"/>
    <n v="5172.7072580645145"/>
    <s v="DEV6766"/>
    <x v="1"/>
    <x v="3"/>
    <x v="4"/>
    <s v="Bhutan"/>
    <s v="France"/>
    <s v="Delivered by Post"/>
    <x v="0"/>
    <x v="1"/>
    <x v="0"/>
  </r>
  <r>
    <s v="T1617"/>
    <x v="11"/>
    <n v="1"/>
    <x v="0"/>
    <x v="2"/>
    <d v="2025-07-12T00:00:00"/>
    <n v="7357.52"/>
    <n v="5172.7072580645145"/>
    <s v="DEV7541"/>
    <x v="2"/>
    <x v="1"/>
    <x v="0"/>
    <s v="New Zealand"/>
    <s v="Zimbabwe"/>
    <s v="Picked Up"/>
    <x v="1"/>
    <x v="0"/>
    <x v="0"/>
  </r>
  <r>
    <s v="T1642"/>
    <x v="11"/>
    <n v="1"/>
    <x v="0"/>
    <x v="0"/>
    <d v="2025-08-16T00:00:00"/>
    <n v="3193.9"/>
    <n v="5172.7072580645145"/>
    <s v="DEV6009"/>
    <x v="0"/>
    <x v="3"/>
    <x v="3"/>
    <s v="Romania"/>
    <s v="New Zealand"/>
    <s v="Picked Up"/>
    <x v="0"/>
    <x v="1"/>
    <x v="0"/>
  </r>
  <r>
    <s v="T1762"/>
    <x v="11"/>
    <n v="1"/>
    <x v="0"/>
    <x v="0"/>
    <d v="2025-09-04T00:00:00"/>
    <n v="3985.46"/>
    <n v="5172.7072580645145"/>
    <s v="DEV4803"/>
    <x v="0"/>
    <x v="2"/>
    <x v="4"/>
    <s v="France"/>
    <s v="Comoros"/>
    <s v="Delivered by Post"/>
    <x v="0"/>
    <x v="1"/>
    <x v="0"/>
  </r>
  <r>
    <s v="T1772"/>
    <x v="11"/>
    <n v="1"/>
    <x v="0"/>
    <x v="1"/>
    <d v="2025-06-30T00:00:00"/>
    <n v="1876.49"/>
    <n v="5172.7072580645145"/>
    <s v="DEV7647"/>
    <x v="3"/>
    <x v="3"/>
    <x v="4"/>
    <s v="Norway"/>
    <s v="Turkmenistan"/>
    <s v="Delivered by Post"/>
    <x v="0"/>
    <x v="1"/>
    <x v="0"/>
  </r>
  <r>
    <s v="T1922"/>
    <x v="11"/>
    <n v="1"/>
    <x v="0"/>
    <x v="1"/>
    <d v="2025-03-10T00:00:00"/>
    <n v="8122.51"/>
    <n v="5172.7072580645145"/>
    <s v="DEV4607"/>
    <x v="4"/>
    <x v="0"/>
    <x v="2"/>
    <s v="Romania"/>
    <s v="Comoros"/>
    <s v="Delivered by Post"/>
    <x v="1"/>
    <x v="0"/>
    <x v="1"/>
  </r>
  <r>
    <s v="T1970"/>
    <x v="11"/>
    <n v="1"/>
    <x v="1"/>
    <x v="1"/>
    <d v="2025-07-19T00:00:00"/>
    <n v="4510.1400000000003"/>
    <n v="5172.7072580645145"/>
    <s v="DEV3183"/>
    <x v="4"/>
    <x v="1"/>
    <x v="1"/>
    <s v="Canada"/>
    <s v="France"/>
    <s v="Delivered by Post"/>
    <x v="0"/>
    <x v="0"/>
    <x v="1"/>
  </r>
  <r>
    <s v="T2047"/>
    <x v="11"/>
    <n v="1"/>
    <x v="0"/>
    <x v="3"/>
    <d v="2025-12-24T00:00:00"/>
    <n v="5290.94"/>
    <n v="5172.7072580645145"/>
    <s v="DEV2056"/>
    <x v="4"/>
    <x v="2"/>
    <x v="5"/>
    <s v="Canada"/>
    <s v="Romania"/>
    <s v="Picked Up"/>
    <x v="1"/>
    <x v="1"/>
    <x v="1"/>
  </r>
  <r>
    <s v="T2099"/>
    <x v="11"/>
    <n v="1"/>
    <x v="0"/>
    <x v="0"/>
    <d v="2025-05-12T00:00:00"/>
    <n v="509.42"/>
    <n v="5172.7072580645145"/>
    <s v="DEV2633"/>
    <x v="1"/>
    <x v="1"/>
    <x v="2"/>
    <s v="Comoros"/>
    <s v="Zimbabwe"/>
    <s v="Delivered by Post"/>
    <x v="0"/>
    <x v="0"/>
    <x v="0"/>
  </r>
  <r>
    <s v="T2146"/>
    <x v="11"/>
    <n v="1"/>
    <x v="1"/>
    <x v="1"/>
    <d v="2025-06-19T00:00:00"/>
    <n v="7964.28"/>
    <n v="5172.7072580645145"/>
    <s v="DEV3037"/>
    <x v="4"/>
    <x v="0"/>
    <x v="0"/>
    <s v="New Zealand"/>
    <s v="Canada"/>
    <s v="Picked Up"/>
    <x v="1"/>
    <x v="0"/>
    <x v="1"/>
  </r>
  <r>
    <s v="T2165"/>
    <x v="11"/>
    <n v="1"/>
    <x v="0"/>
    <x v="3"/>
    <d v="2025-02-04T00:00:00"/>
    <n v="9150.5300000000007"/>
    <n v="5172.7072580645145"/>
    <s v="DEV2445"/>
    <x v="2"/>
    <x v="1"/>
    <x v="4"/>
    <s v="Canada"/>
    <s v="France"/>
    <s v="Delivered by Post"/>
    <x v="1"/>
    <x v="0"/>
    <x v="0"/>
  </r>
  <r>
    <s v="T2185"/>
    <x v="11"/>
    <n v="1"/>
    <x v="1"/>
    <x v="0"/>
    <d v="2025-08-03T00:00:00"/>
    <n v="7923.38"/>
    <n v="5172.7072580645145"/>
    <s v="DEV5922"/>
    <x v="0"/>
    <x v="3"/>
    <x v="4"/>
    <s v="Bhutan"/>
    <s v="New Zealand"/>
    <s v="Picked Up"/>
    <x v="1"/>
    <x v="1"/>
    <x v="0"/>
  </r>
  <r>
    <s v="T2358"/>
    <x v="11"/>
    <n v="1"/>
    <x v="1"/>
    <x v="3"/>
    <d v="2025-05-13T00:00:00"/>
    <n v="3164.56"/>
    <n v="5172.7072580645145"/>
    <s v="DEV9523"/>
    <x v="4"/>
    <x v="2"/>
    <x v="3"/>
    <s v="Bhutan"/>
    <s v="Turkmenistan"/>
    <s v="Delivered by Post"/>
    <x v="0"/>
    <x v="1"/>
    <x v="1"/>
  </r>
  <r>
    <s v="T2362"/>
    <x v="11"/>
    <n v="1"/>
    <x v="1"/>
    <x v="0"/>
    <d v="2025-04-21T00:00:00"/>
    <n v="8868.93"/>
    <n v="5172.7072580645145"/>
    <s v="DEV4117"/>
    <x v="4"/>
    <x v="3"/>
    <x v="2"/>
    <s v="Turkmenistan"/>
    <s v="Canada"/>
    <s v="Picked Up"/>
    <x v="1"/>
    <x v="1"/>
    <x v="1"/>
  </r>
  <r>
    <s v="T2381"/>
    <x v="11"/>
    <n v="1"/>
    <x v="0"/>
    <x v="2"/>
    <d v="2025-01-21T00:00:00"/>
    <n v="4656.92"/>
    <n v="5172.7072580645145"/>
    <s v="DEV2350"/>
    <x v="0"/>
    <x v="3"/>
    <x v="5"/>
    <s v="Canada"/>
    <s v="Romania"/>
    <s v="Picked Up"/>
    <x v="0"/>
    <x v="1"/>
    <x v="0"/>
  </r>
  <r>
    <s v="T2532"/>
    <x v="11"/>
    <n v="1"/>
    <x v="1"/>
    <x v="1"/>
    <d v="2025-03-20T00:00:00"/>
    <n v="3138.67"/>
    <n v="5172.7072580645145"/>
    <s v="DEV6328"/>
    <x v="4"/>
    <x v="1"/>
    <x v="0"/>
    <s v="Comoros"/>
    <s v="France"/>
    <s v="Picked Up"/>
    <x v="0"/>
    <x v="0"/>
    <x v="1"/>
  </r>
  <r>
    <s v="T2602"/>
    <x v="11"/>
    <n v="1"/>
    <x v="1"/>
    <x v="2"/>
    <d v="2025-11-13T00:00:00"/>
    <n v="7506.37"/>
    <n v="5172.7072580645145"/>
    <s v="DEV2222"/>
    <x v="4"/>
    <x v="0"/>
    <x v="2"/>
    <s v="Canada"/>
    <s v="Turkmenistan"/>
    <s v="Delivered by Post"/>
    <x v="1"/>
    <x v="0"/>
    <x v="1"/>
  </r>
  <r>
    <s v="T2605"/>
    <x v="11"/>
    <n v="1"/>
    <x v="1"/>
    <x v="3"/>
    <d v="2025-04-25T00:00:00"/>
    <n v="7628.67"/>
    <n v="5172.7072580645145"/>
    <s v="DEV3841"/>
    <x v="1"/>
    <x v="3"/>
    <x v="5"/>
    <s v="Bhutan"/>
    <s v="Comoros"/>
    <s v="Picked Up"/>
    <x v="1"/>
    <x v="1"/>
    <x v="0"/>
  </r>
  <r>
    <s v="T2619"/>
    <x v="11"/>
    <n v="1"/>
    <x v="1"/>
    <x v="0"/>
    <d v="2025-12-16T00:00:00"/>
    <n v="6301.44"/>
    <n v="5172.7072580645145"/>
    <s v="DEV6372"/>
    <x v="1"/>
    <x v="1"/>
    <x v="1"/>
    <s v="Turkmenistan"/>
    <s v="France"/>
    <s v="Delivered by Post"/>
    <x v="1"/>
    <x v="0"/>
    <x v="0"/>
  </r>
  <r>
    <s v="T2627"/>
    <x v="11"/>
    <n v="1"/>
    <x v="0"/>
    <x v="0"/>
    <d v="2025-08-20T00:00:00"/>
    <n v="5165.0200000000004"/>
    <n v="5172.7072580645145"/>
    <s v="DEV9291"/>
    <x v="3"/>
    <x v="1"/>
    <x v="1"/>
    <s v="Romania"/>
    <s v="Zimbabwe"/>
    <s v="Delivered by Post"/>
    <x v="0"/>
    <x v="0"/>
    <x v="0"/>
  </r>
  <r>
    <s v="T2652"/>
    <x v="11"/>
    <n v="1"/>
    <x v="0"/>
    <x v="0"/>
    <d v="2025-11-09T00:00:00"/>
    <n v="484.92"/>
    <n v="5172.7072580645145"/>
    <s v="DEV4110"/>
    <x v="3"/>
    <x v="2"/>
    <x v="5"/>
    <s v="Bhutan"/>
    <s v="Romania"/>
    <s v="Delivered by Post"/>
    <x v="0"/>
    <x v="1"/>
    <x v="0"/>
  </r>
  <r>
    <s v="T2655"/>
    <x v="11"/>
    <n v="1"/>
    <x v="1"/>
    <x v="2"/>
    <d v="2025-05-30T00:00:00"/>
    <n v="2974.76"/>
    <n v="5172.7072580645145"/>
    <s v="DEV5556"/>
    <x v="3"/>
    <x v="1"/>
    <x v="1"/>
    <s v="France"/>
    <s v="Canada"/>
    <s v="Delivered by Post"/>
    <x v="0"/>
    <x v="0"/>
    <x v="0"/>
  </r>
  <r>
    <s v="T2712"/>
    <x v="11"/>
    <n v="1"/>
    <x v="1"/>
    <x v="3"/>
    <d v="2025-08-02T00:00:00"/>
    <n v="3053.78"/>
    <n v="5172.7072580645145"/>
    <s v="DEV1053"/>
    <x v="3"/>
    <x v="0"/>
    <x v="0"/>
    <s v="New Zealand"/>
    <s v="France"/>
    <s v="Delivered by Post"/>
    <x v="0"/>
    <x v="0"/>
    <x v="0"/>
  </r>
  <r>
    <s v="T2792"/>
    <x v="11"/>
    <n v="1"/>
    <x v="0"/>
    <x v="0"/>
    <d v="2025-10-12T00:00:00"/>
    <n v="92.8"/>
    <n v="5172.7072580645145"/>
    <s v="DEV4636"/>
    <x v="1"/>
    <x v="3"/>
    <x v="2"/>
    <s v="Comoros"/>
    <s v="Romania"/>
    <s v="Picked Up"/>
    <x v="0"/>
    <x v="1"/>
    <x v="0"/>
  </r>
  <r>
    <s v="T2845"/>
    <x v="11"/>
    <n v="1"/>
    <x v="1"/>
    <x v="3"/>
    <d v="2025-11-03T00:00:00"/>
    <n v="384.28"/>
    <n v="5172.7072580645145"/>
    <s v="DEV1751"/>
    <x v="1"/>
    <x v="3"/>
    <x v="1"/>
    <s v="Romania"/>
    <s v="Bhutan"/>
    <s v="Delivered by Post"/>
    <x v="0"/>
    <x v="1"/>
    <x v="0"/>
  </r>
  <r>
    <s v="T0081"/>
    <x v="12"/>
    <n v="1"/>
    <x v="3"/>
    <x v="0"/>
    <d v="2025-03-18T10:22:00"/>
    <n v="4735.9799999999996"/>
    <n v="4664.5025373134304"/>
    <s v="DEV3035"/>
    <x v="2"/>
    <x v="0"/>
    <x v="1"/>
    <s v="United States Virgin Islands"/>
    <s v="Isle of Man"/>
    <s v="Delivered by Post"/>
    <x v="1"/>
    <x v="0"/>
    <x v="0"/>
  </r>
  <r>
    <s v="T0268"/>
    <x v="12"/>
    <n v="1"/>
    <x v="0"/>
    <x v="2"/>
    <d v="2025-04-17T00:00:00"/>
    <n v="8056.27"/>
    <n v="4664.5025373134304"/>
    <s v="DEV5967"/>
    <x v="1"/>
    <x v="2"/>
    <x v="0"/>
    <s v="Zimbabwe"/>
    <s v="Comoros"/>
    <s v="Picked Up"/>
    <x v="1"/>
    <x v="1"/>
    <x v="0"/>
  </r>
  <r>
    <s v="T0297"/>
    <x v="12"/>
    <n v="1"/>
    <x v="1"/>
    <x v="3"/>
    <d v="2025-11-02T00:00:00"/>
    <n v="4602.63"/>
    <n v="4664.5025373134304"/>
    <s v="DEV7431"/>
    <x v="2"/>
    <x v="0"/>
    <x v="1"/>
    <s v="New Zealand"/>
    <s v="Comoros"/>
    <s v="Picked Up"/>
    <x v="0"/>
    <x v="0"/>
    <x v="0"/>
  </r>
  <r>
    <s v="T0333"/>
    <x v="12"/>
    <n v="1"/>
    <x v="0"/>
    <x v="3"/>
    <d v="2025-02-08T00:00:00"/>
    <n v="8245.5499999999993"/>
    <n v="4664.5025373134304"/>
    <s v="DEV2056"/>
    <x v="3"/>
    <x v="1"/>
    <x v="0"/>
    <s v="Zimbabwe"/>
    <s v="New Zealand"/>
    <s v="Picked Up"/>
    <x v="1"/>
    <x v="0"/>
    <x v="0"/>
  </r>
  <r>
    <s v="T0336"/>
    <x v="12"/>
    <n v="1"/>
    <x v="0"/>
    <x v="0"/>
    <d v="2025-07-15T00:00:00"/>
    <n v="6444.39"/>
    <n v="4664.5025373134304"/>
    <s v="DEV6883"/>
    <x v="0"/>
    <x v="1"/>
    <x v="1"/>
    <s v="Turkmenistan"/>
    <s v="New Zealand"/>
    <s v="Delivered by Post"/>
    <x v="1"/>
    <x v="0"/>
    <x v="0"/>
  </r>
  <r>
    <s v="T0395"/>
    <x v="12"/>
    <n v="1"/>
    <x v="1"/>
    <x v="1"/>
    <d v="2025-12-30T00:00:00"/>
    <n v="2136.64"/>
    <n v="4664.5025373134304"/>
    <s v="DEV3913"/>
    <x v="2"/>
    <x v="3"/>
    <x v="3"/>
    <s v="Zimbabwe"/>
    <s v="New Zealand"/>
    <s v="Delivered by Post"/>
    <x v="0"/>
    <x v="1"/>
    <x v="0"/>
  </r>
  <r>
    <s v="T0397"/>
    <x v="12"/>
    <n v="1"/>
    <x v="1"/>
    <x v="3"/>
    <d v="2025-03-16T00:00:00"/>
    <n v="2706.43"/>
    <n v="4664.5025373134304"/>
    <s v="DEV5835"/>
    <x v="3"/>
    <x v="0"/>
    <x v="1"/>
    <s v="Comoros"/>
    <s v="Zimbabwe"/>
    <s v="Picked Up"/>
    <x v="0"/>
    <x v="0"/>
    <x v="0"/>
  </r>
  <r>
    <s v="T0559"/>
    <x v="12"/>
    <n v="1"/>
    <x v="0"/>
    <x v="3"/>
    <d v="2025-10-04T00:00:00"/>
    <n v="1219.2"/>
    <n v="4664.5025373134304"/>
    <s v="DEV4592"/>
    <x v="0"/>
    <x v="2"/>
    <x v="1"/>
    <s v="Canada"/>
    <s v="Romania"/>
    <s v="Picked Up"/>
    <x v="0"/>
    <x v="1"/>
    <x v="0"/>
  </r>
  <r>
    <s v="T0602"/>
    <x v="12"/>
    <n v="1"/>
    <x v="1"/>
    <x v="3"/>
    <d v="2025-04-02T00:00:00"/>
    <n v="8574.9"/>
    <n v="4664.5025373134304"/>
    <s v="DEV9055"/>
    <x v="1"/>
    <x v="1"/>
    <x v="4"/>
    <s v="Turkmenistan"/>
    <s v="Zimbabwe"/>
    <s v="Picked Up"/>
    <x v="1"/>
    <x v="0"/>
    <x v="0"/>
  </r>
  <r>
    <s v="T0628"/>
    <x v="12"/>
    <n v="1"/>
    <x v="0"/>
    <x v="0"/>
    <d v="2025-03-22T00:00:00"/>
    <n v="6301.55"/>
    <n v="4664.5025373134304"/>
    <s v="DEV9460"/>
    <x v="3"/>
    <x v="1"/>
    <x v="1"/>
    <s v="Comoros"/>
    <s v="Comoros"/>
    <s v="Picked Up"/>
    <x v="1"/>
    <x v="1"/>
    <x v="0"/>
  </r>
  <r>
    <s v="T0653"/>
    <x v="12"/>
    <n v="1"/>
    <x v="0"/>
    <x v="0"/>
    <d v="2025-04-18T00:00:00"/>
    <n v="1163.53"/>
    <n v="4664.5025373134304"/>
    <s v="DEV3378"/>
    <x v="3"/>
    <x v="1"/>
    <x v="3"/>
    <s v="Turkmenistan"/>
    <s v="Romania"/>
    <s v="Picked Up"/>
    <x v="0"/>
    <x v="0"/>
    <x v="0"/>
  </r>
  <r>
    <s v="T0655"/>
    <x v="12"/>
    <n v="1"/>
    <x v="1"/>
    <x v="0"/>
    <d v="2025-06-20T00:00:00"/>
    <n v="2983.57"/>
    <n v="4664.5025373134304"/>
    <s v="DEV2682"/>
    <x v="0"/>
    <x v="1"/>
    <x v="4"/>
    <s v="Turkmenistan"/>
    <s v="France"/>
    <s v="Picked Up"/>
    <x v="0"/>
    <x v="0"/>
    <x v="0"/>
  </r>
  <r>
    <s v="T0681"/>
    <x v="12"/>
    <n v="1"/>
    <x v="0"/>
    <x v="1"/>
    <d v="2025-09-01T00:00:00"/>
    <n v="9553.92"/>
    <n v="4664.5025373134304"/>
    <s v="DEV1305"/>
    <x v="1"/>
    <x v="2"/>
    <x v="2"/>
    <s v="France"/>
    <s v="Romania"/>
    <s v="Picked Up"/>
    <x v="1"/>
    <x v="1"/>
    <x v="0"/>
  </r>
  <r>
    <s v="T0695"/>
    <x v="12"/>
    <n v="1"/>
    <x v="0"/>
    <x v="3"/>
    <d v="2025-10-19T00:00:00"/>
    <n v="9843.42"/>
    <n v="4664.5025373134304"/>
    <s v="DEV9093"/>
    <x v="3"/>
    <x v="2"/>
    <x v="3"/>
    <s v="Norway"/>
    <s v="Zimbabwe"/>
    <s v="Picked Up"/>
    <x v="1"/>
    <x v="1"/>
    <x v="0"/>
  </r>
  <r>
    <s v="T0750"/>
    <x v="12"/>
    <n v="1"/>
    <x v="1"/>
    <x v="2"/>
    <d v="2025-07-27T00:00:00"/>
    <n v="91.6"/>
    <n v="4664.5025373134304"/>
    <s v="DEV7465"/>
    <x v="4"/>
    <x v="1"/>
    <x v="4"/>
    <s v="France"/>
    <s v="Zimbabwe"/>
    <s v="Delivered by Post"/>
    <x v="0"/>
    <x v="0"/>
    <x v="1"/>
  </r>
  <r>
    <s v="T0797"/>
    <x v="12"/>
    <n v="1"/>
    <x v="0"/>
    <x v="2"/>
    <d v="2025-03-05T00:00:00"/>
    <n v="893.2"/>
    <n v="4664.5025373134304"/>
    <s v="DEV1113"/>
    <x v="3"/>
    <x v="3"/>
    <x v="0"/>
    <s v="Comoros"/>
    <s v="Bhutan"/>
    <s v="Delivered by Post"/>
    <x v="0"/>
    <x v="1"/>
    <x v="0"/>
  </r>
  <r>
    <s v="T0804"/>
    <x v="12"/>
    <n v="1"/>
    <x v="0"/>
    <x v="0"/>
    <d v="2025-01-27T00:00:00"/>
    <n v="9294.5300000000007"/>
    <n v="4664.5025373134304"/>
    <s v="DEV7673"/>
    <x v="2"/>
    <x v="3"/>
    <x v="3"/>
    <s v="Romania"/>
    <s v="Romania"/>
    <s v="Delivered by Post"/>
    <x v="1"/>
    <x v="1"/>
    <x v="0"/>
  </r>
  <r>
    <s v="T0837"/>
    <x v="12"/>
    <n v="1"/>
    <x v="0"/>
    <x v="1"/>
    <d v="2025-05-18T00:00:00"/>
    <n v="5539.33"/>
    <n v="4664.5025373134304"/>
    <s v="DEV1735"/>
    <x v="2"/>
    <x v="1"/>
    <x v="2"/>
    <s v="Canada"/>
    <s v="New Zealand"/>
    <s v="Picked Up"/>
    <x v="1"/>
    <x v="0"/>
    <x v="0"/>
  </r>
  <r>
    <s v="T0851"/>
    <x v="12"/>
    <n v="1"/>
    <x v="1"/>
    <x v="1"/>
    <d v="2025-12-23T00:00:00"/>
    <n v="3525.3"/>
    <n v="4664.5025373134304"/>
    <s v="DEV6811"/>
    <x v="2"/>
    <x v="1"/>
    <x v="2"/>
    <s v="Turkmenistan"/>
    <s v="Romania"/>
    <s v="Picked Up"/>
    <x v="0"/>
    <x v="0"/>
    <x v="0"/>
  </r>
  <r>
    <s v="T0871"/>
    <x v="12"/>
    <n v="1"/>
    <x v="0"/>
    <x v="2"/>
    <d v="2025-03-27T00:00:00"/>
    <n v="5693.06"/>
    <n v="4664.5025373134304"/>
    <s v="DEV9378"/>
    <x v="4"/>
    <x v="1"/>
    <x v="1"/>
    <s v="Turkmenistan"/>
    <s v="New Zealand"/>
    <s v="Delivered by Post"/>
    <x v="1"/>
    <x v="0"/>
    <x v="1"/>
  </r>
  <r>
    <s v="T0885"/>
    <x v="12"/>
    <n v="1"/>
    <x v="1"/>
    <x v="0"/>
    <d v="2025-03-17T00:00:00"/>
    <n v="732.96"/>
    <n v="4664.5025373134304"/>
    <s v="DEV2755"/>
    <x v="1"/>
    <x v="2"/>
    <x v="2"/>
    <s v="Comoros"/>
    <s v="Norway"/>
    <s v="Delivered by Post"/>
    <x v="0"/>
    <x v="1"/>
    <x v="0"/>
  </r>
  <r>
    <s v="T0897"/>
    <x v="12"/>
    <n v="1"/>
    <x v="1"/>
    <x v="0"/>
    <d v="2025-08-10T00:00:00"/>
    <n v="458.94"/>
    <n v="4664.5025373134304"/>
    <s v="DEV6685"/>
    <x v="4"/>
    <x v="0"/>
    <x v="2"/>
    <s v="Comoros"/>
    <s v="Norway"/>
    <s v="Delivered by Post"/>
    <x v="0"/>
    <x v="0"/>
    <x v="1"/>
  </r>
  <r>
    <s v="T0959"/>
    <x v="12"/>
    <n v="1"/>
    <x v="0"/>
    <x v="0"/>
    <d v="2025-08-11T00:00:00"/>
    <n v="6365.99"/>
    <n v="4664.5025373134304"/>
    <s v="DEV9039"/>
    <x v="2"/>
    <x v="2"/>
    <x v="3"/>
    <s v="Norway"/>
    <s v="Canada"/>
    <s v="Delivered by Post"/>
    <x v="1"/>
    <x v="1"/>
    <x v="0"/>
  </r>
  <r>
    <s v="T0987"/>
    <x v="12"/>
    <n v="1"/>
    <x v="0"/>
    <x v="3"/>
    <d v="2025-06-18T00:00:00"/>
    <n v="4448.7"/>
    <n v="4664.5025373134304"/>
    <s v="DEV7043"/>
    <x v="4"/>
    <x v="0"/>
    <x v="5"/>
    <s v="France"/>
    <s v="Canada"/>
    <s v="Delivered by Post"/>
    <x v="0"/>
    <x v="0"/>
    <x v="1"/>
  </r>
  <r>
    <s v="T1011"/>
    <x v="12"/>
    <n v="1"/>
    <x v="1"/>
    <x v="2"/>
    <d v="2025-01-25T00:00:00"/>
    <n v="5173.22"/>
    <n v="4664.5025373134304"/>
    <s v="DEV5615"/>
    <x v="1"/>
    <x v="0"/>
    <x v="4"/>
    <s v="Comoros"/>
    <s v="New Zealand"/>
    <s v="Picked Up"/>
    <x v="1"/>
    <x v="0"/>
    <x v="0"/>
  </r>
  <r>
    <s v="T1060"/>
    <x v="12"/>
    <n v="1"/>
    <x v="0"/>
    <x v="0"/>
    <d v="2025-01-14T00:00:00"/>
    <n v="7741.27"/>
    <n v="4664.5025373134304"/>
    <s v="DEV1646"/>
    <x v="3"/>
    <x v="3"/>
    <x v="2"/>
    <s v="New Zealand"/>
    <s v="New Zealand"/>
    <s v="Picked Up"/>
    <x v="1"/>
    <x v="1"/>
    <x v="0"/>
  </r>
  <r>
    <s v="T1080"/>
    <x v="12"/>
    <n v="1"/>
    <x v="1"/>
    <x v="3"/>
    <d v="2025-07-19T00:00:00"/>
    <n v="2820.29"/>
    <n v="4664.5025373134304"/>
    <s v="DEV7901"/>
    <x v="0"/>
    <x v="1"/>
    <x v="1"/>
    <s v="Norway"/>
    <s v="France"/>
    <s v="Picked Up"/>
    <x v="0"/>
    <x v="0"/>
    <x v="0"/>
  </r>
  <r>
    <s v="T1093"/>
    <x v="12"/>
    <n v="1"/>
    <x v="1"/>
    <x v="3"/>
    <d v="2025-08-13T00:00:00"/>
    <n v="2683.57"/>
    <n v="4664.5025373134304"/>
    <s v="DEV3608"/>
    <x v="3"/>
    <x v="3"/>
    <x v="2"/>
    <s v="Zimbabwe"/>
    <s v="Romania"/>
    <s v="Delivered by Post"/>
    <x v="0"/>
    <x v="1"/>
    <x v="0"/>
  </r>
  <r>
    <s v="T1123"/>
    <x v="12"/>
    <n v="1"/>
    <x v="1"/>
    <x v="1"/>
    <d v="2025-05-30T00:00:00"/>
    <n v="9020.5499999999993"/>
    <n v="4664.5025373134304"/>
    <s v="DEV2042"/>
    <x v="3"/>
    <x v="2"/>
    <x v="3"/>
    <s v="Romania"/>
    <s v="New Zealand"/>
    <s v="Delivered by Post"/>
    <x v="1"/>
    <x v="1"/>
    <x v="0"/>
  </r>
  <r>
    <s v="T1135"/>
    <x v="12"/>
    <n v="1"/>
    <x v="1"/>
    <x v="0"/>
    <d v="2025-07-05T00:00:00"/>
    <n v="7448.66"/>
    <n v="4664.5025373134304"/>
    <s v="DEV6169"/>
    <x v="2"/>
    <x v="1"/>
    <x v="4"/>
    <s v="New Zealand"/>
    <s v="Norway"/>
    <s v="Delivered by Post"/>
    <x v="1"/>
    <x v="0"/>
    <x v="0"/>
  </r>
  <r>
    <s v="T1202"/>
    <x v="12"/>
    <n v="1"/>
    <x v="1"/>
    <x v="0"/>
    <d v="2025-07-10T00:00:00"/>
    <n v="1516.5"/>
    <n v="4664.5025373134304"/>
    <s v="DEV9359"/>
    <x v="1"/>
    <x v="0"/>
    <x v="5"/>
    <s v="France"/>
    <s v="Turkmenistan"/>
    <s v="Picked Up"/>
    <x v="0"/>
    <x v="0"/>
    <x v="0"/>
  </r>
  <r>
    <s v="T1372"/>
    <x v="12"/>
    <n v="1"/>
    <x v="1"/>
    <x v="1"/>
    <d v="2025-08-03T00:00:00"/>
    <n v="1116.8599999999999"/>
    <n v="4664.5025373134304"/>
    <s v="DEV9593"/>
    <x v="1"/>
    <x v="2"/>
    <x v="4"/>
    <s v="Comoros"/>
    <s v="New Zealand"/>
    <s v="Picked Up"/>
    <x v="0"/>
    <x v="1"/>
    <x v="0"/>
  </r>
  <r>
    <s v="T1382"/>
    <x v="12"/>
    <n v="1"/>
    <x v="0"/>
    <x v="0"/>
    <d v="2025-11-17T00:00:00"/>
    <n v="8371.57"/>
    <n v="4664.5025373134304"/>
    <s v="DEV2517"/>
    <x v="1"/>
    <x v="1"/>
    <x v="3"/>
    <s v="Canada"/>
    <s v="Zimbabwe"/>
    <s v="Picked Up"/>
    <x v="1"/>
    <x v="0"/>
    <x v="0"/>
  </r>
  <r>
    <s v="T1426"/>
    <x v="12"/>
    <n v="1"/>
    <x v="1"/>
    <x v="0"/>
    <d v="2025-11-28T00:00:00"/>
    <n v="3833.49"/>
    <n v="4664.5025373134304"/>
    <s v="DEV2376"/>
    <x v="3"/>
    <x v="1"/>
    <x v="3"/>
    <s v="France"/>
    <s v="Norway"/>
    <s v="Delivered by Post"/>
    <x v="0"/>
    <x v="0"/>
    <x v="0"/>
  </r>
  <r>
    <s v="T1450"/>
    <x v="12"/>
    <n v="1"/>
    <x v="1"/>
    <x v="2"/>
    <d v="2025-01-07T00:00:00"/>
    <n v="8752.4599999999991"/>
    <n v="4664.5025373134304"/>
    <s v="DEV8309"/>
    <x v="3"/>
    <x v="1"/>
    <x v="1"/>
    <s v="Norway"/>
    <s v="Bhutan"/>
    <s v="Picked Up"/>
    <x v="1"/>
    <x v="0"/>
    <x v="0"/>
  </r>
  <r>
    <s v="T1468"/>
    <x v="12"/>
    <n v="1"/>
    <x v="1"/>
    <x v="0"/>
    <d v="2025-01-18T00:00:00"/>
    <n v="3182.88"/>
    <n v="4664.5025373134304"/>
    <s v="DEV4253"/>
    <x v="1"/>
    <x v="1"/>
    <x v="4"/>
    <s v="Norway"/>
    <s v="Canada"/>
    <s v="Delivered by Post"/>
    <x v="0"/>
    <x v="0"/>
    <x v="0"/>
  </r>
  <r>
    <s v="T1525"/>
    <x v="12"/>
    <n v="1"/>
    <x v="0"/>
    <x v="2"/>
    <d v="2025-03-02T00:00:00"/>
    <n v="1338.28"/>
    <n v="4664.5025373134304"/>
    <s v="DEV5841"/>
    <x v="3"/>
    <x v="3"/>
    <x v="0"/>
    <s v="Bhutan"/>
    <s v="Norway"/>
    <s v="Delivered by Post"/>
    <x v="0"/>
    <x v="1"/>
    <x v="0"/>
  </r>
  <r>
    <s v="T1565"/>
    <x v="12"/>
    <n v="1"/>
    <x v="1"/>
    <x v="2"/>
    <d v="2025-11-12T00:00:00"/>
    <n v="424.47"/>
    <n v="4664.5025373134304"/>
    <s v="DEV8608"/>
    <x v="0"/>
    <x v="0"/>
    <x v="2"/>
    <s v="New Zealand"/>
    <s v="Norway"/>
    <s v="Delivered by Post"/>
    <x v="0"/>
    <x v="0"/>
    <x v="0"/>
  </r>
  <r>
    <s v="T1577"/>
    <x v="12"/>
    <n v="1"/>
    <x v="1"/>
    <x v="2"/>
    <d v="2025-04-17T00:00:00"/>
    <n v="3134.77"/>
    <n v="4664.5025373134304"/>
    <s v="DEV2765"/>
    <x v="1"/>
    <x v="3"/>
    <x v="0"/>
    <s v="Comoros"/>
    <s v="Bhutan"/>
    <s v="Delivered by Post"/>
    <x v="0"/>
    <x v="1"/>
    <x v="0"/>
  </r>
  <r>
    <s v="T1594"/>
    <x v="12"/>
    <n v="1"/>
    <x v="1"/>
    <x v="0"/>
    <d v="2025-06-06T00:00:00"/>
    <n v="9762.81"/>
    <n v="4664.5025373134304"/>
    <s v="DEV9496"/>
    <x v="0"/>
    <x v="3"/>
    <x v="2"/>
    <s v="France"/>
    <s v="Comoros"/>
    <s v="Picked Up"/>
    <x v="1"/>
    <x v="1"/>
    <x v="0"/>
  </r>
  <r>
    <s v="T1677"/>
    <x v="12"/>
    <n v="1"/>
    <x v="0"/>
    <x v="0"/>
    <d v="2025-06-23T00:00:00"/>
    <n v="4122.24"/>
    <n v="4664.5025373134304"/>
    <s v="DEV8795"/>
    <x v="2"/>
    <x v="3"/>
    <x v="2"/>
    <s v="Canada"/>
    <s v="Zimbabwe"/>
    <s v="Delivered by Post"/>
    <x v="0"/>
    <x v="1"/>
    <x v="0"/>
  </r>
  <r>
    <s v="T1704"/>
    <x v="12"/>
    <n v="1"/>
    <x v="1"/>
    <x v="0"/>
    <d v="2025-06-29T00:00:00"/>
    <n v="9836.91"/>
    <n v="4664.5025373134304"/>
    <s v="DEV3049"/>
    <x v="1"/>
    <x v="3"/>
    <x v="5"/>
    <s v="New Zealand"/>
    <s v="Canada"/>
    <s v="Delivered by Post"/>
    <x v="1"/>
    <x v="1"/>
    <x v="0"/>
  </r>
  <r>
    <s v="T1773"/>
    <x v="12"/>
    <n v="1"/>
    <x v="0"/>
    <x v="0"/>
    <d v="2025-02-16T00:00:00"/>
    <n v="5910.37"/>
    <n v="4664.5025373134304"/>
    <s v="DEV3662"/>
    <x v="3"/>
    <x v="3"/>
    <x v="2"/>
    <s v="France"/>
    <s v="Norway"/>
    <s v="Picked Up"/>
    <x v="1"/>
    <x v="1"/>
    <x v="0"/>
  </r>
  <r>
    <s v="T1785"/>
    <x v="12"/>
    <n v="1"/>
    <x v="1"/>
    <x v="2"/>
    <d v="2025-10-19T00:00:00"/>
    <n v="5034.78"/>
    <n v="4664.5025373134304"/>
    <s v="DEV3711"/>
    <x v="4"/>
    <x v="3"/>
    <x v="5"/>
    <s v="New Zealand"/>
    <s v="Romania"/>
    <s v="Delivered by Post"/>
    <x v="1"/>
    <x v="1"/>
    <x v="1"/>
  </r>
  <r>
    <s v="T1879"/>
    <x v="12"/>
    <n v="1"/>
    <x v="0"/>
    <x v="2"/>
    <d v="2025-03-20T00:00:00"/>
    <n v="8841.76"/>
    <n v="4664.5025373134304"/>
    <s v="DEV7471"/>
    <x v="1"/>
    <x v="0"/>
    <x v="5"/>
    <s v="Canada"/>
    <s v="Norway"/>
    <s v="Delivered by Post"/>
    <x v="1"/>
    <x v="0"/>
    <x v="0"/>
  </r>
  <r>
    <s v="T1884"/>
    <x v="12"/>
    <n v="1"/>
    <x v="1"/>
    <x v="0"/>
    <d v="2025-09-20T00:00:00"/>
    <n v="5316.37"/>
    <n v="4664.5025373134304"/>
    <s v="DEV6214"/>
    <x v="0"/>
    <x v="0"/>
    <x v="3"/>
    <s v="Zimbabwe"/>
    <s v="Comoros"/>
    <s v="Picked Up"/>
    <x v="1"/>
    <x v="0"/>
    <x v="0"/>
  </r>
  <r>
    <s v="T1895"/>
    <x v="12"/>
    <n v="1"/>
    <x v="0"/>
    <x v="1"/>
    <d v="2025-12-03T00:00:00"/>
    <n v="7012.95"/>
    <n v="4664.5025373134304"/>
    <s v="DEV2416"/>
    <x v="4"/>
    <x v="0"/>
    <x v="5"/>
    <s v="Zimbabwe"/>
    <s v="Comoros"/>
    <s v="Picked Up"/>
    <x v="1"/>
    <x v="0"/>
    <x v="1"/>
  </r>
  <r>
    <s v="T1961"/>
    <x v="12"/>
    <n v="1"/>
    <x v="1"/>
    <x v="0"/>
    <d v="2025-09-06T00:00:00"/>
    <n v="793.14"/>
    <n v="4664.5025373134304"/>
    <s v="DEV2633"/>
    <x v="3"/>
    <x v="1"/>
    <x v="2"/>
    <s v="Zimbabwe"/>
    <s v="New Zealand"/>
    <s v="Delivered by Post"/>
    <x v="0"/>
    <x v="0"/>
    <x v="0"/>
  </r>
  <r>
    <s v="T2002"/>
    <x v="12"/>
    <n v="1"/>
    <x v="1"/>
    <x v="1"/>
    <d v="2025-02-06T00:00:00"/>
    <n v="6855.36"/>
    <n v="4664.5025373134304"/>
    <s v="DEV7202"/>
    <x v="2"/>
    <x v="3"/>
    <x v="3"/>
    <s v="Turkmenistan"/>
    <s v="New Zealand"/>
    <s v="Delivered by Post"/>
    <x v="1"/>
    <x v="1"/>
    <x v="0"/>
  </r>
  <r>
    <s v="T2019"/>
    <x v="12"/>
    <n v="1"/>
    <x v="0"/>
    <x v="1"/>
    <d v="2025-07-11T00:00:00"/>
    <n v="1498.43"/>
    <n v="4664.5025373134304"/>
    <s v="DEV1014"/>
    <x v="1"/>
    <x v="0"/>
    <x v="1"/>
    <s v="France"/>
    <s v="Bhutan"/>
    <s v="Picked Up"/>
    <x v="0"/>
    <x v="0"/>
    <x v="0"/>
  </r>
  <r>
    <s v="T2034"/>
    <x v="12"/>
    <n v="1"/>
    <x v="0"/>
    <x v="0"/>
    <d v="2025-06-28T00:00:00"/>
    <n v="2987.27"/>
    <n v="4664.5025373134304"/>
    <s v="DEV8920"/>
    <x v="0"/>
    <x v="1"/>
    <x v="2"/>
    <s v="Bhutan"/>
    <s v="Zimbabwe"/>
    <s v="Delivered by Post"/>
    <x v="0"/>
    <x v="0"/>
    <x v="0"/>
  </r>
  <r>
    <s v="T2036"/>
    <x v="12"/>
    <n v="1"/>
    <x v="0"/>
    <x v="3"/>
    <d v="2025-03-19T00:00:00"/>
    <n v="2911.34"/>
    <n v="4664.5025373134304"/>
    <s v="DEV5612"/>
    <x v="3"/>
    <x v="1"/>
    <x v="3"/>
    <s v="New Zealand"/>
    <s v="Romania"/>
    <s v="Delivered by Post"/>
    <x v="0"/>
    <x v="0"/>
    <x v="0"/>
  </r>
  <r>
    <s v="T2152"/>
    <x v="12"/>
    <n v="1"/>
    <x v="1"/>
    <x v="0"/>
    <d v="2025-09-02T00:00:00"/>
    <n v="2262.39"/>
    <n v="4664.5025373134304"/>
    <s v="DEV1783"/>
    <x v="0"/>
    <x v="2"/>
    <x v="2"/>
    <s v="Comoros"/>
    <s v="France"/>
    <s v="Delivered by Post"/>
    <x v="0"/>
    <x v="1"/>
    <x v="0"/>
  </r>
  <r>
    <s v="T2175"/>
    <x v="12"/>
    <n v="1"/>
    <x v="1"/>
    <x v="3"/>
    <d v="2025-04-11T00:00:00"/>
    <n v="2532.11"/>
    <n v="4664.5025373134304"/>
    <s v="DEV2028"/>
    <x v="4"/>
    <x v="2"/>
    <x v="2"/>
    <s v="Romania"/>
    <s v="Canada"/>
    <s v="Delivered by Post"/>
    <x v="0"/>
    <x v="1"/>
    <x v="1"/>
  </r>
  <r>
    <s v="T2234"/>
    <x v="12"/>
    <n v="1"/>
    <x v="0"/>
    <x v="0"/>
    <d v="2025-02-26T00:00:00"/>
    <n v="2467.19"/>
    <n v="4664.5025373134304"/>
    <s v="DEV8256"/>
    <x v="3"/>
    <x v="2"/>
    <x v="4"/>
    <s v="Canada"/>
    <s v="Romania"/>
    <s v="Picked Up"/>
    <x v="0"/>
    <x v="1"/>
    <x v="0"/>
  </r>
  <r>
    <s v="T2241"/>
    <x v="12"/>
    <n v="1"/>
    <x v="1"/>
    <x v="2"/>
    <d v="2025-01-06T00:00:00"/>
    <n v="4001.21"/>
    <n v="4664.5025373134304"/>
    <s v="DEV5542"/>
    <x v="3"/>
    <x v="0"/>
    <x v="1"/>
    <s v="Romania"/>
    <s v="Zimbabwe"/>
    <s v="Picked Up"/>
    <x v="0"/>
    <x v="0"/>
    <x v="0"/>
  </r>
  <r>
    <s v="T2398"/>
    <x v="12"/>
    <n v="1"/>
    <x v="1"/>
    <x v="0"/>
    <d v="2025-05-26T00:00:00"/>
    <n v="1628.29"/>
    <n v="4664.5025373134304"/>
    <s v="DEV8380"/>
    <x v="3"/>
    <x v="3"/>
    <x v="5"/>
    <s v="Canada"/>
    <s v="Romania"/>
    <s v="Picked Up"/>
    <x v="0"/>
    <x v="1"/>
    <x v="0"/>
  </r>
  <r>
    <s v="T2461"/>
    <x v="12"/>
    <n v="1"/>
    <x v="0"/>
    <x v="2"/>
    <d v="2025-09-09T00:00:00"/>
    <n v="3294.47"/>
    <n v="4664.5025373134304"/>
    <s v="DEV9380"/>
    <x v="0"/>
    <x v="0"/>
    <x v="1"/>
    <s v="Bhutan"/>
    <s v="New Zealand"/>
    <s v="Delivered by Post"/>
    <x v="0"/>
    <x v="0"/>
    <x v="0"/>
  </r>
  <r>
    <s v="T2497"/>
    <x v="12"/>
    <n v="1"/>
    <x v="1"/>
    <x v="0"/>
    <d v="2025-01-08T00:00:00"/>
    <n v="8722.4699999999993"/>
    <n v="4664.5025373134304"/>
    <s v="DEV7880"/>
    <x v="3"/>
    <x v="1"/>
    <x v="5"/>
    <s v="New Zealand"/>
    <s v="New Zealand"/>
    <s v="Picked Up"/>
    <x v="1"/>
    <x v="1"/>
    <x v="0"/>
  </r>
  <r>
    <s v="T2593"/>
    <x v="12"/>
    <n v="1"/>
    <x v="1"/>
    <x v="2"/>
    <d v="2025-10-19T00:00:00"/>
    <n v="8512.35"/>
    <n v="4664.5025373134304"/>
    <s v="DEV1601"/>
    <x v="0"/>
    <x v="1"/>
    <x v="3"/>
    <s v="Bhutan"/>
    <s v="Canada"/>
    <s v="Delivered by Post"/>
    <x v="1"/>
    <x v="0"/>
    <x v="0"/>
  </r>
  <r>
    <s v="T2610"/>
    <x v="12"/>
    <n v="1"/>
    <x v="1"/>
    <x v="2"/>
    <d v="2025-06-29T00:00:00"/>
    <n v="1546.29"/>
    <n v="4664.5025373134304"/>
    <s v="DEV7450"/>
    <x v="4"/>
    <x v="3"/>
    <x v="5"/>
    <s v="Comoros"/>
    <s v="Bhutan"/>
    <s v="Delivered by Post"/>
    <x v="0"/>
    <x v="1"/>
    <x v="1"/>
  </r>
  <r>
    <s v="T2646"/>
    <x v="12"/>
    <n v="1"/>
    <x v="1"/>
    <x v="0"/>
    <d v="2025-12-22T00:00:00"/>
    <n v="8062.43"/>
    <n v="4664.5025373134304"/>
    <s v="DEV4308"/>
    <x v="4"/>
    <x v="0"/>
    <x v="4"/>
    <s v="Canada"/>
    <s v="Canada"/>
    <s v="Delivered by Post"/>
    <x v="1"/>
    <x v="1"/>
    <x v="0"/>
  </r>
  <r>
    <s v="T2707"/>
    <x v="12"/>
    <n v="1"/>
    <x v="1"/>
    <x v="2"/>
    <d v="2025-01-03T00:00:00"/>
    <n v="5787.35"/>
    <n v="4664.5025373134304"/>
    <s v="DEV9799"/>
    <x v="4"/>
    <x v="3"/>
    <x v="2"/>
    <s v="Bhutan"/>
    <s v="France"/>
    <s v="Picked Up"/>
    <x v="1"/>
    <x v="1"/>
    <x v="1"/>
  </r>
  <r>
    <s v="T2747"/>
    <x v="12"/>
    <n v="1"/>
    <x v="1"/>
    <x v="1"/>
    <d v="2025-04-15T00:00:00"/>
    <n v="6460.06"/>
    <n v="4664.5025373134304"/>
    <s v="DEV6004"/>
    <x v="3"/>
    <x v="0"/>
    <x v="2"/>
    <s v="Bhutan"/>
    <s v="New Zealand"/>
    <s v="Picked Up"/>
    <x v="1"/>
    <x v="0"/>
    <x v="0"/>
  </r>
  <r>
    <s v="T2774"/>
    <x v="12"/>
    <n v="1"/>
    <x v="1"/>
    <x v="1"/>
    <d v="2025-06-28T00:00:00"/>
    <n v="1378.99"/>
    <n v="4664.5025373134304"/>
    <s v="DEV1916"/>
    <x v="3"/>
    <x v="3"/>
    <x v="3"/>
    <s v="Norway"/>
    <s v="Turkmenistan"/>
    <s v="Picked Up"/>
    <x v="0"/>
    <x v="1"/>
    <x v="0"/>
  </r>
  <r>
    <s v="T2813"/>
    <x v="12"/>
    <n v="1"/>
    <x v="1"/>
    <x v="1"/>
    <d v="2025-09-15T00:00:00"/>
    <n v="3905.82"/>
    <n v="4664.5025373134304"/>
    <s v="DEV8510"/>
    <x v="0"/>
    <x v="2"/>
    <x v="2"/>
    <s v="New Zealand"/>
    <s v="Comoros"/>
    <s v="Delivered by Post"/>
    <x v="0"/>
    <x v="1"/>
    <x v="0"/>
  </r>
  <r>
    <s v="T2838"/>
    <x v="12"/>
    <n v="1"/>
    <x v="0"/>
    <x v="2"/>
    <d v="2025-09-05T00:00:00"/>
    <n v="906.09"/>
    <n v="4664.5025373134304"/>
    <s v="DEV3849"/>
    <x v="3"/>
    <x v="3"/>
    <x v="3"/>
    <s v="Romania"/>
    <s v="Norway"/>
    <s v="Delivered by Post"/>
    <x v="0"/>
    <x v="1"/>
    <x v="0"/>
  </r>
  <r>
    <s v="T0045"/>
    <x v="13"/>
    <n v="1"/>
    <x v="0"/>
    <x v="3"/>
    <d v="2025-02-13T15:06:00"/>
    <n v="9838.01"/>
    <n v="5537.8703846153821"/>
    <s v="DEV4323"/>
    <x v="5"/>
    <x v="2"/>
    <x v="4"/>
    <s v="Iran"/>
    <s v="Kyrgyz Republic"/>
    <s v="Picked Up"/>
    <x v="1"/>
    <x v="1"/>
    <x v="1"/>
  </r>
  <r>
    <s v="T0124"/>
    <x v="13"/>
    <n v="1"/>
    <x v="1"/>
    <x v="3"/>
    <d v="2025-01-27T00:00:00"/>
    <n v="6890.6"/>
    <n v="5537.8703846153821"/>
    <s v="DEV7939"/>
    <x v="4"/>
    <x v="0"/>
    <x v="2"/>
    <s v="New Zealand"/>
    <s v="Norway"/>
    <s v="Delivered by Post"/>
    <x v="1"/>
    <x v="0"/>
    <x v="1"/>
  </r>
  <r>
    <s v="T0248"/>
    <x v="13"/>
    <n v="1"/>
    <x v="1"/>
    <x v="1"/>
    <d v="2025-02-25T00:00:00"/>
    <n v="2060.58"/>
    <n v="5537.8703846153821"/>
    <s v="DEV4920"/>
    <x v="3"/>
    <x v="0"/>
    <x v="3"/>
    <s v="Turkmenistan"/>
    <s v="Romania"/>
    <s v="Picked Up"/>
    <x v="0"/>
    <x v="0"/>
    <x v="0"/>
  </r>
  <r>
    <s v="T0304"/>
    <x v="13"/>
    <n v="1"/>
    <x v="1"/>
    <x v="3"/>
    <d v="2025-11-02T00:00:00"/>
    <n v="8144.62"/>
    <n v="5537.8703846153821"/>
    <s v="DEV3758"/>
    <x v="4"/>
    <x v="3"/>
    <x v="1"/>
    <s v="France"/>
    <s v="Turkmenistan"/>
    <s v="Picked Up"/>
    <x v="1"/>
    <x v="1"/>
    <x v="1"/>
  </r>
  <r>
    <s v="T0424"/>
    <x v="13"/>
    <n v="1"/>
    <x v="1"/>
    <x v="1"/>
    <d v="2025-04-23T00:00:00"/>
    <n v="4519.57"/>
    <n v="5537.8703846153821"/>
    <s v="DEV3338"/>
    <x v="2"/>
    <x v="2"/>
    <x v="5"/>
    <s v="Turkmenistan"/>
    <s v="France"/>
    <s v="Picked Up"/>
    <x v="0"/>
    <x v="1"/>
    <x v="0"/>
  </r>
  <r>
    <s v="T0516"/>
    <x v="13"/>
    <n v="1"/>
    <x v="0"/>
    <x v="0"/>
    <d v="2025-06-09T00:00:00"/>
    <n v="7259.48"/>
    <n v="5537.8703846153821"/>
    <s v="DEV2426"/>
    <x v="4"/>
    <x v="1"/>
    <x v="2"/>
    <s v="Zimbabwe"/>
    <s v="Turkmenistan"/>
    <s v="Delivered by Post"/>
    <x v="1"/>
    <x v="0"/>
    <x v="1"/>
  </r>
  <r>
    <s v="T0555"/>
    <x v="13"/>
    <n v="1"/>
    <x v="1"/>
    <x v="0"/>
    <d v="2025-03-03T00:00:00"/>
    <n v="7654.07"/>
    <n v="5537.8703846153821"/>
    <s v="DEV3314"/>
    <x v="0"/>
    <x v="2"/>
    <x v="3"/>
    <s v="New Zealand"/>
    <s v="Turkmenistan"/>
    <s v="Picked Up"/>
    <x v="1"/>
    <x v="1"/>
    <x v="0"/>
  </r>
  <r>
    <s v="T0585"/>
    <x v="13"/>
    <n v="1"/>
    <x v="1"/>
    <x v="2"/>
    <d v="2025-05-28T00:00:00"/>
    <n v="7292.14"/>
    <n v="5537.8703846153821"/>
    <s v="DEV7944"/>
    <x v="0"/>
    <x v="2"/>
    <x v="5"/>
    <s v="Zimbabwe"/>
    <s v="Norway"/>
    <s v="Picked Up"/>
    <x v="1"/>
    <x v="1"/>
    <x v="0"/>
  </r>
  <r>
    <s v="T0643"/>
    <x v="13"/>
    <n v="1"/>
    <x v="1"/>
    <x v="3"/>
    <d v="2025-01-29T00:00:00"/>
    <n v="8639.6200000000008"/>
    <n v="5537.8703846153821"/>
    <s v="DEV2158"/>
    <x v="2"/>
    <x v="1"/>
    <x v="2"/>
    <s v="Bhutan"/>
    <s v="France"/>
    <s v="Picked Up"/>
    <x v="1"/>
    <x v="0"/>
    <x v="0"/>
  </r>
  <r>
    <s v="T0746"/>
    <x v="13"/>
    <n v="1"/>
    <x v="0"/>
    <x v="1"/>
    <d v="2025-09-17T00:00:00"/>
    <n v="1299.33"/>
    <n v="5537.8703846153821"/>
    <s v="DEV7983"/>
    <x v="0"/>
    <x v="3"/>
    <x v="0"/>
    <s v="Romania"/>
    <s v="Romania"/>
    <s v="Delivered by Post"/>
    <x v="0"/>
    <x v="1"/>
    <x v="0"/>
  </r>
  <r>
    <s v="T0759"/>
    <x v="13"/>
    <n v="1"/>
    <x v="1"/>
    <x v="2"/>
    <d v="2025-08-31T00:00:00"/>
    <n v="5247.23"/>
    <n v="5537.8703846153821"/>
    <s v="DEV8036"/>
    <x v="4"/>
    <x v="3"/>
    <x v="3"/>
    <s v="New Zealand"/>
    <s v="New Zealand"/>
    <s v="Picked Up"/>
    <x v="0"/>
    <x v="1"/>
    <x v="0"/>
  </r>
  <r>
    <s v="T0817"/>
    <x v="13"/>
    <n v="1"/>
    <x v="1"/>
    <x v="1"/>
    <d v="2025-08-17T00:00:00"/>
    <n v="5837.55"/>
    <n v="5537.8703846153821"/>
    <s v="DEV8109"/>
    <x v="4"/>
    <x v="2"/>
    <x v="4"/>
    <s v="Zimbabwe"/>
    <s v="Comoros"/>
    <s v="Picked Up"/>
    <x v="1"/>
    <x v="1"/>
    <x v="1"/>
  </r>
  <r>
    <s v="T0849"/>
    <x v="13"/>
    <n v="1"/>
    <x v="1"/>
    <x v="3"/>
    <d v="2025-05-10T00:00:00"/>
    <n v="8686.7999999999993"/>
    <n v="5537.8703846153821"/>
    <s v="DEV3885"/>
    <x v="1"/>
    <x v="2"/>
    <x v="2"/>
    <s v="France"/>
    <s v="Bhutan"/>
    <s v="Picked Up"/>
    <x v="1"/>
    <x v="1"/>
    <x v="0"/>
  </r>
  <r>
    <s v="T0954"/>
    <x v="13"/>
    <n v="1"/>
    <x v="0"/>
    <x v="0"/>
    <d v="2025-11-03T00:00:00"/>
    <n v="5544.03"/>
    <n v="5537.8703846153821"/>
    <s v="DEV9844"/>
    <x v="2"/>
    <x v="2"/>
    <x v="2"/>
    <s v="Comoros"/>
    <s v="Canada"/>
    <s v="Delivered by Post"/>
    <x v="1"/>
    <x v="1"/>
    <x v="0"/>
  </r>
  <r>
    <s v="T0955"/>
    <x v="13"/>
    <n v="1"/>
    <x v="1"/>
    <x v="2"/>
    <d v="2025-09-24T00:00:00"/>
    <n v="2854.28"/>
    <n v="5537.8703846153821"/>
    <s v="DEV8435"/>
    <x v="4"/>
    <x v="0"/>
    <x v="3"/>
    <s v="Zimbabwe"/>
    <s v="Comoros"/>
    <s v="Delivered by Post"/>
    <x v="0"/>
    <x v="0"/>
    <x v="1"/>
  </r>
  <r>
    <s v="T0983"/>
    <x v="13"/>
    <n v="1"/>
    <x v="0"/>
    <x v="1"/>
    <d v="2025-03-26T00:00:00"/>
    <n v="958.82"/>
    <n v="5537.8703846153821"/>
    <s v="DEV1004"/>
    <x v="4"/>
    <x v="0"/>
    <x v="2"/>
    <s v="Norway"/>
    <s v="Turkmenistan"/>
    <s v="Delivered by Post"/>
    <x v="0"/>
    <x v="0"/>
    <x v="1"/>
  </r>
  <r>
    <s v="T0997"/>
    <x v="13"/>
    <n v="1"/>
    <x v="1"/>
    <x v="0"/>
    <d v="2025-09-20T00:00:00"/>
    <n v="3454.7"/>
    <n v="5537.8703846153821"/>
    <s v="DEV5230"/>
    <x v="3"/>
    <x v="1"/>
    <x v="1"/>
    <s v="Canada"/>
    <s v="Zimbabwe"/>
    <s v="Picked Up"/>
    <x v="0"/>
    <x v="0"/>
    <x v="0"/>
  </r>
  <r>
    <s v="T1017"/>
    <x v="13"/>
    <n v="1"/>
    <x v="0"/>
    <x v="3"/>
    <d v="2025-09-14T00:00:00"/>
    <n v="7619.15"/>
    <n v="5537.8703846153821"/>
    <s v="DEV1749"/>
    <x v="2"/>
    <x v="1"/>
    <x v="0"/>
    <s v="France"/>
    <s v="France"/>
    <s v="Picked Up"/>
    <x v="1"/>
    <x v="1"/>
    <x v="0"/>
  </r>
  <r>
    <s v="T1064"/>
    <x v="13"/>
    <n v="1"/>
    <x v="1"/>
    <x v="2"/>
    <d v="2025-05-11T00:00:00"/>
    <n v="9852.26"/>
    <n v="5537.8703846153821"/>
    <s v="DEV2834"/>
    <x v="0"/>
    <x v="0"/>
    <x v="2"/>
    <s v="Bhutan"/>
    <s v="Bhutan"/>
    <s v="Delivered by Post"/>
    <x v="1"/>
    <x v="1"/>
    <x v="0"/>
  </r>
  <r>
    <s v="T1195"/>
    <x v="13"/>
    <n v="1"/>
    <x v="0"/>
    <x v="0"/>
    <d v="2025-09-17T00:00:00"/>
    <n v="6156.49"/>
    <n v="5537.8703846153821"/>
    <s v="DEV2132"/>
    <x v="2"/>
    <x v="2"/>
    <x v="4"/>
    <s v="France"/>
    <s v="Bhutan"/>
    <s v="Picked Up"/>
    <x v="1"/>
    <x v="1"/>
    <x v="0"/>
  </r>
  <r>
    <s v="T1252"/>
    <x v="13"/>
    <n v="1"/>
    <x v="0"/>
    <x v="0"/>
    <d v="2025-02-10T00:00:00"/>
    <n v="2444.7800000000002"/>
    <n v="5537.8703846153821"/>
    <s v="DEV2928"/>
    <x v="3"/>
    <x v="0"/>
    <x v="4"/>
    <s v="Norway"/>
    <s v="Norway"/>
    <s v="Picked Up"/>
    <x v="0"/>
    <x v="1"/>
    <x v="0"/>
  </r>
  <r>
    <s v="T1311"/>
    <x v="13"/>
    <n v="1"/>
    <x v="1"/>
    <x v="3"/>
    <d v="2025-01-09T00:00:00"/>
    <n v="2441.88"/>
    <n v="5537.8703846153821"/>
    <s v="DEV9615"/>
    <x v="3"/>
    <x v="2"/>
    <x v="2"/>
    <s v="Canada"/>
    <s v="France"/>
    <s v="Picked Up"/>
    <x v="0"/>
    <x v="1"/>
    <x v="0"/>
  </r>
  <r>
    <s v="T1315"/>
    <x v="13"/>
    <n v="1"/>
    <x v="1"/>
    <x v="0"/>
    <d v="2025-08-25T00:00:00"/>
    <n v="1085.72"/>
    <n v="5537.8703846153821"/>
    <s v="DEV7392"/>
    <x v="4"/>
    <x v="1"/>
    <x v="0"/>
    <s v="New Zealand"/>
    <s v="New Zealand"/>
    <s v="Delivered by Post"/>
    <x v="0"/>
    <x v="1"/>
    <x v="0"/>
  </r>
  <r>
    <s v="T1319"/>
    <x v="13"/>
    <n v="1"/>
    <x v="1"/>
    <x v="1"/>
    <d v="2025-09-27T00:00:00"/>
    <n v="9169.0300000000007"/>
    <n v="5537.8703846153821"/>
    <s v="DEV6162"/>
    <x v="1"/>
    <x v="1"/>
    <x v="3"/>
    <s v="Romania"/>
    <s v="Norway"/>
    <s v="Picked Up"/>
    <x v="1"/>
    <x v="0"/>
    <x v="0"/>
  </r>
  <r>
    <s v="T1496"/>
    <x v="13"/>
    <n v="1"/>
    <x v="1"/>
    <x v="3"/>
    <d v="2025-08-14T00:00:00"/>
    <n v="8635.1"/>
    <n v="5537.8703846153821"/>
    <s v="DEV6567"/>
    <x v="1"/>
    <x v="1"/>
    <x v="1"/>
    <s v="Canada"/>
    <s v="Comoros"/>
    <s v="Picked Up"/>
    <x v="1"/>
    <x v="0"/>
    <x v="0"/>
  </r>
  <r>
    <s v="T1691"/>
    <x v="13"/>
    <n v="1"/>
    <x v="0"/>
    <x v="0"/>
    <d v="2025-10-08T00:00:00"/>
    <n v="7625.56"/>
    <n v="5537.8703846153821"/>
    <s v="DEV7175"/>
    <x v="3"/>
    <x v="3"/>
    <x v="3"/>
    <s v="Bhutan"/>
    <s v="Comoros"/>
    <s v="Picked Up"/>
    <x v="1"/>
    <x v="1"/>
    <x v="0"/>
  </r>
  <r>
    <s v="T1736"/>
    <x v="13"/>
    <n v="1"/>
    <x v="0"/>
    <x v="0"/>
    <d v="2025-04-06T00:00:00"/>
    <n v="1022.14"/>
    <n v="5537.8703846153821"/>
    <s v="DEV5857"/>
    <x v="1"/>
    <x v="3"/>
    <x v="5"/>
    <s v="New Zealand"/>
    <s v="Comoros"/>
    <s v="Picked Up"/>
    <x v="0"/>
    <x v="1"/>
    <x v="0"/>
  </r>
  <r>
    <s v="T1739"/>
    <x v="13"/>
    <n v="1"/>
    <x v="1"/>
    <x v="2"/>
    <d v="2025-08-02T00:00:00"/>
    <n v="7279.96"/>
    <n v="5537.8703846153821"/>
    <s v="DEV3266"/>
    <x v="4"/>
    <x v="2"/>
    <x v="0"/>
    <s v="Turkmenistan"/>
    <s v="Bhutan"/>
    <s v="Delivered by Post"/>
    <x v="1"/>
    <x v="1"/>
    <x v="1"/>
  </r>
  <r>
    <s v="T1780"/>
    <x v="13"/>
    <n v="1"/>
    <x v="1"/>
    <x v="0"/>
    <d v="2025-01-07T00:00:00"/>
    <n v="9831.24"/>
    <n v="5537.8703846153821"/>
    <s v="DEV5243"/>
    <x v="4"/>
    <x v="0"/>
    <x v="4"/>
    <s v="France"/>
    <s v="Norway"/>
    <s v="Picked Up"/>
    <x v="1"/>
    <x v="0"/>
    <x v="1"/>
  </r>
  <r>
    <s v="T1796"/>
    <x v="13"/>
    <n v="1"/>
    <x v="1"/>
    <x v="2"/>
    <d v="2025-01-13T00:00:00"/>
    <n v="3081.57"/>
    <n v="5537.8703846153821"/>
    <s v="DEV6159"/>
    <x v="4"/>
    <x v="0"/>
    <x v="3"/>
    <s v="France"/>
    <s v="Norway"/>
    <s v="Picked Up"/>
    <x v="0"/>
    <x v="0"/>
    <x v="1"/>
  </r>
  <r>
    <s v="T1867"/>
    <x v="13"/>
    <n v="1"/>
    <x v="0"/>
    <x v="2"/>
    <d v="2025-07-25T00:00:00"/>
    <n v="9395.3700000000008"/>
    <n v="5537.8703846153821"/>
    <s v="DEV8833"/>
    <x v="1"/>
    <x v="1"/>
    <x v="2"/>
    <s v="Romania"/>
    <s v="Turkmenistan"/>
    <s v="Delivered by Post"/>
    <x v="1"/>
    <x v="0"/>
    <x v="0"/>
  </r>
  <r>
    <s v="T1940"/>
    <x v="13"/>
    <n v="1"/>
    <x v="0"/>
    <x v="1"/>
    <d v="2025-07-06T00:00:00"/>
    <n v="2275.09"/>
    <n v="5537.8703846153821"/>
    <s v="DEV9470"/>
    <x v="0"/>
    <x v="0"/>
    <x v="0"/>
    <s v="Norway"/>
    <s v="Romania"/>
    <s v="Delivered by Post"/>
    <x v="0"/>
    <x v="0"/>
    <x v="0"/>
  </r>
  <r>
    <s v="T1955"/>
    <x v="13"/>
    <n v="1"/>
    <x v="0"/>
    <x v="0"/>
    <d v="2025-07-19T00:00:00"/>
    <n v="3319.93"/>
    <n v="5537.8703846153821"/>
    <s v="DEV3782"/>
    <x v="4"/>
    <x v="0"/>
    <x v="2"/>
    <s v="Bhutan"/>
    <s v="Romania"/>
    <s v="Delivered by Post"/>
    <x v="0"/>
    <x v="0"/>
    <x v="1"/>
  </r>
  <r>
    <s v="T2017"/>
    <x v="13"/>
    <n v="1"/>
    <x v="1"/>
    <x v="2"/>
    <d v="2025-01-12T00:00:00"/>
    <n v="9928.8700000000008"/>
    <n v="5537.8703846153821"/>
    <s v="DEV3726"/>
    <x v="2"/>
    <x v="1"/>
    <x v="4"/>
    <s v="Zimbabwe"/>
    <s v="Romania"/>
    <s v="Delivered by Post"/>
    <x v="1"/>
    <x v="0"/>
    <x v="0"/>
  </r>
  <r>
    <s v="T2042"/>
    <x v="13"/>
    <n v="1"/>
    <x v="1"/>
    <x v="1"/>
    <d v="2025-12-03T00:00:00"/>
    <n v="961.61"/>
    <n v="5537.8703846153821"/>
    <s v="DEV7935"/>
    <x v="4"/>
    <x v="2"/>
    <x v="5"/>
    <s v="Norway"/>
    <s v="France"/>
    <s v="Delivered by Post"/>
    <x v="0"/>
    <x v="1"/>
    <x v="1"/>
  </r>
  <r>
    <s v="T2068"/>
    <x v="13"/>
    <n v="1"/>
    <x v="1"/>
    <x v="3"/>
    <d v="2025-05-04T00:00:00"/>
    <n v="4370.0600000000004"/>
    <n v="5537.8703846153821"/>
    <s v="DEV1480"/>
    <x v="0"/>
    <x v="1"/>
    <x v="1"/>
    <s v="Turkmenistan"/>
    <s v="Comoros"/>
    <s v="Picked Up"/>
    <x v="0"/>
    <x v="0"/>
    <x v="0"/>
  </r>
  <r>
    <s v="T2107"/>
    <x v="13"/>
    <n v="1"/>
    <x v="1"/>
    <x v="0"/>
    <d v="2025-05-09T00:00:00"/>
    <n v="8877.39"/>
    <n v="5537.8703846153821"/>
    <s v="DEV6131"/>
    <x v="0"/>
    <x v="1"/>
    <x v="5"/>
    <s v="Turkmenistan"/>
    <s v="Comoros"/>
    <s v="Picked Up"/>
    <x v="1"/>
    <x v="0"/>
    <x v="0"/>
  </r>
  <r>
    <s v="T2108"/>
    <x v="13"/>
    <n v="1"/>
    <x v="0"/>
    <x v="0"/>
    <d v="2025-01-15T00:00:00"/>
    <n v="3805.17"/>
    <n v="5537.8703846153821"/>
    <s v="DEV9868"/>
    <x v="3"/>
    <x v="1"/>
    <x v="3"/>
    <s v="Romania"/>
    <s v="Bhutan"/>
    <s v="Picked Up"/>
    <x v="0"/>
    <x v="0"/>
    <x v="0"/>
  </r>
  <r>
    <s v="T2114"/>
    <x v="13"/>
    <n v="1"/>
    <x v="1"/>
    <x v="2"/>
    <d v="2025-05-05T00:00:00"/>
    <n v="6336.83"/>
    <n v="5537.8703846153821"/>
    <s v="DEV7683"/>
    <x v="3"/>
    <x v="0"/>
    <x v="0"/>
    <s v="Comoros"/>
    <s v="New Zealand"/>
    <s v="Delivered by Post"/>
    <x v="1"/>
    <x v="0"/>
    <x v="0"/>
  </r>
  <r>
    <s v="T2139"/>
    <x v="13"/>
    <n v="1"/>
    <x v="1"/>
    <x v="2"/>
    <d v="2025-06-18T00:00:00"/>
    <n v="3261.02"/>
    <n v="5537.8703846153821"/>
    <s v="DEV5237"/>
    <x v="0"/>
    <x v="0"/>
    <x v="5"/>
    <s v="Turkmenistan"/>
    <s v="Romania"/>
    <s v="Picked Up"/>
    <x v="0"/>
    <x v="0"/>
    <x v="0"/>
  </r>
  <r>
    <s v="T2151"/>
    <x v="13"/>
    <n v="1"/>
    <x v="0"/>
    <x v="3"/>
    <d v="2025-07-26T00:00:00"/>
    <n v="2574.61"/>
    <n v="5537.8703846153821"/>
    <s v="DEV7185"/>
    <x v="3"/>
    <x v="2"/>
    <x v="2"/>
    <s v="Turkmenistan"/>
    <s v="Zimbabwe"/>
    <s v="Picked Up"/>
    <x v="0"/>
    <x v="1"/>
    <x v="0"/>
  </r>
  <r>
    <s v="T2170"/>
    <x v="13"/>
    <n v="1"/>
    <x v="1"/>
    <x v="1"/>
    <d v="2025-12-22T00:00:00"/>
    <n v="9511.1200000000008"/>
    <n v="5537.8703846153821"/>
    <s v="DEV9011"/>
    <x v="2"/>
    <x v="3"/>
    <x v="1"/>
    <s v="Canada"/>
    <s v="Turkmenistan"/>
    <s v="Delivered by Post"/>
    <x v="1"/>
    <x v="1"/>
    <x v="0"/>
  </r>
  <r>
    <s v="T2172"/>
    <x v="13"/>
    <n v="1"/>
    <x v="0"/>
    <x v="1"/>
    <d v="2025-06-09T00:00:00"/>
    <n v="5403.47"/>
    <n v="5537.8703846153821"/>
    <s v="DEV2502"/>
    <x v="2"/>
    <x v="0"/>
    <x v="3"/>
    <s v="Canada"/>
    <s v="Romania"/>
    <s v="Picked Up"/>
    <x v="0"/>
    <x v="0"/>
    <x v="0"/>
  </r>
  <r>
    <s v="T2232"/>
    <x v="13"/>
    <n v="1"/>
    <x v="0"/>
    <x v="3"/>
    <d v="2025-03-15T00:00:00"/>
    <n v="3851.36"/>
    <n v="5537.8703846153821"/>
    <s v="DEV4376"/>
    <x v="2"/>
    <x v="0"/>
    <x v="3"/>
    <s v="Romania"/>
    <s v="Comoros"/>
    <s v="Delivered by Post"/>
    <x v="0"/>
    <x v="0"/>
    <x v="0"/>
  </r>
  <r>
    <s v="T2323"/>
    <x v="13"/>
    <n v="1"/>
    <x v="1"/>
    <x v="3"/>
    <d v="2025-09-06T00:00:00"/>
    <n v="5812.19"/>
    <n v="5537.8703846153821"/>
    <s v="DEV1551"/>
    <x v="2"/>
    <x v="1"/>
    <x v="0"/>
    <s v="Bhutan"/>
    <s v="Zimbabwe"/>
    <s v="Delivered by Post"/>
    <x v="1"/>
    <x v="0"/>
    <x v="0"/>
  </r>
  <r>
    <s v="T2405"/>
    <x v="13"/>
    <n v="1"/>
    <x v="1"/>
    <x v="1"/>
    <d v="2025-10-23T00:00:00"/>
    <n v="2359.2600000000002"/>
    <n v="5537.8703846153821"/>
    <s v="DEV2011"/>
    <x v="4"/>
    <x v="1"/>
    <x v="2"/>
    <s v="Canada"/>
    <s v="Turkmenistan"/>
    <s v="Picked Up"/>
    <x v="0"/>
    <x v="0"/>
    <x v="1"/>
  </r>
  <r>
    <s v="T2481"/>
    <x v="13"/>
    <n v="1"/>
    <x v="1"/>
    <x v="0"/>
    <d v="2025-12-15T00:00:00"/>
    <n v="6915.72"/>
    <n v="5537.8703846153821"/>
    <s v="DEV9567"/>
    <x v="1"/>
    <x v="0"/>
    <x v="5"/>
    <s v="Comoros"/>
    <s v="Zimbabwe"/>
    <s v="Delivered by Post"/>
    <x v="1"/>
    <x v="0"/>
    <x v="0"/>
  </r>
  <r>
    <s v="T2588"/>
    <x v="13"/>
    <n v="1"/>
    <x v="0"/>
    <x v="1"/>
    <d v="2025-09-09T00:00:00"/>
    <n v="4590.63"/>
    <n v="5537.8703846153821"/>
    <s v="DEV1737"/>
    <x v="3"/>
    <x v="2"/>
    <x v="2"/>
    <s v="Norway"/>
    <s v="Norway"/>
    <s v="Picked Up"/>
    <x v="0"/>
    <x v="1"/>
    <x v="0"/>
  </r>
  <r>
    <s v="T2642"/>
    <x v="13"/>
    <n v="1"/>
    <x v="1"/>
    <x v="1"/>
    <d v="2025-09-05T00:00:00"/>
    <n v="5167.43"/>
    <n v="5537.8703846153821"/>
    <s v="DEV8699"/>
    <x v="2"/>
    <x v="0"/>
    <x v="2"/>
    <s v="Comoros"/>
    <s v="Canada"/>
    <s v="Delivered by Post"/>
    <x v="0"/>
    <x v="0"/>
    <x v="0"/>
  </r>
  <r>
    <s v="T2648"/>
    <x v="13"/>
    <n v="1"/>
    <x v="1"/>
    <x v="2"/>
    <d v="2025-08-01T00:00:00"/>
    <n v="3761.47"/>
    <n v="5537.8703846153821"/>
    <s v="DEV1884"/>
    <x v="2"/>
    <x v="3"/>
    <x v="2"/>
    <s v="France"/>
    <s v="Zimbabwe"/>
    <s v="Picked Up"/>
    <x v="0"/>
    <x v="1"/>
    <x v="0"/>
  </r>
  <r>
    <s v="T2789"/>
    <x v="13"/>
    <n v="1"/>
    <x v="1"/>
    <x v="1"/>
    <d v="2025-03-10T00:00:00"/>
    <n v="9111"/>
    <n v="5537.8703846153821"/>
    <s v="DEV8216"/>
    <x v="2"/>
    <x v="2"/>
    <x v="5"/>
    <s v="Bhutan"/>
    <s v="Norway"/>
    <s v="Picked Up"/>
    <x v="1"/>
    <x v="1"/>
    <x v="0"/>
  </r>
  <r>
    <s v="T2846"/>
    <x v="13"/>
    <n v="1"/>
    <x v="0"/>
    <x v="1"/>
    <d v="2025-10-16T00:00:00"/>
    <n v="3953.35"/>
    <n v="5537.8703846153821"/>
    <s v="DEV2522"/>
    <x v="4"/>
    <x v="2"/>
    <x v="0"/>
    <s v="Canada"/>
    <s v="Canada"/>
    <s v="Delivered by Post"/>
    <x v="0"/>
    <x v="1"/>
    <x v="0"/>
  </r>
  <r>
    <s v="T0136"/>
    <x v="14"/>
    <n v="1"/>
    <x v="1"/>
    <x v="0"/>
    <d v="2025-10-13T00:00:00"/>
    <n v="1800.07"/>
    <n v="4999.0016666666679"/>
    <s v="DEV2988"/>
    <x v="0"/>
    <x v="2"/>
    <x v="4"/>
    <s v="Turkmenistan"/>
    <s v="Turkmenistan"/>
    <s v="Delivered by Post"/>
    <x v="0"/>
    <x v="1"/>
    <x v="0"/>
  </r>
  <r>
    <s v="T0160"/>
    <x v="14"/>
    <n v="1"/>
    <x v="0"/>
    <x v="3"/>
    <d v="2025-10-23T00:00:00"/>
    <n v="9621.02"/>
    <n v="4999.0016666666679"/>
    <s v="DEV3870"/>
    <x v="0"/>
    <x v="1"/>
    <x v="1"/>
    <s v="Norway"/>
    <s v="Bhutan"/>
    <s v="Delivered by Post"/>
    <x v="1"/>
    <x v="0"/>
    <x v="0"/>
  </r>
  <r>
    <s v="T0171"/>
    <x v="14"/>
    <n v="1"/>
    <x v="0"/>
    <x v="0"/>
    <d v="2025-08-16T00:00:00"/>
    <n v="7480.33"/>
    <n v="4999.0016666666679"/>
    <s v="DEV5906"/>
    <x v="1"/>
    <x v="0"/>
    <x v="1"/>
    <s v="Canada"/>
    <s v="France"/>
    <s v="Delivered by Post"/>
    <x v="1"/>
    <x v="0"/>
    <x v="0"/>
  </r>
  <r>
    <s v="T0173"/>
    <x v="14"/>
    <n v="1"/>
    <x v="1"/>
    <x v="0"/>
    <d v="2025-08-27T00:00:00"/>
    <n v="4638.4399999999996"/>
    <n v="4999.0016666666679"/>
    <s v="DEV9955"/>
    <x v="3"/>
    <x v="0"/>
    <x v="4"/>
    <s v="New Zealand"/>
    <s v="France"/>
    <s v="Delivered by Post"/>
    <x v="0"/>
    <x v="0"/>
    <x v="0"/>
  </r>
  <r>
    <s v="T0184"/>
    <x v="14"/>
    <n v="1"/>
    <x v="0"/>
    <x v="3"/>
    <d v="2025-03-16T00:00:00"/>
    <n v="3319.17"/>
    <n v="4999.0016666666679"/>
    <s v="DEV9850"/>
    <x v="4"/>
    <x v="2"/>
    <x v="2"/>
    <s v="Canada"/>
    <s v="Norway"/>
    <s v="Picked Up"/>
    <x v="0"/>
    <x v="1"/>
    <x v="1"/>
  </r>
  <r>
    <s v="T0246"/>
    <x v="14"/>
    <n v="1"/>
    <x v="1"/>
    <x v="1"/>
    <d v="2025-12-20T00:00:00"/>
    <n v="9417.7800000000007"/>
    <n v="4999.0016666666679"/>
    <s v="DEV9011"/>
    <x v="4"/>
    <x v="1"/>
    <x v="1"/>
    <s v="Turkmenistan"/>
    <s v="France"/>
    <s v="Delivered by Post"/>
    <x v="1"/>
    <x v="0"/>
    <x v="1"/>
  </r>
  <r>
    <s v="T0264"/>
    <x v="14"/>
    <n v="1"/>
    <x v="1"/>
    <x v="3"/>
    <d v="2025-05-02T00:00:00"/>
    <n v="8167.07"/>
    <n v="4999.0016666666679"/>
    <s v="DEV3347"/>
    <x v="2"/>
    <x v="2"/>
    <x v="4"/>
    <s v="France"/>
    <s v="France"/>
    <s v="Picked Up"/>
    <x v="1"/>
    <x v="1"/>
    <x v="0"/>
  </r>
  <r>
    <s v="T0312"/>
    <x v="14"/>
    <n v="1"/>
    <x v="0"/>
    <x v="0"/>
    <d v="2025-06-10T00:00:00"/>
    <n v="3861.55"/>
    <n v="4999.0016666666679"/>
    <s v="DEV5902"/>
    <x v="3"/>
    <x v="1"/>
    <x v="0"/>
    <s v="Norway"/>
    <s v="Zimbabwe"/>
    <s v="Picked Up"/>
    <x v="0"/>
    <x v="0"/>
    <x v="0"/>
  </r>
  <r>
    <s v="T0326"/>
    <x v="14"/>
    <n v="1"/>
    <x v="0"/>
    <x v="3"/>
    <d v="2025-01-01T00:00:00"/>
    <n v="5438.37"/>
    <n v="4999.0016666666679"/>
    <s v="DEV7164"/>
    <x v="4"/>
    <x v="0"/>
    <x v="0"/>
    <s v="Turkmenistan"/>
    <s v="Romania"/>
    <s v="Delivered by Post"/>
    <x v="1"/>
    <x v="0"/>
    <x v="1"/>
  </r>
  <r>
    <s v="T0399"/>
    <x v="14"/>
    <n v="1"/>
    <x v="1"/>
    <x v="1"/>
    <d v="2025-04-10T00:00:00"/>
    <n v="9119.2900000000009"/>
    <n v="4999.0016666666679"/>
    <s v="DEV8353"/>
    <x v="3"/>
    <x v="0"/>
    <x v="0"/>
    <s v="Norway"/>
    <s v="Turkmenistan"/>
    <s v="Picked Up"/>
    <x v="1"/>
    <x v="0"/>
    <x v="0"/>
  </r>
  <r>
    <s v="T0418"/>
    <x v="14"/>
    <n v="1"/>
    <x v="1"/>
    <x v="3"/>
    <d v="2025-04-30T00:00:00"/>
    <n v="7626.65"/>
    <n v="4999.0016666666679"/>
    <s v="DEV4387"/>
    <x v="2"/>
    <x v="3"/>
    <x v="4"/>
    <s v="Comoros"/>
    <s v="Comoros"/>
    <s v="Picked Up"/>
    <x v="1"/>
    <x v="1"/>
    <x v="0"/>
  </r>
  <r>
    <s v="T0421"/>
    <x v="14"/>
    <n v="1"/>
    <x v="0"/>
    <x v="1"/>
    <d v="2025-04-06T00:00:00"/>
    <n v="817.03"/>
    <n v="4999.0016666666679"/>
    <s v="DEV6934"/>
    <x v="2"/>
    <x v="0"/>
    <x v="3"/>
    <s v="Romania"/>
    <s v="Bhutan"/>
    <s v="Delivered by Post"/>
    <x v="0"/>
    <x v="0"/>
    <x v="0"/>
  </r>
  <r>
    <s v="T0484"/>
    <x v="14"/>
    <n v="1"/>
    <x v="0"/>
    <x v="0"/>
    <d v="2025-01-28T00:00:00"/>
    <n v="2036.87"/>
    <n v="4999.0016666666679"/>
    <s v="DEV3419"/>
    <x v="4"/>
    <x v="0"/>
    <x v="1"/>
    <s v="Zimbabwe"/>
    <s v="France"/>
    <s v="Delivered by Post"/>
    <x v="0"/>
    <x v="0"/>
    <x v="1"/>
  </r>
  <r>
    <s v="T0494"/>
    <x v="14"/>
    <n v="1"/>
    <x v="1"/>
    <x v="1"/>
    <d v="2025-09-15T00:00:00"/>
    <n v="6889.41"/>
    <n v="4999.0016666666679"/>
    <s v="DEV8680"/>
    <x v="4"/>
    <x v="2"/>
    <x v="4"/>
    <s v="Comoros"/>
    <s v="Comoros"/>
    <s v="Picked Up"/>
    <x v="1"/>
    <x v="1"/>
    <x v="0"/>
  </r>
  <r>
    <s v="T0595"/>
    <x v="14"/>
    <n v="1"/>
    <x v="0"/>
    <x v="3"/>
    <d v="2025-03-06T00:00:00"/>
    <n v="1330.71"/>
    <n v="4999.0016666666679"/>
    <s v="DEV3133"/>
    <x v="1"/>
    <x v="1"/>
    <x v="3"/>
    <s v="Zimbabwe"/>
    <s v="Zimbabwe"/>
    <s v="Picked Up"/>
    <x v="0"/>
    <x v="1"/>
    <x v="0"/>
  </r>
  <r>
    <s v="T0739"/>
    <x v="14"/>
    <n v="1"/>
    <x v="0"/>
    <x v="0"/>
    <d v="2025-07-25T00:00:00"/>
    <n v="2177.11"/>
    <n v="4999.0016666666679"/>
    <s v="DEV6181"/>
    <x v="1"/>
    <x v="1"/>
    <x v="0"/>
    <s v="Comoros"/>
    <s v="Romania"/>
    <s v="Picked Up"/>
    <x v="0"/>
    <x v="0"/>
    <x v="0"/>
  </r>
  <r>
    <s v="T0835"/>
    <x v="14"/>
    <n v="1"/>
    <x v="0"/>
    <x v="2"/>
    <d v="2025-09-02T00:00:00"/>
    <n v="3953.3"/>
    <n v="4999.0016666666679"/>
    <s v="DEV7637"/>
    <x v="0"/>
    <x v="2"/>
    <x v="2"/>
    <s v="New Zealand"/>
    <s v="Bhutan"/>
    <s v="Picked Up"/>
    <x v="0"/>
    <x v="1"/>
    <x v="0"/>
  </r>
  <r>
    <s v="T0893"/>
    <x v="14"/>
    <n v="1"/>
    <x v="0"/>
    <x v="0"/>
    <d v="2025-02-21T00:00:00"/>
    <n v="5276.43"/>
    <n v="4999.0016666666679"/>
    <s v="DEV6499"/>
    <x v="0"/>
    <x v="1"/>
    <x v="3"/>
    <s v="New Zealand"/>
    <s v="Turkmenistan"/>
    <s v="Delivered by Post"/>
    <x v="1"/>
    <x v="0"/>
    <x v="0"/>
  </r>
  <r>
    <s v="T0915"/>
    <x v="14"/>
    <n v="1"/>
    <x v="1"/>
    <x v="3"/>
    <d v="2025-04-29T00:00:00"/>
    <n v="1010.58"/>
    <n v="4999.0016666666679"/>
    <s v="DEV4876"/>
    <x v="1"/>
    <x v="2"/>
    <x v="3"/>
    <s v="Bhutan"/>
    <s v="Bhutan"/>
    <s v="Picked Up"/>
    <x v="0"/>
    <x v="1"/>
    <x v="0"/>
  </r>
  <r>
    <s v="T0927"/>
    <x v="14"/>
    <n v="1"/>
    <x v="1"/>
    <x v="0"/>
    <d v="2025-01-08T00:00:00"/>
    <n v="965.31"/>
    <n v="4999.0016666666679"/>
    <s v="DEV5094"/>
    <x v="1"/>
    <x v="0"/>
    <x v="2"/>
    <s v="Norway"/>
    <s v="Comoros"/>
    <s v="Picked Up"/>
    <x v="0"/>
    <x v="0"/>
    <x v="0"/>
  </r>
  <r>
    <s v="T0933"/>
    <x v="14"/>
    <n v="1"/>
    <x v="1"/>
    <x v="0"/>
    <d v="2025-12-05T00:00:00"/>
    <n v="2097.0100000000002"/>
    <n v="4999.0016666666679"/>
    <s v="DEV1512"/>
    <x v="2"/>
    <x v="3"/>
    <x v="2"/>
    <s v="New Zealand"/>
    <s v="France"/>
    <s v="Picked Up"/>
    <x v="0"/>
    <x v="1"/>
    <x v="0"/>
  </r>
  <r>
    <s v="T0946"/>
    <x v="14"/>
    <n v="1"/>
    <x v="0"/>
    <x v="1"/>
    <d v="2025-07-28T00:00:00"/>
    <n v="5714.96"/>
    <n v="4999.0016666666679"/>
    <s v="DEV3263"/>
    <x v="2"/>
    <x v="3"/>
    <x v="1"/>
    <s v="New Zealand"/>
    <s v="New Zealand"/>
    <s v="Picked Up"/>
    <x v="1"/>
    <x v="1"/>
    <x v="0"/>
  </r>
  <r>
    <s v="T0971"/>
    <x v="14"/>
    <n v="1"/>
    <x v="1"/>
    <x v="3"/>
    <d v="2025-12-26T00:00:00"/>
    <n v="9670.52"/>
    <n v="4999.0016666666679"/>
    <s v="DEV9300"/>
    <x v="3"/>
    <x v="1"/>
    <x v="2"/>
    <s v="Comoros"/>
    <s v="Bhutan"/>
    <s v="Delivered by Post"/>
    <x v="1"/>
    <x v="0"/>
    <x v="0"/>
  </r>
  <r>
    <s v="T0995"/>
    <x v="14"/>
    <n v="1"/>
    <x v="0"/>
    <x v="1"/>
    <d v="2025-06-01T00:00:00"/>
    <n v="8360.99"/>
    <n v="4999.0016666666679"/>
    <s v="DEV8202"/>
    <x v="4"/>
    <x v="0"/>
    <x v="4"/>
    <s v="New Zealand"/>
    <s v="New Zealand"/>
    <s v="Delivered by Post"/>
    <x v="1"/>
    <x v="1"/>
    <x v="0"/>
  </r>
  <r>
    <s v="T1041"/>
    <x v="14"/>
    <n v="1"/>
    <x v="1"/>
    <x v="2"/>
    <d v="2025-02-20T00:00:00"/>
    <n v="2477.21"/>
    <n v="4999.0016666666679"/>
    <s v="DEV1836"/>
    <x v="4"/>
    <x v="0"/>
    <x v="0"/>
    <s v="Comoros"/>
    <s v="Zimbabwe"/>
    <s v="Delivered by Post"/>
    <x v="0"/>
    <x v="0"/>
    <x v="1"/>
  </r>
  <r>
    <s v="T1117"/>
    <x v="14"/>
    <n v="1"/>
    <x v="0"/>
    <x v="1"/>
    <d v="2025-03-14T00:00:00"/>
    <n v="3749.25"/>
    <n v="4999.0016666666679"/>
    <s v="DEV5033"/>
    <x v="2"/>
    <x v="3"/>
    <x v="4"/>
    <s v="France"/>
    <s v="Romania"/>
    <s v="Delivered by Post"/>
    <x v="0"/>
    <x v="1"/>
    <x v="0"/>
  </r>
  <r>
    <s v="T1198"/>
    <x v="14"/>
    <n v="1"/>
    <x v="1"/>
    <x v="1"/>
    <d v="2026-01-01T00:00:00"/>
    <n v="3433.7"/>
    <n v="4999.0016666666679"/>
    <s v="DEV2902"/>
    <x v="1"/>
    <x v="2"/>
    <x v="0"/>
    <s v="Norway"/>
    <s v="Canada"/>
    <s v="Delivered by Post"/>
    <x v="0"/>
    <x v="1"/>
    <x v="0"/>
  </r>
  <r>
    <s v="T1301"/>
    <x v="14"/>
    <n v="1"/>
    <x v="0"/>
    <x v="2"/>
    <d v="2025-07-22T00:00:00"/>
    <n v="7383.19"/>
    <n v="4999.0016666666679"/>
    <s v="DEV3215"/>
    <x v="1"/>
    <x v="2"/>
    <x v="5"/>
    <s v="Romania"/>
    <s v="Norway"/>
    <s v="Picked Up"/>
    <x v="1"/>
    <x v="1"/>
    <x v="0"/>
  </r>
  <r>
    <s v="T1403"/>
    <x v="14"/>
    <n v="1"/>
    <x v="1"/>
    <x v="1"/>
    <d v="2025-08-06T00:00:00"/>
    <n v="9690.41"/>
    <n v="4999.0016666666679"/>
    <s v="DEV6351"/>
    <x v="2"/>
    <x v="3"/>
    <x v="4"/>
    <s v="France"/>
    <s v="Norway"/>
    <s v="Picked Up"/>
    <x v="1"/>
    <x v="1"/>
    <x v="0"/>
  </r>
  <r>
    <s v="T1484"/>
    <x v="14"/>
    <n v="1"/>
    <x v="1"/>
    <x v="0"/>
    <d v="2025-10-19T00:00:00"/>
    <n v="9472.69"/>
    <n v="4999.0016666666679"/>
    <s v="DEV4270"/>
    <x v="1"/>
    <x v="0"/>
    <x v="4"/>
    <s v="Zimbabwe"/>
    <s v="Bhutan"/>
    <s v="Delivered by Post"/>
    <x v="1"/>
    <x v="0"/>
    <x v="0"/>
  </r>
  <r>
    <s v="T1488"/>
    <x v="14"/>
    <n v="1"/>
    <x v="1"/>
    <x v="1"/>
    <d v="2025-07-04T00:00:00"/>
    <n v="6861.79"/>
    <n v="4999.0016666666679"/>
    <s v="DEV5194"/>
    <x v="2"/>
    <x v="2"/>
    <x v="1"/>
    <s v="Norway"/>
    <s v="Bhutan"/>
    <s v="Picked Up"/>
    <x v="1"/>
    <x v="1"/>
    <x v="0"/>
  </r>
  <r>
    <s v="T1503"/>
    <x v="14"/>
    <n v="1"/>
    <x v="1"/>
    <x v="2"/>
    <d v="2025-03-22T00:00:00"/>
    <n v="254.09"/>
    <n v="4999.0016666666679"/>
    <s v="DEV6375"/>
    <x v="1"/>
    <x v="2"/>
    <x v="0"/>
    <s v="New Zealand"/>
    <s v="Canada"/>
    <s v="Picked Up"/>
    <x v="0"/>
    <x v="1"/>
    <x v="0"/>
  </r>
  <r>
    <s v="T1559"/>
    <x v="14"/>
    <n v="1"/>
    <x v="0"/>
    <x v="1"/>
    <d v="2025-08-13T00:00:00"/>
    <n v="845.03"/>
    <n v="4999.0016666666679"/>
    <s v="DEV7379"/>
    <x v="1"/>
    <x v="1"/>
    <x v="1"/>
    <s v="Turkmenistan"/>
    <s v="Turkmenistan"/>
    <s v="Delivered by Post"/>
    <x v="0"/>
    <x v="1"/>
    <x v="0"/>
  </r>
  <r>
    <s v="T1566"/>
    <x v="14"/>
    <n v="1"/>
    <x v="1"/>
    <x v="2"/>
    <d v="2025-01-05T00:00:00"/>
    <n v="3244.91"/>
    <n v="4999.0016666666679"/>
    <s v="DEV7029"/>
    <x v="4"/>
    <x v="0"/>
    <x v="0"/>
    <s v="Turkmenistan"/>
    <s v="Norway"/>
    <s v="Delivered by Post"/>
    <x v="0"/>
    <x v="0"/>
    <x v="1"/>
  </r>
  <r>
    <s v="T1640"/>
    <x v="14"/>
    <n v="1"/>
    <x v="1"/>
    <x v="0"/>
    <d v="2025-02-05T00:00:00"/>
    <n v="1992.6"/>
    <n v="4999.0016666666679"/>
    <s v="DEV4293"/>
    <x v="3"/>
    <x v="2"/>
    <x v="4"/>
    <s v="Canada"/>
    <s v="Turkmenistan"/>
    <s v="Delivered by Post"/>
    <x v="0"/>
    <x v="1"/>
    <x v="0"/>
  </r>
  <r>
    <s v="T1689"/>
    <x v="14"/>
    <n v="1"/>
    <x v="1"/>
    <x v="3"/>
    <d v="2025-08-18T00:00:00"/>
    <n v="2822.09"/>
    <n v="4999.0016666666679"/>
    <s v="DEV9260"/>
    <x v="3"/>
    <x v="0"/>
    <x v="0"/>
    <s v="Turkmenistan"/>
    <s v="Bhutan"/>
    <s v="Delivered by Post"/>
    <x v="0"/>
    <x v="0"/>
    <x v="0"/>
  </r>
  <r>
    <s v="T1714"/>
    <x v="14"/>
    <n v="1"/>
    <x v="1"/>
    <x v="1"/>
    <d v="2025-02-03T00:00:00"/>
    <n v="3101.89"/>
    <n v="4999.0016666666679"/>
    <s v="DEV9467"/>
    <x v="4"/>
    <x v="1"/>
    <x v="5"/>
    <s v="Canada"/>
    <s v="Bhutan"/>
    <s v="Delivered by Post"/>
    <x v="0"/>
    <x v="0"/>
    <x v="1"/>
  </r>
  <r>
    <s v="T2003"/>
    <x v="14"/>
    <n v="1"/>
    <x v="1"/>
    <x v="1"/>
    <d v="2025-11-07T00:00:00"/>
    <n v="9120.57"/>
    <n v="4999.0016666666679"/>
    <s v="DEV4154"/>
    <x v="1"/>
    <x v="0"/>
    <x v="2"/>
    <s v="Romania"/>
    <s v="Comoros"/>
    <s v="Delivered by Post"/>
    <x v="1"/>
    <x v="0"/>
    <x v="0"/>
  </r>
  <r>
    <s v="T2007"/>
    <x v="14"/>
    <n v="1"/>
    <x v="0"/>
    <x v="2"/>
    <d v="2025-04-04T00:00:00"/>
    <n v="8721.4699999999993"/>
    <n v="4999.0016666666679"/>
    <s v="DEV6176"/>
    <x v="4"/>
    <x v="2"/>
    <x v="0"/>
    <s v="Comoros"/>
    <s v="New Zealand"/>
    <s v="Delivered by Post"/>
    <x v="1"/>
    <x v="1"/>
    <x v="1"/>
  </r>
  <r>
    <s v="T2521"/>
    <x v="14"/>
    <n v="1"/>
    <x v="0"/>
    <x v="3"/>
    <d v="2025-12-23T00:00:00"/>
    <n v="2210.14"/>
    <n v="4999.0016666666679"/>
    <s v="DEV3610"/>
    <x v="2"/>
    <x v="2"/>
    <x v="4"/>
    <s v="Norway"/>
    <s v="Romania"/>
    <s v="Delivered by Post"/>
    <x v="0"/>
    <x v="1"/>
    <x v="0"/>
  </r>
  <r>
    <s v="T2589"/>
    <x v="14"/>
    <n v="1"/>
    <x v="0"/>
    <x v="2"/>
    <d v="2025-01-08T00:00:00"/>
    <n v="8715.89"/>
    <n v="4999.0016666666679"/>
    <s v="DEV8380"/>
    <x v="3"/>
    <x v="0"/>
    <x v="1"/>
    <s v="Turkmenistan"/>
    <s v="Romania"/>
    <s v="Delivered by Post"/>
    <x v="1"/>
    <x v="0"/>
    <x v="0"/>
  </r>
  <r>
    <s v="T2787"/>
    <x v="14"/>
    <n v="1"/>
    <x v="0"/>
    <x v="3"/>
    <d v="2025-01-04T00:00:00"/>
    <n v="5071.18"/>
    <n v="4999.0016666666679"/>
    <s v="DEV3150"/>
    <x v="2"/>
    <x v="2"/>
    <x v="2"/>
    <s v="Comoros"/>
    <s v="France"/>
    <s v="Delivered by Post"/>
    <x v="1"/>
    <x v="1"/>
    <x v="0"/>
  </r>
  <r>
    <s v="T0066"/>
    <x v="15"/>
    <n v="1"/>
    <x v="1"/>
    <x v="3"/>
    <d v="2025-06-01T06:03:00"/>
    <n v="2212.86"/>
    <n v="4568.2275925925924"/>
    <s v="DEV6828"/>
    <x v="2"/>
    <x v="0"/>
    <x v="2"/>
    <s v="Saint Vincent and the Grenadines"/>
    <s v="Dominican Republic"/>
    <s v="Delivered by Post"/>
    <x v="0"/>
    <x v="0"/>
    <x v="0"/>
  </r>
  <r>
    <s v="T0078"/>
    <x v="15"/>
    <n v="1"/>
    <x v="0"/>
    <x v="0"/>
    <d v="2025-06-21T22:57:00"/>
    <n v="449.94"/>
    <n v="4568.2275925925924"/>
    <s v="DEV3149"/>
    <x v="4"/>
    <x v="0"/>
    <x v="4"/>
    <s v="Saint Vincent and the Grenadines"/>
    <s v="Mauritania"/>
    <s v="Picked Up"/>
    <x v="0"/>
    <x v="0"/>
    <x v="1"/>
  </r>
  <r>
    <s v="T0080"/>
    <x v="15"/>
    <n v="1"/>
    <x v="1"/>
    <x v="1"/>
    <d v="2025-07-10T09:32:00"/>
    <n v="8692.7199999999993"/>
    <n v="4568.2275925925924"/>
    <s v="DEV3633"/>
    <x v="3"/>
    <x v="1"/>
    <x v="2"/>
    <s v="Saint Vincent and the Grenadines"/>
    <s v="Croatia"/>
    <s v="Delivered by Post"/>
    <x v="1"/>
    <x v="0"/>
    <x v="0"/>
  </r>
  <r>
    <s v="T0144"/>
    <x v="15"/>
    <n v="1"/>
    <x v="0"/>
    <x v="2"/>
    <d v="2025-12-25T00:00:00"/>
    <n v="1305.9000000000001"/>
    <n v="4568.2275925925924"/>
    <s v="DEV7043"/>
    <x v="3"/>
    <x v="0"/>
    <x v="0"/>
    <s v="France"/>
    <s v="Zimbabwe"/>
    <s v="Picked Up"/>
    <x v="0"/>
    <x v="0"/>
    <x v="0"/>
  </r>
  <r>
    <s v="T0254"/>
    <x v="15"/>
    <n v="1"/>
    <x v="1"/>
    <x v="3"/>
    <d v="2025-06-18T00:00:00"/>
    <n v="117.96"/>
    <n v="4568.2275925925924"/>
    <s v="DEV1187"/>
    <x v="4"/>
    <x v="3"/>
    <x v="3"/>
    <s v="Romania"/>
    <s v="Canada"/>
    <s v="Picked Up"/>
    <x v="0"/>
    <x v="1"/>
    <x v="1"/>
  </r>
  <r>
    <s v="T0282"/>
    <x v="15"/>
    <n v="1"/>
    <x v="0"/>
    <x v="2"/>
    <d v="2025-12-31T00:00:00"/>
    <n v="7145.43"/>
    <n v="4568.2275925925924"/>
    <s v="DEV3527"/>
    <x v="0"/>
    <x v="3"/>
    <x v="1"/>
    <s v="Zimbabwe"/>
    <s v="Zimbabwe"/>
    <s v="Picked Up"/>
    <x v="1"/>
    <x v="1"/>
    <x v="0"/>
  </r>
  <r>
    <s v="T0319"/>
    <x v="15"/>
    <n v="1"/>
    <x v="1"/>
    <x v="0"/>
    <d v="2025-06-08T00:00:00"/>
    <n v="907.82"/>
    <n v="4568.2275925925924"/>
    <s v="DEV3877"/>
    <x v="1"/>
    <x v="0"/>
    <x v="3"/>
    <s v="Norway"/>
    <s v="Canada"/>
    <s v="Picked Up"/>
    <x v="0"/>
    <x v="0"/>
    <x v="0"/>
  </r>
  <r>
    <s v="T0338"/>
    <x v="15"/>
    <n v="1"/>
    <x v="0"/>
    <x v="1"/>
    <d v="2025-10-22T00:00:00"/>
    <n v="6585.8"/>
    <n v="4568.2275925925924"/>
    <s v="DEV6813"/>
    <x v="3"/>
    <x v="2"/>
    <x v="0"/>
    <s v="New Zealand"/>
    <s v="New Zealand"/>
    <s v="Picked Up"/>
    <x v="1"/>
    <x v="1"/>
    <x v="0"/>
  </r>
  <r>
    <s v="T0445"/>
    <x v="15"/>
    <n v="1"/>
    <x v="0"/>
    <x v="1"/>
    <d v="2025-03-18T00:00:00"/>
    <n v="5575.63"/>
    <n v="4568.2275925925924"/>
    <s v="DEV1159"/>
    <x v="3"/>
    <x v="1"/>
    <x v="4"/>
    <s v="Norway"/>
    <s v="Turkmenistan"/>
    <s v="Delivered by Post"/>
    <x v="1"/>
    <x v="0"/>
    <x v="0"/>
  </r>
  <r>
    <s v="T0464"/>
    <x v="15"/>
    <n v="1"/>
    <x v="1"/>
    <x v="1"/>
    <d v="2025-07-10T00:00:00"/>
    <n v="138.85"/>
    <n v="4568.2275925925924"/>
    <s v="DEV5075"/>
    <x v="3"/>
    <x v="1"/>
    <x v="2"/>
    <s v="New Zealand"/>
    <s v="Canada"/>
    <s v="Picked Up"/>
    <x v="0"/>
    <x v="0"/>
    <x v="0"/>
  </r>
  <r>
    <s v="T0553"/>
    <x v="15"/>
    <n v="1"/>
    <x v="0"/>
    <x v="0"/>
    <d v="2025-06-07T00:00:00"/>
    <n v="7027.9"/>
    <n v="4568.2275925925924"/>
    <s v="DEV8474"/>
    <x v="2"/>
    <x v="2"/>
    <x v="5"/>
    <s v="Zimbabwe"/>
    <s v="Zimbabwe"/>
    <s v="Picked Up"/>
    <x v="1"/>
    <x v="1"/>
    <x v="0"/>
  </r>
  <r>
    <s v="T0579"/>
    <x v="15"/>
    <n v="1"/>
    <x v="0"/>
    <x v="2"/>
    <d v="2025-05-14T00:00:00"/>
    <n v="1213.33"/>
    <n v="4568.2275925925924"/>
    <s v="DEV4022"/>
    <x v="3"/>
    <x v="0"/>
    <x v="3"/>
    <s v="New Zealand"/>
    <s v="New Zealand"/>
    <s v="Picked Up"/>
    <x v="0"/>
    <x v="1"/>
    <x v="0"/>
  </r>
  <r>
    <s v="T0619"/>
    <x v="15"/>
    <n v="1"/>
    <x v="1"/>
    <x v="2"/>
    <d v="2025-08-05T00:00:00"/>
    <n v="7980.6"/>
    <n v="4568.2275925925924"/>
    <s v="DEV1606"/>
    <x v="3"/>
    <x v="2"/>
    <x v="1"/>
    <s v="Norway"/>
    <s v="Canada"/>
    <s v="Delivered by Post"/>
    <x v="1"/>
    <x v="1"/>
    <x v="0"/>
  </r>
  <r>
    <s v="T0641"/>
    <x v="15"/>
    <n v="1"/>
    <x v="1"/>
    <x v="0"/>
    <d v="2025-05-26T00:00:00"/>
    <n v="7694.12"/>
    <n v="4568.2275925925924"/>
    <s v="DEV2998"/>
    <x v="0"/>
    <x v="3"/>
    <x v="5"/>
    <s v="Zimbabwe"/>
    <s v="New Zealand"/>
    <s v="Picked Up"/>
    <x v="1"/>
    <x v="1"/>
    <x v="0"/>
  </r>
  <r>
    <s v="T0644"/>
    <x v="15"/>
    <n v="1"/>
    <x v="0"/>
    <x v="0"/>
    <d v="2025-04-17T00:00:00"/>
    <n v="9652.24"/>
    <n v="4568.2275925925924"/>
    <s v="DEV7365"/>
    <x v="0"/>
    <x v="3"/>
    <x v="3"/>
    <s v="Norway"/>
    <s v="Zimbabwe"/>
    <s v="Delivered by Post"/>
    <x v="1"/>
    <x v="1"/>
    <x v="0"/>
  </r>
  <r>
    <s v="T0700"/>
    <x v="15"/>
    <n v="1"/>
    <x v="1"/>
    <x v="0"/>
    <d v="2025-06-20T00:00:00"/>
    <n v="1123.01"/>
    <n v="4568.2275925925924"/>
    <s v="DEV4878"/>
    <x v="1"/>
    <x v="1"/>
    <x v="2"/>
    <s v="Comoros"/>
    <s v="Zimbabwe"/>
    <s v="Picked Up"/>
    <x v="0"/>
    <x v="0"/>
    <x v="0"/>
  </r>
  <r>
    <s v="T0706"/>
    <x v="15"/>
    <n v="1"/>
    <x v="0"/>
    <x v="2"/>
    <d v="2025-06-26T00:00:00"/>
    <n v="5095.72"/>
    <n v="4568.2275925925924"/>
    <s v="DEV4282"/>
    <x v="3"/>
    <x v="0"/>
    <x v="1"/>
    <s v="Romania"/>
    <s v="Comoros"/>
    <s v="Delivered by Post"/>
    <x v="1"/>
    <x v="0"/>
    <x v="0"/>
  </r>
  <r>
    <s v="T0753"/>
    <x v="15"/>
    <n v="1"/>
    <x v="0"/>
    <x v="0"/>
    <d v="2025-03-01T00:00:00"/>
    <n v="6041.39"/>
    <n v="4568.2275925925924"/>
    <s v="DEV7297"/>
    <x v="0"/>
    <x v="0"/>
    <x v="5"/>
    <s v="Romania"/>
    <s v="Bhutan"/>
    <s v="Picked Up"/>
    <x v="1"/>
    <x v="0"/>
    <x v="0"/>
  </r>
  <r>
    <s v="T0889"/>
    <x v="15"/>
    <n v="1"/>
    <x v="0"/>
    <x v="2"/>
    <d v="2025-07-20T00:00:00"/>
    <n v="705.18"/>
    <n v="4568.2275925925924"/>
    <s v="DEV2659"/>
    <x v="3"/>
    <x v="3"/>
    <x v="4"/>
    <s v="Romania"/>
    <s v="Norway"/>
    <s v="Picked Up"/>
    <x v="0"/>
    <x v="1"/>
    <x v="0"/>
  </r>
  <r>
    <s v="T0958"/>
    <x v="15"/>
    <n v="1"/>
    <x v="0"/>
    <x v="1"/>
    <d v="2025-05-16T00:00:00"/>
    <n v="1411.9"/>
    <n v="4568.2275925925924"/>
    <s v="DEV3481"/>
    <x v="0"/>
    <x v="2"/>
    <x v="3"/>
    <s v="Comoros"/>
    <s v="France"/>
    <s v="Picked Up"/>
    <x v="0"/>
    <x v="1"/>
    <x v="0"/>
  </r>
  <r>
    <s v="T1096"/>
    <x v="15"/>
    <n v="1"/>
    <x v="1"/>
    <x v="0"/>
    <d v="2025-09-11T00:00:00"/>
    <n v="5502.47"/>
    <n v="4568.2275925925924"/>
    <s v="DEV4587"/>
    <x v="3"/>
    <x v="2"/>
    <x v="4"/>
    <s v="Romania"/>
    <s v="Norway"/>
    <s v="Picked Up"/>
    <x v="1"/>
    <x v="1"/>
    <x v="0"/>
  </r>
  <r>
    <s v="T1205"/>
    <x v="15"/>
    <n v="1"/>
    <x v="1"/>
    <x v="1"/>
    <d v="2025-05-15T00:00:00"/>
    <n v="6288.06"/>
    <n v="4568.2275925925924"/>
    <s v="DEV1977"/>
    <x v="0"/>
    <x v="0"/>
    <x v="1"/>
    <s v="Bhutan"/>
    <s v="Canada"/>
    <s v="Picked Up"/>
    <x v="1"/>
    <x v="0"/>
    <x v="0"/>
  </r>
  <r>
    <s v="T1230"/>
    <x v="15"/>
    <n v="1"/>
    <x v="0"/>
    <x v="1"/>
    <d v="2025-11-24T00:00:00"/>
    <n v="4576.6899999999996"/>
    <n v="4568.2275925925924"/>
    <s v="DEV1692"/>
    <x v="1"/>
    <x v="1"/>
    <x v="0"/>
    <s v="Canada"/>
    <s v="France"/>
    <s v="Delivered by Post"/>
    <x v="1"/>
    <x v="0"/>
    <x v="0"/>
  </r>
  <r>
    <s v="T1244"/>
    <x v="15"/>
    <n v="1"/>
    <x v="0"/>
    <x v="3"/>
    <d v="2025-07-31T00:00:00"/>
    <n v="4670.26"/>
    <n v="4568.2275925925924"/>
    <s v="DEV7551"/>
    <x v="0"/>
    <x v="3"/>
    <x v="1"/>
    <s v="Zimbabwe"/>
    <s v="Romania"/>
    <s v="Picked Up"/>
    <x v="1"/>
    <x v="1"/>
    <x v="0"/>
  </r>
  <r>
    <s v="T1341"/>
    <x v="15"/>
    <n v="1"/>
    <x v="1"/>
    <x v="0"/>
    <d v="2025-01-16T00:00:00"/>
    <n v="5896.73"/>
    <n v="4568.2275925925924"/>
    <s v="DEV8838"/>
    <x v="3"/>
    <x v="0"/>
    <x v="2"/>
    <s v="Turkmenistan"/>
    <s v="Bhutan"/>
    <s v="Delivered by Post"/>
    <x v="1"/>
    <x v="0"/>
    <x v="0"/>
  </r>
  <r>
    <s v="T1359"/>
    <x v="15"/>
    <n v="1"/>
    <x v="1"/>
    <x v="0"/>
    <d v="2025-03-23T00:00:00"/>
    <n v="4328.1099999999997"/>
    <n v="4568.2275925925924"/>
    <s v="DEV1619"/>
    <x v="4"/>
    <x v="0"/>
    <x v="5"/>
    <s v="Romania"/>
    <s v="Turkmenistan"/>
    <s v="Delivered by Post"/>
    <x v="0"/>
    <x v="0"/>
    <x v="1"/>
  </r>
  <r>
    <s v="T1388"/>
    <x v="15"/>
    <n v="1"/>
    <x v="1"/>
    <x v="1"/>
    <d v="2025-10-23T00:00:00"/>
    <n v="8972.23"/>
    <n v="4568.2275925925924"/>
    <s v="DEV4329"/>
    <x v="4"/>
    <x v="3"/>
    <x v="1"/>
    <s v="Bhutan"/>
    <s v="Zimbabwe"/>
    <s v="Delivered by Post"/>
    <x v="1"/>
    <x v="1"/>
    <x v="1"/>
  </r>
  <r>
    <s v="T1423"/>
    <x v="15"/>
    <n v="1"/>
    <x v="1"/>
    <x v="1"/>
    <d v="2025-02-27T00:00:00"/>
    <n v="3725.3"/>
    <n v="4568.2275925925924"/>
    <s v="DEV8281"/>
    <x v="1"/>
    <x v="3"/>
    <x v="3"/>
    <s v="Turkmenistan"/>
    <s v="Canada"/>
    <s v="Picked Up"/>
    <x v="0"/>
    <x v="1"/>
    <x v="0"/>
  </r>
  <r>
    <s v="T1590"/>
    <x v="15"/>
    <n v="1"/>
    <x v="1"/>
    <x v="0"/>
    <d v="2025-12-09T00:00:00"/>
    <n v="6984.05"/>
    <n v="4568.2275925925924"/>
    <s v="DEV8445"/>
    <x v="1"/>
    <x v="1"/>
    <x v="1"/>
    <s v="Canada"/>
    <s v="Romania"/>
    <s v="Picked Up"/>
    <x v="1"/>
    <x v="0"/>
    <x v="0"/>
  </r>
  <r>
    <s v="T1655"/>
    <x v="15"/>
    <n v="1"/>
    <x v="1"/>
    <x v="3"/>
    <d v="2025-03-10T00:00:00"/>
    <n v="9587.33"/>
    <n v="4568.2275925925924"/>
    <s v="DEV6163"/>
    <x v="4"/>
    <x v="0"/>
    <x v="0"/>
    <s v="Bhutan"/>
    <s v="Canada"/>
    <s v="Picked Up"/>
    <x v="1"/>
    <x v="0"/>
    <x v="1"/>
  </r>
  <r>
    <s v="T1678"/>
    <x v="15"/>
    <n v="1"/>
    <x v="0"/>
    <x v="0"/>
    <d v="2025-08-25T00:00:00"/>
    <n v="1408.79"/>
    <n v="4568.2275925925924"/>
    <s v="DEV8560"/>
    <x v="1"/>
    <x v="2"/>
    <x v="2"/>
    <s v="Comoros"/>
    <s v="Norway"/>
    <s v="Picked Up"/>
    <x v="0"/>
    <x v="1"/>
    <x v="0"/>
  </r>
  <r>
    <s v="T1693"/>
    <x v="15"/>
    <n v="1"/>
    <x v="1"/>
    <x v="2"/>
    <d v="2025-11-13T00:00:00"/>
    <n v="1431.69"/>
    <n v="4568.2275925925924"/>
    <s v="DEV7360"/>
    <x v="1"/>
    <x v="3"/>
    <x v="1"/>
    <s v="Turkmenistan"/>
    <s v="Zimbabwe"/>
    <s v="Delivered by Post"/>
    <x v="0"/>
    <x v="1"/>
    <x v="0"/>
  </r>
  <r>
    <s v="T1844"/>
    <x v="15"/>
    <n v="1"/>
    <x v="1"/>
    <x v="0"/>
    <d v="2025-07-06T00:00:00"/>
    <n v="3300.83"/>
    <n v="4568.2275925925924"/>
    <s v="DEV1222"/>
    <x v="3"/>
    <x v="1"/>
    <x v="2"/>
    <s v="Turkmenistan"/>
    <s v="France"/>
    <s v="Picked Up"/>
    <x v="0"/>
    <x v="0"/>
    <x v="0"/>
  </r>
  <r>
    <s v="T1859"/>
    <x v="15"/>
    <n v="1"/>
    <x v="1"/>
    <x v="0"/>
    <d v="2025-10-05T00:00:00"/>
    <n v="9938.51"/>
    <n v="4568.2275925925924"/>
    <s v="DEV5003"/>
    <x v="1"/>
    <x v="0"/>
    <x v="5"/>
    <s v="Norway"/>
    <s v="Norway"/>
    <s v="Picked Up"/>
    <x v="1"/>
    <x v="1"/>
    <x v="0"/>
  </r>
  <r>
    <s v="T1885"/>
    <x v="15"/>
    <n v="1"/>
    <x v="1"/>
    <x v="3"/>
    <d v="2025-03-20T00:00:00"/>
    <n v="4111.68"/>
    <n v="4568.2275925925924"/>
    <s v="DEV9399"/>
    <x v="0"/>
    <x v="0"/>
    <x v="0"/>
    <s v="Canada"/>
    <s v="New Zealand"/>
    <s v="Picked Up"/>
    <x v="0"/>
    <x v="0"/>
    <x v="0"/>
  </r>
  <r>
    <s v="T1932"/>
    <x v="15"/>
    <n v="1"/>
    <x v="0"/>
    <x v="3"/>
    <d v="2025-02-17T00:00:00"/>
    <n v="903.45"/>
    <n v="4568.2275925925924"/>
    <s v="DEV5098"/>
    <x v="3"/>
    <x v="1"/>
    <x v="4"/>
    <s v="Turkmenistan"/>
    <s v="Bhutan"/>
    <s v="Picked Up"/>
    <x v="0"/>
    <x v="0"/>
    <x v="0"/>
  </r>
  <r>
    <s v="T1938"/>
    <x v="15"/>
    <n v="1"/>
    <x v="0"/>
    <x v="1"/>
    <d v="2025-03-11T00:00:00"/>
    <n v="2097.7800000000002"/>
    <n v="4568.2275925925924"/>
    <s v="DEV5552"/>
    <x v="1"/>
    <x v="0"/>
    <x v="1"/>
    <s v="Romania"/>
    <s v="Norway"/>
    <s v="Picked Up"/>
    <x v="0"/>
    <x v="0"/>
    <x v="0"/>
  </r>
  <r>
    <s v="T1965"/>
    <x v="15"/>
    <n v="1"/>
    <x v="0"/>
    <x v="2"/>
    <d v="2025-06-04T00:00:00"/>
    <n v="5563.37"/>
    <n v="4568.2275925925924"/>
    <s v="DEV2821"/>
    <x v="0"/>
    <x v="0"/>
    <x v="5"/>
    <s v="France"/>
    <s v="Norway"/>
    <s v="Picked Up"/>
    <x v="1"/>
    <x v="0"/>
    <x v="0"/>
  </r>
  <r>
    <s v="T1976"/>
    <x v="15"/>
    <n v="1"/>
    <x v="1"/>
    <x v="1"/>
    <d v="2025-06-13T00:00:00"/>
    <n v="3502.94"/>
    <n v="4568.2275925925924"/>
    <s v="DEV3385"/>
    <x v="3"/>
    <x v="2"/>
    <x v="2"/>
    <s v="Bhutan"/>
    <s v="France"/>
    <s v="Picked Up"/>
    <x v="0"/>
    <x v="1"/>
    <x v="0"/>
  </r>
  <r>
    <s v="T2001"/>
    <x v="15"/>
    <n v="1"/>
    <x v="1"/>
    <x v="2"/>
    <d v="2025-01-13T00:00:00"/>
    <n v="739.01"/>
    <n v="4568.2275925925924"/>
    <s v="DEV8828"/>
    <x v="0"/>
    <x v="2"/>
    <x v="1"/>
    <s v="Romania"/>
    <s v="Norway"/>
    <s v="Picked Up"/>
    <x v="0"/>
    <x v="1"/>
    <x v="0"/>
  </r>
  <r>
    <s v="T2082"/>
    <x v="15"/>
    <n v="1"/>
    <x v="0"/>
    <x v="2"/>
    <d v="2025-09-10T00:00:00"/>
    <n v="9233.32"/>
    <n v="4568.2275925925924"/>
    <s v="DEV6091"/>
    <x v="4"/>
    <x v="0"/>
    <x v="3"/>
    <s v="New Zealand"/>
    <s v="Turkmenistan"/>
    <s v="Picked Up"/>
    <x v="1"/>
    <x v="0"/>
    <x v="1"/>
  </r>
  <r>
    <s v="T2100"/>
    <x v="15"/>
    <n v="1"/>
    <x v="0"/>
    <x v="3"/>
    <d v="2025-02-23T00:00:00"/>
    <n v="2726.49"/>
    <n v="4568.2275925925924"/>
    <s v="DEV4550"/>
    <x v="0"/>
    <x v="0"/>
    <x v="5"/>
    <s v="New Zealand"/>
    <s v="Zimbabwe"/>
    <s v="Picked Up"/>
    <x v="0"/>
    <x v="0"/>
    <x v="0"/>
  </r>
  <r>
    <s v="T2137"/>
    <x v="15"/>
    <n v="1"/>
    <x v="0"/>
    <x v="3"/>
    <d v="2025-06-25T00:00:00"/>
    <n v="7288.21"/>
    <n v="4568.2275925925924"/>
    <s v="DEV8368"/>
    <x v="4"/>
    <x v="2"/>
    <x v="1"/>
    <s v="Canada"/>
    <s v="New Zealand"/>
    <s v="Picked Up"/>
    <x v="1"/>
    <x v="1"/>
    <x v="1"/>
  </r>
  <r>
    <s v="T2159"/>
    <x v="15"/>
    <n v="1"/>
    <x v="0"/>
    <x v="1"/>
    <d v="2025-07-30T00:00:00"/>
    <n v="3452.47"/>
    <n v="4568.2275925925924"/>
    <s v="DEV1522"/>
    <x v="1"/>
    <x v="0"/>
    <x v="1"/>
    <s v="Comoros"/>
    <s v="Canada"/>
    <s v="Picked Up"/>
    <x v="0"/>
    <x v="0"/>
    <x v="0"/>
  </r>
  <r>
    <s v="T2199"/>
    <x v="15"/>
    <n v="1"/>
    <x v="0"/>
    <x v="1"/>
    <d v="2025-06-29T00:00:00"/>
    <n v="9356.8799999999992"/>
    <n v="4568.2275925925924"/>
    <s v="DEV9262"/>
    <x v="3"/>
    <x v="0"/>
    <x v="2"/>
    <s v="Bhutan"/>
    <s v="Romania"/>
    <s v="Picked Up"/>
    <x v="1"/>
    <x v="0"/>
    <x v="0"/>
  </r>
  <r>
    <s v="T2265"/>
    <x v="15"/>
    <n v="1"/>
    <x v="0"/>
    <x v="0"/>
    <d v="2025-11-15T00:00:00"/>
    <n v="8882.75"/>
    <n v="4568.2275925925924"/>
    <s v="DEV6341"/>
    <x v="2"/>
    <x v="1"/>
    <x v="4"/>
    <s v="Romania"/>
    <s v="Norway"/>
    <s v="Delivered by Post"/>
    <x v="1"/>
    <x v="0"/>
    <x v="0"/>
  </r>
  <r>
    <s v="T2279"/>
    <x v="15"/>
    <n v="1"/>
    <x v="0"/>
    <x v="3"/>
    <d v="2025-11-04T00:00:00"/>
    <n v="5849.1"/>
    <n v="4568.2275925925924"/>
    <s v="DEV9472"/>
    <x v="2"/>
    <x v="2"/>
    <x v="3"/>
    <s v="Zimbabwe"/>
    <s v="Norway"/>
    <s v="Delivered by Post"/>
    <x v="1"/>
    <x v="1"/>
    <x v="0"/>
  </r>
  <r>
    <s v="T2291"/>
    <x v="15"/>
    <n v="1"/>
    <x v="1"/>
    <x v="3"/>
    <d v="2025-12-04T00:00:00"/>
    <n v="8428.25"/>
    <n v="4568.2275925925924"/>
    <s v="DEV5655"/>
    <x v="3"/>
    <x v="2"/>
    <x v="2"/>
    <s v="Bhutan"/>
    <s v="Comoros"/>
    <s v="Picked Up"/>
    <x v="1"/>
    <x v="1"/>
    <x v="0"/>
  </r>
  <r>
    <s v="T2296"/>
    <x v="15"/>
    <n v="1"/>
    <x v="0"/>
    <x v="2"/>
    <d v="2025-01-25T00:00:00"/>
    <n v="2340.0100000000002"/>
    <n v="4568.2275925925924"/>
    <s v="DEV5072"/>
    <x v="3"/>
    <x v="3"/>
    <x v="2"/>
    <s v="Canada"/>
    <s v="Comoros"/>
    <s v="Picked Up"/>
    <x v="0"/>
    <x v="1"/>
    <x v="0"/>
  </r>
  <r>
    <s v="T2301"/>
    <x v="15"/>
    <n v="1"/>
    <x v="0"/>
    <x v="2"/>
    <d v="2025-03-10T00:00:00"/>
    <n v="223.62"/>
    <n v="4568.2275925925924"/>
    <s v="DEV9789"/>
    <x v="4"/>
    <x v="1"/>
    <x v="0"/>
    <s v="New Zealand"/>
    <s v="Norway"/>
    <s v="Picked Up"/>
    <x v="0"/>
    <x v="0"/>
    <x v="1"/>
  </r>
  <r>
    <s v="T2393"/>
    <x v="15"/>
    <n v="1"/>
    <x v="0"/>
    <x v="3"/>
    <d v="2025-11-17T00:00:00"/>
    <n v="3441.78"/>
    <n v="4568.2275925925924"/>
    <s v="DEV1887"/>
    <x v="0"/>
    <x v="1"/>
    <x v="1"/>
    <s v="Turkmenistan"/>
    <s v="New Zealand"/>
    <s v="Delivered by Post"/>
    <x v="0"/>
    <x v="0"/>
    <x v="0"/>
  </r>
  <r>
    <s v="T2442"/>
    <x v="15"/>
    <n v="1"/>
    <x v="1"/>
    <x v="1"/>
    <d v="2025-11-30T00:00:00"/>
    <n v="2518.35"/>
    <n v="4568.2275925925924"/>
    <s v="DEV9061"/>
    <x v="1"/>
    <x v="1"/>
    <x v="3"/>
    <s v="Norway"/>
    <s v="France"/>
    <s v="Delivered by Post"/>
    <x v="0"/>
    <x v="0"/>
    <x v="0"/>
  </r>
  <r>
    <s v="T2459"/>
    <x v="15"/>
    <n v="1"/>
    <x v="0"/>
    <x v="1"/>
    <d v="2025-09-16T00:00:00"/>
    <n v="5780.41"/>
    <n v="4568.2275925925924"/>
    <s v="DEV2492"/>
    <x v="0"/>
    <x v="2"/>
    <x v="5"/>
    <s v="Romania"/>
    <s v="Romania"/>
    <s v="Delivered by Post"/>
    <x v="1"/>
    <x v="1"/>
    <x v="0"/>
  </r>
  <r>
    <s v="T2580"/>
    <x v="15"/>
    <n v="1"/>
    <x v="0"/>
    <x v="2"/>
    <d v="2025-03-23T00:00:00"/>
    <n v="2555.0700000000002"/>
    <n v="4568.2275925925924"/>
    <s v="DEV5292"/>
    <x v="0"/>
    <x v="1"/>
    <x v="4"/>
    <s v="Bhutan"/>
    <s v="Bhutan"/>
    <s v="Delivered by Post"/>
    <x v="0"/>
    <x v="1"/>
    <x v="0"/>
  </r>
  <r>
    <s v="T0062"/>
    <x v="16"/>
    <n v="1"/>
    <x v="2"/>
    <x v="4"/>
    <d v="2025-07-30T01:06:00"/>
    <n v="831.95"/>
    <n v="5496.3600000000006"/>
    <s v="DEV2313"/>
    <x v="5"/>
    <x v="3"/>
    <x v="5"/>
    <s v="Congo"/>
    <s v="Croatia"/>
    <s v="Picked Up"/>
    <x v="0"/>
    <x v="1"/>
    <x v="1"/>
  </r>
  <r>
    <s v="T0064"/>
    <x v="16"/>
    <n v="1"/>
    <x v="1"/>
    <x v="3"/>
    <d v="2025-01-06T14:56:00"/>
    <n v="5667.31"/>
    <n v="5496.3600000000006"/>
    <s v="DEV2755"/>
    <x v="5"/>
    <x v="0"/>
    <x v="3"/>
    <s v="Congo"/>
    <s v="Belarus"/>
    <s v="Picked Up"/>
    <x v="1"/>
    <x v="0"/>
    <x v="1"/>
  </r>
  <r>
    <s v="T0121"/>
    <x v="16"/>
    <n v="1"/>
    <x v="0"/>
    <x v="3"/>
    <d v="2025-07-22T00:00:00"/>
    <n v="2082.38"/>
    <n v="5496.3600000000006"/>
    <s v="DEV5915"/>
    <x v="0"/>
    <x v="3"/>
    <x v="2"/>
    <s v="Canada"/>
    <s v="Comoros"/>
    <s v="Picked Up"/>
    <x v="0"/>
    <x v="1"/>
    <x v="0"/>
  </r>
  <r>
    <s v="T0259"/>
    <x v="16"/>
    <n v="1"/>
    <x v="0"/>
    <x v="0"/>
    <d v="2025-08-05T00:00:00"/>
    <n v="8173.71"/>
    <n v="5496.3600000000006"/>
    <s v="DEV2044"/>
    <x v="2"/>
    <x v="0"/>
    <x v="2"/>
    <s v="Comoros"/>
    <s v="Canada"/>
    <s v="Delivered by Post"/>
    <x v="1"/>
    <x v="0"/>
    <x v="0"/>
  </r>
  <r>
    <s v="T0271"/>
    <x v="16"/>
    <n v="1"/>
    <x v="1"/>
    <x v="3"/>
    <d v="2025-03-20T00:00:00"/>
    <n v="5555.45"/>
    <n v="5496.3600000000006"/>
    <s v="DEV6404"/>
    <x v="3"/>
    <x v="1"/>
    <x v="5"/>
    <s v="Romania"/>
    <s v="Comoros"/>
    <s v="Delivered by Post"/>
    <x v="1"/>
    <x v="0"/>
    <x v="0"/>
  </r>
  <r>
    <s v="T0272"/>
    <x v="16"/>
    <n v="1"/>
    <x v="1"/>
    <x v="2"/>
    <d v="2025-03-28T00:00:00"/>
    <n v="7645.44"/>
    <n v="5496.3600000000006"/>
    <s v="DEV6770"/>
    <x v="3"/>
    <x v="2"/>
    <x v="3"/>
    <s v="Turkmenistan"/>
    <s v="Comoros"/>
    <s v="Picked Up"/>
    <x v="1"/>
    <x v="1"/>
    <x v="0"/>
  </r>
  <r>
    <s v="T0321"/>
    <x v="16"/>
    <n v="1"/>
    <x v="0"/>
    <x v="2"/>
    <d v="2025-08-22T00:00:00"/>
    <n v="7137.62"/>
    <n v="5496.3600000000006"/>
    <s v="DEV6900"/>
    <x v="1"/>
    <x v="1"/>
    <x v="5"/>
    <s v="Norway"/>
    <s v="New Zealand"/>
    <s v="Picked Up"/>
    <x v="1"/>
    <x v="0"/>
    <x v="0"/>
  </r>
  <r>
    <s v="T0322"/>
    <x v="16"/>
    <n v="1"/>
    <x v="0"/>
    <x v="1"/>
    <d v="2025-09-18T00:00:00"/>
    <n v="7744.62"/>
    <n v="5496.3600000000006"/>
    <s v="DEV1721"/>
    <x v="1"/>
    <x v="2"/>
    <x v="2"/>
    <s v="Comoros"/>
    <s v="New Zealand"/>
    <s v="Delivered by Post"/>
    <x v="1"/>
    <x v="1"/>
    <x v="0"/>
  </r>
  <r>
    <s v="T0440"/>
    <x v="16"/>
    <n v="1"/>
    <x v="0"/>
    <x v="3"/>
    <d v="2025-03-21T00:00:00"/>
    <n v="2107.4499999999998"/>
    <n v="5496.3600000000006"/>
    <s v="DEV2964"/>
    <x v="1"/>
    <x v="1"/>
    <x v="5"/>
    <s v="Canada"/>
    <s v="Turkmenistan"/>
    <s v="Picked Up"/>
    <x v="0"/>
    <x v="0"/>
    <x v="0"/>
  </r>
  <r>
    <s v="T0500"/>
    <x v="16"/>
    <n v="1"/>
    <x v="0"/>
    <x v="0"/>
    <d v="2025-02-16T00:00:00"/>
    <n v="3274.54"/>
    <n v="5496.3600000000006"/>
    <s v="DEV8362"/>
    <x v="4"/>
    <x v="0"/>
    <x v="5"/>
    <s v="Bhutan"/>
    <s v="Turkmenistan"/>
    <s v="Picked Up"/>
    <x v="0"/>
    <x v="0"/>
    <x v="1"/>
  </r>
  <r>
    <s v="T0536"/>
    <x v="16"/>
    <n v="1"/>
    <x v="1"/>
    <x v="0"/>
    <d v="2025-02-27T00:00:00"/>
    <n v="1368.76"/>
    <n v="5496.3600000000006"/>
    <s v="DEV3860"/>
    <x v="2"/>
    <x v="2"/>
    <x v="3"/>
    <s v="Comoros"/>
    <s v="New Zealand"/>
    <s v="Picked Up"/>
    <x v="0"/>
    <x v="1"/>
    <x v="0"/>
  </r>
  <r>
    <s v="T0537"/>
    <x v="16"/>
    <n v="1"/>
    <x v="0"/>
    <x v="0"/>
    <d v="2025-06-25T00:00:00"/>
    <n v="7836.15"/>
    <n v="5496.3600000000006"/>
    <s v="DEV3376"/>
    <x v="2"/>
    <x v="2"/>
    <x v="4"/>
    <s v="Bhutan"/>
    <s v="Bhutan"/>
    <s v="Picked Up"/>
    <x v="1"/>
    <x v="1"/>
    <x v="0"/>
  </r>
  <r>
    <s v="T0541"/>
    <x v="16"/>
    <n v="1"/>
    <x v="0"/>
    <x v="1"/>
    <d v="2025-09-24T00:00:00"/>
    <n v="6560.72"/>
    <n v="5496.3600000000006"/>
    <s v="DEV3947"/>
    <x v="4"/>
    <x v="0"/>
    <x v="3"/>
    <s v="Canada"/>
    <s v="Zimbabwe"/>
    <s v="Picked Up"/>
    <x v="1"/>
    <x v="0"/>
    <x v="1"/>
  </r>
  <r>
    <s v="T0590"/>
    <x v="16"/>
    <n v="1"/>
    <x v="1"/>
    <x v="2"/>
    <d v="2025-12-21T00:00:00"/>
    <n v="1670.33"/>
    <n v="5496.3600000000006"/>
    <s v="DEV6855"/>
    <x v="3"/>
    <x v="0"/>
    <x v="1"/>
    <s v="New Zealand"/>
    <s v="Bhutan"/>
    <s v="Delivered by Post"/>
    <x v="0"/>
    <x v="0"/>
    <x v="0"/>
  </r>
  <r>
    <s v="T0605"/>
    <x v="16"/>
    <n v="1"/>
    <x v="0"/>
    <x v="0"/>
    <d v="2025-02-20T00:00:00"/>
    <n v="4918.95"/>
    <n v="5496.3600000000006"/>
    <s v="DEV1865"/>
    <x v="1"/>
    <x v="1"/>
    <x v="3"/>
    <s v="Canada"/>
    <s v="Norway"/>
    <s v="Delivered by Post"/>
    <x v="0"/>
    <x v="0"/>
    <x v="0"/>
  </r>
  <r>
    <s v="T0623"/>
    <x v="16"/>
    <n v="1"/>
    <x v="1"/>
    <x v="0"/>
    <d v="2025-06-12T00:00:00"/>
    <n v="8635.85"/>
    <n v="5496.3600000000006"/>
    <s v="DEV7943"/>
    <x v="0"/>
    <x v="2"/>
    <x v="1"/>
    <s v="Norway"/>
    <s v="New Zealand"/>
    <s v="Delivered by Post"/>
    <x v="1"/>
    <x v="1"/>
    <x v="0"/>
  </r>
  <r>
    <s v="T0629"/>
    <x v="16"/>
    <n v="1"/>
    <x v="1"/>
    <x v="3"/>
    <d v="2025-04-12T00:00:00"/>
    <n v="1776.12"/>
    <n v="5496.3600000000006"/>
    <s v="DEV7791"/>
    <x v="4"/>
    <x v="2"/>
    <x v="4"/>
    <s v="Bhutan"/>
    <s v="Romania"/>
    <s v="Picked Up"/>
    <x v="0"/>
    <x v="1"/>
    <x v="1"/>
  </r>
  <r>
    <s v="T0749"/>
    <x v="16"/>
    <n v="1"/>
    <x v="1"/>
    <x v="2"/>
    <d v="2025-10-15T00:00:00"/>
    <n v="3835.48"/>
    <n v="5496.3600000000006"/>
    <s v="DEV8878"/>
    <x v="1"/>
    <x v="3"/>
    <x v="0"/>
    <s v="Comoros"/>
    <s v="Romania"/>
    <s v="Picked Up"/>
    <x v="0"/>
    <x v="1"/>
    <x v="0"/>
  </r>
  <r>
    <s v="T0795"/>
    <x v="16"/>
    <n v="1"/>
    <x v="1"/>
    <x v="1"/>
    <d v="2025-06-06T00:00:00"/>
    <n v="2170.0100000000002"/>
    <n v="5496.3600000000006"/>
    <s v="DEV9446"/>
    <x v="1"/>
    <x v="1"/>
    <x v="5"/>
    <s v="Comoros"/>
    <s v="Canada"/>
    <s v="Delivered by Post"/>
    <x v="0"/>
    <x v="0"/>
    <x v="0"/>
  </r>
  <r>
    <s v="T0845"/>
    <x v="16"/>
    <n v="1"/>
    <x v="0"/>
    <x v="0"/>
    <d v="2025-05-06T00:00:00"/>
    <n v="8780.2199999999993"/>
    <n v="5496.3600000000006"/>
    <s v="DEV1130"/>
    <x v="3"/>
    <x v="0"/>
    <x v="1"/>
    <s v="Bhutan"/>
    <s v="Norway"/>
    <s v="Delivered by Post"/>
    <x v="1"/>
    <x v="0"/>
    <x v="0"/>
  </r>
  <r>
    <s v="T0902"/>
    <x v="16"/>
    <n v="1"/>
    <x v="1"/>
    <x v="3"/>
    <d v="2025-02-13T00:00:00"/>
    <n v="1400.12"/>
    <n v="5496.3600000000006"/>
    <s v="DEV8555"/>
    <x v="2"/>
    <x v="2"/>
    <x v="4"/>
    <s v="Bhutan"/>
    <s v="Zimbabwe"/>
    <s v="Picked Up"/>
    <x v="0"/>
    <x v="1"/>
    <x v="0"/>
  </r>
  <r>
    <s v="T0964"/>
    <x v="16"/>
    <n v="1"/>
    <x v="0"/>
    <x v="3"/>
    <d v="2025-11-22T00:00:00"/>
    <n v="9128.07"/>
    <n v="5496.3600000000006"/>
    <s v="DEV6054"/>
    <x v="0"/>
    <x v="1"/>
    <x v="0"/>
    <s v="Norway"/>
    <s v="Turkmenistan"/>
    <s v="Picked Up"/>
    <x v="1"/>
    <x v="0"/>
    <x v="0"/>
  </r>
  <r>
    <s v="T0982"/>
    <x v="16"/>
    <n v="1"/>
    <x v="1"/>
    <x v="3"/>
    <d v="2025-10-22T00:00:00"/>
    <n v="5658.41"/>
    <n v="5496.3600000000006"/>
    <s v="DEV5542"/>
    <x v="2"/>
    <x v="1"/>
    <x v="0"/>
    <s v="Norway"/>
    <s v="Canada"/>
    <s v="Picked Up"/>
    <x v="1"/>
    <x v="0"/>
    <x v="0"/>
  </r>
  <r>
    <s v="T1087"/>
    <x v="16"/>
    <n v="1"/>
    <x v="1"/>
    <x v="3"/>
    <d v="2025-02-12T00:00:00"/>
    <n v="6420.64"/>
    <n v="5496.3600000000006"/>
    <s v="DEV2656"/>
    <x v="0"/>
    <x v="2"/>
    <x v="5"/>
    <s v="Comoros"/>
    <s v="Romania"/>
    <s v="Delivered by Post"/>
    <x v="1"/>
    <x v="1"/>
    <x v="0"/>
  </r>
  <r>
    <s v="T1193"/>
    <x v="16"/>
    <n v="1"/>
    <x v="1"/>
    <x v="0"/>
    <d v="2025-08-05T00:00:00"/>
    <n v="7021.28"/>
    <n v="5496.3600000000006"/>
    <s v="DEV6751"/>
    <x v="0"/>
    <x v="0"/>
    <x v="4"/>
    <s v="Canada"/>
    <s v="Comoros"/>
    <s v="Picked Up"/>
    <x v="1"/>
    <x v="0"/>
    <x v="0"/>
  </r>
  <r>
    <s v="T1196"/>
    <x v="16"/>
    <n v="1"/>
    <x v="1"/>
    <x v="1"/>
    <d v="2025-08-20T00:00:00"/>
    <n v="5877.33"/>
    <n v="5496.3600000000006"/>
    <s v="DEV3666"/>
    <x v="1"/>
    <x v="3"/>
    <x v="5"/>
    <s v="New Zealand"/>
    <s v="Bhutan"/>
    <s v="Picked Up"/>
    <x v="1"/>
    <x v="1"/>
    <x v="0"/>
  </r>
  <r>
    <s v="T1288"/>
    <x v="16"/>
    <n v="1"/>
    <x v="0"/>
    <x v="2"/>
    <d v="2025-09-28T00:00:00"/>
    <n v="8106.62"/>
    <n v="5496.3600000000006"/>
    <s v="DEV3442"/>
    <x v="1"/>
    <x v="3"/>
    <x v="3"/>
    <s v="Turkmenistan"/>
    <s v="Bhutan"/>
    <s v="Delivered by Post"/>
    <x v="1"/>
    <x v="1"/>
    <x v="0"/>
  </r>
  <r>
    <s v="T1428"/>
    <x v="16"/>
    <n v="1"/>
    <x v="1"/>
    <x v="0"/>
    <d v="2025-07-01T00:00:00"/>
    <n v="9051.98"/>
    <n v="5496.3600000000006"/>
    <s v="DEV1721"/>
    <x v="0"/>
    <x v="2"/>
    <x v="0"/>
    <s v="Comoros"/>
    <s v="France"/>
    <s v="Picked Up"/>
    <x v="1"/>
    <x v="1"/>
    <x v="0"/>
  </r>
  <r>
    <s v="T1457"/>
    <x v="16"/>
    <n v="1"/>
    <x v="0"/>
    <x v="2"/>
    <d v="2025-11-08T00:00:00"/>
    <n v="3323.07"/>
    <n v="5496.3600000000006"/>
    <s v="DEV6324"/>
    <x v="2"/>
    <x v="2"/>
    <x v="1"/>
    <s v="Romania"/>
    <s v="New Zealand"/>
    <s v="Picked Up"/>
    <x v="0"/>
    <x v="1"/>
    <x v="0"/>
  </r>
  <r>
    <s v="T1502"/>
    <x v="16"/>
    <n v="1"/>
    <x v="0"/>
    <x v="2"/>
    <d v="2025-09-14T00:00:00"/>
    <n v="488.68"/>
    <n v="5496.3600000000006"/>
    <s v="DEV3053"/>
    <x v="3"/>
    <x v="2"/>
    <x v="5"/>
    <s v="France"/>
    <s v="France"/>
    <s v="Delivered by Post"/>
    <x v="0"/>
    <x v="1"/>
    <x v="0"/>
  </r>
  <r>
    <s v="T1603"/>
    <x v="16"/>
    <n v="1"/>
    <x v="1"/>
    <x v="3"/>
    <d v="2025-03-10T00:00:00"/>
    <n v="5584.91"/>
    <n v="5496.3600000000006"/>
    <s v="DEV1015"/>
    <x v="1"/>
    <x v="1"/>
    <x v="0"/>
    <s v="Turkmenistan"/>
    <s v="Comoros"/>
    <s v="Delivered by Post"/>
    <x v="1"/>
    <x v="0"/>
    <x v="0"/>
  </r>
  <r>
    <s v="T1622"/>
    <x v="16"/>
    <n v="1"/>
    <x v="0"/>
    <x v="2"/>
    <d v="2025-01-06T00:00:00"/>
    <n v="2935.66"/>
    <n v="5496.3600000000006"/>
    <s v="DEV3800"/>
    <x v="1"/>
    <x v="0"/>
    <x v="0"/>
    <s v="Bhutan"/>
    <s v="Norway"/>
    <s v="Delivered by Post"/>
    <x v="0"/>
    <x v="0"/>
    <x v="0"/>
  </r>
  <r>
    <s v="T1632"/>
    <x v="16"/>
    <n v="1"/>
    <x v="1"/>
    <x v="3"/>
    <d v="2025-10-05T00:00:00"/>
    <n v="5014.09"/>
    <n v="5496.3600000000006"/>
    <s v="DEV6335"/>
    <x v="4"/>
    <x v="2"/>
    <x v="5"/>
    <s v="Bhutan"/>
    <s v="New Zealand"/>
    <s v="Picked Up"/>
    <x v="0"/>
    <x v="1"/>
    <x v="1"/>
  </r>
  <r>
    <s v="T1669"/>
    <x v="16"/>
    <n v="1"/>
    <x v="0"/>
    <x v="0"/>
    <d v="2025-06-28T00:00:00"/>
    <n v="988.22"/>
    <n v="5496.3600000000006"/>
    <s v="DEV9399"/>
    <x v="0"/>
    <x v="0"/>
    <x v="0"/>
    <s v="Turkmenistan"/>
    <s v="Norway"/>
    <s v="Delivered by Post"/>
    <x v="0"/>
    <x v="0"/>
    <x v="0"/>
  </r>
  <r>
    <s v="T1680"/>
    <x v="16"/>
    <n v="1"/>
    <x v="1"/>
    <x v="2"/>
    <d v="2025-02-27T00:00:00"/>
    <n v="3196.32"/>
    <n v="5496.3600000000006"/>
    <s v="DEV2817"/>
    <x v="2"/>
    <x v="2"/>
    <x v="5"/>
    <s v="Zimbabwe"/>
    <s v="Comoros"/>
    <s v="Picked Up"/>
    <x v="0"/>
    <x v="1"/>
    <x v="0"/>
  </r>
  <r>
    <s v="T1686"/>
    <x v="16"/>
    <n v="1"/>
    <x v="1"/>
    <x v="1"/>
    <d v="2025-04-20T00:00:00"/>
    <n v="4815.75"/>
    <n v="5496.3600000000006"/>
    <s v="DEV7215"/>
    <x v="1"/>
    <x v="0"/>
    <x v="5"/>
    <s v="Turkmenistan"/>
    <s v="France"/>
    <s v="Delivered by Post"/>
    <x v="0"/>
    <x v="0"/>
    <x v="0"/>
  </r>
  <r>
    <s v="T1703"/>
    <x v="16"/>
    <n v="1"/>
    <x v="0"/>
    <x v="1"/>
    <d v="2025-10-15T00:00:00"/>
    <n v="4293.38"/>
    <n v="5496.3600000000006"/>
    <s v="DEV9558"/>
    <x v="3"/>
    <x v="1"/>
    <x v="2"/>
    <s v="Canada"/>
    <s v="Zimbabwe"/>
    <s v="Picked Up"/>
    <x v="0"/>
    <x v="0"/>
    <x v="0"/>
  </r>
  <r>
    <s v="T1715"/>
    <x v="16"/>
    <n v="1"/>
    <x v="0"/>
    <x v="0"/>
    <d v="2025-01-23T00:00:00"/>
    <n v="8668.4"/>
    <n v="5496.3600000000006"/>
    <s v="DEV2492"/>
    <x v="3"/>
    <x v="3"/>
    <x v="1"/>
    <s v="Romania"/>
    <s v="France"/>
    <s v="Picked Up"/>
    <x v="1"/>
    <x v="1"/>
    <x v="0"/>
  </r>
  <r>
    <s v="T1863"/>
    <x v="16"/>
    <n v="1"/>
    <x v="1"/>
    <x v="1"/>
    <d v="2025-04-27T00:00:00"/>
    <n v="6902.96"/>
    <n v="5496.3600000000006"/>
    <s v="DEV9458"/>
    <x v="4"/>
    <x v="3"/>
    <x v="0"/>
    <s v="Romania"/>
    <s v="France"/>
    <s v="Delivered by Post"/>
    <x v="1"/>
    <x v="1"/>
    <x v="1"/>
  </r>
  <r>
    <s v="T1871"/>
    <x v="16"/>
    <n v="1"/>
    <x v="1"/>
    <x v="2"/>
    <d v="2025-05-17T00:00:00"/>
    <n v="9461.35"/>
    <n v="5496.3600000000006"/>
    <s v="DEV8957"/>
    <x v="2"/>
    <x v="2"/>
    <x v="2"/>
    <s v="Turkmenistan"/>
    <s v="Romania"/>
    <s v="Delivered by Post"/>
    <x v="1"/>
    <x v="1"/>
    <x v="0"/>
  </r>
  <r>
    <s v="T1930"/>
    <x v="16"/>
    <n v="1"/>
    <x v="1"/>
    <x v="3"/>
    <d v="2025-04-20T00:00:00"/>
    <n v="6981.99"/>
    <n v="5496.3600000000006"/>
    <s v="DEV3195"/>
    <x v="1"/>
    <x v="3"/>
    <x v="2"/>
    <s v="New Zealand"/>
    <s v="France"/>
    <s v="Picked Up"/>
    <x v="1"/>
    <x v="1"/>
    <x v="0"/>
  </r>
  <r>
    <s v="T1972"/>
    <x v="16"/>
    <n v="1"/>
    <x v="1"/>
    <x v="0"/>
    <d v="2025-01-03T00:00:00"/>
    <n v="453.23"/>
    <n v="5496.3600000000006"/>
    <s v="DEV7747"/>
    <x v="0"/>
    <x v="0"/>
    <x v="3"/>
    <s v="France"/>
    <s v="Zimbabwe"/>
    <s v="Delivered by Post"/>
    <x v="0"/>
    <x v="0"/>
    <x v="0"/>
  </r>
  <r>
    <s v="T2048"/>
    <x v="16"/>
    <n v="1"/>
    <x v="1"/>
    <x v="2"/>
    <d v="2025-02-15T00:00:00"/>
    <n v="7077.46"/>
    <n v="5496.3600000000006"/>
    <s v="DEV7840"/>
    <x v="0"/>
    <x v="2"/>
    <x v="5"/>
    <s v="Canada"/>
    <s v="Turkmenistan"/>
    <s v="Picked Up"/>
    <x v="1"/>
    <x v="1"/>
    <x v="0"/>
  </r>
  <r>
    <s v="T2076"/>
    <x v="16"/>
    <n v="1"/>
    <x v="1"/>
    <x v="1"/>
    <d v="2025-12-08T00:00:00"/>
    <n v="1532.42"/>
    <n v="5496.3600000000006"/>
    <s v="DEV2818"/>
    <x v="1"/>
    <x v="3"/>
    <x v="4"/>
    <s v="Romania"/>
    <s v="Turkmenistan"/>
    <s v="Picked Up"/>
    <x v="0"/>
    <x v="1"/>
    <x v="0"/>
  </r>
  <r>
    <s v="T2173"/>
    <x v="16"/>
    <n v="1"/>
    <x v="0"/>
    <x v="1"/>
    <d v="2025-06-09T00:00:00"/>
    <n v="8668.18"/>
    <n v="5496.3600000000006"/>
    <s v="DEV2684"/>
    <x v="2"/>
    <x v="3"/>
    <x v="5"/>
    <s v="Comoros"/>
    <s v="Romania"/>
    <s v="Picked Up"/>
    <x v="1"/>
    <x v="1"/>
    <x v="0"/>
  </r>
  <r>
    <s v="T2251"/>
    <x v="16"/>
    <n v="1"/>
    <x v="0"/>
    <x v="3"/>
    <d v="2025-10-05T00:00:00"/>
    <n v="9945.7199999999993"/>
    <n v="5496.3600000000006"/>
    <s v="DEV9738"/>
    <x v="1"/>
    <x v="3"/>
    <x v="3"/>
    <s v="Comoros"/>
    <s v="Romania"/>
    <s v="Picked Up"/>
    <x v="1"/>
    <x v="1"/>
    <x v="0"/>
  </r>
  <r>
    <s v="T2351"/>
    <x v="16"/>
    <n v="1"/>
    <x v="0"/>
    <x v="1"/>
    <d v="2025-02-14T00:00:00"/>
    <n v="9681.0300000000007"/>
    <n v="5496.3600000000006"/>
    <s v="DEV1019"/>
    <x v="1"/>
    <x v="2"/>
    <x v="3"/>
    <s v="Romania"/>
    <s v="Turkmenistan"/>
    <s v="Delivered by Post"/>
    <x v="1"/>
    <x v="1"/>
    <x v="0"/>
  </r>
  <r>
    <s v="T2382"/>
    <x v="16"/>
    <n v="1"/>
    <x v="0"/>
    <x v="2"/>
    <d v="2025-03-02T00:00:00"/>
    <n v="9089.34"/>
    <n v="5496.3600000000006"/>
    <s v="DEV8074"/>
    <x v="1"/>
    <x v="3"/>
    <x v="0"/>
    <s v="Norway"/>
    <s v="Romania"/>
    <s v="Delivered by Post"/>
    <x v="1"/>
    <x v="1"/>
    <x v="0"/>
  </r>
  <r>
    <s v="T2414"/>
    <x v="16"/>
    <n v="1"/>
    <x v="1"/>
    <x v="3"/>
    <d v="2025-04-01T00:00:00"/>
    <n v="4427.6099999999997"/>
    <n v="5496.3600000000006"/>
    <s v="DEV8553"/>
    <x v="3"/>
    <x v="1"/>
    <x v="5"/>
    <s v="Comoros"/>
    <s v="France"/>
    <s v="Delivered by Post"/>
    <x v="0"/>
    <x v="0"/>
    <x v="0"/>
  </r>
  <r>
    <s v="T2436"/>
    <x v="16"/>
    <n v="1"/>
    <x v="1"/>
    <x v="3"/>
    <d v="2025-10-02T00:00:00"/>
    <n v="4326.3100000000004"/>
    <n v="5496.3600000000006"/>
    <s v="DEV5447"/>
    <x v="4"/>
    <x v="2"/>
    <x v="5"/>
    <s v="Norway"/>
    <s v="Bhutan"/>
    <s v="Delivered by Post"/>
    <x v="0"/>
    <x v="1"/>
    <x v="1"/>
  </r>
  <r>
    <s v="T2454"/>
    <x v="16"/>
    <n v="1"/>
    <x v="0"/>
    <x v="3"/>
    <d v="2025-06-25T00:00:00"/>
    <n v="465.5"/>
    <n v="5496.3600000000006"/>
    <s v="DEV5757"/>
    <x v="0"/>
    <x v="2"/>
    <x v="5"/>
    <s v="Comoros"/>
    <s v="Comoros"/>
    <s v="Picked Up"/>
    <x v="0"/>
    <x v="1"/>
    <x v="0"/>
  </r>
  <r>
    <s v="T2507"/>
    <x v="16"/>
    <n v="1"/>
    <x v="0"/>
    <x v="0"/>
    <d v="2025-10-26T00:00:00"/>
    <n v="2583.06"/>
    <n v="5496.3600000000006"/>
    <s v="DEV4950"/>
    <x v="1"/>
    <x v="1"/>
    <x v="1"/>
    <s v="France"/>
    <s v="Norway"/>
    <s v="Delivered by Post"/>
    <x v="0"/>
    <x v="0"/>
    <x v="0"/>
  </r>
  <r>
    <s v="T2562"/>
    <x v="16"/>
    <n v="1"/>
    <x v="0"/>
    <x v="0"/>
    <d v="2025-12-21T00:00:00"/>
    <n v="7484.15"/>
    <n v="5496.3600000000006"/>
    <s v="DEV9184"/>
    <x v="1"/>
    <x v="3"/>
    <x v="2"/>
    <s v="Turkmenistan"/>
    <s v="Romania"/>
    <s v="Delivered by Post"/>
    <x v="1"/>
    <x v="1"/>
    <x v="0"/>
  </r>
  <r>
    <s v="T2574"/>
    <x v="16"/>
    <n v="1"/>
    <x v="0"/>
    <x v="3"/>
    <d v="2025-12-24T00:00:00"/>
    <n v="8896.6"/>
    <n v="5496.3600000000006"/>
    <s v="DEV2230"/>
    <x v="4"/>
    <x v="0"/>
    <x v="5"/>
    <s v="Comoros"/>
    <s v="Turkmenistan"/>
    <s v="Picked Up"/>
    <x v="1"/>
    <x v="0"/>
    <x v="1"/>
  </r>
  <r>
    <s v="T2575"/>
    <x v="16"/>
    <n v="1"/>
    <x v="0"/>
    <x v="2"/>
    <d v="2025-09-04T00:00:00"/>
    <n v="6961.93"/>
    <n v="5496.3600000000006"/>
    <s v="DEV9912"/>
    <x v="3"/>
    <x v="3"/>
    <x v="2"/>
    <s v="Norway"/>
    <s v="Zimbabwe"/>
    <s v="Picked Up"/>
    <x v="1"/>
    <x v="1"/>
    <x v="0"/>
  </r>
  <r>
    <s v="T2631"/>
    <x v="16"/>
    <n v="1"/>
    <x v="0"/>
    <x v="2"/>
    <d v="2025-11-02T00:00:00"/>
    <n v="9692.08"/>
    <n v="5496.3600000000006"/>
    <s v="DEV2922"/>
    <x v="4"/>
    <x v="3"/>
    <x v="2"/>
    <s v="Norway"/>
    <s v="Comoros"/>
    <s v="Picked Up"/>
    <x v="1"/>
    <x v="1"/>
    <x v="1"/>
  </r>
  <r>
    <s v="T2658"/>
    <x v="16"/>
    <n v="1"/>
    <x v="1"/>
    <x v="1"/>
    <d v="2025-02-17T00:00:00"/>
    <n v="3871.02"/>
    <n v="5496.3600000000006"/>
    <s v="DEV6411"/>
    <x v="0"/>
    <x v="1"/>
    <x v="1"/>
    <s v="Norway"/>
    <s v="Romania"/>
    <s v="Delivered by Post"/>
    <x v="0"/>
    <x v="0"/>
    <x v="0"/>
  </r>
  <r>
    <s v="T2665"/>
    <x v="16"/>
    <n v="1"/>
    <x v="0"/>
    <x v="3"/>
    <d v="2025-03-19T00:00:00"/>
    <n v="8006.38"/>
    <n v="5496.3600000000006"/>
    <s v="DEV9357"/>
    <x v="0"/>
    <x v="1"/>
    <x v="1"/>
    <s v="Comoros"/>
    <s v="Zimbabwe"/>
    <s v="Delivered by Post"/>
    <x v="1"/>
    <x v="0"/>
    <x v="0"/>
  </r>
  <r>
    <s v="T2765"/>
    <x v="16"/>
    <n v="1"/>
    <x v="1"/>
    <x v="2"/>
    <d v="2025-01-12T00:00:00"/>
    <n v="4069.24"/>
    <n v="5496.3600000000006"/>
    <s v="DEV9640"/>
    <x v="1"/>
    <x v="0"/>
    <x v="3"/>
    <s v="Romania"/>
    <s v="Canada"/>
    <s v="Picked Up"/>
    <x v="0"/>
    <x v="0"/>
    <x v="0"/>
  </r>
  <r>
    <s v="T2802"/>
    <x v="16"/>
    <n v="1"/>
    <x v="0"/>
    <x v="3"/>
    <d v="2025-02-24T00:00:00"/>
    <n v="6640.87"/>
    <n v="5496.3600000000006"/>
    <s v="DEV7187"/>
    <x v="0"/>
    <x v="3"/>
    <x v="2"/>
    <s v="Comoros"/>
    <s v="Turkmenistan"/>
    <s v="Delivered by Post"/>
    <x v="1"/>
    <x v="1"/>
    <x v="0"/>
  </r>
  <r>
    <s v="T2842"/>
    <x v="16"/>
    <n v="1"/>
    <x v="0"/>
    <x v="0"/>
    <d v="2025-08-12T00:00:00"/>
    <n v="8313.5400000000009"/>
    <n v="5496.3600000000006"/>
    <s v="DEV8742"/>
    <x v="2"/>
    <x v="3"/>
    <x v="5"/>
    <s v="Norway"/>
    <s v="France"/>
    <s v="Delivered by Post"/>
    <x v="1"/>
    <x v="1"/>
    <x v="0"/>
  </r>
  <r>
    <s v="T0006"/>
    <x v="17"/>
    <n v="1"/>
    <x v="2"/>
    <x v="1"/>
    <d v="2025-03-19T01:03:00"/>
    <n v="5524.98"/>
    <n v="4816.681818181818"/>
    <s v="DEV1754"/>
    <x v="3"/>
    <x v="1"/>
    <x v="1"/>
    <s v="Oman"/>
    <s v="Israel"/>
    <s v="Delivered by Post"/>
    <x v="1"/>
    <x v="0"/>
    <x v="0"/>
  </r>
  <r>
    <s v="T0039"/>
    <x v="17"/>
    <n v="1"/>
    <x v="3"/>
    <x v="0"/>
    <d v="2025-04-26T13:35:00"/>
    <n v="1293.6400000000001"/>
    <n v="4816.681818181818"/>
    <s v="DEV1770"/>
    <x v="4"/>
    <x v="3"/>
    <x v="2"/>
    <s v="Oman"/>
    <s v="Netherlands"/>
    <s v="Picked Up"/>
    <x v="0"/>
    <x v="1"/>
    <x v="1"/>
  </r>
  <r>
    <s v="T0149"/>
    <x v="17"/>
    <n v="1"/>
    <x v="1"/>
    <x v="0"/>
    <d v="2025-09-22T00:00:00"/>
    <n v="8809.18"/>
    <n v="4816.681818181818"/>
    <s v="DEV2402"/>
    <x v="3"/>
    <x v="1"/>
    <x v="4"/>
    <s v="Turkmenistan"/>
    <s v="Romania"/>
    <s v="Delivered by Post"/>
    <x v="1"/>
    <x v="0"/>
    <x v="0"/>
  </r>
  <r>
    <s v="T0276"/>
    <x v="17"/>
    <n v="1"/>
    <x v="1"/>
    <x v="2"/>
    <d v="2025-10-17T00:00:00"/>
    <n v="7959.62"/>
    <n v="4816.681818181818"/>
    <s v="DEV4700"/>
    <x v="4"/>
    <x v="0"/>
    <x v="3"/>
    <s v="Canada"/>
    <s v="Zimbabwe"/>
    <s v="Delivered by Post"/>
    <x v="1"/>
    <x v="0"/>
    <x v="1"/>
  </r>
  <r>
    <s v="T0308"/>
    <x v="17"/>
    <n v="1"/>
    <x v="0"/>
    <x v="2"/>
    <d v="2025-06-25T00:00:00"/>
    <n v="3262.51"/>
    <n v="4816.681818181818"/>
    <s v="DEV1793"/>
    <x v="1"/>
    <x v="0"/>
    <x v="3"/>
    <s v="Comoros"/>
    <s v="Canada"/>
    <s v="Picked Up"/>
    <x v="0"/>
    <x v="0"/>
    <x v="0"/>
  </r>
  <r>
    <s v="T0318"/>
    <x v="17"/>
    <n v="1"/>
    <x v="0"/>
    <x v="1"/>
    <d v="2025-10-02T00:00:00"/>
    <n v="881.79"/>
    <n v="4816.681818181818"/>
    <s v="DEV7401"/>
    <x v="2"/>
    <x v="0"/>
    <x v="1"/>
    <s v="Bhutan"/>
    <s v="Romania"/>
    <s v="Picked Up"/>
    <x v="0"/>
    <x v="0"/>
    <x v="0"/>
  </r>
  <r>
    <s v="T0335"/>
    <x v="17"/>
    <n v="1"/>
    <x v="0"/>
    <x v="3"/>
    <d v="2025-09-13T00:00:00"/>
    <n v="4487.8100000000004"/>
    <n v="4816.681818181818"/>
    <s v="DEV8848"/>
    <x v="1"/>
    <x v="0"/>
    <x v="1"/>
    <s v="Bhutan"/>
    <s v="Norway"/>
    <s v="Delivered by Post"/>
    <x v="0"/>
    <x v="0"/>
    <x v="0"/>
  </r>
  <r>
    <s v="T0337"/>
    <x v="17"/>
    <n v="1"/>
    <x v="0"/>
    <x v="0"/>
    <d v="2025-05-24T00:00:00"/>
    <n v="1839.17"/>
    <n v="4816.681818181818"/>
    <s v="DEV8728"/>
    <x v="2"/>
    <x v="3"/>
    <x v="5"/>
    <s v="Romania"/>
    <s v="Norway"/>
    <s v="Picked Up"/>
    <x v="0"/>
    <x v="1"/>
    <x v="0"/>
  </r>
  <r>
    <s v="T0355"/>
    <x v="17"/>
    <n v="1"/>
    <x v="0"/>
    <x v="2"/>
    <d v="2025-02-27T00:00:00"/>
    <n v="5220.8999999999996"/>
    <n v="4816.681818181818"/>
    <s v="DEV3451"/>
    <x v="3"/>
    <x v="0"/>
    <x v="2"/>
    <s v="Zimbabwe"/>
    <s v="France"/>
    <s v="Delivered by Post"/>
    <x v="1"/>
    <x v="0"/>
    <x v="0"/>
  </r>
  <r>
    <s v="T0387"/>
    <x v="17"/>
    <n v="1"/>
    <x v="1"/>
    <x v="2"/>
    <d v="2025-05-01T00:00:00"/>
    <n v="550.99"/>
    <n v="4816.681818181818"/>
    <s v="DEV8521"/>
    <x v="0"/>
    <x v="1"/>
    <x v="2"/>
    <s v="Comoros"/>
    <s v="Comoros"/>
    <s v="Delivered by Post"/>
    <x v="0"/>
    <x v="1"/>
    <x v="0"/>
  </r>
  <r>
    <s v="T0394"/>
    <x v="17"/>
    <n v="1"/>
    <x v="1"/>
    <x v="2"/>
    <d v="2025-03-10T00:00:00"/>
    <n v="4008.81"/>
    <n v="4816.681818181818"/>
    <s v="DEV7762"/>
    <x v="2"/>
    <x v="3"/>
    <x v="3"/>
    <s v="Turkmenistan"/>
    <s v="New Zealand"/>
    <s v="Picked Up"/>
    <x v="0"/>
    <x v="1"/>
    <x v="0"/>
  </r>
  <r>
    <s v="T0573"/>
    <x v="17"/>
    <n v="1"/>
    <x v="0"/>
    <x v="0"/>
    <d v="2025-07-10T00:00:00"/>
    <n v="5060.4799999999996"/>
    <n v="4816.681818181818"/>
    <s v="DEV8412"/>
    <x v="0"/>
    <x v="0"/>
    <x v="4"/>
    <s v="Turkmenistan"/>
    <s v="Turkmenistan"/>
    <s v="Delivered by Post"/>
    <x v="1"/>
    <x v="1"/>
    <x v="0"/>
  </r>
  <r>
    <s v="T0575"/>
    <x v="17"/>
    <n v="1"/>
    <x v="0"/>
    <x v="1"/>
    <d v="2025-09-24T00:00:00"/>
    <n v="1164.6400000000001"/>
    <n v="4816.681818181818"/>
    <s v="DEV1371"/>
    <x v="4"/>
    <x v="1"/>
    <x v="3"/>
    <s v="Turkmenistan"/>
    <s v="Norway"/>
    <s v="Delivered by Post"/>
    <x v="0"/>
    <x v="0"/>
    <x v="1"/>
  </r>
  <r>
    <s v="T0592"/>
    <x v="17"/>
    <n v="1"/>
    <x v="0"/>
    <x v="3"/>
    <d v="2025-03-15T00:00:00"/>
    <n v="6870.17"/>
    <n v="4816.681818181818"/>
    <s v="DEV3243"/>
    <x v="2"/>
    <x v="3"/>
    <x v="1"/>
    <s v="Comoros"/>
    <s v="Bhutan"/>
    <s v="Delivered by Post"/>
    <x v="1"/>
    <x v="1"/>
    <x v="0"/>
  </r>
  <r>
    <s v="T0615"/>
    <x v="17"/>
    <n v="1"/>
    <x v="1"/>
    <x v="2"/>
    <d v="2025-04-18T00:00:00"/>
    <n v="719.33"/>
    <n v="4816.681818181818"/>
    <s v="DEV2256"/>
    <x v="4"/>
    <x v="3"/>
    <x v="4"/>
    <s v="Turkmenistan"/>
    <s v="New Zealand"/>
    <s v="Picked Up"/>
    <x v="0"/>
    <x v="1"/>
    <x v="1"/>
  </r>
  <r>
    <s v="T0620"/>
    <x v="17"/>
    <n v="1"/>
    <x v="0"/>
    <x v="2"/>
    <d v="2025-01-11T00:00:00"/>
    <n v="6603.77"/>
    <n v="4816.681818181818"/>
    <s v="DEV2375"/>
    <x v="4"/>
    <x v="3"/>
    <x v="2"/>
    <s v="Bhutan"/>
    <s v="New Zealand"/>
    <s v="Picked Up"/>
    <x v="1"/>
    <x v="1"/>
    <x v="1"/>
  </r>
  <r>
    <s v="T0646"/>
    <x v="17"/>
    <n v="1"/>
    <x v="1"/>
    <x v="3"/>
    <d v="2025-11-11T00:00:00"/>
    <n v="5652.42"/>
    <n v="4816.681818181818"/>
    <s v="DEV8112"/>
    <x v="0"/>
    <x v="0"/>
    <x v="2"/>
    <s v="Turkmenistan"/>
    <s v="New Zealand"/>
    <s v="Delivered by Post"/>
    <x v="1"/>
    <x v="0"/>
    <x v="0"/>
  </r>
  <r>
    <s v="T0657"/>
    <x v="17"/>
    <n v="1"/>
    <x v="1"/>
    <x v="0"/>
    <d v="2025-09-11T00:00:00"/>
    <n v="8934.1299999999992"/>
    <n v="4816.681818181818"/>
    <s v="DEV6681"/>
    <x v="0"/>
    <x v="1"/>
    <x v="2"/>
    <s v="Norway"/>
    <s v="France"/>
    <s v="Picked Up"/>
    <x v="1"/>
    <x v="0"/>
    <x v="0"/>
  </r>
  <r>
    <s v="T0665"/>
    <x v="17"/>
    <n v="1"/>
    <x v="1"/>
    <x v="1"/>
    <d v="2025-03-19T00:00:00"/>
    <n v="3755.74"/>
    <n v="4816.681818181818"/>
    <s v="DEV7909"/>
    <x v="3"/>
    <x v="2"/>
    <x v="4"/>
    <s v="Bhutan"/>
    <s v="Bhutan"/>
    <s v="Delivered by Post"/>
    <x v="0"/>
    <x v="1"/>
    <x v="0"/>
  </r>
  <r>
    <s v="T0728"/>
    <x v="17"/>
    <n v="1"/>
    <x v="1"/>
    <x v="0"/>
    <d v="2025-07-24T00:00:00"/>
    <n v="2056.94"/>
    <n v="4816.681818181818"/>
    <s v="DEV5044"/>
    <x v="2"/>
    <x v="3"/>
    <x v="5"/>
    <s v="Comoros"/>
    <s v="Comoros"/>
    <s v="Delivered by Post"/>
    <x v="0"/>
    <x v="1"/>
    <x v="0"/>
  </r>
  <r>
    <s v="T0758"/>
    <x v="17"/>
    <n v="1"/>
    <x v="0"/>
    <x v="2"/>
    <d v="2025-09-06T00:00:00"/>
    <n v="689.41"/>
    <n v="4816.681818181818"/>
    <s v="DEV2651"/>
    <x v="1"/>
    <x v="0"/>
    <x v="1"/>
    <s v="Canada"/>
    <s v="Canada"/>
    <s v="Picked Up"/>
    <x v="0"/>
    <x v="1"/>
    <x v="0"/>
  </r>
  <r>
    <s v="T0836"/>
    <x v="17"/>
    <n v="1"/>
    <x v="1"/>
    <x v="0"/>
    <d v="2025-05-03T00:00:00"/>
    <n v="1128.5899999999999"/>
    <n v="4816.681818181818"/>
    <s v="DEV3666"/>
    <x v="2"/>
    <x v="0"/>
    <x v="2"/>
    <s v="Romania"/>
    <s v="Canada"/>
    <s v="Delivered by Post"/>
    <x v="0"/>
    <x v="0"/>
    <x v="0"/>
  </r>
  <r>
    <s v="T0864"/>
    <x v="17"/>
    <n v="1"/>
    <x v="0"/>
    <x v="0"/>
    <d v="2025-02-26T00:00:00"/>
    <n v="875.49"/>
    <n v="4816.681818181818"/>
    <s v="DEV3010"/>
    <x v="1"/>
    <x v="2"/>
    <x v="1"/>
    <s v="France"/>
    <s v="Norway"/>
    <s v="Picked Up"/>
    <x v="0"/>
    <x v="1"/>
    <x v="0"/>
  </r>
  <r>
    <s v="T0932"/>
    <x v="17"/>
    <n v="1"/>
    <x v="0"/>
    <x v="0"/>
    <d v="2025-05-23T00:00:00"/>
    <n v="5902.99"/>
    <n v="4816.681818181818"/>
    <s v="DEV7290"/>
    <x v="0"/>
    <x v="0"/>
    <x v="4"/>
    <s v="Bhutan"/>
    <s v="Comoros"/>
    <s v="Picked Up"/>
    <x v="1"/>
    <x v="0"/>
    <x v="0"/>
  </r>
  <r>
    <s v="T0963"/>
    <x v="17"/>
    <n v="1"/>
    <x v="1"/>
    <x v="0"/>
    <d v="2025-10-15T00:00:00"/>
    <n v="5099.5"/>
    <n v="4816.681818181818"/>
    <s v="DEV5286"/>
    <x v="4"/>
    <x v="1"/>
    <x v="4"/>
    <s v="Comoros"/>
    <s v="Bhutan"/>
    <s v="Delivered by Post"/>
    <x v="1"/>
    <x v="0"/>
    <x v="1"/>
  </r>
  <r>
    <s v="T1083"/>
    <x v="17"/>
    <n v="1"/>
    <x v="0"/>
    <x v="1"/>
    <d v="2025-08-16T00:00:00"/>
    <n v="1447.38"/>
    <n v="4816.681818181818"/>
    <s v="DEV5513"/>
    <x v="4"/>
    <x v="0"/>
    <x v="3"/>
    <s v="Zimbabwe"/>
    <s v="Turkmenistan"/>
    <s v="Delivered by Post"/>
    <x v="0"/>
    <x v="0"/>
    <x v="1"/>
  </r>
  <r>
    <s v="T1091"/>
    <x v="17"/>
    <n v="1"/>
    <x v="1"/>
    <x v="3"/>
    <d v="2025-03-24T00:00:00"/>
    <n v="4487.7700000000004"/>
    <n v="4816.681818181818"/>
    <s v="DEV9966"/>
    <x v="4"/>
    <x v="1"/>
    <x v="1"/>
    <s v="Norway"/>
    <s v="Comoros"/>
    <s v="Picked Up"/>
    <x v="0"/>
    <x v="0"/>
    <x v="1"/>
  </r>
  <r>
    <s v="T1133"/>
    <x v="17"/>
    <n v="1"/>
    <x v="0"/>
    <x v="2"/>
    <d v="2025-10-22T00:00:00"/>
    <n v="9837.14"/>
    <n v="4816.681818181818"/>
    <s v="DEV3468"/>
    <x v="0"/>
    <x v="3"/>
    <x v="4"/>
    <s v="Romania"/>
    <s v="Norway"/>
    <s v="Delivered by Post"/>
    <x v="1"/>
    <x v="1"/>
    <x v="0"/>
  </r>
  <r>
    <s v="T1144"/>
    <x v="17"/>
    <n v="1"/>
    <x v="0"/>
    <x v="3"/>
    <d v="2025-09-18T00:00:00"/>
    <n v="878.9"/>
    <n v="4816.681818181818"/>
    <s v="DEV1376"/>
    <x v="3"/>
    <x v="0"/>
    <x v="0"/>
    <s v="Zimbabwe"/>
    <s v="Norway"/>
    <s v="Delivered by Post"/>
    <x v="0"/>
    <x v="0"/>
    <x v="0"/>
  </r>
  <r>
    <s v="T1183"/>
    <x v="17"/>
    <n v="1"/>
    <x v="0"/>
    <x v="1"/>
    <d v="2025-12-20T00:00:00"/>
    <n v="292.91000000000003"/>
    <n v="4816.681818181818"/>
    <s v="DEV1031"/>
    <x v="1"/>
    <x v="1"/>
    <x v="5"/>
    <s v="Comoros"/>
    <s v="Romania"/>
    <s v="Picked Up"/>
    <x v="0"/>
    <x v="0"/>
    <x v="0"/>
  </r>
  <r>
    <s v="T1224"/>
    <x v="17"/>
    <n v="1"/>
    <x v="1"/>
    <x v="1"/>
    <d v="2025-03-28T00:00:00"/>
    <n v="3697.62"/>
    <n v="4816.681818181818"/>
    <s v="DEV9473"/>
    <x v="2"/>
    <x v="2"/>
    <x v="2"/>
    <s v="Bhutan"/>
    <s v="New Zealand"/>
    <s v="Picked Up"/>
    <x v="0"/>
    <x v="1"/>
    <x v="0"/>
  </r>
  <r>
    <s v="T1243"/>
    <x v="17"/>
    <n v="1"/>
    <x v="1"/>
    <x v="2"/>
    <d v="2025-01-27T00:00:00"/>
    <n v="3315.13"/>
    <n v="4816.681818181818"/>
    <s v="DEV5920"/>
    <x v="4"/>
    <x v="0"/>
    <x v="0"/>
    <s v="Turkmenistan"/>
    <s v="Romania"/>
    <s v="Picked Up"/>
    <x v="0"/>
    <x v="0"/>
    <x v="1"/>
  </r>
  <r>
    <s v="T1286"/>
    <x v="17"/>
    <n v="1"/>
    <x v="0"/>
    <x v="0"/>
    <d v="2025-05-01T00:00:00"/>
    <n v="1646.56"/>
    <n v="4816.681818181818"/>
    <s v="DEV8961"/>
    <x v="0"/>
    <x v="2"/>
    <x v="5"/>
    <s v="Turkmenistan"/>
    <s v="Norway"/>
    <s v="Picked Up"/>
    <x v="0"/>
    <x v="1"/>
    <x v="0"/>
  </r>
  <r>
    <s v="T1287"/>
    <x v="17"/>
    <n v="1"/>
    <x v="0"/>
    <x v="3"/>
    <d v="2025-12-04T00:00:00"/>
    <n v="7226.36"/>
    <n v="4816.681818181818"/>
    <s v="DEV6082"/>
    <x v="0"/>
    <x v="0"/>
    <x v="2"/>
    <s v="Zimbabwe"/>
    <s v="Romania"/>
    <s v="Delivered by Post"/>
    <x v="1"/>
    <x v="0"/>
    <x v="0"/>
  </r>
  <r>
    <s v="T1300"/>
    <x v="17"/>
    <n v="1"/>
    <x v="0"/>
    <x v="1"/>
    <d v="2025-07-27T00:00:00"/>
    <n v="3191.52"/>
    <n v="4816.681818181818"/>
    <s v="DEV7152"/>
    <x v="2"/>
    <x v="1"/>
    <x v="2"/>
    <s v="Zimbabwe"/>
    <s v="Norway"/>
    <s v="Picked Up"/>
    <x v="0"/>
    <x v="0"/>
    <x v="0"/>
  </r>
  <r>
    <s v="T1318"/>
    <x v="17"/>
    <n v="1"/>
    <x v="1"/>
    <x v="0"/>
    <d v="2025-12-11T00:00:00"/>
    <n v="3348.93"/>
    <n v="4816.681818181818"/>
    <s v="DEV6569"/>
    <x v="1"/>
    <x v="3"/>
    <x v="3"/>
    <s v="Canada"/>
    <s v="France"/>
    <s v="Picked Up"/>
    <x v="0"/>
    <x v="1"/>
    <x v="0"/>
  </r>
  <r>
    <s v="T1371"/>
    <x v="17"/>
    <n v="1"/>
    <x v="1"/>
    <x v="1"/>
    <d v="2025-07-21T00:00:00"/>
    <n v="7944.84"/>
    <n v="4816.681818181818"/>
    <s v="DEV2445"/>
    <x v="4"/>
    <x v="3"/>
    <x v="4"/>
    <s v="Zimbabwe"/>
    <s v="New Zealand"/>
    <s v="Delivered by Post"/>
    <x v="1"/>
    <x v="1"/>
    <x v="1"/>
  </r>
  <r>
    <s v="T1462"/>
    <x v="17"/>
    <n v="1"/>
    <x v="1"/>
    <x v="2"/>
    <d v="2025-04-30T00:00:00"/>
    <n v="8405.4699999999993"/>
    <n v="4816.681818181818"/>
    <s v="DEV2467"/>
    <x v="2"/>
    <x v="1"/>
    <x v="3"/>
    <s v="France"/>
    <s v="Norway"/>
    <s v="Delivered by Post"/>
    <x v="1"/>
    <x v="0"/>
    <x v="0"/>
  </r>
  <r>
    <s v="T1469"/>
    <x v="17"/>
    <n v="1"/>
    <x v="1"/>
    <x v="2"/>
    <d v="2025-02-08T00:00:00"/>
    <n v="9437.41"/>
    <n v="4816.681818181818"/>
    <s v="DEV1320"/>
    <x v="1"/>
    <x v="1"/>
    <x v="4"/>
    <s v="Bhutan"/>
    <s v="Bhutan"/>
    <s v="Delivered by Post"/>
    <x v="1"/>
    <x v="1"/>
    <x v="0"/>
  </r>
  <r>
    <s v="T1534"/>
    <x v="17"/>
    <n v="1"/>
    <x v="1"/>
    <x v="0"/>
    <d v="2025-12-08T00:00:00"/>
    <n v="1856.85"/>
    <n v="4816.681818181818"/>
    <s v="DEV9920"/>
    <x v="2"/>
    <x v="2"/>
    <x v="0"/>
    <s v="Norway"/>
    <s v="Bhutan"/>
    <s v="Picked Up"/>
    <x v="0"/>
    <x v="1"/>
    <x v="0"/>
  </r>
  <r>
    <s v="T1573"/>
    <x v="17"/>
    <n v="1"/>
    <x v="1"/>
    <x v="0"/>
    <d v="2025-03-17T00:00:00"/>
    <n v="5688.52"/>
    <n v="4816.681818181818"/>
    <s v="DEV4660"/>
    <x v="2"/>
    <x v="0"/>
    <x v="2"/>
    <s v="Norway"/>
    <s v="New Zealand"/>
    <s v="Picked Up"/>
    <x v="1"/>
    <x v="0"/>
    <x v="0"/>
  </r>
  <r>
    <s v="T1629"/>
    <x v="17"/>
    <n v="1"/>
    <x v="1"/>
    <x v="1"/>
    <d v="2025-11-04T00:00:00"/>
    <n v="9193.39"/>
    <n v="4816.681818181818"/>
    <s v="DEV1708"/>
    <x v="0"/>
    <x v="1"/>
    <x v="1"/>
    <s v="New Zealand"/>
    <s v="Bhutan"/>
    <s v="Delivered by Post"/>
    <x v="1"/>
    <x v="0"/>
    <x v="0"/>
  </r>
  <r>
    <s v="T1644"/>
    <x v="17"/>
    <n v="1"/>
    <x v="1"/>
    <x v="2"/>
    <d v="2025-07-13T00:00:00"/>
    <n v="8700.1"/>
    <n v="4816.681818181818"/>
    <s v="DEV7512"/>
    <x v="2"/>
    <x v="0"/>
    <x v="1"/>
    <s v="Romania"/>
    <s v="Romania"/>
    <s v="Delivered by Post"/>
    <x v="1"/>
    <x v="1"/>
    <x v="0"/>
  </r>
  <r>
    <s v="T1667"/>
    <x v="17"/>
    <n v="1"/>
    <x v="1"/>
    <x v="0"/>
    <d v="2025-02-24T00:00:00"/>
    <n v="8888.25"/>
    <n v="4816.681818181818"/>
    <s v="DEV5439"/>
    <x v="1"/>
    <x v="2"/>
    <x v="1"/>
    <s v="Romania"/>
    <s v="Turkmenistan"/>
    <s v="Picked Up"/>
    <x v="1"/>
    <x v="1"/>
    <x v="0"/>
  </r>
  <r>
    <s v="T1690"/>
    <x v="17"/>
    <n v="1"/>
    <x v="0"/>
    <x v="1"/>
    <d v="2025-02-03T00:00:00"/>
    <n v="4345.3500000000004"/>
    <n v="4816.681818181818"/>
    <s v="DEV4265"/>
    <x v="0"/>
    <x v="2"/>
    <x v="2"/>
    <s v="New Zealand"/>
    <s v="New Zealand"/>
    <s v="Picked Up"/>
    <x v="0"/>
    <x v="1"/>
    <x v="0"/>
  </r>
  <r>
    <s v="T1697"/>
    <x v="17"/>
    <n v="1"/>
    <x v="1"/>
    <x v="2"/>
    <d v="2025-10-22T00:00:00"/>
    <n v="4158.09"/>
    <n v="4816.681818181818"/>
    <s v="DEV5102"/>
    <x v="4"/>
    <x v="3"/>
    <x v="4"/>
    <s v="Bhutan"/>
    <s v="Comoros"/>
    <s v="Picked Up"/>
    <x v="0"/>
    <x v="1"/>
    <x v="1"/>
  </r>
  <r>
    <s v="T1709"/>
    <x v="17"/>
    <n v="1"/>
    <x v="1"/>
    <x v="2"/>
    <d v="2025-10-07T00:00:00"/>
    <n v="9836.4699999999993"/>
    <n v="4816.681818181818"/>
    <s v="DEV9366"/>
    <x v="4"/>
    <x v="3"/>
    <x v="4"/>
    <s v="Comoros"/>
    <s v="Zimbabwe"/>
    <s v="Picked Up"/>
    <x v="1"/>
    <x v="1"/>
    <x v="1"/>
  </r>
  <r>
    <s v="T1778"/>
    <x v="17"/>
    <n v="1"/>
    <x v="1"/>
    <x v="0"/>
    <d v="2025-08-31T00:00:00"/>
    <n v="4032.32"/>
    <n v="4816.681818181818"/>
    <s v="DEV3126"/>
    <x v="0"/>
    <x v="3"/>
    <x v="0"/>
    <s v="Turkmenistan"/>
    <s v="New Zealand"/>
    <s v="Picked Up"/>
    <x v="0"/>
    <x v="1"/>
    <x v="0"/>
  </r>
  <r>
    <s v="T1842"/>
    <x v="17"/>
    <n v="1"/>
    <x v="1"/>
    <x v="0"/>
    <d v="2025-09-30T00:00:00"/>
    <n v="3665.42"/>
    <n v="4816.681818181818"/>
    <s v="DEV3254"/>
    <x v="3"/>
    <x v="0"/>
    <x v="4"/>
    <s v="Zimbabwe"/>
    <s v="France"/>
    <s v="Delivered by Post"/>
    <x v="0"/>
    <x v="0"/>
    <x v="0"/>
  </r>
  <r>
    <s v="T1948"/>
    <x v="17"/>
    <n v="1"/>
    <x v="1"/>
    <x v="3"/>
    <d v="2025-09-14T00:00:00"/>
    <n v="2164.4"/>
    <n v="4816.681818181818"/>
    <s v="DEV8031"/>
    <x v="3"/>
    <x v="0"/>
    <x v="4"/>
    <s v="Zimbabwe"/>
    <s v="Bhutan"/>
    <s v="Picked Up"/>
    <x v="0"/>
    <x v="0"/>
    <x v="0"/>
  </r>
  <r>
    <s v="T1951"/>
    <x v="17"/>
    <n v="1"/>
    <x v="1"/>
    <x v="0"/>
    <d v="2025-10-12T00:00:00"/>
    <n v="5386.24"/>
    <n v="4816.681818181818"/>
    <s v="DEV7334"/>
    <x v="4"/>
    <x v="2"/>
    <x v="2"/>
    <s v="Norway"/>
    <s v="Zimbabwe"/>
    <s v="Delivered by Post"/>
    <x v="1"/>
    <x v="1"/>
    <x v="1"/>
  </r>
  <r>
    <s v="T2009"/>
    <x v="17"/>
    <n v="1"/>
    <x v="1"/>
    <x v="0"/>
    <d v="2025-01-12T00:00:00"/>
    <n v="8150.75"/>
    <n v="4816.681818181818"/>
    <s v="DEV7664"/>
    <x v="3"/>
    <x v="3"/>
    <x v="2"/>
    <s v="Bhutan"/>
    <s v="Norway"/>
    <s v="Delivered by Post"/>
    <x v="1"/>
    <x v="1"/>
    <x v="0"/>
  </r>
  <r>
    <s v="T2022"/>
    <x v="17"/>
    <n v="1"/>
    <x v="1"/>
    <x v="2"/>
    <d v="2025-06-13T00:00:00"/>
    <n v="5174.76"/>
    <n v="4816.681818181818"/>
    <s v="DEV9285"/>
    <x v="1"/>
    <x v="2"/>
    <x v="2"/>
    <s v="Canada"/>
    <s v="Zimbabwe"/>
    <s v="Delivered by Post"/>
    <x v="1"/>
    <x v="1"/>
    <x v="0"/>
  </r>
  <r>
    <s v="T2110"/>
    <x v="17"/>
    <n v="1"/>
    <x v="0"/>
    <x v="2"/>
    <d v="2025-12-18T00:00:00"/>
    <n v="690.92"/>
    <n v="4816.681818181818"/>
    <s v="DEV2543"/>
    <x v="1"/>
    <x v="1"/>
    <x v="0"/>
    <s v="Norway"/>
    <s v="Turkmenistan"/>
    <s v="Picked Up"/>
    <x v="0"/>
    <x v="0"/>
    <x v="0"/>
  </r>
  <r>
    <s v="T2111"/>
    <x v="17"/>
    <n v="1"/>
    <x v="0"/>
    <x v="0"/>
    <d v="2025-10-02T00:00:00"/>
    <n v="4824.1499999999996"/>
    <n v="4816.681818181818"/>
    <s v="DEV8312"/>
    <x v="2"/>
    <x v="1"/>
    <x v="3"/>
    <s v="Canada"/>
    <s v="Comoros"/>
    <s v="Delivered by Post"/>
    <x v="1"/>
    <x v="0"/>
    <x v="0"/>
  </r>
  <r>
    <s v="T2118"/>
    <x v="17"/>
    <n v="1"/>
    <x v="0"/>
    <x v="3"/>
    <d v="2025-12-19T00:00:00"/>
    <n v="5805.04"/>
    <n v="4816.681818181818"/>
    <s v="DEV1922"/>
    <x v="3"/>
    <x v="1"/>
    <x v="3"/>
    <s v="Norway"/>
    <s v="New Zealand"/>
    <s v="Delivered by Post"/>
    <x v="1"/>
    <x v="0"/>
    <x v="0"/>
  </r>
  <r>
    <s v="T2145"/>
    <x v="17"/>
    <n v="1"/>
    <x v="1"/>
    <x v="2"/>
    <d v="2025-07-29T00:00:00"/>
    <n v="3275.84"/>
    <n v="4816.681818181818"/>
    <s v="DEV4757"/>
    <x v="0"/>
    <x v="3"/>
    <x v="1"/>
    <s v="Canada"/>
    <s v="Norway"/>
    <s v="Delivered by Post"/>
    <x v="0"/>
    <x v="1"/>
    <x v="0"/>
  </r>
  <r>
    <s v="T2198"/>
    <x v="17"/>
    <n v="1"/>
    <x v="1"/>
    <x v="0"/>
    <d v="2025-07-03T00:00:00"/>
    <n v="6150.63"/>
    <n v="4816.681818181818"/>
    <s v="DEV8140"/>
    <x v="4"/>
    <x v="0"/>
    <x v="5"/>
    <s v="Bhutan"/>
    <s v="Comoros"/>
    <s v="Delivered by Post"/>
    <x v="1"/>
    <x v="0"/>
    <x v="1"/>
  </r>
  <r>
    <s v="T2225"/>
    <x v="17"/>
    <n v="1"/>
    <x v="0"/>
    <x v="3"/>
    <d v="2025-02-24T00:00:00"/>
    <n v="7801.95"/>
    <n v="4816.681818181818"/>
    <s v="DEV1119"/>
    <x v="1"/>
    <x v="3"/>
    <x v="0"/>
    <s v="Canada"/>
    <s v="Comoros"/>
    <s v="Delivered by Post"/>
    <x v="1"/>
    <x v="1"/>
    <x v="0"/>
  </r>
  <r>
    <s v="T2293"/>
    <x v="17"/>
    <n v="1"/>
    <x v="0"/>
    <x v="3"/>
    <d v="2025-03-31T00:00:00"/>
    <n v="3228.67"/>
    <n v="4816.681818181818"/>
    <s v="DEV8680"/>
    <x v="2"/>
    <x v="2"/>
    <x v="1"/>
    <s v="Comoros"/>
    <s v="Romania"/>
    <s v="Picked Up"/>
    <x v="0"/>
    <x v="1"/>
    <x v="0"/>
  </r>
  <r>
    <s v="T2340"/>
    <x v="17"/>
    <n v="1"/>
    <x v="1"/>
    <x v="3"/>
    <d v="2025-10-31T00:00:00"/>
    <n v="2901.81"/>
    <n v="4816.681818181818"/>
    <s v="DEV8335"/>
    <x v="4"/>
    <x v="2"/>
    <x v="0"/>
    <s v="Romania"/>
    <s v="Turkmenistan"/>
    <s v="Delivered by Post"/>
    <x v="0"/>
    <x v="1"/>
    <x v="1"/>
  </r>
  <r>
    <s v="T2375"/>
    <x v="17"/>
    <n v="1"/>
    <x v="0"/>
    <x v="2"/>
    <d v="2025-02-20T00:00:00"/>
    <n v="9103.32"/>
    <n v="4816.681818181818"/>
    <s v="DEV7405"/>
    <x v="4"/>
    <x v="1"/>
    <x v="2"/>
    <s v="Canada"/>
    <s v="Turkmenistan"/>
    <s v="Delivered by Post"/>
    <x v="1"/>
    <x v="0"/>
    <x v="1"/>
  </r>
  <r>
    <s v="T2503"/>
    <x v="17"/>
    <n v="1"/>
    <x v="1"/>
    <x v="3"/>
    <d v="2025-02-16T00:00:00"/>
    <n v="8745.8700000000008"/>
    <n v="4816.681818181818"/>
    <s v="DEV5725"/>
    <x v="3"/>
    <x v="2"/>
    <x v="1"/>
    <s v="New Zealand"/>
    <s v="Norway"/>
    <s v="Picked Up"/>
    <x v="1"/>
    <x v="1"/>
    <x v="0"/>
  </r>
  <r>
    <s v="T2606"/>
    <x v="17"/>
    <n v="1"/>
    <x v="1"/>
    <x v="0"/>
    <d v="2025-12-07T00:00:00"/>
    <n v="9116.16"/>
    <n v="4816.681818181818"/>
    <s v="DEV6964"/>
    <x v="4"/>
    <x v="1"/>
    <x v="5"/>
    <s v="Romania"/>
    <s v="Norway"/>
    <s v="Delivered by Post"/>
    <x v="1"/>
    <x v="0"/>
    <x v="1"/>
  </r>
  <r>
    <s v="T2621"/>
    <x v="17"/>
    <n v="1"/>
    <x v="0"/>
    <x v="3"/>
    <d v="2025-01-12T00:00:00"/>
    <n v="7072.85"/>
    <n v="4816.681818181818"/>
    <s v="DEV4005"/>
    <x v="0"/>
    <x v="0"/>
    <x v="0"/>
    <s v="Comoros"/>
    <s v="Canada"/>
    <s v="Delivered by Post"/>
    <x v="1"/>
    <x v="0"/>
    <x v="0"/>
  </r>
  <r>
    <s v="T2806"/>
    <x v="17"/>
    <n v="1"/>
    <x v="1"/>
    <x v="1"/>
    <d v="2025-07-19T00:00:00"/>
    <n v="4431.9399999999996"/>
    <n v="4816.681818181818"/>
    <s v="DEV2118"/>
    <x v="2"/>
    <x v="1"/>
    <x v="1"/>
    <s v="Bhutan"/>
    <s v="Norway"/>
    <s v="Delivered by Post"/>
    <x v="0"/>
    <x v="0"/>
    <x v="0"/>
  </r>
  <r>
    <s v="T0027"/>
    <x v="18"/>
    <n v="1"/>
    <x v="3"/>
    <x v="4"/>
    <d v="2025-01-06T13:19:00"/>
    <n v="7925.96"/>
    <n v="4495.1373999999996"/>
    <s v="DEV5576"/>
    <x v="5"/>
    <x v="3"/>
    <x v="5"/>
    <s v="Algeria"/>
    <s v="Bouvet Island (Bouvetoya)"/>
    <s v="Picked Up"/>
    <x v="1"/>
    <x v="1"/>
    <x v="1"/>
  </r>
  <r>
    <s v="T0099"/>
    <x v="18"/>
    <n v="1"/>
    <x v="1"/>
    <x v="0"/>
    <d v="2025-06-07T21:04:00"/>
    <n v="7855.5"/>
    <n v="4495.1373999999996"/>
    <s v="DEV5067"/>
    <x v="0"/>
    <x v="0"/>
    <x v="2"/>
    <s v="Algeria"/>
    <s v="Czech Republic"/>
    <s v="Delivered by Post"/>
    <x v="1"/>
    <x v="0"/>
    <x v="0"/>
  </r>
  <r>
    <s v="T0133"/>
    <x v="18"/>
    <n v="1"/>
    <x v="1"/>
    <x v="2"/>
    <d v="2025-08-15T00:00:00"/>
    <n v="2141.3200000000002"/>
    <n v="4495.1373999999996"/>
    <s v="DEV4501"/>
    <x v="2"/>
    <x v="1"/>
    <x v="3"/>
    <s v="Norway"/>
    <s v="Zimbabwe"/>
    <s v="Delivered by Post"/>
    <x v="0"/>
    <x v="0"/>
    <x v="0"/>
  </r>
  <r>
    <s v="T0203"/>
    <x v="18"/>
    <n v="1"/>
    <x v="0"/>
    <x v="2"/>
    <d v="2025-08-25T00:00:00"/>
    <n v="813.47"/>
    <n v="4495.1373999999996"/>
    <s v="DEV1672"/>
    <x v="0"/>
    <x v="2"/>
    <x v="1"/>
    <s v="Comoros"/>
    <s v="Turkmenistan"/>
    <s v="Picked Up"/>
    <x v="0"/>
    <x v="1"/>
    <x v="0"/>
  </r>
  <r>
    <s v="T0206"/>
    <x v="18"/>
    <n v="1"/>
    <x v="0"/>
    <x v="3"/>
    <d v="2025-02-11T00:00:00"/>
    <n v="2557.36"/>
    <n v="4495.1373999999996"/>
    <s v="DEV3317"/>
    <x v="4"/>
    <x v="3"/>
    <x v="3"/>
    <s v="Bhutan"/>
    <s v="Norway"/>
    <s v="Picked Up"/>
    <x v="0"/>
    <x v="1"/>
    <x v="1"/>
  </r>
  <r>
    <s v="T0293"/>
    <x v="18"/>
    <n v="1"/>
    <x v="0"/>
    <x v="1"/>
    <d v="2025-06-28T00:00:00"/>
    <n v="4188.96"/>
    <n v="4495.1373999999996"/>
    <s v="DEV6620"/>
    <x v="0"/>
    <x v="2"/>
    <x v="5"/>
    <s v="Comoros"/>
    <s v="New Zealand"/>
    <s v="Delivered by Post"/>
    <x v="0"/>
    <x v="1"/>
    <x v="0"/>
  </r>
  <r>
    <s v="T0457"/>
    <x v="18"/>
    <n v="1"/>
    <x v="1"/>
    <x v="2"/>
    <d v="2025-04-07T00:00:00"/>
    <n v="6502.15"/>
    <n v="4495.1373999999996"/>
    <s v="DEV3988"/>
    <x v="3"/>
    <x v="3"/>
    <x v="2"/>
    <s v="Comoros"/>
    <s v="Comoros"/>
    <s v="Delivered by Post"/>
    <x v="1"/>
    <x v="1"/>
    <x v="0"/>
  </r>
  <r>
    <s v="T0540"/>
    <x v="18"/>
    <n v="1"/>
    <x v="1"/>
    <x v="0"/>
    <d v="2025-02-19T00:00:00"/>
    <n v="9275.86"/>
    <n v="4495.1373999999996"/>
    <s v="DEV6797"/>
    <x v="0"/>
    <x v="3"/>
    <x v="1"/>
    <s v="France"/>
    <s v="France"/>
    <s v="Picked Up"/>
    <x v="1"/>
    <x v="1"/>
    <x v="0"/>
  </r>
  <r>
    <s v="T0578"/>
    <x v="18"/>
    <n v="1"/>
    <x v="1"/>
    <x v="3"/>
    <d v="2025-08-22T00:00:00"/>
    <n v="7709.01"/>
    <n v="4495.1373999999996"/>
    <s v="DEV3634"/>
    <x v="2"/>
    <x v="3"/>
    <x v="0"/>
    <s v="Norway"/>
    <s v="Norway"/>
    <s v="Picked Up"/>
    <x v="1"/>
    <x v="1"/>
    <x v="0"/>
  </r>
  <r>
    <s v="T0632"/>
    <x v="18"/>
    <n v="1"/>
    <x v="1"/>
    <x v="1"/>
    <d v="2025-11-04T00:00:00"/>
    <n v="7477.11"/>
    <n v="4495.1373999999996"/>
    <s v="DEV5636"/>
    <x v="3"/>
    <x v="1"/>
    <x v="0"/>
    <s v="Bhutan"/>
    <s v="Norway"/>
    <s v="Picked Up"/>
    <x v="1"/>
    <x v="0"/>
    <x v="0"/>
  </r>
  <r>
    <s v="T0633"/>
    <x v="18"/>
    <n v="1"/>
    <x v="1"/>
    <x v="1"/>
    <d v="2025-07-09T00:00:00"/>
    <n v="9762.48"/>
    <n v="4495.1373999999996"/>
    <s v="DEV8506"/>
    <x v="1"/>
    <x v="0"/>
    <x v="4"/>
    <s v="Norway"/>
    <s v="New Zealand"/>
    <s v="Delivered by Post"/>
    <x v="1"/>
    <x v="0"/>
    <x v="0"/>
  </r>
  <r>
    <s v="T0702"/>
    <x v="18"/>
    <n v="1"/>
    <x v="1"/>
    <x v="1"/>
    <d v="2025-11-03T00:00:00"/>
    <n v="8506.7999999999993"/>
    <n v="4495.1373999999996"/>
    <s v="DEV1173"/>
    <x v="0"/>
    <x v="1"/>
    <x v="4"/>
    <s v="Bhutan"/>
    <s v="Zimbabwe"/>
    <s v="Delivered by Post"/>
    <x v="1"/>
    <x v="0"/>
    <x v="0"/>
  </r>
  <r>
    <s v="T0710"/>
    <x v="18"/>
    <n v="1"/>
    <x v="0"/>
    <x v="3"/>
    <d v="2025-10-11T00:00:00"/>
    <n v="1782.76"/>
    <n v="4495.1373999999996"/>
    <s v="DEV3925"/>
    <x v="3"/>
    <x v="0"/>
    <x v="0"/>
    <s v="France"/>
    <s v="Zimbabwe"/>
    <s v="Picked Up"/>
    <x v="0"/>
    <x v="0"/>
    <x v="0"/>
  </r>
  <r>
    <s v="T0814"/>
    <x v="18"/>
    <n v="1"/>
    <x v="1"/>
    <x v="1"/>
    <d v="2025-05-19T00:00:00"/>
    <n v="438.95"/>
    <n v="4495.1373999999996"/>
    <s v="DEV5079"/>
    <x v="3"/>
    <x v="0"/>
    <x v="2"/>
    <s v="New Zealand"/>
    <s v="New Zealand"/>
    <s v="Delivered by Post"/>
    <x v="0"/>
    <x v="1"/>
    <x v="0"/>
  </r>
  <r>
    <s v="T0844"/>
    <x v="18"/>
    <n v="1"/>
    <x v="0"/>
    <x v="2"/>
    <d v="2025-07-07T00:00:00"/>
    <n v="4039.35"/>
    <n v="4495.1373999999996"/>
    <s v="DEV6138"/>
    <x v="4"/>
    <x v="0"/>
    <x v="3"/>
    <s v="Bhutan"/>
    <s v="Turkmenistan"/>
    <s v="Delivered by Post"/>
    <x v="0"/>
    <x v="0"/>
    <x v="1"/>
  </r>
  <r>
    <s v="T0928"/>
    <x v="18"/>
    <n v="1"/>
    <x v="0"/>
    <x v="3"/>
    <d v="2025-03-08T00:00:00"/>
    <n v="485.01"/>
    <n v="4495.1373999999996"/>
    <s v="DEV7517"/>
    <x v="0"/>
    <x v="0"/>
    <x v="3"/>
    <s v="Zimbabwe"/>
    <s v="Zimbabwe"/>
    <s v="Delivered by Post"/>
    <x v="0"/>
    <x v="1"/>
    <x v="0"/>
  </r>
  <r>
    <s v="T0952"/>
    <x v="18"/>
    <n v="1"/>
    <x v="0"/>
    <x v="1"/>
    <d v="2025-01-22T00:00:00"/>
    <n v="3261.86"/>
    <n v="4495.1373999999996"/>
    <s v="DEV4451"/>
    <x v="0"/>
    <x v="3"/>
    <x v="5"/>
    <s v="New Zealand"/>
    <s v="Zimbabwe"/>
    <s v="Delivered by Post"/>
    <x v="0"/>
    <x v="1"/>
    <x v="0"/>
  </r>
  <r>
    <s v="T0953"/>
    <x v="18"/>
    <n v="1"/>
    <x v="1"/>
    <x v="2"/>
    <d v="2025-04-25T00:00:00"/>
    <n v="1697.65"/>
    <n v="4495.1373999999996"/>
    <s v="DEV5726"/>
    <x v="4"/>
    <x v="0"/>
    <x v="0"/>
    <s v="France"/>
    <s v="Norway"/>
    <s v="Picked Up"/>
    <x v="0"/>
    <x v="0"/>
    <x v="1"/>
  </r>
  <r>
    <s v="T1025"/>
    <x v="18"/>
    <n v="1"/>
    <x v="1"/>
    <x v="1"/>
    <d v="2025-12-16T00:00:00"/>
    <n v="83.21"/>
    <n v="4495.1373999999996"/>
    <s v="DEV7280"/>
    <x v="2"/>
    <x v="1"/>
    <x v="4"/>
    <s v="Bhutan"/>
    <s v="Romania"/>
    <s v="Picked Up"/>
    <x v="0"/>
    <x v="0"/>
    <x v="0"/>
  </r>
  <r>
    <s v="T1028"/>
    <x v="18"/>
    <n v="1"/>
    <x v="1"/>
    <x v="2"/>
    <d v="2025-05-06T00:00:00"/>
    <n v="694.89"/>
    <n v="4495.1373999999996"/>
    <s v="DEV8268"/>
    <x v="3"/>
    <x v="2"/>
    <x v="4"/>
    <s v="Turkmenistan"/>
    <s v="Zimbabwe"/>
    <s v="Delivered by Post"/>
    <x v="0"/>
    <x v="1"/>
    <x v="0"/>
  </r>
  <r>
    <s v="T1097"/>
    <x v="18"/>
    <n v="1"/>
    <x v="1"/>
    <x v="2"/>
    <d v="2025-08-01T00:00:00"/>
    <n v="2474.62"/>
    <n v="4495.1373999999996"/>
    <s v="DEV4149"/>
    <x v="0"/>
    <x v="2"/>
    <x v="5"/>
    <s v="Bhutan"/>
    <s v="Bhutan"/>
    <s v="Delivered by Post"/>
    <x v="0"/>
    <x v="1"/>
    <x v="0"/>
  </r>
  <r>
    <s v="T1184"/>
    <x v="18"/>
    <n v="1"/>
    <x v="1"/>
    <x v="2"/>
    <d v="2025-10-06T00:00:00"/>
    <n v="3672.15"/>
    <n v="4495.1373999999996"/>
    <s v="DEV7115"/>
    <x v="4"/>
    <x v="2"/>
    <x v="1"/>
    <s v="New Zealand"/>
    <s v="Bhutan"/>
    <s v="Picked Up"/>
    <x v="0"/>
    <x v="1"/>
    <x v="1"/>
  </r>
  <r>
    <s v="T1191"/>
    <x v="18"/>
    <n v="1"/>
    <x v="0"/>
    <x v="0"/>
    <d v="2025-05-10T00:00:00"/>
    <n v="1254.7"/>
    <n v="4495.1373999999996"/>
    <s v="DEV2948"/>
    <x v="0"/>
    <x v="3"/>
    <x v="3"/>
    <s v="Bhutan"/>
    <s v="Canada"/>
    <s v="Delivered by Post"/>
    <x v="0"/>
    <x v="1"/>
    <x v="0"/>
  </r>
  <r>
    <s v="T1226"/>
    <x v="18"/>
    <n v="1"/>
    <x v="0"/>
    <x v="1"/>
    <d v="2025-07-29T00:00:00"/>
    <n v="1459.26"/>
    <n v="4495.1373999999996"/>
    <s v="DEV3730"/>
    <x v="2"/>
    <x v="0"/>
    <x v="0"/>
    <s v="Zimbabwe"/>
    <s v="Canada"/>
    <s v="Picked Up"/>
    <x v="0"/>
    <x v="0"/>
    <x v="0"/>
  </r>
  <r>
    <s v="T1227"/>
    <x v="18"/>
    <n v="1"/>
    <x v="0"/>
    <x v="1"/>
    <d v="2025-01-09T00:00:00"/>
    <n v="5501.99"/>
    <n v="4495.1373999999996"/>
    <s v="DEV2262"/>
    <x v="1"/>
    <x v="0"/>
    <x v="1"/>
    <s v="Norway"/>
    <s v="Turkmenistan"/>
    <s v="Picked Up"/>
    <x v="1"/>
    <x v="0"/>
    <x v="0"/>
  </r>
  <r>
    <s v="T1253"/>
    <x v="18"/>
    <n v="1"/>
    <x v="0"/>
    <x v="2"/>
    <d v="2025-08-11T00:00:00"/>
    <n v="7715.15"/>
    <n v="4495.1373999999996"/>
    <s v="DEV3008"/>
    <x v="2"/>
    <x v="3"/>
    <x v="3"/>
    <s v="Romania"/>
    <s v="Comoros"/>
    <s v="Picked Up"/>
    <x v="1"/>
    <x v="1"/>
    <x v="0"/>
  </r>
  <r>
    <s v="T1406"/>
    <x v="18"/>
    <n v="1"/>
    <x v="0"/>
    <x v="3"/>
    <d v="2025-06-13T00:00:00"/>
    <n v="5333.92"/>
    <n v="4495.1373999999996"/>
    <s v="DEV3598"/>
    <x v="1"/>
    <x v="2"/>
    <x v="3"/>
    <s v="France"/>
    <s v="Canada"/>
    <s v="Picked Up"/>
    <x v="1"/>
    <x v="1"/>
    <x v="0"/>
  </r>
  <r>
    <s v="T1467"/>
    <x v="18"/>
    <n v="1"/>
    <x v="1"/>
    <x v="3"/>
    <d v="2025-11-29T00:00:00"/>
    <n v="664.03"/>
    <n v="4495.1373999999996"/>
    <s v="DEV2393"/>
    <x v="2"/>
    <x v="0"/>
    <x v="4"/>
    <s v="France"/>
    <s v="Bhutan"/>
    <s v="Picked Up"/>
    <x v="0"/>
    <x v="0"/>
    <x v="0"/>
  </r>
  <r>
    <s v="T1472"/>
    <x v="18"/>
    <n v="1"/>
    <x v="1"/>
    <x v="1"/>
    <d v="2025-07-18T00:00:00"/>
    <n v="5561.91"/>
    <n v="4495.1373999999996"/>
    <s v="DEV8522"/>
    <x v="1"/>
    <x v="2"/>
    <x v="5"/>
    <s v="Bhutan"/>
    <s v="Turkmenistan"/>
    <s v="Picked Up"/>
    <x v="1"/>
    <x v="1"/>
    <x v="0"/>
  </r>
  <r>
    <s v="T1579"/>
    <x v="18"/>
    <n v="1"/>
    <x v="0"/>
    <x v="3"/>
    <d v="2025-04-17T00:00:00"/>
    <n v="690.89"/>
    <n v="4495.1373999999996"/>
    <s v="DEV1957"/>
    <x v="3"/>
    <x v="2"/>
    <x v="5"/>
    <s v="New Zealand"/>
    <s v="Canada"/>
    <s v="Picked Up"/>
    <x v="0"/>
    <x v="1"/>
    <x v="0"/>
  </r>
  <r>
    <s v="T1866"/>
    <x v="18"/>
    <n v="1"/>
    <x v="0"/>
    <x v="1"/>
    <d v="2025-08-10T00:00:00"/>
    <n v="9847.58"/>
    <n v="4495.1373999999996"/>
    <s v="DEV3466"/>
    <x v="3"/>
    <x v="1"/>
    <x v="4"/>
    <s v="Comoros"/>
    <s v="Comoros"/>
    <s v="Picked Up"/>
    <x v="1"/>
    <x v="1"/>
    <x v="0"/>
  </r>
  <r>
    <s v="T1873"/>
    <x v="18"/>
    <n v="1"/>
    <x v="0"/>
    <x v="1"/>
    <d v="2025-08-02T00:00:00"/>
    <n v="5992.29"/>
    <n v="4495.1373999999996"/>
    <s v="DEV5859"/>
    <x v="3"/>
    <x v="2"/>
    <x v="0"/>
    <s v="Romania"/>
    <s v="France"/>
    <s v="Delivered by Post"/>
    <x v="1"/>
    <x v="1"/>
    <x v="0"/>
  </r>
  <r>
    <s v="T1896"/>
    <x v="18"/>
    <n v="1"/>
    <x v="1"/>
    <x v="3"/>
    <d v="2025-10-16T00:00:00"/>
    <n v="7800.45"/>
    <n v="4495.1373999999996"/>
    <s v="DEV7788"/>
    <x v="2"/>
    <x v="0"/>
    <x v="4"/>
    <s v="Norway"/>
    <s v="Romania"/>
    <s v="Picked Up"/>
    <x v="1"/>
    <x v="0"/>
    <x v="0"/>
  </r>
  <r>
    <s v="T1949"/>
    <x v="18"/>
    <n v="1"/>
    <x v="0"/>
    <x v="0"/>
    <d v="2025-08-01T00:00:00"/>
    <n v="5676.79"/>
    <n v="4495.1373999999996"/>
    <s v="DEV6807"/>
    <x v="3"/>
    <x v="0"/>
    <x v="2"/>
    <s v="Bhutan"/>
    <s v="Turkmenistan"/>
    <s v="Picked Up"/>
    <x v="1"/>
    <x v="0"/>
    <x v="0"/>
  </r>
  <r>
    <s v="T1979"/>
    <x v="18"/>
    <n v="1"/>
    <x v="1"/>
    <x v="3"/>
    <d v="2025-11-18T00:00:00"/>
    <n v="4721.83"/>
    <n v="4495.1373999999996"/>
    <s v="DEV1596"/>
    <x v="3"/>
    <x v="0"/>
    <x v="3"/>
    <s v="Turkmenistan"/>
    <s v="Turkmenistan"/>
    <s v="Picked Up"/>
    <x v="1"/>
    <x v="1"/>
    <x v="0"/>
  </r>
  <r>
    <s v="T2021"/>
    <x v="18"/>
    <n v="1"/>
    <x v="1"/>
    <x v="2"/>
    <d v="2025-07-17T00:00:00"/>
    <n v="661.29"/>
    <n v="4495.1373999999996"/>
    <s v="DEV6569"/>
    <x v="1"/>
    <x v="2"/>
    <x v="1"/>
    <s v="Romania"/>
    <s v="Turkmenistan"/>
    <s v="Picked Up"/>
    <x v="0"/>
    <x v="1"/>
    <x v="0"/>
  </r>
  <r>
    <s v="T2176"/>
    <x v="18"/>
    <n v="1"/>
    <x v="0"/>
    <x v="0"/>
    <d v="2025-01-25T00:00:00"/>
    <n v="152.11000000000001"/>
    <n v="4495.1373999999996"/>
    <s v="DEV7672"/>
    <x v="4"/>
    <x v="3"/>
    <x v="3"/>
    <s v="New Zealand"/>
    <s v="New Zealand"/>
    <s v="Delivered by Post"/>
    <x v="0"/>
    <x v="1"/>
    <x v="0"/>
  </r>
  <r>
    <s v="T2259"/>
    <x v="18"/>
    <n v="1"/>
    <x v="0"/>
    <x v="0"/>
    <d v="2025-03-15T00:00:00"/>
    <n v="2057.08"/>
    <n v="4495.1373999999996"/>
    <s v="DEV4764"/>
    <x v="4"/>
    <x v="3"/>
    <x v="4"/>
    <s v="Canada"/>
    <s v="Bhutan"/>
    <s v="Picked Up"/>
    <x v="0"/>
    <x v="1"/>
    <x v="1"/>
  </r>
  <r>
    <s v="T2272"/>
    <x v="18"/>
    <n v="1"/>
    <x v="0"/>
    <x v="1"/>
    <d v="2025-01-07T00:00:00"/>
    <n v="7362.7"/>
    <n v="4495.1373999999996"/>
    <s v="DEV7102"/>
    <x v="2"/>
    <x v="1"/>
    <x v="0"/>
    <s v="Romania"/>
    <s v="Turkmenistan"/>
    <s v="Picked Up"/>
    <x v="1"/>
    <x v="0"/>
    <x v="0"/>
  </r>
  <r>
    <s v="T2376"/>
    <x v="18"/>
    <n v="1"/>
    <x v="0"/>
    <x v="0"/>
    <d v="2025-06-18T00:00:00"/>
    <n v="7898.35"/>
    <n v="4495.1373999999996"/>
    <s v="DEV2556"/>
    <x v="0"/>
    <x v="1"/>
    <x v="1"/>
    <s v="Norway"/>
    <s v="Bhutan"/>
    <s v="Picked Up"/>
    <x v="1"/>
    <x v="0"/>
    <x v="0"/>
  </r>
  <r>
    <s v="T2413"/>
    <x v="18"/>
    <n v="1"/>
    <x v="1"/>
    <x v="3"/>
    <d v="2025-03-12T00:00:00"/>
    <n v="2623.93"/>
    <n v="4495.1373999999996"/>
    <s v="DEV5435"/>
    <x v="0"/>
    <x v="1"/>
    <x v="2"/>
    <s v="Bhutan"/>
    <s v="Canada"/>
    <s v="Delivered by Post"/>
    <x v="0"/>
    <x v="0"/>
    <x v="0"/>
  </r>
  <r>
    <s v="T2427"/>
    <x v="18"/>
    <n v="1"/>
    <x v="1"/>
    <x v="0"/>
    <d v="2025-04-07T00:00:00"/>
    <n v="441.53"/>
    <n v="4495.1373999999996"/>
    <s v="DEV8513"/>
    <x v="2"/>
    <x v="2"/>
    <x v="4"/>
    <s v="Bhutan"/>
    <s v="Bhutan"/>
    <s v="Delivered by Post"/>
    <x v="0"/>
    <x v="1"/>
    <x v="0"/>
  </r>
  <r>
    <s v="T2455"/>
    <x v="18"/>
    <n v="1"/>
    <x v="0"/>
    <x v="3"/>
    <d v="2025-10-26T00:00:00"/>
    <n v="1087.4000000000001"/>
    <n v="4495.1373999999996"/>
    <s v="DEV5677"/>
    <x v="0"/>
    <x v="1"/>
    <x v="0"/>
    <s v="Turkmenistan"/>
    <s v="Bhutan"/>
    <s v="Delivered by Post"/>
    <x v="0"/>
    <x v="0"/>
    <x v="0"/>
  </r>
  <r>
    <s v="T2457"/>
    <x v="18"/>
    <n v="1"/>
    <x v="1"/>
    <x v="2"/>
    <d v="2025-01-15T00:00:00"/>
    <n v="5466.41"/>
    <n v="4495.1373999999996"/>
    <s v="DEV7934"/>
    <x v="3"/>
    <x v="2"/>
    <x v="3"/>
    <s v="France"/>
    <s v="New Zealand"/>
    <s v="Delivered by Post"/>
    <x v="1"/>
    <x v="1"/>
    <x v="0"/>
  </r>
  <r>
    <s v="T2483"/>
    <x v="18"/>
    <n v="1"/>
    <x v="0"/>
    <x v="1"/>
    <d v="2025-05-05T00:00:00"/>
    <n v="8822.77"/>
    <n v="4495.1373999999996"/>
    <s v="DEV6489"/>
    <x v="2"/>
    <x v="0"/>
    <x v="5"/>
    <s v="Comoros"/>
    <s v="Norway"/>
    <s v="Picked Up"/>
    <x v="1"/>
    <x v="0"/>
    <x v="0"/>
  </r>
  <r>
    <s v="T2540"/>
    <x v="18"/>
    <n v="1"/>
    <x v="0"/>
    <x v="3"/>
    <d v="2025-08-03T00:00:00"/>
    <n v="3533.19"/>
    <n v="4495.1373999999996"/>
    <s v="DEV5917"/>
    <x v="4"/>
    <x v="1"/>
    <x v="0"/>
    <s v="Romania"/>
    <s v="Turkmenistan"/>
    <s v="Delivered by Post"/>
    <x v="0"/>
    <x v="0"/>
    <x v="1"/>
  </r>
  <r>
    <s v="T2551"/>
    <x v="18"/>
    <n v="1"/>
    <x v="0"/>
    <x v="0"/>
    <d v="2025-07-11T00:00:00"/>
    <n v="8115.94"/>
    <n v="4495.1373999999996"/>
    <s v="DEV1897"/>
    <x v="0"/>
    <x v="0"/>
    <x v="5"/>
    <s v="France"/>
    <s v="Zimbabwe"/>
    <s v="Picked Up"/>
    <x v="1"/>
    <x v="0"/>
    <x v="0"/>
  </r>
  <r>
    <s v="T2578"/>
    <x v="18"/>
    <n v="1"/>
    <x v="0"/>
    <x v="2"/>
    <d v="2025-04-20T00:00:00"/>
    <n v="7774.2"/>
    <n v="4495.1373999999996"/>
    <s v="DEV5923"/>
    <x v="2"/>
    <x v="2"/>
    <x v="0"/>
    <s v="Comoros"/>
    <s v="Norway"/>
    <s v="Delivered by Post"/>
    <x v="1"/>
    <x v="1"/>
    <x v="0"/>
  </r>
  <r>
    <s v="T2584"/>
    <x v="18"/>
    <n v="1"/>
    <x v="1"/>
    <x v="3"/>
    <d v="2025-06-30T00:00:00"/>
    <n v="3586.95"/>
    <n v="4495.1373999999996"/>
    <s v="DEV8558"/>
    <x v="4"/>
    <x v="3"/>
    <x v="0"/>
    <s v="Romania"/>
    <s v="Zimbabwe"/>
    <s v="Delivered by Post"/>
    <x v="0"/>
    <x v="1"/>
    <x v="1"/>
  </r>
  <r>
    <s v="T2647"/>
    <x v="18"/>
    <n v="1"/>
    <x v="0"/>
    <x v="3"/>
    <d v="2025-06-30T00:00:00"/>
    <n v="9605.7999999999993"/>
    <n v="4495.1373999999996"/>
    <s v="DEV6508"/>
    <x v="4"/>
    <x v="1"/>
    <x v="0"/>
    <s v="Zimbabwe"/>
    <s v="Bhutan"/>
    <s v="Picked Up"/>
    <x v="1"/>
    <x v="0"/>
    <x v="1"/>
  </r>
  <r>
    <s v="T0017"/>
    <x v="19"/>
    <n v="1"/>
    <x v="1"/>
    <x v="3"/>
    <d v="2025-08-26T05:08:00"/>
    <n v="3233.81"/>
    <n v="4578.333623188405"/>
    <s v="DEV1262"/>
    <x v="2"/>
    <x v="2"/>
    <x v="1"/>
    <s v="Tanzania"/>
    <s v="San Marino"/>
    <s v="Picked Up"/>
    <x v="0"/>
    <x v="1"/>
    <x v="0"/>
  </r>
  <r>
    <s v="T0056"/>
    <x v="19"/>
    <n v="1"/>
    <x v="1"/>
    <x v="3"/>
    <d v="2025-05-20T21:27:00"/>
    <n v="1997.33"/>
    <n v="4578.333623188405"/>
    <s v="DEV8061"/>
    <x v="3"/>
    <x v="3"/>
    <x v="5"/>
    <s v="Tanzania"/>
    <s v="Lesotho"/>
    <s v="Picked Up"/>
    <x v="0"/>
    <x v="1"/>
    <x v="0"/>
  </r>
  <r>
    <s v="T0082"/>
    <x v="19"/>
    <n v="1"/>
    <x v="2"/>
    <x v="1"/>
    <d v="2025-05-12T10:01:00"/>
    <n v="3338.49"/>
    <n v="4578.333623188405"/>
    <s v="DEV6039"/>
    <x v="3"/>
    <x v="3"/>
    <x v="0"/>
    <s v="Tanzania"/>
    <s v="Antigua and Barbuda"/>
    <s v="Picked Up"/>
    <x v="0"/>
    <x v="1"/>
    <x v="0"/>
  </r>
  <r>
    <s v="T0145"/>
    <x v="19"/>
    <n v="1"/>
    <x v="1"/>
    <x v="2"/>
    <d v="2025-04-12T00:00:00"/>
    <n v="5779.18"/>
    <n v="4578.333623188405"/>
    <s v="DEV4978"/>
    <x v="1"/>
    <x v="3"/>
    <x v="3"/>
    <s v="Zimbabwe"/>
    <s v="Canada"/>
    <s v="Delivered by Post"/>
    <x v="1"/>
    <x v="1"/>
    <x v="0"/>
  </r>
  <r>
    <s v="T0156"/>
    <x v="19"/>
    <n v="1"/>
    <x v="0"/>
    <x v="1"/>
    <d v="2025-11-17T00:00:00"/>
    <n v="5707.86"/>
    <n v="4578.333623188405"/>
    <s v="DEV5335"/>
    <x v="1"/>
    <x v="2"/>
    <x v="0"/>
    <s v="Norway"/>
    <s v="Turkmenistan"/>
    <s v="Picked Up"/>
    <x v="1"/>
    <x v="1"/>
    <x v="0"/>
  </r>
  <r>
    <s v="T0207"/>
    <x v="19"/>
    <n v="1"/>
    <x v="1"/>
    <x v="1"/>
    <d v="2025-12-10T00:00:00"/>
    <n v="5611.27"/>
    <n v="4578.333623188405"/>
    <s v="DEV9624"/>
    <x v="1"/>
    <x v="1"/>
    <x v="5"/>
    <s v="New Zealand"/>
    <s v="Canada"/>
    <s v="Delivered by Post"/>
    <x v="1"/>
    <x v="0"/>
    <x v="0"/>
  </r>
  <r>
    <s v="T0208"/>
    <x v="19"/>
    <n v="1"/>
    <x v="1"/>
    <x v="1"/>
    <d v="2025-04-26T00:00:00"/>
    <n v="1843.62"/>
    <n v="4578.333623188405"/>
    <s v="DEV3538"/>
    <x v="1"/>
    <x v="3"/>
    <x v="2"/>
    <s v="Turkmenistan"/>
    <s v="Turkmenistan"/>
    <s v="Picked Up"/>
    <x v="0"/>
    <x v="1"/>
    <x v="0"/>
  </r>
  <r>
    <s v="T0283"/>
    <x v="19"/>
    <n v="1"/>
    <x v="0"/>
    <x v="1"/>
    <d v="2025-02-14T00:00:00"/>
    <n v="4475.12"/>
    <n v="4578.333623188405"/>
    <s v="DEV8061"/>
    <x v="0"/>
    <x v="1"/>
    <x v="2"/>
    <s v="Canada"/>
    <s v="Zimbabwe"/>
    <s v="Delivered by Post"/>
    <x v="0"/>
    <x v="0"/>
    <x v="0"/>
  </r>
  <r>
    <s v="T0353"/>
    <x v="19"/>
    <n v="1"/>
    <x v="0"/>
    <x v="1"/>
    <d v="2025-03-03T00:00:00"/>
    <n v="835.6"/>
    <n v="4578.333623188405"/>
    <s v="DEV3832"/>
    <x v="3"/>
    <x v="2"/>
    <x v="0"/>
    <s v="Norway"/>
    <s v="Canada"/>
    <s v="Delivered by Post"/>
    <x v="0"/>
    <x v="1"/>
    <x v="0"/>
  </r>
  <r>
    <s v="T0358"/>
    <x v="19"/>
    <n v="1"/>
    <x v="1"/>
    <x v="3"/>
    <d v="2025-08-02T00:00:00"/>
    <n v="9743.48"/>
    <n v="4578.333623188405"/>
    <s v="DEV2462"/>
    <x v="3"/>
    <x v="1"/>
    <x v="0"/>
    <s v="Bhutan"/>
    <s v="Comoros"/>
    <s v="Delivered by Post"/>
    <x v="1"/>
    <x v="0"/>
    <x v="0"/>
  </r>
  <r>
    <s v="T0476"/>
    <x v="19"/>
    <n v="1"/>
    <x v="0"/>
    <x v="3"/>
    <d v="2025-01-12T00:00:00"/>
    <n v="115.36"/>
    <n v="4578.333623188405"/>
    <s v="DEV5521"/>
    <x v="2"/>
    <x v="2"/>
    <x v="2"/>
    <s v="Canada"/>
    <s v="Comoros"/>
    <s v="Delivered by Post"/>
    <x v="0"/>
    <x v="1"/>
    <x v="0"/>
  </r>
  <r>
    <s v="T0502"/>
    <x v="19"/>
    <n v="1"/>
    <x v="1"/>
    <x v="1"/>
    <d v="2025-03-02T00:00:00"/>
    <n v="7315.11"/>
    <n v="4578.333623188405"/>
    <s v="DEV4323"/>
    <x v="1"/>
    <x v="3"/>
    <x v="2"/>
    <s v="Comoros"/>
    <s v="Comoros"/>
    <s v="Delivered by Post"/>
    <x v="1"/>
    <x v="1"/>
    <x v="0"/>
  </r>
  <r>
    <s v="T0539"/>
    <x v="19"/>
    <n v="1"/>
    <x v="0"/>
    <x v="2"/>
    <d v="2025-12-16T00:00:00"/>
    <n v="4788.8500000000004"/>
    <n v="4578.333623188405"/>
    <s v="DEV7390"/>
    <x v="0"/>
    <x v="3"/>
    <x v="0"/>
    <s v="Turkmenistan"/>
    <s v="Bhutan"/>
    <s v="Picked Up"/>
    <x v="1"/>
    <x v="1"/>
    <x v="0"/>
  </r>
  <r>
    <s v="T0550"/>
    <x v="19"/>
    <n v="1"/>
    <x v="1"/>
    <x v="2"/>
    <d v="2025-02-13T00:00:00"/>
    <n v="6974.03"/>
    <n v="4578.333623188405"/>
    <s v="DEV8175"/>
    <x v="3"/>
    <x v="2"/>
    <x v="2"/>
    <s v="Romania"/>
    <s v="Canada"/>
    <s v="Picked Up"/>
    <x v="1"/>
    <x v="1"/>
    <x v="0"/>
  </r>
  <r>
    <s v="T0586"/>
    <x v="19"/>
    <n v="1"/>
    <x v="1"/>
    <x v="0"/>
    <d v="2025-10-30T00:00:00"/>
    <n v="4772.3999999999996"/>
    <n v="4578.333623188405"/>
    <s v="DEV2449"/>
    <x v="1"/>
    <x v="1"/>
    <x v="3"/>
    <s v="France"/>
    <s v="Bhutan"/>
    <s v="Picked Up"/>
    <x v="1"/>
    <x v="0"/>
    <x v="0"/>
  </r>
  <r>
    <s v="T0648"/>
    <x v="19"/>
    <n v="1"/>
    <x v="1"/>
    <x v="1"/>
    <d v="2025-09-25T00:00:00"/>
    <n v="1528.64"/>
    <n v="4578.333623188405"/>
    <s v="DEV5841"/>
    <x v="2"/>
    <x v="0"/>
    <x v="5"/>
    <s v="Zimbabwe"/>
    <s v="Canada"/>
    <s v="Picked Up"/>
    <x v="0"/>
    <x v="0"/>
    <x v="0"/>
  </r>
  <r>
    <s v="T0654"/>
    <x v="19"/>
    <n v="1"/>
    <x v="1"/>
    <x v="0"/>
    <d v="2025-03-01T00:00:00"/>
    <n v="7708.73"/>
    <n v="4578.333623188405"/>
    <s v="DEV3497"/>
    <x v="0"/>
    <x v="1"/>
    <x v="4"/>
    <s v="Canada"/>
    <s v="Comoros"/>
    <s v="Picked Up"/>
    <x v="1"/>
    <x v="0"/>
    <x v="0"/>
  </r>
  <r>
    <s v="T0669"/>
    <x v="19"/>
    <n v="1"/>
    <x v="1"/>
    <x v="1"/>
    <d v="2025-09-24T00:00:00"/>
    <n v="888.6"/>
    <n v="4578.333623188405"/>
    <s v="DEV5651"/>
    <x v="3"/>
    <x v="0"/>
    <x v="5"/>
    <s v="Turkmenistan"/>
    <s v="France"/>
    <s v="Delivered by Post"/>
    <x v="0"/>
    <x v="0"/>
    <x v="0"/>
  </r>
  <r>
    <s v="T0672"/>
    <x v="19"/>
    <n v="1"/>
    <x v="0"/>
    <x v="2"/>
    <d v="2025-09-24T00:00:00"/>
    <n v="2881.13"/>
    <n v="4578.333623188405"/>
    <s v="DEV5057"/>
    <x v="1"/>
    <x v="3"/>
    <x v="5"/>
    <s v="Romania"/>
    <s v="New Zealand"/>
    <s v="Delivered by Post"/>
    <x v="0"/>
    <x v="1"/>
    <x v="0"/>
  </r>
  <r>
    <s v="T0677"/>
    <x v="19"/>
    <n v="1"/>
    <x v="0"/>
    <x v="1"/>
    <d v="2025-10-29T00:00:00"/>
    <n v="2975.11"/>
    <n v="4578.333623188405"/>
    <s v="DEV1797"/>
    <x v="4"/>
    <x v="3"/>
    <x v="0"/>
    <s v="Norway"/>
    <s v="Comoros"/>
    <s v="Picked Up"/>
    <x v="0"/>
    <x v="1"/>
    <x v="1"/>
  </r>
  <r>
    <s v="T0705"/>
    <x v="19"/>
    <n v="1"/>
    <x v="0"/>
    <x v="1"/>
    <d v="2025-08-29T00:00:00"/>
    <n v="5857.48"/>
    <n v="4578.333623188405"/>
    <s v="DEV6618"/>
    <x v="4"/>
    <x v="3"/>
    <x v="2"/>
    <s v="Turkmenistan"/>
    <s v="Norway"/>
    <s v="Picked Up"/>
    <x v="1"/>
    <x v="1"/>
    <x v="1"/>
  </r>
  <r>
    <s v="T0798"/>
    <x v="19"/>
    <n v="1"/>
    <x v="1"/>
    <x v="0"/>
    <d v="2025-08-13T00:00:00"/>
    <n v="3676.73"/>
    <n v="4578.333623188405"/>
    <s v="DEV8198"/>
    <x v="3"/>
    <x v="2"/>
    <x v="1"/>
    <s v="Bhutan"/>
    <s v="Canada"/>
    <s v="Delivered by Post"/>
    <x v="0"/>
    <x v="1"/>
    <x v="0"/>
  </r>
  <r>
    <s v="T0809"/>
    <x v="19"/>
    <n v="1"/>
    <x v="0"/>
    <x v="1"/>
    <d v="2025-01-23T00:00:00"/>
    <n v="7267.24"/>
    <n v="4578.333623188405"/>
    <s v="DEV4140"/>
    <x v="0"/>
    <x v="3"/>
    <x v="5"/>
    <s v="New Zealand"/>
    <s v="New Zealand"/>
    <s v="Delivered by Post"/>
    <x v="1"/>
    <x v="1"/>
    <x v="0"/>
  </r>
  <r>
    <s v="T0838"/>
    <x v="19"/>
    <n v="1"/>
    <x v="1"/>
    <x v="2"/>
    <d v="2025-09-14T00:00:00"/>
    <n v="134.36000000000001"/>
    <n v="4578.333623188405"/>
    <s v="DEV6152"/>
    <x v="0"/>
    <x v="3"/>
    <x v="0"/>
    <s v="Zimbabwe"/>
    <s v="New Zealand"/>
    <s v="Delivered by Post"/>
    <x v="0"/>
    <x v="1"/>
    <x v="0"/>
  </r>
  <r>
    <s v="T0850"/>
    <x v="19"/>
    <n v="1"/>
    <x v="1"/>
    <x v="1"/>
    <d v="2025-12-09T00:00:00"/>
    <n v="8744.07"/>
    <n v="4578.333623188405"/>
    <s v="DEV4015"/>
    <x v="1"/>
    <x v="0"/>
    <x v="4"/>
    <s v="New Zealand"/>
    <s v="France"/>
    <s v="Picked Up"/>
    <x v="1"/>
    <x v="0"/>
    <x v="0"/>
  </r>
  <r>
    <s v="T0931"/>
    <x v="19"/>
    <n v="1"/>
    <x v="1"/>
    <x v="1"/>
    <d v="2025-01-19T00:00:00"/>
    <n v="7431.99"/>
    <n v="4578.333623188405"/>
    <s v="DEV8213"/>
    <x v="0"/>
    <x v="0"/>
    <x v="2"/>
    <s v="Comoros"/>
    <s v="Canada"/>
    <s v="Delivered by Post"/>
    <x v="1"/>
    <x v="0"/>
    <x v="0"/>
  </r>
  <r>
    <s v="T1003"/>
    <x v="19"/>
    <n v="1"/>
    <x v="0"/>
    <x v="2"/>
    <d v="2025-02-16T00:00:00"/>
    <n v="3109.89"/>
    <n v="4578.333623188405"/>
    <s v="DEV5009"/>
    <x v="3"/>
    <x v="3"/>
    <x v="2"/>
    <s v="Comoros"/>
    <s v="Norway"/>
    <s v="Delivered by Post"/>
    <x v="0"/>
    <x v="1"/>
    <x v="0"/>
  </r>
  <r>
    <s v="T1068"/>
    <x v="19"/>
    <n v="1"/>
    <x v="1"/>
    <x v="3"/>
    <d v="2025-01-15T00:00:00"/>
    <n v="4066.36"/>
    <n v="4578.333623188405"/>
    <s v="DEV6432"/>
    <x v="1"/>
    <x v="1"/>
    <x v="2"/>
    <s v="Norway"/>
    <s v="Bhutan"/>
    <s v="Picked Up"/>
    <x v="0"/>
    <x v="0"/>
    <x v="0"/>
  </r>
  <r>
    <s v="T1136"/>
    <x v="19"/>
    <n v="1"/>
    <x v="0"/>
    <x v="1"/>
    <d v="2025-08-01T00:00:00"/>
    <n v="1059.92"/>
    <n v="4578.333623188405"/>
    <s v="DEV9721"/>
    <x v="2"/>
    <x v="1"/>
    <x v="0"/>
    <s v="Turkmenistan"/>
    <s v="Turkmenistan"/>
    <s v="Delivered by Post"/>
    <x v="0"/>
    <x v="1"/>
    <x v="0"/>
  </r>
  <r>
    <s v="T1164"/>
    <x v="19"/>
    <n v="1"/>
    <x v="0"/>
    <x v="0"/>
    <d v="2025-11-30T00:00:00"/>
    <n v="2646.83"/>
    <n v="4578.333623188405"/>
    <s v="DEV7904"/>
    <x v="1"/>
    <x v="3"/>
    <x v="4"/>
    <s v="Norway"/>
    <s v="Comoros"/>
    <s v="Delivered by Post"/>
    <x v="0"/>
    <x v="1"/>
    <x v="0"/>
  </r>
  <r>
    <s v="T1203"/>
    <x v="19"/>
    <n v="1"/>
    <x v="0"/>
    <x v="2"/>
    <d v="2025-04-20T00:00:00"/>
    <n v="8809.83"/>
    <n v="4578.333623188405"/>
    <s v="DEV8778"/>
    <x v="0"/>
    <x v="1"/>
    <x v="0"/>
    <s v="Zimbabwe"/>
    <s v="Norway"/>
    <s v="Delivered by Post"/>
    <x v="1"/>
    <x v="0"/>
    <x v="0"/>
  </r>
  <r>
    <s v="T1233"/>
    <x v="19"/>
    <n v="1"/>
    <x v="0"/>
    <x v="0"/>
    <d v="2025-04-21T00:00:00"/>
    <n v="3767.55"/>
    <n v="4578.333623188405"/>
    <s v="DEV3411"/>
    <x v="0"/>
    <x v="2"/>
    <x v="3"/>
    <s v="France"/>
    <s v="Bhutan"/>
    <s v="Picked Up"/>
    <x v="0"/>
    <x v="1"/>
    <x v="0"/>
  </r>
  <r>
    <s v="T1376"/>
    <x v="19"/>
    <n v="1"/>
    <x v="1"/>
    <x v="3"/>
    <d v="2025-12-09T00:00:00"/>
    <n v="8632.7999999999993"/>
    <n v="4578.333623188405"/>
    <s v="DEV9869"/>
    <x v="4"/>
    <x v="1"/>
    <x v="1"/>
    <s v="New Zealand"/>
    <s v="France"/>
    <s v="Picked Up"/>
    <x v="1"/>
    <x v="0"/>
    <x v="1"/>
  </r>
  <r>
    <s v="T1378"/>
    <x v="19"/>
    <n v="1"/>
    <x v="0"/>
    <x v="0"/>
    <d v="2025-05-02T00:00:00"/>
    <n v="3756.41"/>
    <n v="4578.333623188405"/>
    <s v="DEV2896"/>
    <x v="4"/>
    <x v="3"/>
    <x v="2"/>
    <s v="Romania"/>
    <s v="Canada"/>
    <s v="Delivered by Post"/>
    <x v="0"/>
    <x v="1"/>
    <x v="1"/>
  </r>
  <r>
    <s v="T1396"/>
    <x v="19"/>
    <n v="1"/>
    <x v="0"/>
    <x v="0"/>
    <d v="2025-11-10T00:00:00"/>
    <n v="2028.45"/>
    <n v="4578.333623188405"/>
    <s v="DEV1080"/>
    <x v="2"/>
    <x v="1"/>
    <x v="4"/>
    <s v="Zimbabwe"/>
    <s v="Romania"/>
    <s v="Delivered by Post"/>
    <x v="0"/>
    <x v="0"/>
    <x v="0"/>
  </r>
  <r>
    <s v="T1445"/>
    <x v="19"/>
    <n v="1"/>
    <x v="0"/>
    <x v="0"/>
    <d v="2025-08-06T00:00:00"/>
    <n v="7691.65"/>
    <n v="4578.333623188405"/>
    <s v="DEV4973"/>
    <x v="4"/>
    <x v="3"/>
    <x v="4"/>
    <s v="Bhutan"/>
    <s v="Norway"/>
    <s v="Picked Up"/>
    <x v="1"/>
    <x v="1"/>
    <x v="1"/>
  </r>
  <r>
    <s v="T1458"/>
    <x v="19"/>
    <n v="1"/>
    <x v="0"/>
    <x v="0"/>
    <d v="2025-07-22T00:00:00"/>
    <n v="167.56"/>
    <n v="4578.333623188405"/>
    <s v="DEV8768"/>
    <x v="2"/>
    <x v="3"/>
    <x v="5"/>
    <s v="Zimbabwe"/>
    <s v="Bhutan"/>
    <s v="Delivered by Post"/>
    <x v="0"/>
    <x v="1"/>
    <x v="0"/>
  </r>
  <r>
    <s v="T1535"/>
    <x v="19"/>
    <n v="1"/>
    <x v="0"/>
    <x v="0"/>
    <d v="2025-08-20T00:00:00"/>
    <n v="7778.68"/>
    <n v="4578.333623188405"/>
    <s v="DEV7760"/>
    <x v="3"/>
    <x v="1"/>
    <x v="0"/>
    <s v="Zimbabwe"/>
    <s v="Canada"/>
    <s v="Picked Up"/>
    <x v="1"/>
    <x v="0"/>
    <x v="0"/>
  </r>
  <r>
    <s v="T1563"/>
    <x v="19"/>
    <n v="1"/>
    <x v="1"/>
    <x v="2"/>
    <d v="2025-07-25T00:00:00"/>
    <n v="3126.41"/>
    <n v="4578.333623188405"/>
    <s v="DEV8337"/>
    <x v="2"/>
    <x v="1"/>
    <x v="1"/>
    <s v="Zimbabwe"/>
    <s v="Bhutan"/>
    <s v="Picked Up"/>
    <x v="0"/>
    <x v="0"/>
    <x v="0"/>
  </r>
  <r>
    <s v="T1606"/>
    <x v="19"/>
    <n v="1"/>
    <x v="0"/>
    <x v="3"/>
    <d v="2025-09-30T00:00:00"/>
    <n v="6917.26"/>
    <n v="4578.333623188405"/>
    <s v="DEV2847"/>
    <x v="4"/>
    <x v="1"/>
    <x v="5"/>
    <s v="Zimbabwe"/>
    <s v="Zimbabwe"/>
    <s v="Delivered by Post"/>
    <x v="1"/>
    <x v="1"/>
    <x v="0"/>
  </r>
  <r>
    <s v="T1674"/>
    <x v="19"/>
    <n v="1"/>
    <x v="0"/>
    <x v="3"/>
    <d v="2025-12-22T00:00:00"/>
    <n v="7944.84"/>
    <n v="4578.333623188405"/>
    <s v="DEV4505"/>
    <x v="3"/>
    <x v="1"/>
    <x v="2"/>
    <s v="Zimbabwe"/>
    <s v="Turkmenistan"/>
    <s v="Picked Up"/>
    <x v="1"/>
    <x v="0"/>
    <x v="0"/>
  </r>
  <r>
    <s v="T1754"/>
    <x v="19"/>
    <n v="1"/>
    <x v="1"/>
    <x v="3"/>
    <d v="2025-07-31T00:00:00"/>
    <n v="8169.84"/>
    <n v="4578.333623188405"/>
    <s v="DEV3779"/>
    <x v="1"/>
    <x v="0"/>
    <x v="3"/>
    <s v="Zimbabwe"/>
    <s v="Norway"/>
    <s v="Picked Up"/>
    <x v="1"/>
    <x v="0"/>
    <x v="0"/>
  </r>
  <r>
    <s v="T1761"/>
    <x v="19"/>
    <n v="1"/>
    <x v="0"/>
    <x v="0"/>
    <d v="2025-07-16T00:00:00"/>
    <n v="5900.58"/>
    <n v="4578.333623188405"/>
    <s v="DEV5394"/>
    <x v="1"/>
    <x v="2"/>
    <x v="4"/>
    <s v="New Zealand"/>
    <s v="Zimbabwe"/>
    <s v="Picked Up"/>
    <x v="1"/>
    <x v="1"/>
    <x v="0"/>
  </r>
  <r>
    <s v="T1822"/>
    <x v="19"/>
    <n v="1"/>
    <x v="1"/>
    <x v="3"/>
    <d v="2025-03-19T00:00:00"/>
    <n v="1226.18"/>
    <n v="4578.333623188405"/>
    <s v="DEV9905"/>
    <x v="0"/>
    <x v="2"/>
    <x v="2"/>
    <s v="Turkmenistan"/>
    <s v="Bhutan"/>
    <s v="Delivered by Post"/>
    <x v="0"/>
    <x v="1"/>
    <x v="0"/>
  </r>
  <r>
    <s v="T1934"/>
    <x v="19"/>
    <n v="1"/>
    <x v="0"/>
    <x v="2"/>
    <d v="2025-11-25T00:00:00"/>
    <n v="1332.3"/>
    <n v="4578.333623188405"/>
    <s v="DEV1037"/>
    <x v="3"/>
    <x v="1"/>
    <x v="5"/>
    <s v="Romania"/>
    <s v="Romania"/>
    <s v="Picked Up"/>
    <x v="0"/>
    <x v="1"/>
    <x v="0"/>
  </r>
  <r>
    <s v="T1985"/>
    <x v="19"/>
    <n v="1"/>
    <x v="0"/>
    <x v="3"/>
    <d v="2025-04-23T00:00:00"/>
    <n v="5898.07"/>
    <n v="4578.333623188405"/>
    <s v="DEV1335"/>
    <x v="2"/>
    <x v="3"/>
    <x v="0"/>
    <s v="Comoros"/>
    <s v="Bhutan"/>
    <s v="Picked Up"/>
    <x v="1"/>
    <x v="1"/>
    <x v="0"/>
  </r>
  <r>
    <s v="T1992"/>
    <x v="19"/>
    <n v="1"/>
    <x v="0"/>
    <x v="0"/>
    <d v="2025-07-03T00:00:00"/>
    <n v="915.78"/>
    <n v="4578.333623188405"/>
    <s v="DEV4944"/>
    <x v="2"/>
    <x v="2"/>
    <x v="4"/>
    <s v="Bhutan"/>
    <s v="Romania"/>
    <s v="Delivered by Post"/>
    <x v="0"/>
    <x v="1"/>
    <x v="0"/>
  </r>
  <r>
    <s v="T2031"/>
    <x v="19"/>
    <n v="1"/>
    <x v="0"/>
    <x v="2"/>
    <d v="2025-04-08T00:00:00"/>
    <n v="4293.37"/>
    <n v="4578.333623188405"/>
    <s v="DEV9768"/>
    <x v="2"/>
    <x v="1"/>
    <x v="0"/>
    <s v="Canada"/>
    <s v="Comoros"/>
    <s v="Picked Up"/>
    <x v="0"/>
    <x v="0"/>
    <x v="0"/>
  </r>
  <r>
    <s v="T2074"/>
    <x v="19"/>
    <n v="1"/>
    <x v="0"/>
    <x v="1"/>
    <d v="2025-08-26T00:00:00"/>
    <n v="2136.69"/>
    <n v="4578.333623188405"/>
    <s v="DEV5338"/>
    <x v="3"/>
    <x v="2"/>
    <x v="4"/>
    <s v="New Zealand"/>
    <s v="Romania"/>
    <s v="Picked Up"/>
    <x v="0"/>
    <x v="1"/>
    <x v="0"/>
  </r>
  <r>
    <s v="T2084"/>
    <x v="19"/>
    <n v="1"/>
    <x v="0"/>
    <x v="3"/>
    <d v="2025-11-29T00:00:00"/>
    <n v="5045.71"/>
    <n v="4578.333623188405"/>
    <s v="DEV1936"/>
    <x v="3"/>
    <x v="3"/>
    <x v="5"/>
    <s v="Romania"/>
    <s v="Bhutan"/>
    <s v="Delivered by Post"/>
    <x v="1"/>
    <x v="1"/>
    <x v="0"/>
  </r>
  <r>
    <s v="T2105"/>
    <x v="19"/>
    <n v="1"/>
    <x v="1"/>
    <x v="1"/>
    <d v="2025-09-11T00:00:00"/>
    <n v="3006.34"/>
    <n v="4578.333623188405"/>
    <s v="DEV4355"/>
    <x v="3"/>
    <x v="0"/>
    <x v="1"/>
    <s v="Zimbabwe"/>
    <s v="Zimbabwe"/>
    <s v="Delivered by Post"/>
    <x v="0"/>
    <x v="1"/>
    <x v="0"/>
  </r>
  <r>
    <s v="T2131"/>
    <x v="19"/>
    <n v="1"/>
    <x v="1"/>
    <x v="0"/>
    <d v="2025-12-17T00:00:00"/>
    <n v="8316.64"/>
    <n v="4578.333623188405"/>
    <s v="DEV1914"/>
    <x v="2"/>
    <x v="2"/>
    <x v="4"/>
    <s v="Zimbabwe"/>
    <s v="Zimbabwe"/>
    <s v="Picked Up"/>
    <x v="1"/>
    <x v="1"/>
    <x v="0"/>
  </r>
  <r>
    <s v="T2166"/>
    <x v="19"/>
    <n v="1"/>
    <x v="0"/>
    <x v="3"/>
    <d v="2025-08-21T00:00:00"/>
    <n v="4538.12"/>
    <n v="4578.333623188405"/>
    <s v="DEV9197"/>
    <x v="4"/>
    <x v="2"/>
    <x v="1"/>
    <s v="Comoros"/>
    <s v="France"/>
    <s v="Delivered by Post"/>
    <x v="0"/>
    <x v="1"/>
    <x v="1"/>
  </r>
  <r>
    <s v="T2191"/>
    <x v="19"/>
    <n v="1"/>
    <x v="1"/>
    <x v="0"/>
    <d v="2025-07-29T00:00:00"/>
    <n v="4432.97"/>
    <n v="4578.333623188405"/>
    <s v="DEV4523"/>
    <x v="1"/>
    <x v="3"/>
    <x v="3"/>
    <s v="Romania"/>
    <s v="Norway"/>
    <s v="Delivered by Post"/>
    <x v="0"/>
    <x v="1"/>
    <x v="0"/>
  </r>
  <r>
    <s v="T2202"/>
    <x v="19"/>
    <n v="1"/>
    <x v="1"/>
    <x v="1"/>
    <d v="2025-08-13T00:00:00"/>
    <n v="5557.81"/>
    <n v="4578.333623188405"/>
    <s v="DEV4965"/>
    <x v="4"/>
    <x v="1"/>
    <x v="4"/>
    <s v="Comoros"/>
    <s v="Zimbabwe"/>
    <s v="Delivered by Post"/>
    <x v="1"/>
    <x v="0"/>
    <x v="1"/>
  </r>
  <r>
    <s v="T2219"/>
    <x v="19"/>
    <n v="1"/>
    <x v="1"/>
    <x v="2"/>
    <d v="2025-11-21T00:00:00"/>
    <n v="231.52"/>
    <n v="4578.333623188405"/>
    <s v="DEV2573"/>
    <x v="4"/>
    <x v="1"/>
    <x v="3"/>
    <s v="Comoros"/>
    <s v="Romania"/>
    <s v="Delivered by Post"/>
    <x v="0"/>
    <x v="0"/>
    <x v="1"/>
  </r>
  <r>
    <s v="T2263"/>
    <x v="19"/>
    <n v="1"/>
    <x v="0"/>
    <x v="3"/>
    <d v="2025-05-07T00:00:00"/>
    <n v="9049.92"/>
    <n v="4578.333623188405"/>
    <s v="DEV7720"/>
    <x v="4"/>
    <x v="2"/>
    <x v="1"/>
    <s v="New Zealand"/>
    <s v="Canada"/>
    <s v="Delivered by Post"/>
    <x v="1"/>
    <x v="1"/>
    <x v="1"/>
  </r>
  <r>
    <s v="T2295"/>
    <x v="19"/>
    <n v="1"/>
    <x v="1"/>
    <x v="2"/>
    <d v="2025-05-10T00:00:00"/>
    <n v="1059.6400000000001"/>
    <n v="4578.333623188405"/>
    <s v="DEV9826"/>
    <x v="4"/>
    <x v="2"/>
    <x v="3"/>
    <s v="Comoros"/>
    <s v="Norway"/>
    <s v="Picked Up"/>
    <x v="0"/>
    <x v="1"/>
    <x v="1"/>
  </r>
  <r>
    <s v="T2298"/>
    <x v="19"/>
    <n v="1"/>
    <x v="0"/>
    <x v="3"/>
    <d v="2025-07-10T00:00:00"/>
    <n v="758.5"/>
    <n v="4578.333623188405"/>
    <s v="DEV3156"/>
    <x v="4"/>
    <x v="2"/>
    <x v="5"/>
    <s v="Canada"/>
    <s v="Comoros"/>
    <s v="Picked Up"/>
    <x v="0"/>
    <x v="1"/>
    <x v="1"/>
  </r>
  <r>
    <s v="T2330"/>
    <x v="19"/>
    <n v="1"/>
    <x v="1"/>
    <x v="2"/>
    <d v="2025-01-01T00:00:00"/>
    <n v="3152.6"/>
    <n v="4578.333623188405"/>
    <s v="DEV5503"/>
    <x v="1"/>
    <x v="1"/>
    <x v="4"/>
    <s v="Zimbabwe"/>
    <s v="France"/>
    <s v="Delivered by Post"/>
    <x v="0"/>
    <x v="0"/>
    <x v="0"/>
  </r>
  <r>
    <s v="T2401"/>
    <x v="19"/>
    <n v="1"/>
    <x v="1"/>
    <x v="3"/>
    <d v="2025-08-29T00:00:00"/>
    <n v="2691.42"/>
    <n v="4578.333623188405"/>
    <s v="DEV2821"/>
    <x v="3"/>
    <x v="0"/>
    <x v="5"/>
    <s v="Romania"/>
    <s v="Zimbabwe"/>
    <s v="Picked Up"/>
    <x v="0"/>
    <x v="0"/>
    <x v="0"/>
  </r>
  <r>
    <s v="T2467"/>
    <x v="19"/>
    <n v="1"/>
    <x v="1"/>
    <x v="1"/>
    <d v="2025-03-30T00:00:00"/>
    <n v="9513.16"/>
    <n v="4578.333623188405"/>
    <s v="DEV2500"/>
    <x v="3"/>
    <x v="3"/>
    <x v="1"/>
    <s v="Canada"/>
    <s v="Norway"/>
    <s v="Picked Up"/>
    <x v="1"/>
    <x v="1"/>
    <x v="0"/>
  </r>
  <r>
    <s v="T2470"/>
    <x v="19"/>
    <n v="1"/>
    <x v="0"/>
    <x v="0"/>
    <d v="2025-04-15T00:00:00"/>
    <n v="4096.03"/>
    <n v="4578.333623188405"/>
    <s v="DEV4821"/>
    <x v="4"/>
    <x v="3"/>
    <x v="4"/>
    <s v="Zimbabwe"/>
    <s v="Romania"/>
    <s v="Picked Up"/>
    <x v="0"/>
    <x v="1"/>
    <x v="1"/>
  </r>
  <r>
    <s v="T2498"/>
    <x v="19"/>
    <n v="1"/>
    <x v="1"/>
    <x v="3"/>
    <d v="2025-05-26T00:00:00"/>
    <n v="8122.45"/>
    <n v="4578.333623188405"/>
    <s v="DEV7343"/>
    <x v="0"/>
    <x v="3"/>
    <x v="1"/>
    <s v="Norway"/>
    <s v="Zimbabwe"/>
    <s v="Delivered by Post"/>
    <x v="1"/>
    <x v="1"/>
    <x v="0"/>
  </r>
  <r>
    <s v="T2531"/>
    <x v="19"/>
    <n v="1"/>
    <x v="1"/>
    <x v="1"/>
    <d v="2025-03-14T00:00:00"/>
    <n v="8296.94"/>
    <n v="4578.333623188405"/>
    <s v="DEV6871"/>
    <x v="2"/>
    <x v="0"/>
    <x v="3"/>
    <s v="Canada"/>
    <s v="Romania"/>
    <s v="Delivered by Post"/>
    <x v="1"/>
    <x v="0"/>
    <x v="0"/>
  </r>
  <r>
    <s v="T2579"/>
    <x v="19"/>
    <n v="1"/>
    <x v="1"/>
    <x v="1"/>
    <d v="2025-06-17T00:00:00"/>
    <n v="2989.51"/>
    <n v="4578.333623188405"/>
    <s v="DEV2107"/>
    <x v="0"/>
    <x v="2"/>
    <x v="5"/>
    <s v="Canada"/>
    <s v="New Zealand"/>
    <s v="Picked Up"/>
    <x v="0"/>
    <x v="1"/>
    <x v="0"/>
  </r>
  <r>
    <s v="T2722"/>
    <x v="19"/>
    <n v="1"/>
    <x v="1"/>
    <x v="3"/>
    <d v="2025-08-12T00:00:00"/>
    <n v="8905.7900000000009"/>
    <n v="4578.333623188405"/>
    <s v="DEV9244"/>
    <x v="2"/>
    <x v="1"/>
    <x v="4"/>
    <s v="New Zealand"/>
    <s v="France"/>
    <s v="Picked Up"/>
    <x v="1"/>
    <x v="0"/>
    <x v="0"/>
  </r>
  <r>
    <s v="T2745"/>
    <x v="19"/>
    <n v="1"/>
    <x v="0"/>
    <x v="2"/>
    <d v="2025-01-24T00:00:00"/>
    <n v="804.24"/>
    <n v="4578.333623188405"/>
    <s v="DEV9483"/>
    <x v="4"/>
    <x v="1"/>
    <x v="2"/>
    <s v="Bhutan"/>
    <s v="Turkmenistan"/>
    <s v="Delivered by Post"/>
    <x v="0"/>
    <x v="0"/>
    <x v="1"/>
  </r>
  <r>
    <s v="T2814"/>
    <x v="19"/>
    <n v="1"/>
    <x v="1"/>
    <x v="3"/>
    <d v="2025-09-14T00:00:00"/>
    <n v="8332.8700000000008"/>
    <n v="4578.333623188405"/>
    <s v="DEV8030"/>
    <x v="1"/>
    <x v="2"/>
    <x v="1"/>
    <s v="Turkmenistan"/>
    <s v="Comoros"/>
    <s v="Delivered by Post"/>
    <x v="1"/>
    <x v="1"/>
    <x v="0"/>
  </r>
  <r>
    <s v="T0013"/>
    <x v="20"/>
    <n v="1"/>
    <x v="2"/>
    <x v="3"/>
    <d v="2025-07-24T05:06:00"/>
    <n v="4524.95"/>
    <n v="5639.4775438596498"/>
    <s v="DEV6327"/>
    <x v="5"/>
    <x v="1"/>
    <x v="5"/>
    <s v="Ethiopia"/>
    <s v="Wallis and Futuna"/>
    <s v="Delivered by Post"/>
    <x v="0"/>
    <x v="0"/>
    <x v="1"/>
  </r>
  <r>
    <s v="T0014"/>
    <x v="20"/>
    <n v="1"/>
    <x v="2"/>
    <x v="0"/>
    <d v="2025-01-12T21:48:00"/>
    <n v="7268.02"/>
    <n v="5639.4775438596498"/>
    <s v="DEV4513"/>
    <x v="2"/>
    <x v="0"/>
    <x v="0"/>
    <s v="Ethiopia"/>
    <s v="Timor-Leste"/>
    <s v="Delivered by Post"/>
    <x v="1"/>
    <x v="0"/>
    <x v="0"/>
  </r>
  <r>
    <s v="T0222"/>
    <x v="20"/>
    <n v="1"/>
    <x v="1"/>
    <x v="3"/>
    <d v="2025-08-17T00:00:00"/>
    <n v="1070.8499999999999"/>
    <n v="5639.4775438596498"/>
    <s v="DEV7981"/>
    <x v="3"/>
    <x v="1"/>
    <x v="1"/>
    <s v="Comoros"/>
    <s v="Canada"/>
    <s v="Delivered by Post"/>
    <x v="0"/>
    <x v="0"/>
    <x v="0"/>
  </r>
  <r>
    <s v="T0235"/>
    <x v="20"/>
    <n v="1"/>
    <x v="1"/>
    <x v="1"/>
    <d v="2025-03-14T00:00:00"/>
    <n v="2455.29"/>
    <n v="5639.4775438596498"/>
    <s v="DEV1829"/>
    <x v="4"/>
    <x v="1"/>
    <x v="5"/>
    <s v="Bhutan"/>
    <s v="Romania"/>
    <s v="Picked Up"/>
    <x v="0"/>
    <x v="0"/>
    <x v="1"/>
  </r>
  <r>
    <s v="T0236"/>
    <x v="20"/>
    <n v="1"/>
    <x v="0"/>
    <x v="1"/>
    <d v="2025-09-13T00:00:00"/>
    <n v="9340.83"/>
    <n v="5639.4775438596498"/>
    <s v="DEV8648"/>
    <x v="0"/>
    <x v="3"/>
    <x v="4"/>
    <s v="Canada"/>
    <s v="Zimbabwe"/>
    <s v="Delivered by Post"/>
    <x v="1"/>
    <x v="1"/>
    <x v="0"/>
  </r>
  <r>
    <s v="T0245"/>
    <x v="20"/>
    <n v="1"/>
    <x v="1"/>
    <x v="3"/>
    <d v="2025-12-13T00:00:00"/>
    <n v="9569.02"/>
    <n v="5639.4775438596498"/>
    <s v="DEV5331"/>
    <x v="2"/>
    <x v="1"/>
    <x v="0"/>
    <s v="Romania"/>
    <s v="France"/>
    <s v="Delivered by Post"/>
    <x v="1"/>
    <x v="0"/>
    <x v="0"/>
  </r>
  <r>
    <s v="T0300"/>
    <x v="20"/>
    <n v="1"/>
    <x v="1"/>
    <x v="0"/>
    <d v="2025-09-06T00:00:00"/>
    <n v="8427.75"/>
    <n v="5639.4775438596498"/>
    <s v="DEV4196"/>
    <x v="0"/>
    <x v="1"/>
    <x v="4"/>
    <s v="Comoros"/>
    <s v="Bhutan"/>
    <s v="Delivered by Post"/>
    <x v="1"/>
    <x v="0"/>
    <x v="0"/>
  </r>
  <r>
    <s v="T0307"/>
    <x v="20"/>
    <n v="1"/>
    <x v="0"/>
    <x v="2"/>
    <d v="2025-11-22T00:00:00"/>
    <n v="5840.46"/>
    <n v="5639.4775438596498"/>
    <s v="DEV6869"/>
    <x v="1"/>
    <x v="1"/>
    <x v="0"/>
    <s v="Bhutan"/>
    <s v="Romania"/>
    <s v="Delivered by Post"/>
    <x v="1"/>
    <x v="0"/>
    <x v="0"/>
  </r>
  <r>
    <s v="T0401"/>
    <x v="20"/>
    <n v="1"/>
    <x v="1"/>
    <x v="2"/>
    <d v="2025-10-21T00:00:00"/>
    <n v="5988.96"/>
    <n v="5639.4775438596498"/>
    <s v="DEV6866"/>
    <x v="1"/>
    <x v="3"/>
    <x v="5"/>
    <s v="Romania"/>
    <s v="Norway"/>
    <s v="Picked Up"/>
    <x v="1"/>
    <x v="1"/>
    <x v="0"/>
  </r>
  <r>
    <s v="T0467"/>
    <x v="20"/>
    <n v="1"/>
    <x v="0"/>
    <x v="0"/>
    <d v="2025-09-29T00:00:00"/>
    <n v="7337.4"/>
    <n v="5639.4775438596498"/>
    <s v="DEV8362"/>
    <x v="4"/>
    <x v="3"/>
    <x v="5"/>
    <s v="New Zealand"/>
    <s v="Comoros"/>
    <s v="Picked Up"/>
    <x v="1"/>
    <x v="1"/>
    <x v="1"/>
  </r>
  <r>
    <s v="T0522"/>
    <x v="20"/>
    <n v="1"/>
    <x v="1"/>
    <x v="0"/>
    <d v="2025-06-29T00:00:00"/>
    <n v="4560.17"/>
    <n v="5639.4775438596498"/>
    <s v="DEV8556"/>
    <x v="3"/>
    <x v="3"/>
    <x v="1"/>
    <s v="Norway"/>
    <s v="Turkmenistan"/>
    <s v="Picked Up"/>
    <x v="0"/>
    <x v="1"/>
    <x v="0"/>
  </r>
  <r>
    <s v="T0638"/>
    <x v="20"/>
    <n v="1"/>
    <x v="0"/>
    <x v="2"/>
    <d v="2025-01-28T00:00:00"/>
    <n v="7381.85"/>
    <n v="5639.4775438596498"/>
    <s v="DEV3435"/>
    <x v="1"/>
    <x v="2"/>
    <x v="0"/>
    <s v="Canada"/>
    <s v="Comoros"/>
    <s v="Delivered by Post"/>
    <x v="1"/>
    <x v="1"/>
    <x v="0"/>
  </r>
  <r>
    <s v="T0744"/>
    <x v="20"/>
    <n v="1"/>
    <x v="1"/>
    <x v="3"/>
    <d v="2025-01-13T00:00:00"/>
    <n v="6453.84"/>
    <n v="5639.4775438596498"/>
    <s v="DEV6427"/>
    <x v="4"/>
    <x v="2"/>
    <x v="0"/>
    <s v="Turkmenistan"/>
    <s v="Canada"/>
    <s v="Picked Up"/>
    <x v="1"/>
    <x v="1"/>
    <x v="1"/>
  </r>
  <r>
    <s v="T0827"/>
    <x v="20"/>
    <n v="1"/>
    <x v="1"/>
    <x v="3"/>
    <d v="2025-06-13T00:00:00"/>
    <n v="9947.98"/>
    <n v="5639.4775438596498"/>
    <s v="DEV7944"/>
    <x v="0"/>
    <x v="1"/>
    <x v="5"/>
    <s v="New Zealand"/>
    <s v="Norway"/>
    <s v="Picked Up"/>
    <x v="1"/>
    <x v="0"/>
    <x v="0"/>
  </r>
  <r>
    <s v="T0862"/>
    <x v="20"/>
    <n v="1"/>
    <x v="1"/>
    <x v="0"/>
    <d v="2025-11-18T00:00:00"/>
    <n v="2077.44"/>
    <n v="5639.4775438596498"/>
    <s v="DEV3507"/>
    <x v="1"/>
    <x v="0"/>
    <x v="5"/>
    <s v="Bhutan"/>
    <s v="Canada"/>
    <s v="Picked Up"/>
    <x v="0"/>
    <x v="0"/>
    <x v="0"/>
  </r>
  <r>
    <s v="T0882"/>
    <x v="20"/>
    <n v="1"/>
    <x v="0"/>
    <x v="3"/>
    <d v="2025-06-01T00:00:00"/>
    <n v="7737.81"/>
    <n v="5639.4775438596498"/>
    <s v="DEV2356"/>
    <x v="4"/>
    <x v="2"/>
    <x v="3"/>
    <s v="Romania"/>
    <s v="Zimbabwe"/>
    <s v="Picked Up"/>
    <x v="1"/>
    <x v="1"/>
    <x v="1"/>
  </r>
  <r>
    <s v="T0891"/>
    <x v="20"/>
    <n v="1"/>
    <x v="1"/>
    <x v="2"/>
    <d v="2025-03-14T00:00:00"/>
    <n v="6830.35"/>
    <n v="5639.4775438596498"/>
    <s v="DEV8775"/>
    <x v="0"/>
    <x v="3"/>
    <x v="2"/>
    <s v="Norway"/>
    <s v="France"/>
    <s v="Picked Up"/>
    <x v="1"/>
    <x v="1"/>
    <x v="0"/>
  </r>
  <r>
    <s v="T0930"/>
    <x v="20"/>
    <n v="1"/>
    <x v="0"/>
    <x v="3"/>
    <d v="2025-07-30T00:00:00"/>
    <n v="6992.83"/>
    <n v="5639.4775438596498"/>
    <s v="DEV8966"/>
    <x v="4"/>
    <x v="0"/>
    <x v="0"/>
    <s v="Norway"/>
    <s v="Turkmenistan"/>
    <s v="Picked Up"/>
    <x v="1"/>
    <x v="0"/>
    <x v="1"/>
  </r>
  <r>
    <s v="T0944"/>
    <x v="20"/>
    <n v="1"/>
    <x v="1"/>
    <x v="1"/>
    <d v="2025-06-18T00:00:00"/>
    <n v="2728.37"/>
    <n v="5639.4775438596498"/>
    <s v="DEV6930"/>
    <x v="3"/>
    <x v="1"/>
    <x v="1"/>
    <s v="Zimbabwe"/>
    <s v="Romania"/>
    <s v="Delivered by Post"/>
    <x v="0"/>
    <x v="0"/>
    <x v="0"/>
  </r>
  <r>
    <s v="T0970"/>
    <x v="20"/>
    <n v="1"/>
    <x v="1"/>
    <x v="3"/>
    <d v="2025-08-23T00:00:00"/>
    <n v="4280.2700000000004"/>
    <n v="5639.4775438596498"/>
    <s v="DEV2633"/>
    <x v="4"/>
    <x v="1"/>
    <x v="4"/>
    <s v="France"/>
    <s v="Bhutan"/>
    <s v="Picked Up"/>
    <x v="0"/>
    <x v="0"/>
    <x v="1"/>
  </r>
  <r>
    <s v="T0979"/>
    <x v="20"/>
    <n v="1"/>
    <x v="0"/>
    <x v="0"/>
    <d v="2025-06-09T00:00:00"/>
    <n v="4192.21"/>
    <n v="5639.4775438596498"/>
    <s v="DEV4074"/>
    <x v="3"/>
    <x v="0"/>
    <x v="5"/>
    <s v="Comoros"/>
    <s v="New Zealand"/>
    <s v="Picked Up"/>
    <x v="0"/>
    <x v="0"/>
    <x v="0"/>
  </r>
  <r>
    <s v="T1013"/>
    <x v="20"/>
    <n v="1"/>
    <x v="0"/>
    <x v="3"/>
    <d v="2025-01-19T00:00:00"/>
    <n v="3011.95"/>
    <n v="5639.4775438596498"/>
    <s v="DEV7491"/>
    <x v="3"/>
    <x v="2"/>
    <x v="2"/>
    <s v="Turkmenistan"/>
    <s v="Zimbabwe"/>
    <s v="Picked Up"/>
    <x v="0"/>
    <x v="1"/>
    <x v="0"/>
  </r>
  <r>
    <s v="T1024"/>
    <x v="20"/>
    <n v="1"/>
    <x v="1"/>
    <x v="2"/>
    <d v="2025-04-26T00:00:00"/>
    <n v="7716.47"/>
    <n v="5639.4775438596498"/>
    <s v="DEV9107"/>
    <x v="0"/>
    <x v="3"/>
    <x v="4"/>
    <s v="Norway"/>
    <s v="Norway"/>
    <s v="Delivered by Post"/>
    <x v="1"/>
    <x v="1"/>
    <x v="0"/>
  </r>
  <r>
    <s v="T1134"/>
    <x v="20"/>
    <n v="1"/>
    <x v="0"/>
    <x v="0"/>
    <d v="2025-02-03T00:00:00"/>
    <n v="6123.06"/>
    <n v="5639.4775438596498"/>
    <s v="DEV1351"/>
    <x v="1"/>
    <x v="0"/>
    <x v="1"/>
    <s v="Zimbabwe"/>
    <s v="New Zealand"/>
    <s v="Delivered by Post"/>
    <x v="1"/>
    <x v="0"/>
    <x v="0"/>
  </r>
  <r>
    <s v="T1159"/>
    <x v="20"/>
    <n v="1"/>
    <x v="1"/>
    <x v="2"/>
    <d v="2025-05-24T00:00:00"/>
    <n v="6898.4"/>
    <n v="5639.4775438596498"/>
    <s v="DEV6582"/>
    <x v="2"/>
    <x v="3"/>
    <x v="3"/>
    <s v="Romania"/>
    <s v="Norway"/>
    <s v="Delivered by Post"/>
    <x v="1"/>
    <x v="1"/>
    <x v="0"/>
  </r>
  <r>
    <s v="T1171"/>
    <x v="20"/>
    <n v="1"/>
    <x v="1"/>
    <x v="0"/>
    <d v="2025-09-19T00:00:00"/>
    <n v="3905.88"/>
    <n v="5639.4775438596498"/>
    <s v="DEV9064"/>
    <x v="1"/>
    <x v="1"/>
    <x v="5"/>
    <s v="Zimbabwe"/>
    <s v="Canada"/>
    <s v="Picked Up"/>
    <x v="0"/>
    <x v="0"/>
    <x v="0"/>
  </r>
  <r>
    <s v="T1174"/>
    <x v="20"/>
    <n v="1"/>
    <x v="1"/>
    <x v="2"/>
    <d v="2025-01-15T00:00:00"/>
    <n v="8984.3799999999992"/>
    <n v="5639.4775438596498"/>
    <s v="DEV9385"/>
    <x v="0"/>
    <x v="2"/>
    <x v="0"/>
    <s v="Zimbabwe"/>
    <s v="Canada"/>
    <s v="Delivered by Post"/>
    <x v="1"/>
    <x v="1"/>
    <x v="0"/>
  </r>
  <r>
    <s v="T1210"/>
    <x v="20"/>
    <n v="1"/>
    <x v="1"/>
    <x v="3"/>
    <d v="2025-04-09T00:00:00"/>
    <n v="9076.82"/>
    <n v="5639.4775438596498"/>
    <s v="DEV9481"/>
    <x v="0"/>
    <x v="3"/>
    <x v="1"/>
    <s v="Bhutan"/>
    <s v="Romania"/>
    <s v="Picked Up"/>
    <x v="1"/>
    <x v="1"/>
    <x v="0"/>
  </r>
  <r>
    <s v="T1222"/>
    <x v="20"/>
    <n v="1"/>
    <x v="1"/>
    <x v="1"/>
    <d v="2025-07-14T00:00:00"/>
    <n v="3564.99"/>
    <n v="5639.4775438596498"/>
    <s v="DEV8695"/>
    <x v="1"/>
    <x v="2"/>
    <x v="3"/>
    <s v="Zimbabwe"/>
    <s v="Comoros"/>
    <s v="Picked Up"/>
    <x v="0"/>
    <x v="1"/>
    <x v="0"/>
  </r>
  <r>
    <s v="T1310"/>
    <x v="20"/>
    <n v="1"/>
    <x v="1"/>
    <x v="1"/>
    <d v="2025-10-23T00:00:00"/>
    <n v="3727.18"/>
    <n v="5639.4775438596498"/>
    <s v="DEV1686"/>
    <x v="2"/>
    <x v="0"/>
    <x v="3"/>
    <s v="Comoros"/>
    <s v="Canada"/>
    <s v="Delivered by Post"/>
    <x v="0"/>
    <x v="0"/>
    <x v="0"/>
  </r>
  <r>
    <s v="T1436"/>
    <x v="20"/>
    <n v="1"/>
    <x v="1"/>
    <x v="3"/>
    <d v="2025-01-15T00:00:00"/>
    <n v="6520.34"/>
    <n v="5639.4775438596498"/>
    <s v="DEV7822"/>
    <x v="0"/>
    <x v="0"/>
    <x v="4"/>
    <s v="Comoros"/>
    <s v="Zimbabwe"/>
    <s v="Picked Up"/>
    <x v="1"/>
    <x v="0"/>
    <x v="0"/>
  </r>
  <r>
    <s v="T1444"/>
    <x v="20"/>
    <n v="1"/>
    <x v="0"/>
    <x v="3"/>
    <d v="2025-06-11T00:00:00"/>
    <n v="7902.32"/>
    <n v="5639.4775438596498"/>
    <s v="DEV6966"/>
    <x v="0"/>
    <x v="1"/>
    <x v="1"/>
    <s v="Turkmenistan"/>
    <s v="Canada"/>
    <s v="Delivered by Post"/>
    <x v="1"/>
    <x v="0"/>
    <x v="0"/>
  </r>
  <r>
    <s v="T1554"/>
    <x v="20"/>
    <n v="1"/>
    <x v="0"/>
    <x v="3"/>
    <d v="2025-06-13T00:00:00"/>
    <n v="7318.45"/>
    <n v="5639.4775438596498"/>
    <s v="DEV2191"/>
    <x v="3"/>
    <x v="0"/>
    <x v="1"/>
    <s v="Zimbabwe"/>
    <s v="Bhutan"/>
    <s v="Delivered by Post"/>
    <x v="1"/>
    <x v="0"/>
    <x v="0"/>
  </r>
  <r>
    <s v="T1588"/>
    <x v="20"/>
    <n v="1"/>
    <x v="1"/>
    <x v="2"/>
    <d v="2025-07-21T00:00:00"/>
    <n v="6008.03"/>
    <n v="5639.4775438596498"/>
    <s v="DEV5616"/>
    <x v="4"/>
    <x v="2"/>
    <x v="0"/>
    <s v="Comoros"/>
    <s v="Romania"/>
    <s v="Picked Up"/>
    <x v="1"/>
    <x v="1"/>
    <x v="1"/>
  </r>
  <r>
    <s v="T1618"/>
    <x v="20"/>
    <n v="1"/>
    <x v="0"/>
    <x v="3"/>
    <d v="2025-06-16T00:00:00"/>
    <n v="4509.76"/>
    <n v="5639.4775438596498"/>
    <s v="DEV5470"/>
    <x v="0"/>
    <x v="0"/>
    <x v="4"/>
    <s v="France"/>
    <s v="Norway"/>
    <s v="Picked Up"/>
    <x v="0"/>
    <x v="0"/>
    <x v="0"/>
  </r>
  <r>
    <s v="T1711"/>
    <x v="20"/>
    <n v="1"/>
    <x v="1"/>
    <x v="0"/>
    <d v="2025-06-07T00:00:00"/>
    <n v="8647.74"/>
    <n v="5639.4775438596498"/>
    <s v="DEV7869"/>
    <x v="0"/>
    <x v="2"/>
    <x v="2"/>
    <s v="Norway"/>
    <s v="Zimbabwe"/>
    <s v="Delivered by Post"/>
    <x v="1"/>
    <x v="1"/>
    <x v="0"/>
  </r>
  <r>
    <s v="T1732"/>
    <x v="20"/>
    <n v="1"/>
    <x v="1"/>
    <x v="0"/>
    <d v="2025-03-12T00:00:00"/>
    <n v="4750.96"/>
    <n v="5639.4775438596498"/>
    <s v="DEV2251"/>
    <x v="0"/>
    <x v="1"/>
    <x v="1"/>
    <s v="Zimbabwe"/>
    <s v="Norway"/>
    <s v="Picked Up"/>
    <x v="0"/>
    <x v="0"/>
    <x v="0"/>
  </r>
  <r>
    <s v="T1820"/>
    <x v="20"/>
    <n v="1"/>
    <x v="0"/>
    <x v="0"/>
    <d v="2025-03-21T00:00:00"/>
    <n v="2041.41"/>
    <n v="5639.4775438596498"/>
    <s v="DEV7593"/>
    <x v="1"/>
    <x v="0"/>
    <x v="2"/>
    <s v="Zimbabwe"/>
    <s v="France"/>
    <s v="Delivered by Post"/>
    <x v="0"/>
    <x v="0"/>
    <x v="0"/>
  </r>
  <r>
    <s v="T1850"/>
    <x v="20"/>
    <n v="1"/>
    <x v="1"/>
    <x v="3"/>
    <d v="2025-06-18T00:00:00"/>
    <n v="2894.01"/>
    <n v="5639.4775438596498"/>
    <s v="DEV9418"/>
    <x v="1"/>
    <x v="0"/>
    <x v="5"/>
    <s v="Canada"/>
    <s v="Turkmenistan"/>
    <s v="Picked Up"/>
    <x v="0"/>
    <x v="0"/>
    <x v="0"/>
  </r>
  <r>
    <s v="T1881"/>
    <x v="20"/>
    <n v="1"/>
    <x v="1"/>
    <x v="3"/>
    <d v="2025-02-21T00:00:00"/>
    <n v="3311.39"/>
    <n v="5639.4775438596498"/>
    <s v="DEV5174"/>
    <x v="0"/>
    <x v="1"/>
    <x v="1"/>
    <s v="Canada"/>
    <s v="Canada"/>
    <s v="Picked Up"/>
    <x v="0"/>
    <x v="1"/>
    <x v="0"/>
  </r>
  <r>
    <s v="T1883"/>
    <x v="20"/>
    <n v="1"/>
    <x v="1"/>
    <x v="3"/>
    <d v="2025-05-14T00:00:00"/>
    <n v="1109.79"/>
    <n v="5639.4775438596498"/>
    <s v="DEV9393"/>
    <x v="2"/>
    <x v="1"/>
    <x v="1"/>
    <s v="Canada"/>
    <s v="Norway"/>
    <s v="Picked Up"/>
    <x v="0"/>
    <x v="0"/>
    <x v="0"/>
  </r>
  <r>
    <s v="T2008"/>
    <x v="20"/>
    <n v="1"/>
    <x v="1"/>
    <x v="2"/>
    <d v="2025-05-14T00:00:00"/>
    <n v="9307.01"/>
    <n v="5639.4775438596498"/>
    <s v="DEV8230"/>
    <x v="2"/>
    <x v="3"/>
    <x v="5"/>
    <s v="Bhutan"/>
    <s v="Norway"/>
    <s v="Picked Up"/>
    <x v="1"/>
    <x v="1"/>
    <x v="0"/>
  </r>
  <r>
    <s v="T2010"/>
    <x v="20"/>
    <n v="1"/>
    <x v="0"/>
    <x v="1"/>
    <d v="2025-12-11T00:00:00"/>
    <n v="3861.62"/>
    <n v="5639.4775438596498"/>
    <s v="DEV7909"/>
    <x v="3"/>
    <x v="1"/>
    <x v="4"/>
    <s v="Comoros"/>
    <s v="Norway"/>
    <s v="Picked Up"/>
    <x v="0"/>
    <x v="0"/>
    <x v="0"/>
  </r>
  <r>
    <s v="T2203"/>
    <x v="20"/>
    <n v="1"/>
    <x v="0"/>
    <x v="3"/>
    <d v="2025-05-06T00:00:00"/>
    <n v="2649.09"/>
    <n v="5639.4775438596498"/>
    <s v="DEV3527"/>
    <x v="0"/>
    <x v="0"/>
    <x v="5"/>
    <s v="Bhutan"/>
    <s v="Comoros"/>
    <s v="Delivered by Post"/>
    <x v="0"/>
    <x v="0"/>
    <x v="0"/>
  </r>
  <r>
    <s v="T2239"/>
    <x v="20"/>
    <n v="1"/>
    <x v="0"/>
    <x v="0"/>
    <d v="2025-07-18T00:00:00"/>
    <n v="7193.34"/>
    <n v="5639.4775438596498"/>
    <s v="DEV1543"/>
    <x v="2"/>
    <x v="1"/>
    <x v="3"/>
    <s v="Canada"/>
    <s v="Romania"/>
    <s v="Delivered by Post"/>
    <x v="1"/>
    <x v="0"/>
    <x v="0"/>
  </r>
  <r>
    <s v="T2261"/>
    <x v="20"/>
    <n v="1"/>
    <x v="0"/>
    <x v="1"/>
    <d v="2025-09-16T00:00:00"/>
    <n v="7796.35"/>
    <n v="5639.4775438596498"/>
    <s v="DEV4972"/>
    <x v="0"/>
    <x v="0"/>
    <x v="2"/>
    <s v="Bhutan"/>
    <s v="France"/>
    <s v="Delivered by Post"/>
    <x v="1"/>
    <x v="0"/>
    <x v="0"/>
  </r>
  <r>
    <s v="T2318"/>
    <x v="20"/>
    <n v="1"/>
    <x v="0"/>
    <x v="0"/>
    <d v="2025-09-09T00:00:00"/>
    <n v="1616.02"/>
    <n v="5639.4775438596498"/>
    <s v="DEV5554"/>
    <x v="1"/>
    <x v="1"/>
    <x v="5"/>
    <s v="Bhutan"/>
    <s v="New Zealand"/>
    <s v="Delivered by Post"/>
    <x v="0"/>
    <x v="0"/>
    <x v="0"/>
  </r>
  <r>
    <s v="T2360"/>
    <x v="20"/>
    <n v="1"/>
    <x v="1"/>
    <x v="3"/>
    <d v="2025-12-26T00:00:00"/>
    <n v="5641.19"/>
    <n v="5639.4775438596498"/>
    <s v="DEV1914"/>
    <x v="0"/>
    <x v="2"/>
    <x v="4"/>
    <s v="Turkmenistan"/>
    <s v="Comoros"/>
    <s v="Picked Up"/>
    <x v="1"/>
    <x v="1"/>
    <x v="0"/>
  </r>
  <r>
    <s v="T2466"/>
    <x v="20"/>
    <n v="1"/>
    <x v="0"/>
    <x v="1"/>
    <d v="2025-08-31T00:00:00"/>
    <n v="1531.93"/>
    <n v="5639.4775438596498"/>
    <s v="DEV7319"/>
    <x v="2"/>
    <x v="3"/>
    <x v="4"/>
    <s v="Romania"/>
    <s v="Canada"/>
    <s v="Picked Up"/>
    <x v="0"/>
    <x v="1"/>
    <x v="0"/>
  </r>
  <r>
    <s v="T2550"/>
    <x v="20"/>
    <n v="1"/>
    <x v="0"/>
    <x v="1"/>
    <d v="2025-10-28T00:00:00"/>
    <n v="7504.62"/>
    <n v="5639.4775438596498"/>
    <s v="DEV8895"/>
    <x v="3"/>
    <x v="0"/>
    <x v="2"/>
    <s v="Canada"/>
    <s v="Zimbabwe"/>
    <s v="Picked Up"/>
    <x v="1"/>
    <x v="0"/>
    <x v="0"/>
  </r>
  <r>
    <s v="T2582"/>
    <x v="20"/>
    <n v="1"/>
    <x v="0"/>
    <x v="2"/>
    <d v="2025-10-12T00:00:00"/>
    <n v="2115.69"/>
    <n v="5639.4775438596498"/>
    <s v="DEV4106"/>
    <x v="1"/>
    <x v="3"/>
    <x v="3"/>
    <s v="Norway"/>
    <s v="Bhutan"/>
    <s v="Picked Up"/>
    <x v="0"/>
    <x v="1"/>
    <x v="0"/>
  </r>
  <r>
    <s v="T2613"/>
    <x v="20"/>
    <n v="1"/>
    <x v="1"/>
    <x v="3"/>
    <d v="2025-01-14T00:00:00"/>
    <n v="8791.02"/>
    <n v="5639.4775438596498"/>
    <s v="DEV8224"/>
    <x v="4"/>
    <x v="3"/>
    <x v="5"/>
    <s v="Canada"/>
    <s v="Comoros"/>
    <s v="Picked Up"/>
    <x v="1"/>
    <x v="1"/>
    <x v="1"/>
  </r>
  <r>
    <s v="T2667"/>
    <x v="20"/>
    <n v="1"/>
    <x v="0"/>
    <x v="0"/>
    <d v="2025-11-17T00:00:00"/>
    <n v="8797.2800000000007"/>
    <n v="5639.4775438596498"/>
    <s v="DEV4072"/>
    <x v="3"/>
    <x v="2"/>
    <x v="3"/>
    <s v="Turkmenistan"/>
    <s v="Comoros"/>
    <s v="Delivered by Post"/>
    <x v="1"/>
    <x v="1"/>
    <x v="0"/>
  </r>
  <r>
    <s v="T2671"/>
    <x v="20"/>
    <n v="1"/>
    <x v="0"/>
    <x v="0"/>
    <d v="2025-06-09T00:00:00"/>
    <n v="9040.48"/>
    <n v="5639.4775438596498"/>
    <s v="DEV8929"/>
    <x v="0"/>
    <x v="3"/>
    <x v="2"/>
    <s v="Romania"/>
    <s v="Canada"/>
    <s v="Delivered by Post"/>
    <x v="1"/>
    <x v="1"/>
    <x v="0"/>
  </r>
  <r>
    <s v="T2711"/>
    <x v="20"/>
    <n v="1"/>
    <x v="0"/>
    <x v="3"/>
    <d v="2025-08-23T00:00:00"/>
    <n v="7180.56"/>
    <n v="5639.4775438596498"/>
    <s v="DEV7481"/>
    <x v="1"/>
    <x v="0"/>
    <x v="4"/>
    <s v="France"/>
    <s v="Norway"/>
    <s v="Delivered by Post"/>
    <x v="1"/>
    <x v="0"/>
    <x v="0"/>
  </r>
  <r>
    <s v="T2724"/>
    <x v="20"/>
    <n v="1"/>
    <x v="0"/>
    <x v="0"/>
    <d v="2025-02-18T00:00:00"/>
    <n v="1954.32"/>
    <n v="5639.4775438596498"/>
    <s v="DEV4124"/>
    <x v="1"/>
    <x v="3"/>
    <x v="0"/>
    <s v="Romania"/>
    <s v="Zimbabwe"/>
    <s v="Delivered by Post"/>
    <x v="0"/>
    <x v="1"/>
    <x v="0"/>
  </r>
  <r>
    <s v="T2799"/>
    <x v="20"/>
    <n v="1"/>
    <x v="0"/>
    <x v="3"/>
    <d v="2025-10-22T00:00:00"/>
    <n v="3439.72"/>
    <n v="5639.4775438596498"/>
    <s v="DEV5975"/>
    <x v="4"/>
    <x v="0"/>
    <x v="1"/>
    <s v="Comoros"/>
    <s v="Norway"/>
    <s v="Picked Up"/>
    <x v="0"/>
    <x v="0"/>
    <x v="1"/>
  </r>
  <r>
    <s v="T0002"/>
    <x v="21"/>
    <n v="1"/>
    <x v="3"/>
    <x v="0"/>
    <d v="2025-08-23T13:34:00"/>
    <n v="7566.66"/>
    <n v="5505.3981395348846"/>
    <s v="DEV9781"/>
    <x v="3"/>
    <x v="1"/>
    <x v="1"/>
    <s v="Russian Federation"/>
    <s v="Timor-Leste"/>
    <s v="Delivered by Post"/>
    <x v="1"/>
    <x v="0"/>
    <x v="0"/>
  </r>
  <r>
    <s v="T0043"/>
    <x v="21"/>
    <n v="1"/>
    <x v="2"/>
    <x v="3"/>
    <d v="2025-05-17T23:18:00"/>
    <n v="815.47"/>
    <n v="5505.3981395348846"/>
    <s v="DEV8239"/>
    <x v="4"/>
    <x v="3"/>
    <x v="2"/>
    <s v="Russian Federation"/>
    <s v="Latvia"/>
    <s v="Delivered by Post"/>
    <x v="0"/>
    <x v="1"/>
    <x v="1"/>
  </r>
  <r>
    <s v="T0170"/>
    <x v="21"/>
    <n v="1"/>
    <x v="1"/>
    <x v="3"/>
    <d v="2025-11-17T00:00:00"/>
    <n v="8530.7999999999993"/>
    <n v="5505.3981395348846"/>
    <s v="DEV8994"/>
    <x v="2"/>
    <x v="0"/>
    <x v="5"/>
    <s v="Zimbabwe"/>
    <s v="Romania"/>
    <s v="Delivered by Post"/>
    <x v="1"/>
    <x v="0"/>
    <x v="0"/>
  </r>
  <r>
    <s v="T0344"/>
    <x v="21"/>
    <n v="1"/>
    <x v="1"/>
    <x v="1"/>
    <d v="2025-11-22T00:00:00"/>
    <n v="7466.17"/>
    <n v="5505.3981395348846"/>
    <s v="DEV6500"/>
    <x v="0"/>
    <x v="0"/>
    <x v="1"/>
    <s v="Romania"/>
    <s v="Romania"/>
    <s v="Picked Up"/>
    <x v="1"/>
    <x v="1"/>
    <x v="0"/>
  </r>
  <r>
    <s v="T0347"/>
    <x v="21"/>
    <n v="1"/>
    <x v="0"/>
    <x v="0"/>
    <d v="2025-06-23T00:00:00"/>
    <n v="1742.55"/>
    <n v="5505.3981395348846"/>
    <s v="DEV8909"/>
    <x v="1"/>
    <x v="1"/>
    <x v="3"/>
    <s v="Norway"/>
    <s v="Bhutan"/>
    <s v="Picked Up"/>
    <x v="0"/>
    <x v="0"/>
    <x v="0"/>
  </r>
  <r>
    <s v="T0365"/>
    <x v="21"/>
    <n v="1"/>
    <x v="1"/>
    <x v="3"/>
    <d v="2025-12-02T00:00:00"/>
    <n v="9884.19"/>
    <n v="5505.3981395348846"/>
    <s v="DEV5895"/>
    <x v="3"/>
    <x v="2"/>
    <x v="5"/>
    <s v="Romania"/>
    <s v="Canada"/>
    <s v="Delivered by Post"/>
    <x v="1"/>
    <x v="1"/>
    <x v="0"/>
  </r>
  <r>
    <s v="T0371"/>
    <x v="21"/>
    <n v="1"/>
    <x v="0"/>
    <x v="0"/>
    <d v="2025-08-20T00:00:00"/>
    <n v="6328.78"/>
    <n v="5505.3981395348846"/>
    <s v="DEV4430"/>
    <x v="3"/>
    <x v="2"/>
    <x v="4"/>
    <s v="Zimbabwe"/>
    <s v="Norway"/>
    <s v="Delivered by Post"/>
    <x v="1"/>
    <x v="1"/>
    <x v="0"/>
  </r>
  <r>
    <s v="T0412"/>
    <x v="21"/>
    <n v="1"/>
    <x v="0"/>
    <x v="0"/>
    <d v="2025-05-26T00:00:00"/>
    <n v="3603.53"/>
    <n v="5505.3981395348846"/>
    <s v="DEV2143"/>
    <x v="3"/>
    <x v="3"/>
    <x v="4"/>
    <s v="Comoros"/>
    <s v="New Zealand"/>
    <s v="Delivered by Post"/>
    <x v="0"/>
    <x v="1"/>
    <x v="0"/>
  </r>
  <r>
    <s v="T0511"/>
    <x v="21"/>
    <n v="1"/>
    <x v="1"/>
    <x v="2"/>
    <d v="2025-01-19T00:00:00"/>
    <n v="8346.56"/>
    <n v="5505.3981395348846"/>
    <s v="DEV3224"/>
    <x v="0"/>
    <x v="2"/>
    <x v="3"/>
    <s v="Comoros"/>
    <s v="Turkmenistan"/>
    <s v="Delivered by Post"/>
    <x v="1"/>
    <x v="1"/>
    <x v="0"/>
  </r>
  <r>
    <s v="T0561"/>
    <x v="21"/>
    <n v="1"/>
    <x v="1"/>
    <x v="0"/>
    <d v="2025-02-23T00:00:00"/>
    <n v="6187.35"/>
    <n v="5505.3981395348846"/>
    <s v="DEV1859"/>
    <x v="2"/>
    <x v="2"/>
    <x v="0"/>
    <s v="Canada"/>
    <s v="Comoros"/>
    <s v="Picked Up"/>
    <x v="1"/>
    <x v="1"/>
    <x v="0"/>
  </r>
  <r>
    <s v="T0664"/>
    <x v="21"/>
    <n v="1"/>
    <x v="0"/>
    <x v="2"/>
    <d v="2025-08-01T00:00:00"/>
    <n v="8200.65"/>
    <n v="5505.3981395348846"/>
    <s v="DEV5019"/>
    <x v="0"/>
    <x v="3"/>
    <x v="1"/>
    <s v="Turkmenistan"/>
    <s v="Norway"/>
    <s v="Picked Up"/>
    <x v="1"/>
    <x v="1"/>
    <x v="0"/>
  </r>
  <r>
    <s v="T0860"/>
    <x v="21"/>
    <n v="1"/>
    <x v="1"/>
    <x v="1"/>
    <d v="2025-10-12T00:00:00"/>
    <n v="1745.59"/>
    <n v="5505.3981395348846"/>
    <s v="DEV4156"/>
    <x v="2"/>
    <x v="1"/>
    <x v="2"/>
    <s v="Bhutan"/>
    <s v="Norway"/>
    <s v="Delivered by Post"/>
    <x v="0"/>
    <x v="0"/>
    <x v="0"/>
  </r>
  <r>
    <s v="T1020"/>
    <x v="21"/>
    <n v="1"/>
    <x v="0"/>
    <x v="2"/>
    <d v="2025-09-13T00:00:00"/>
    <n v="3230.45"/>
    <n v="5505.3981395348846"/>
    <s v="DEV9720"/>
    <x v="3"/>
    <x v="1"/>
    <x v="1"/>
    <s v="Bhutan"/>
    <s v="Canada"/>
    <s v="Picked Up"/>
    <x v="0"/>
    <x v="0"/>
    <x v="0"/>
  </r>
  <r>
    <s v="T1033"/>
    <x v="21"/>
    <n v="1"/>
    <x v="1"/>
    <x v="3"/>
    <d v="2025-10-18T00:00:00"/>
    <n v="2988.16"/>
    <n v="5505.3981395348846"/>
    <s v="DEV1585"/>
    <x v="3"/>
    <x v="2"/>
    <x v="5"/>
    <s v="France"/>
    <s v="Canada"/>
    <s v="Picked Up"/>
    <x v="0"/>
    <x v="1"/>
    <x v="0"/>
  </r>
  <r>
    <s v="T1092"/>
    <x v="21"/>
    <n v="1"/>
    <x v="0"/>
    <x v="3"/>
    <d v="2025-06-06T00:00:00"/>
    <n v="3550.46"/>
    <n v="5505.3981395348846"/>
    <s v="DEV2481"/>
    <x v="0"/>
    <x v="3"/>
    <x v="5"/>
    <s v="Comoros"/>
    <s v="Norway"/>
    <s v="Delivered by Post"/>
    <x v="0"/>
    <x v="1"/>
    <x v="0"/>
  </r>
  <r>
    <s v="T1192"/>
    <x v="21"/>
    <n v="1"/>
    <x v="1"/>
    <x v="2"/>
    <d v="2025-11-22T00:00:00"/>
    <n v="3908.09"/>
    <n v="5505.3981395348846"/>
    <s v="DEV1686"/>
    <x v="0"/>
    <x v="0"/>
    <x v="4"/>
    <s v="New Zealand"/>
    <s v="New Zealand"/>
    <s v="Picked Up"/>
    <x v="0"/>
    <x v="1"/>
    <x v="0"/>
  </r>
  <r>
    <s v="T1209"/>
    <x v="21"/>
    <n v="1"/>
    <x v="1"/>
    <x v="0"/>
    <d v="2025-05-09T00:00:00"/>
    <n v="955.33"/>
    <n v="5505.3981395348846"/>
    <s v="DEV5394"/>
    <x v="4"/>
    <x v="3"/>
    <x v="5"/>
    <s v="Turkmenistan"/>
    <s v="Romania"/>
    <s v="Delivered by Post"/>
    <x v="0"/>
    <x v="1"/>
    <x v="1"/>
  </r>
  <r>
    <s v="T1256"/>
    <x v="21"/>
    <n v="1"/>
    <x v="0"/>
    <x v="2"/>
    <d v="2025-05-23T00:00:00"/>
    <n v="1524.27"/>
    <n v="5505.3981395348846"/>
    <s v="DEV3957"/>
    <x v="0"/>
    <x v="0"/>
    <x v="2"/>
    <s v="New Zealand"/>
    <s v="New Zealand"/>
    <s v="Delivered by Post"/>
    <x v="0"/>
    <x v="1"/>
    <x v="0"/>
  </r>
  <r>
    <s v="T1257"/>
    <x v="21"/>
    <n v="1"/>
    <x v="0"/>
    <x v="1"/>
    <d v="2025-03-17T00:00:00"/>
    <n v="77.239999999999995"/>
    <n v="5505.3981395348846"/>
    <s v="DEV9273"/>
    <x v="4"/>
    <x v="1"/>
    <x v="5"/>
    <s v="Romania"/>
    <s v="Bhutan"/>
    <s v="Picked Up"/>
    <x v="0"/>
    <x v="0"/>
    <x v="1"/>
  </r>
  <r>
    <s v="T1335"/>
    <x v="21"/>
    <n v="1"/>
    <x v="1"/>
    <x v="1"/>
    <d v="2025-03-31T00:00:00"/>
    <n v="5675.13"/>
    <n v="5505.3981395348846"/>
    <s v="DEV2775"/>
    <x v="3"/>
    <x v="2"/>
    <x v="1"/>
    <s v="Norway"/>
    <s v="Bhutan"/>
    <s v="Delivered by Post"/>
    <x v="1"/>
    <x v="1"/>
    <x v="0"/>
  </r>
  <r>
    <s v="T1367"/>
    <x v="21"/>
    <n v="1"/>
    <x v="1"/>
    <x v="1"/>
    <d v="2025-09-30T00:00:00"/>
    <n v="4078.77"/>
    <n v="5505.3981395348846"/>
    <s v="DEV8918"/>
    <x v="3"/>
    <x v="3"/>
    <x v="4"/>
    <s v="Norway"/>
    <s v="Norway"/>
    <s v="Delivered by Post"/>
    <x v="0"/>
    <x v="1"/>
    <x v="0"/>
  </r>
  <r>
    <s v="T1379"/>
    <x v="21"/>
    <n v="1"/>
    <x v="1"/>
    <x v="1"/>
    <d v="2025-12-16T00:00:00"/>
    <n v="4831.2700000000004"/>
    <n v="5505.3981395348846"/>
    <s v="DEV5651"/>
    <x v="4"/>
    <x v="3"/>
    <x v="5"/>
    <s v="Turkmenistan"/>
    <s v="Bhutan"/>
    <s v="Delivered by Post"/>
    <x v="0"/>
    <x v="1"/>
    <x v="1"/>
  </r>
  <r>
    <s v="T1400"/>
    <x v="21"/>
    <n v="1"/>
    <x v="0"/>
    <x v="2"/>
    <d v="2025-11-30T00:00:00"/>
    <n v="2123.6"/>
    <n v="5505.3981395348846"/>
    <s v="DEV5939"/>
    <x v="2"/>
    <x v="0"/>
    <x v="0"/>
    <s v="France"/>
    <s v="Norway"/>
    <s v="Picked Up"/>
    <x v="0"/>
    <x v="0"/>
    <x v="0"/>
  </r>
  <r>
    <s v="T1429"/>
    <x v="21"/>
    <n v="1"/>
    <x v="1"/>
    <x v="2"/>
    <d v="2025-04-04T00:00:00"/>
    <n v="7242.51"/>
    <n v="5505.3981395348846"/>
    <s v="DEV1740"/>
    <x v="2"/>
    <x v="1"/>
    <x v="3"/>
    <s v="France"/>
    <s v="Bhutan"/>
    <s v="Delivered by Post"/>
    <x v="1"/>
    <x v="0"/>
    <x v="0"/>
  </r>
  <r>
    <s v="T1454"/>
    <x v="21"/>
    <n v="1"/>
    <x v="0"/>
    <x v="0"/>
    <d v="2025-03-13T00:00:00"/>
    <n v="7410.69"/>
    <n v="5505.3981395348846"/>
    <s v="DEV3525"/>
    <x v="0"/>
    <x v="3"/>
    <x v="5"/>
    <s v="Comoros"/>
    <s v="Zimbabwe"/>
    <s v="Delivered by Post"/>
    <x v="1"/>
    <x v="1"/>
    <x v="0"/>
  </r>
  <r>
    <s v="T1512"/>
    <x v="21"/>
    <n v="1"/>
    <x v="1"/>
    <x v="2"/>
    <d v="2025-12-20T00:00:00"/>
    <n v="5524.87"/>
    <n v="5505.3981395348846"/>
    <s v="DEV3743"/>
    <x v="1"/>
    <x v="1"/>
    <x v="5"/>
    <s v="Turkmenistan"/>
    <s v="Canada"/>
    <s v="Picked Up"/>
    <x v="1"/>
    <x v="0"/>
    <x v="0"/>
  </r>
  <r>
    <s v="T1530"/>
    <x v="21"/>
    <n v="1"/>
    <x v="1"/>
    <x v="3"/>
    <d v="2025-04-13T00:00:00"/>
    <n v="7970.86"/>
    <n v="5505.3981395348846"/>
    <s v="DEV4930"/>
    <x v="0"/>
    <x v="3"/>
    <x v="5"/>
    <s v="Comoros"/>
    <s v="France"/>
    <s v="Delivered by Post"/>
    <x v="1"/>
    <x v="1"/>
    <x v="0"/>
  </r>
  <r>
    <s v="T1810"/>
    <x v="21"/>
    <n v="1"/>
    <x v="1"/>
    <x v="0"/>
    <d v="2025-02-11T00:00:00"/>
    <n v="9983.2800000000007"/>
    <n v="5505.3981395348846"/>
    <s v="DEV1179"/>
    <x v="4"/>
    <x v="2"/>
    <x v="1"/>
    <s v="Norway"/>
    <s v="New Zealand"/>
    <s v="Picked Up"/>
    <x v="1"/>
    <x v="1"/>
    <x v="1"/>
  </r>
  <r>
    <s v="T1848"/>
    <x v="21"/>
    <n v="1"/>
    <x v="1"/>
    <x v="3"/>
    <d v="2025-10-19T00:00:00"/>
    <n v="1622.89"/>
    <n v="5505.3981395348846"/>
    <s v="DEV7007"/>
    <x v="3"/>
    <x v="0"/>
    <x v="5"/>
    <s v="Norway"/>
    <s v="Bhutan"/>
    <s v="Picked Up"/>
    <x v="0"/>
    <x v="0"/>
    <x v="0"/>
  </r>
  <r>
    <s v="T1936"/>
    <x v="21"/>
    <n v="1"/>
    <x v="1"/>
    <x v="0"/>
    <d v="2025-12-12T00:00:00"/>
    <n v="9769.23"/>
    <n v="5505.3981395348846"/>
    <s v="DEV3262"/>
    <x v="3"/>
    <x v="3"/>
    <x v="3"/>
    <s v="Zimbabwe"/>
    <s v="Zimbabwe"/>
    <s v="Delivered by Post"/>
    <x v="1"/>
    <x v="1"/>
    <x v="0"/>
  </r>
  <r>
    <s v="T1941"/>
    <x v="21"/>
    <n v="1"/>
    <x v="1"/>
    <x v="3"/>
    <d v="2025-03-06T00:00:00"/>
    <n v="8332.42"/>
    <n v="5505.3981395348846"/>
    <s v="DEV5985"/>
    <x v="3"/>
    <x v="1"/>
    <x v="1"/>
    <s v="France"/>
    <s v="Comoros"/>
    <s v="Delivered by Post"/>
    <x v="1"/>
    <x v="0"/>
    <x v="0"/>
  </r>
  <r>
    <s v="T2254"/>
    <x v="21"/>
    <n v="1"/>
    <x v="1"/>
    <x v="1"/>
    <d v="2025-03-27T00:00:00"/>
    <n v="4640.28"/>
    <n v="5505.3981395348846"/>
    <s v="DEV4442"/>
    <x v="4"/>
    <x v="3"/>
    <x v="1"/>
    <s v="Canada"/>
    <s v="Romania"/>
    <s v="Picked Up"/>
    <x v="0"/>
    <x v="1"/>
    <x v="1"/>
  </r>
  <r>
    <s v="T2404"/>
    <x v="21"/>
    <n v="1"/>
    <x v="1"/>
    <x v="1"/>
    <d v="2025-12-28T00:00:00"/>
    <n v="5827.29"/>
    <n v="5505.3981395348846"/>
    <s v="DEV8023"/>
    <x v="1"/>
    <x v="1"/>
    <x v="4"/>
    <s v="Comoros"/>
    <s v="Turkmenistan"/>
    <s v="Delivered by Post"/>
    <x v="1"/>
    <x v="0"/>
    <x v="0"/>
  </r>
  <r>
    <s v="T2407"/>
    <x v="21"/>
    <n v="1"/>
    <x v="1"/>
    <x v="0"/>
    <d v="2025-08-10T00:00:00"/>
    <n v="6781.52"/>
    <n v="5505.3981395348846"/>
    <s v="DEV8573"/>
    <x v="1"/>
    <x v="0"/>
    <x v="1"/>
    <s v="Zimbabwe"/>
    <s v="Norway"/>
    <s v="Picked Up"/>
    <x v="1"/>
    <x v="0"/>
    <x v="0"/>
  </r>
  <r>
    <s v="T2493"/>
    <x v="21"/>
    <n v="1"/>
    <x v="1"/>
    <x v="2"/>
    <d v="2025-01-15T00:00:00"/>
    <n v="8483.6200000000008"/>
    <n v="5505.3981395348846"/>
    <s v="DEV4782"/>
    <x v="1"/>
    <x v="0"/>
    <x v="2"/>
    <s v="Bhutan"/>
    <s v="Norway"/>
    <s v="Picked Up"/>
    <x v="1"/>
    <x v="0"/>
    <x v="0"/>
  </r>
  <r>
    <s v="T2564"/>
    <x v="21"/>
    <n v="1"/>
    <x v="0"/>
    <x v="3"/>
    <d v="2025-10-20T00:00:00"/>
    <n v="4013.83"/>
    <n v="5505.3981395348846"/>
    <s v="DEV1665"/>
    <x v="0"/>
    <x v="3"/>
    <x v="0"/>
    <s v="France"/>
    <s v="Zimbabwe"/>
    <s v="Delivered by Post"/>
    <x v="0"/>
    <x v="1"/>
    <x v="0"/>
  </r>
  <r>
    <s v="T2637"/>
    <x v="21"/>
    <n v="1"/>
    <x v="0"/>
    <x v="0"/>
    <d v="2025-09-20T00:00:00"/>
    <n v="9057.3700000000008"/>
    <n v="5505.3981395348846"/>
    <s v="DEV7934"/>
    <x v="2"/>
    <x v="3"/>
    <x v="1"/>
    <s v="France"/>
    <s v="Turkmenistan"/>
    <s v="Delivered by Post"/>
    <x v="1"/>
    <x v="1"/>
    <x v="0"/>
  </r>
  <r>
    <s v="T2643"/>
    <x v="21"/>
    <n v="1"/>
    <x v="1"/>
    <x v="3"/>
    <d v="2025-10-19T00:00:00"/>
    <n v="8932.44"/>
    <n v="5505.3981395348846"/>
    <s v="DEV7816"/>
    <x v="0"/>
    <x v="3"/>
    <x v="3"/>
    <s v="Zimbabwe"/>
    <s v="Bhutan"/>
    <s v="Delivered by Post"/>
    <x v="1"/>
    <x v="1"/>
    <x v="0"/>
  </r>
  <r>
    <s v="T2679"/>
    <x v="21"/>
    <n v="1"/>
    <x v="1"/>
    <x v="3"/>
    <d v="2025-04-07T00:00:00"/>
    <n v="4757.1499999999996"/>
    <n v="5505.3981395348846"/>
    <s v="DEV2773"/>
    <x v="2"/>
    <x v="2"/>
    <x v="2"/>
    <s v="Norway"/>
    <s v="France"/>
    <s v="Picked Up"/>
    <x v="0"/>
    <x v="1"/>
    <x v="0"/>
  </r>
  <r>
    <s v="T2749"/>
    <x v="21"/>
    <n v="1"/>
    <x v="1"/>
    <x v="1"/>
    <d v="2025-01-25T00:00:00"/>
    <n v="9602.43"/>
    <n v="5505.3981395348846"/>
    <s v="DEV8739"/>
    <x v="3"/>
    <x v="2"/>
    <x v="3"/>
    <s v="Romania"/>
    <s v="New Zealand"/>
    <s v="Delivered by Post"/>
    <x v="1"/>
    <x v="1"/>
    <x v="0"/>
  </r>
  <r>
    <s v="T2775"/>
    <x v="21"/>
    <n v="1"/>
    <x v="1"/>
    <x v="0"/>
    <d v="2025-09-12T00:00:00"/>
    <n v="328.78"/>
    <n v="5505.3981395348846"/>
    <s v="DEV9330"/>
    <x v="1"/>
    <x v="1"/>
    <x v="0"/>
    <s v="New Zealand"/>
    <s v="France"/>
    <s v="Delivered by Post"/>
    <x v="0"/>
    <x v="0"/>
    <x v="0"/>
  </r>
  <r>
    <s v="T2821"/>
    <x v="21"/>
    <n v="1"/>
    <x v="0"/>
    <x v="2"/>
    <d v="2025-07-06T00:00:00"/>
    <n v="8810.61"/>
    <n v="5505.3981395348846"/>
    <s v="DEV5710"/>
    <x v="2"/>
    <x v="1"/>
    <x v="5"/>
    <s v="Norway"/>
    <s v="Turkmenistan"/>
    <s v="Delivered by Post"/>
    <x v="1"/>
    <x v="0"/>
    <x v="0"/>
  </r>
  <r>
    <s v="T2834"/>
    <x v="21"/>
    <n v="1"/>
    <x v="0"/>
    <x v="1"/>
    <d v="2025-12-14T00:00:00"/>
    <n v="4278.9799999999996"/>
    <n v="5505.3981395348846"/>
    <s v="DEV1597"/>
    <x v="2"/>
    <x v="2"/>
    <x v="1"/>
    <s v="Romania"/>
    <s v="Norway"/>
    <s v="Delivered by Post"/>
    <x v="0"/>
    <x v="1"/>
    <x v="0"/>
  </r>
  <r>
    <s v="T0185"/>
    <x v="22"/>
    <n v="1"/>
    <x v="1"/>
    <x v="0"/>
    <d v="2025-03-31T00:00:00"/>
    <n v="7910.35"/>
    <n v="5525.9379999999983"/>
    <s v="DEV1858"/>
    <x v="3"/>
    <x v="1"/>
    <x v="5"/>
    <s v="Zimbabwe"/>
    <s v="Zimbabwe"/>
    <s v="Delivered by Post"/>
    <x v="1"/>
    <x v="1"/>
    <x v="0"/>
  </r>
  <r>
    <s v="T0213"/>
    <x v="22"/>
    <n v="1"/>
    <x v="1"/>
    <x v="3"/>
    <d v="2025-05-01T00:00:00"/>
    <n v="9308.2000000000007"/>
    <n v="5525.9379999999983"/>
    <s v="DEV2337"/>
    <x v="4"/>
    <x v="2"/>
    <x v="2"/>
    <s v="New Zealand"/>
    <s v="Zimbabwe"/>
    <s v="Delivered by Post"/>
    <x v="1"/>
    <x v="1"/>
    <x v="1"/>
  </r>
  <r>
    <s v="T0218"/>
    <x v="22"/>
    <n v="1"/>
    <x v="0"/>
    <x v="3"/>
    <d v="2025-03-10T00:00:00"/>
    <n v="2449.1999999999998"/>
    <n v="5525.9379999999983"/>
    <s v="DEV6772"/>
    <x v="2"/>
    <x v="3"/>
    <x v="3"/>
    <s v="Norway"/>
    <s v="Comoros"/>
    <s v="Delivered by Post"/>
    <x v="0"/>
    <x v="1"/>
    <x v="0"/>
  </r>
  <r>
    <s v="T0314"/>
    <x v="22"/>
    <n v="1"/>
    <x v="0"/>
    <x v="1"/>
    <d v="2025-05-22T00:00:00"/>
    <n v="9634.32"/>
    <n v="5525.9379999999983"/>
    <s v="DEV2380"/>
    <x v="3"/>
    <x v="3"/>
    <x v="3"/>
    <s v="Canada"/>
    <s v="France"/>
    <s v="Picked Up"/>
    <x v="1"/>
    <x v="1"/>
    <x v="0"/>
  </r>
  <r>
    <s v="T0345"/>
    <x v="22"/>
    <n v="1"/>
    <x v="0"/>
    <x v="0"/>
    <d v="2025-07-17T00:00:00"/>
    <n v="2603.75"/>
    <n v="5525.9379999999983"/>
    <s v="DEV7875"/>
    <x v="3"/>
    <x v="1"/>
    <x v="4"/>
    <s v="Bhutan"/>
    <s v="New Zealand"/>
    <s v="Delivered by Post"/>
    <x v="0"/>
    <x v="0"/>
    <x v="0"/>
  </r>
  <r>
    <s v="T0375"/>
    <x v="22"/>
    <n v="1"/>
    <x v="1"/>
    <x v="0"/>
    <d v="2025-04-27T00:00:00"/>
    <n v="7513.65"/>
    <n v="5525.9379999999983"/>
    <s v="DEV3149"/>
    <x v="3"/>
    <x v="0"/>
    <x v="5"/>
    <s v="Turkmenistan"/>
    <s v="Norway"/>
    <s v="Picked Up"/>
    <x v="1"/>
    <x v="0"/>
    <x v="0"/>
  </r>
  <r>
    <s v="T0379"/>
    <x v="22"/>
    <n v="1"/>
    <x v="0"/>
    <x v="2"/>
    <d v="2025-04-17T00:00:00"/>
    <n v="7049.2"/>
    <n v="5525.9379999999983"/>
    <s v="DEV8875"/>
    <x v="4"/>
    <x v="2"/>
    <x v="2"/>
    <s v="Canada"/>
    <s v="Zimbabwe"/>
    <s v="Picked Up"/>
    <x v="1"/>
    <x v="1"/>
    <x v="1"/>
  </r>
  <r>
    <s v="T0382"/>
    <x v="22"/>
    <n v="1"/>
    <x v="1"/>
    <x v="0"/>
    <d v="2025-07-10T00:00:00"/>
    <n v="8950.5499999999993"/>
    <n v="5525.9379999999983"/>
    <s v="DEV3996"/>
    <x v="1"/>
    <x v="1"/>
    <x v="4"/>
    <s v="Comoros"/>
    <s v="France"/>
    <s v="Delivered by Post"/>
    <x v="1"/>
    <x v="0"/>
    <x v="0"/>
  </r>
  <r>
    <s v="T0408"/>
    <x v="22"/>
    <n v="1"/>
    <x v="1"/>
    <x v="0"/>
    <d v="2025-05-25T00:00:00"/>
    <n v="9284.08"/>
    <n v="5525.9379999999983"/>
    <s v="DEV7249"/>
    <x v="0"/>
    <x v="0"/>
    <x v="4"/>
    <s v="Norway"/>
    <s v="Turkmenistan"/>
    <s v="Picked Up"/>
    <x v="1"/>
    <x v="0"/>
    <x v="0"/>
  </r>
  <r>
    <s v="T0448"/>
    <x v="22"/>
    <n v="1"/>
    <x v="1"/>
    <x v="0"/>
    <d v="2025-07-15T00:00:00"/>
    <n v="3284.65"/>
    <n v="5525.9379999999983"/>
    <s v="DEV5694"/>
    <x v="0"/>
    <x v="2"/>
    <x v="0"/>
    <s v="New Zealand"/>
    <s v="Bhutan"/>
    <s v="Delivered by Post"/>
    <x v="0"/>
    <x v="1"/>
    <x v="0"/>
  </r>
  <r>
    <s v="T0465"/>
    <x v="22"/>
    <n v="1"/>
    <x v="0"/>
    <x v="1"/>
    <d v="2025-09-07T00:00:00"/>
    <n v="6463.52"/>
    <n v="5525.9379999999983"/>
    <s v="DEV6189"/>
    <x v="2"/>
    <x v="3"/>
    <x v="4"/>
    <s v="Romania"/>
    <s v="Canada"/>
    <s v="Delivered by Post"/>
    <x v="1"/>
    <x v="1"/>
    <x v="0"/>
  </r>
  <r>
    <s v="T0466"/>
    <x v="22"/>
    <n v="1"/>
    <x v="0"/>
    <x v="2"/>
    <d v="2025-12-28T00:00:00"/>
    <n v="7257.77"/>
    <n v="5525.9379999999983"/>
    <s v="DEV5828"/>
    <x v="2"/>
    <x v="1"/>
    <x v="0"/>
    <s v="Norway"/>
    <s v="Turkmenistan"/>
    <s v="Delivered by Post"/>
    <x v="1"/>
    <x v="0"/>
    <x v="0"/>
  </r>
  <r>
    <s v="T0489"/>
    <x v="22"/>
    <n v="1"/>
    <x v="1"/>
    <x v="1"/>
    <d v="2025-09-14T00:00:00"/>
    <n v="6858.9"/>
    <n v="5525.9379999999983"/>
    <s v="DEV2015"/>
    <x v="4"/>
    <x v="1"/>
    <x v="2"/>
    <s v="Turkmenistan"/>
    <s v="France"/>
    <s v="Picked Up"/>
    <x v="1"/>
    <x v="0"/>
    <x v="1"/>
  </r>
  <r>
    <s v="T0576"/>
    <x v="22"/>
    <n v="1"/>
    <x v="0"/>
    <x v="3"/>
    <d v="2025-04-07T00:00:00"/>
    <n v="4230.29"/>
    <n v="5525.9379999999983"/>
    <s v="DEV1361"/>
    <x v="3"/>
    <x v="3"/>
    <x v="4"/>
    <s v="New Zealand"/>
    <s v="New Zealand"/>
    <s v="Delivered by Post"/>
    <x v="0"/>
    <x v="1"/>
    <x v="0"/>
  </r>
  <r>
    <s v="T0627"/>
    <x v="22"/>
    <n v="1"/>
    <x v="1"/>
    <x v="2"/>
    <d v="2025-12-22T00:00:00"/>
    <n v="4237.66"/>
    <n v="5525.9379999999983"/>
    <s v="DEV1853"/>
    <x v="3"/>
    <x v="1"/>
    <x v="3"/>
    <s v="Norway"/>
    <s v="Canada"/>
    <s v="Delivered by Post"/>
    <x v="0"/>
    <x v="0"/>
    <x v="0"/>
  </r>
  <r>
    <s v="T0668"/>
    <x v="22"/>
    <n v="1"/>
    <x v="0"/>
    <x v="2"/>
    <d v="2025-08-17T00:00:00"/>
    <n v="128.63"/>
    <n v="5525.9379999999983"/>
    <s v="DEV4360"/>
    <x v="2"/>
    <x v="1"/>
    <x v="3"/>
    <s v="New Zealand"/>
    <s v="Bhutan"/>
    <s v="Picked Up"/>
    <x v="0"/>
    <x v="0"/>
    <x v="0"/>
  </r>
  <r>
    <s v="T0790"/>
    <x v="22"/>
    <n v="1"/>
    <x v="1"/>
    <x v="2"/>
    <d v="2025-09-24T00:00:00"/>
    <n v="7994.77"/>
    <n v="5525.9379999999983"/>
    <s v="DEV4748"/>
    <x v="4"/>
    <x v="0"/>
    <x v="1"/>
    <s v="Bhutan"/>
    <s v="New Zealand"/>
    <s v="Picked Up"/>
    <x v="1"/>
    <x v="0"/>
    <x v="1"/>
  </r>
  <r>
    <s v="T0801"/>
    <x v="22"/>
    <n v="1"/>
    <x v="0"/>
    <x v="0"/>
    <d v="2025-12-14T00:00:00"/>
    <n v="5025.01"/>
    <n v="5525.9379999999983"/>
    <s v="DEV8039"/>
    <x v="2"/>
    <x v="0"/>
    <x v="4"/>
    <s v="Comoros"/>
    <s v="France"/>
    <s v="Delivered by Post"/>
    <x v="0"/>
    <x v="0"/>
    <x v="0"/>
  </r>
  <r>
    <s v="T0843"/>
    <x v="22"/>
    <n v="1"/>
    <x v="1"/>
    <x v="3"/>
    <d v="2025-08-31T00:00:00"/>
    <n v="937.83"/>
    <n v="5525.9379999999983"/>
    <s v="DEV8242"/>
    <x v="3"/>
    <x v="0"/>
    <x v="5"/>
    <s v="Comoros"/>
    <s v="Canada"/>
    <s v="Delivered by Post"/>
    <x v="0"/>
    <x v="0"/>
    <x v="0"/>
  </r>
  <r>
    <s v="T0890"/>
    <x v="22"/>
    <n v="1"/>
    <x v="1"/>
    <x v="0"/>
    <d v="2025-02-18T00:00:00"/>
    <n v="6387.15"/>
    <n v="5525.9379999999983"/>
    <s v="DEV9245"/>
    <x v="2"/>
    <x v="1"/>
    <x v="3"/>
    <s v="France"/>
    <s v="Romania"/>
    <s v="Picked Up"/>
    <x v="1"/>
    <x v="0"/>
    <x v="0"/>
  </r>
  <r>
    <s v="T0913"/>
    <x v="22"/>
    <n v="1"/>
    <x v="1"/>
    <x v="1"/>
    <d v="2025-05-23T00:00:00"/>
    <n v="6576.54"/>
    <n v="5525.9379999999983"/>
    <s v="DEV5963"/>
    <x v="0"/>
    <x v="0"/>
    <x v="3"/>
    <s v="Comoros"/>
    <s v="Bhutan"/>
    <s v="Delivered by Post"/>
    <x v="1"/>
    <x v="0"/>
    <x v="0"/>
  </r>
  <r>
    <s v="T1152"/>
    <x v="22"/>
    <n v="1"/>
    <x v="1"/>
    <x v="3"/>
    <d v="2025-09-08T00:00:00"/>
    <n v="7434.82"/>
    <n v="5525.9379999999983"/>
    <s v="DEV9944"/>
    <x v="3"/>
    <x v="2"/>
    <x v="5"/>
    <s v="Norway"/>
    <s v="Canada"/>
    <s v="Delivered by Post"/>
    <x v="1"/>
    <x v="1"/>
    <x v="0"/>
  </r>
  <r>
    <s v="T1236"/>
    <x v="22"/>
    <n v="1"/>
    <x v="0"/>
    <x v="2"/>
    <d v="2025-02-04T00:00:00"/>
    <n v="8219.89"/>
    <n v="5525.9379999999983"/>
    <s v="DEV6430"/>
    <x v="3"/>
    <x v="3"/>
    <x v="5"/>
    <s v="Norway"/>
    <s v="Canada"/>
    <s v="Picked Up"/>
    <x v="1"/>
    <x v="1"/>
    <x v="0"/>
  </r>
  <r>
    <s v="T1238"/>
    <x v="22"/>
    <n v="1"/>
    <x v="0"/>
    <x v="0"/>
    <d v="2025-08-13T00:00:00"/>
    <n v="6236.64"/>
    <n v="5525.9379999999983"/>
    <s v="DEV8100"/>
    <x v="2"/>
    <x v="0"/>
    <x v="3"/>
    <s v="Turkmenistan"/>
    <s v="Turkmenistan"/>
    <s v="Picked Up"/>
    <x v="1"/>
    <x v="1"/>
    <x v="0"/>
  </r>
  <r>
    <s v="T1500"/>
    <x v="22"/>
    <n v="1"/>
    <x v="1"/>
    <x v="3"/>
    <d v="2025-03-17T00:00:00"/>
    <n v="7611.65"/>
    <n v="5525.9379999999983"/>
    <s v="DEV6920"/>
    <x v="0"/>
    <x v="0"/>
    <x v="2"/>
    <s v="Canada"/>
    <s v="Bhutan"/>
    <s v="Delivered by Post"/>
    <x v="1"/>
    <x v="0"/>
    <x v="0"/>
  </r>
  <r>
    <s v="T1510"/>
    <x v="22"/>
    <n v="1"/>
    <x v="0"/>
    <x v="1"/>
    <d v="2025-04-07T00:00:00"/>
    <n v="8426.44"/>
    <n v="5525.9379999999983"/>
    <s v="DEV3756"/>
    <x v="1"/>
    <x v="2"/>
    <x v="2"/>
    <s v="New Zealand"/>
    <s v="Turkmenistan"/>
    <s v="Picked Up"/>
    <x v="1"/>
    <x v="1"/>
    <x v="0"/>
  </r>
  <r>
    <s v="T1550"/>
    <x v="22"/>
    <n v="1"/>
    <x v="0"/>
    <x v="1"/>
    <d v="2025-04-02T00:00:00"/>
    <n v="5624.12"/>
    <n v="5525.9379999999983"/>
    <s v="DEV6795"/>
    <x v="0"/>
    <x v="0"/>
    <x v="4"/>
    <s v="Norway"/>
    <s v="New Zealand"/>
    <s v="Picked Up"/>
    <x v="1"/>
    <x v="0"/>
    <x v="0"/>
  </r>
  <r>
    <s v="T1591"/>
    <x v="22"/>
    <n v="1"/>
    <x v="1"/>
    <x v="3"/>
    <d v="2025-04-02T00:00:00"/>
    <n v="1080.51"/>
    <n v="5525.9379999999983"/>
    <s v="DEV6215"/>
    <x v="1"/>
    <x v="1"/>
    <x v="2"/>
    <s v="Norway"/>
    <s v="Norway"/>
    <s v="Picked Up"/>
    <x v="0"/>
    <x v="1"/>
    <x v="0"/>
  </r>
  <r>
    <s v="T1597"/>
    <x v="22"/>
    <n v="1"/>
    <x v="0"/>
    <x v="2"/>
    <d v="2025-06-28T00:00:00"/>
    <n v="5694.03"/>
    <n v="5525.9379999999983"/>
    <s v="DEV2371"/>
    <x v="3"/>
    <x v="2"/>
    <x v="2"/>
    <s v="New Zealand"/>
    <s v="Norway"/>
    <s v="Picked Up"/>
    <x v="1"/>
    <x v="1"/>
    <x v="0"/>
  </r>
  <r>
    <s v="T1614"/>
    <x v="22"/>
    <n v="1"/>
    <x v="0"/>
    <x v="2"/>
    <d v="2025-06-16T00:00:00"/>
    <n v="8982.23"/>
    <n v="5525.9379999999983"/>
    <s v="DEV1324"/>
    <x v="0"/>
    <x v="1"/>
    <x v="4"/>
    <s v="Bhutan"/>
    <s v="Zimbabwe"/>
    <s v="Picked Up"/>
    <x v="1"/>
    <x v="0"/>
    <x v="0"/>
  </r>
  <r>
    <s v="T1724"/>
    <x v="22"/>
    <n v="1"/>
    <x v="0"/>
    <x v="0"/>
    <d v="2025-03-28T00:00:00"/>
    <n v="4681.9399999999996"/>
    <n v="5525.9379999999983"/>
    <s v="DEV5208"/>
    <x v="4"/>
    <x v="2"/>
    <x v="0"/>
    <s v="Romania"/>
    <s v="Bhutan"/>
    <s v="Picked Up"/>
    <x v="0"/>
    <x v="1"/>
    <x v="1"/>
  </r>
  <r>
    <s v="T1757"/>
    <x v="22"/>
    <n v="1"/>
    <x v="0"/>
    <x v="3"/>
    <d v="2025-05-26T00:00:00"/>
    <n v="8542.39"/>
    <n v="5525.9379999999983"/>
    <s v="DEV1547"/>
    <x v="3"/>
    <x v="1"/>
    <x v="5"/>
    <s v="Turkmenistan"/>
    <s v="Turkmenistan"/>
    <s v="Delivered by Post"/>
    <x v="1"/>
    <x v="1"/>
    <x v="0"/>
  </r>
  <r>
    <s v="T1813"/>
    <x v="22"/>
    <n v="1"/>
    <x v="1"/>
    <x v="0"/>
    <d v="2025-12-25T00:00:00"/>
    <n v="2261.94"/>
    <n v="5525.9379999999983"/>
    <s v="DEV8202"/>
    <x v="4"/>
    <x v="3"/>
    <x v="3"/>
    <s v="Canada"/>
    <s v="Romania"/>
    <s v="Delivered by Post"/>
    <x v="0"/>
    <x v="1"/>
    <x v="1"/>
  </r>
  <r>
    <s v="T1818"/>
    <x v="22"/>
    <n v="1"/>
    <x v="0"/>
    <x v="1"/>
    <d v="2025-04-21T00:00:00"/>
    <n v="3800.71"/>
    <n v="5525.9379999999983"/>
    <s v="DEV8822"/>
    <x v="0"/>
    <x v="1"/>
    <x v="3"/>
    <s v="Comoros"/>
    <s v="Comoros"/>
    <s v="Picked Up"/>
    <x v="0"/>
    <x v="1"/>
    <x v="0"/>
  </r>
  <r>
    <s v="T1855"/>
    <x v="22"/>
    <n v="1"/>
    <x v="1"/>
    <x v="1"/>
    <d v="2025-04-02T00:00:00"/>
    <n v="5289.27"/>
    <n v="5525.9379999999983"/>
    <s v="DEV5951"/>
    <x v="1"/>
    <x v="2"/>
    <x v="0"/>
    <s v="New Zealand"/>
    <s v="France"/>
    <s v="Delivered by Post"/>
    <x v="0"/>
    <x v="1"/>
    <x v="0"/>
  </r>
  <r>
    <s v="T1953"/>
    <x v="22"/>
    <n v="1"/>
    <x v="0"/>
    <x v="0"/>
    <d v="2025-08-24T00:00:00"/>
    <n v="7518.99"/>
    <n v="5525.9379999999983"/>
    <s v="DEV5924"/>
    <x v="1"/>
    <x v="2"/>
    <x v="4"/>
    <s v="France"/>
    <s v="Turkmenistan"/>
    <s v="Picked Up"/>
    <x v="1"/>
    <x v="1"/>
    <x v="0"/>
  </r>
  <r>
    <s v="T1982"/>
    <x v="22"/>
    <n v="1"/>
    <x v="1"/>
    <x v="0"/>
    <d v="2025-10-06T00:00:00"/>
    <n v="9153.92"/>
    <n v="5525.9379999999983"/>
    <s v="DEV4056"/>
    <x v="2"/>
    <x v="0"/>
    <x v="4"/>
    <s v="Bhutan"/>
    <s v="Canada"/>
    <s v="Delivered by Post"/>
    <x v="1"/>
    <x v="0"/>
    <x v="0"/>
  </r>
  <r>
    <s v="T1983"/>
    <x v="22"/>
    <n v="1"/>
    <x v="1"/>
    <x v="0"/>
    <d v="2025-07-13T00:00:00"/>
    <n v="8943.94"/>
    <n v="5525.9379999999983"/>
    <s v="DEV1794"/>
    <x v="0"/>
    <x v="3"/>
    <x v="4"/>
    <s v="Comoros"/>
    <s v="Romania"/>
    <s v="Picked Up"/>
    <x v="1"/>
    <x v="1"/>
    <x v="0"/>
  </r>
  <r>
    <s v="T2067"/>
    <x v="22"/>
    <n v="1"/>
    <x v="1"/>
    <x v="1"/>
    <d v="2025-06-01T00:00:00"/>
    <n v="9278.41"/>
    <n v="5525.9379999999983"/>
    <s v="DEV4746"/>
    <x v="4"/>
    <x v="1"/>
    <x v="3"/>
    <s v="Norway"/>
    <s v="Bhutan"/>
    <s v="Delivered by Post"/>
    <x v="1"/>
    <x v="0"/>
    <x v="1"/>
  </r>
  <r>
    <s v="T2070"/>
    <x v="22"/>
    <n v="1"/>
    <x v="1"/>
    <x v="3"/>
    <d v="2025-01-31T00:00:00"/>
    <n v="286.60000000000002"/>
    <n v="5525.9379999999983"/>
    <s v="DEV1522"/>
    <x v="2"/>
    <x v="2"/>
    <x v="5"/>
    <s v="France"/>
    <s v="Bhutan"/>
    <s v="Delivered by Post"/>
    <x v="0"/>
    <x v="1"/>
    <x v="0"/>
  </r>
  <r>
    <s v="T2153"/>
    <x v="22"/>
    <n v="1"/>
    <x v="0"/>
    <x v="2"/>
    <d v="2025-03-11T00:00:00"/>
    <n v="4636.79"/>
    <n v="5525.9379999999983"/>
    <s v="DEV5014"/>
    <x v="0"/>
    <x v="1"/>
    <x v="5"/>
    <s v="New Zealand"/>
    <s v="Canada"/>
    <s v="Delivered by Post"/>
    <x v="0"/>
    <x v="0"/>
    <x v="0"/>
  </r>
  <r>
    <s v="T2206"/>
    <x v="22"/>
    <n v="1"/>
    <x v="0"/>
    <x v="1"/>
    <d v="2025-01-11T00:00:00"/>
    <n v="9700.01"/>
    <n v="5525.9379999999983"/>
    <s v="DEV9144"/>
    <x v="0"/>
    <x v="3"/>
    <x v="1"/>
    <s v="Turkmenistan"/>
    <s v="Norway"/>
    <s v="Picked Up"/>
    <x v="1"/>
    <x v="1"/>
    <x v="0"/>
  </r>
  <r>
    <s v="T2217"/>
    <x v="22"/>
    <n v="1"/>
    <x v="1"/>
    <x v="2"/>
    <d v="2025-11-03T00:00:00"/>
    <n v="5549.24"/>
    <n v="5525.9379999999983"/>
    <s v="DEV8992"/>
    <x v="4"/>
    <x v="0"/>
    <x v="3"/>
    <s v="Bhutan"/>
    <s v="Bhutan"/>
    <s v="Picked Up"/>
    <x v="1"/>
    <x v="1"/>
    <x v="0"/>
  </r>
  <r>
    <s v="T2247"/>
    <x v="22"/>
    <n v="1"/>
    <x v="0"/>
    <x v="3"/>
    <d v="2025-02-07T00:00:00"/>
    <n v="4137.51"/>
    <n v="5525.9379999999983"/>
    <s v="DEV5155"/>
    <x v="0"/>
    <x v="0"/>
    <x v="1"/>
    <s v="Zimbabwe"/>
    <s v="Bhutan"/>
    <s v="Delivered by Post"/>
    <x v="0"/>
    <x v="0"/>
    <x v="0"/>
  </r>
  <r>
    <s v="T2400"/>
    <x v="22"/>
    <n v="1"/>
    <x v="0"/>
    <x v="1"/>
    <d v="2025-01-19T00:00:00"/>
    <n v="6963.86"/>
    <n v="5525.9379999999983"/>
    <s v="DEV7735"/>
    <x v="1"/>
    <x v="1"/>
    <x v="1"/>
    <s v="Zimbabwe"/>
    <s v="Romania"/>
    <s v="Delivered by Post"/>
    <x v="1"/>
    <x v="0"/>
    <x v="0"/>
  </r>
  <r>
    <s v="T2426"/>
    <x v="22"/>
    <n v="1"/>
    <x v="1"/>
    <x v="1"/>
    <d v="2025-01-29T00:00:00"/>
    <n v="1555.91"/>
    <n v="5525.9379999999983"/>
    <s v="DEV2366"/>
    <x v="0"/>
    <x v="3"/>
    <x v="2"/>
    <s v="New Zealand"/>
    <s v="Romania"/>
    <s v="Delivered by Post"/>
    <x v="0"/>
    <x v="1"/>
    <x v="0"/>
  </r>
  <r>
    <s v="T2445"/>
    <x v="22"/>
    <n v="1"/>
    <x v="1"/>
    <x v="0"/>
    <d v="2025-09-25T00:00:00"/>
    <n v="4358.43"/>
    <n v="5525.9379999999983"/>
    <s v="DEV3707"/>
    <x v="2"/>
    <x v="2"/>
    <x v="1"/>
    <s v="Norway"/>
    <s v="Zimbabwe"/>
    <s v="Picked Up"/>
    <x v="0"/>
    <x v="1"/>
    <x v="0"/>
  </r>
  <r>
    <s v="T2543"/>
    <x v="22"/>
    <n v="1"/>
    <x v="1"/>
    <x v="1"/>
    <d v="2025-09-15T00:00:00"/>
    <n v="481.79"/>
    <n v="5525.9379999999983"/>
    <s v="DEV7472"/>
    <x v="3"/>
    <x v="3"/>
    <x v="2"/>
    <s v="Norway"/>
    <s v="Romania"/>
    <s v="Picked Up"/>
    <x v="0"/>
    <x v="1"/>
    <x v="0"/>
  </r>
  <r>
    <s v="T2559"/>
    <x v="22"/>
    <n v="1"/>
    <x v="1"/>
    <x v="1"/>
    <d v="2025-01-31T00:00:00"/>
    <n v="5857.98"/>
    <n v="5525.9379999999983"/>
    <s v="DEV3468"/>
    <x v="3"/>
    <x v="0"/>
    <x v="1"/>
    <s v="New Zealand"/>
    <s v="Bhutan"/>
    <s v="Picked Up"/>
    <x v="1"/>
    <x v="0"/>
    <x v="0"/>
  </r>
  <r>
    <s v="T2634"/>
    <x v="22"/>
    <n v="1"/>
    <x v="1"/>
    <x v="1"/>
    <d v="2025-09-22T00:00:00"/>
    <n v="3008.35"/>
    <n v="5525.9379999999983"/>
    <s v="DEV8265"/>
    <x v="0"/>
    <x v="1"/>
    <x v="0"/>
    <s v="Turkmenistan"/>
    <s v="Norway"/>
    <s v="Delivered by Post"/>
    <x v="0"/>
    <x v="0"/>
    <x v="0"/>
  </r>
  <r>
    <s v="T2698"/>
    <x v="22"/>
    <n v="1"/>
    <x v="0"/>
    <x v="1"/>
    <d v="2025-02-01T00:00:00"/>
    <n v="1488.72"/>
    <n v="5525.9379999999983"/>
    <s v="DEV7225"/>
    <x v="4"/>
    <x v="1"/>
    <x v="3"/>
    <s v="Zimbabwe"/>
    <s v="Norway"/>
    <s v="Delivered by Post"/>
    <x v="0"/>
    <x v="0"/>
    <x v="1"/>
  </r>
  <r>
    <s v="T2730"/>
    <x v="22"/>
    <n v="1"/>
    <x v="1"/>
    <x v="0"/>
    <d v="2025-08-12T00:00:00"/>
    <n v="2801.27"/>
    <n v="5525.9379999999983"/>
    <s v="DEV9713"/>
    <x v="2"/>
    <x v="2"/>
    <x v="5"/>
    <s v="Norway"/>
    <s v="Comoros"/>
    <s v="Delivered by Post"/>
    <x v="0"/>
    <x v="1"/>
    <x v="0"/>
  </r>
  <r>
    <s v="T2738"/>
    <x v="22"/>
    <n v="1"/>
    <x v="0"/>
    <x v="3"/>
    <d v="2025-02-26T00:00:00"/>
    <n v="2976.75"/>
    <n v="5525.9379999999983"/>
    <s v="DEV2630"/>
    <x v="1"/>
    <x v="1"/>
    <x v="4"/>
    <s v="France"/>
    <s v="New Zealand"/>
    <s v="Picked Up"/>
    <x v="0"/>
    <x v="0"/>
    <x v="0"/>
  </r>
  <r>
    <s v="T2790"/>
    <x v="22"/>
    <n v="1"/>
    <x v="1"/>
    <x v="0"/>
    <d v="2025-09-08T00:00:00"/>
    <n v="1240.95"/>
    <n v="5525.9379999999983"/>
    <s v="DEV3705"/>
    <x v="1"/>
    <x v="3"/>
    <x v="0"/>
    <s v="France"/>
    <s v="Turkmenistan"/>
    <s v="Delivered by Post"/>
    <x v="0"/>
    <x v="1"/>
    <x v="0"/>
  </r>
  <r>
    <s v="T2844"/>
    <x v="22"/>
    <n v="1"/>
    <x v="1"/>
    <x v="3"/>
    <d v="2025-08-25T00:00:00"/>
    <n v="6014.57"/>
    <n v="5525.9379999999983"/>
    <s v="DEV2434"/>
    <x v="4"/>
    <x v="2"/>
    <x v="2"/>
    <s v="Zimbabwe"/>
    <s v="Bhutan"/>
    <s v="Picked Up"/>
    <x v="1"/>
    <x v="1"/>
    <x v="1"/>
  </r>
  <r>
    <s v="T0003"/>
    <x v="23"/>
    <n v="1"/>
    <x v="0"/>
    <x v="1"/>
    <d v="2025-03-18T03:56:00"/>
    <n v="5307.35"/>
    <n v="5286.7533333333322"/>
    <s v="DEV3956"/>
    <x v="0"/>
    <x v="0"/>
    <x v="0"/>
    <s v="Syrian Arab Republic"/>
    <s v="Libyan Arab Jamahiriya"/>
    <s v="Picked Up"/>
    <x v="1"/>
    <x v="0"/>
    <x v="0"/>
  </r>
  <r>
    <s v="T0054"/>
    <x v="23"/>
    <n v="1"/>
    <x v="1"/>
    <x v="1"/>
    <d v="2025-02-25T18:59:00"/>
    <n v="8672.91"/>
    <n v="5286.7533333333322"/>
    <s v="DEV2059"/>
    <x v="1"/>
    <x v="2"/>
    <x v="0"/>
    <s v="Syrian Arab Republic"/>
    <s v="Sri Lanka"/>
    <s v="Picked Up"/>
    <x v="1"/>
    <x v="1"/>
    <x v="0"/>
  </r>
  <r>
    <s v="T0061"/>
    <x v="23"/>
    <n v="1"/>
    <x v="3"/>
    <x v="0"/>
    <d v="2025-07-20T01:36:00"/>
    <n v="1362.13"/>
    <n v="5286.7533333333322"/>
    <s v="DEV3601"/>
    <x v="3"/>
    <x v="1"/>
    <x v="4"/>
    <s v="Syrian Arab Republic"/>
    <s v="Jordan"/>
    <s v="Picked Up"/>
    <x v="0"/>
    <x v="0"/>
    <x v="0"/>
  </r>
  <r>
    <s v="T0131"/>
    <x v="23"/>
    <n v="1"/>
    <x v="1"/>
    <x v="3"/>
    <d v="2025-12-06T00:00:00"/>
    <n v="4341.41"/>
    <n v="5286.7533333333322"/>
    <s v="DEV5920"/>
    <x v="2"/>
    <x v="3"/>
    <x v="3"/>
    <s v="Bhutan"/>
    <s v="New Zealand"/>
    <s v="Delivered by Post"/>
    <x v="0"/>
    <x v="1"/>
    <x v="0"/>
  </r>
  <r>
    <s v="T0153"/>
    <x v="23"/>
    <n v="1"/>
    <x v="0"/>
    <x v="3"/>
    <d v="2025-01-24T00:00:00"/>
    <n v="1835.44"/>
    <n v="5286.7533333333322"/>
    <s v="DEV5786"/>
    <x v="3"/>
    <x v="1"/>
    <x v="2"/>
    <s v="Canada"/>
    <s v="France"/>
    <s v="Delivered by Post"/>
    <x v="0"/>
    <x v="0"/>
    <x v="0"/>
  </r>
  <r>
    <s v="T0172"/>
    <x v="23"/>
    <n v="1"/>
    <x v="1"/>
    <x v="1"/>
    <d v="2025-03-29T00:00:00"/>
    <n v="4335.33"/>
    <n v="5286.7533333333322"/>
    <s v="DEV2293"/>
    <x v="2"/>
    <x v="1"/>
    <x v="5"/>
    <s v="Romania"/>
    <s v="Comoros"/>
    <s v="Picked Up"/>
    <x v="0"/>
    <x v="0"/>
    <x v="0"/>
  </r>
  <r>
    <s v="T0205"/>
    <x v="23"/>
    <n v="1"/>
    <x v="1"/>
    <x v="3"/>
    <d v="2025-12-14T00:00:00"/>
    <n v="3759.88"/>
    <n v="5286.7533333333322"/>
    <s v="DEV1857"/>
    <x v="4"/>
    <x v="0"/>
    <x v="1"/>
    <s v="Zimbabwe"/>
    <s v="Turkmenistan"/>
    <s v="Delivered by Post"/>
    <x v="0"/>
    <x v="0"/>
    <x v="1"/>
  </r>
  <r>
    <s v="T0210"/>
    <x v="23"/>
    <n v="1"/>
    <x v="1"/>
    <x v="3"/>
    <d v="2025-08-18T00:00:00"/>
    <n v="6779.81"/>
    <n v="5286.7533333333322"/>
    <s v="DEV9749"/>
    <x v="3"/>
    <x v="3"/>
    <x v="4"/>
    <s v="Romania"/>
    <s v="New Zealand"/>
    <s v="Delivered by Post"/>
    <x v="1"/>
    <x v="1"/>
    <x v="0"/>
  </r>
  <r>
    <s v="T0291"/>
    <x v="23"/>
    <n v="1"/>
    <x v="0"/>
    <x v="0"/>
    <d v="2025-05-08T00:00:00"/>
    <n v="7031.26"/>
    <n v="5286.7533333333322"/>
    <s v="DEV6816"/>
    <x v="3"/>
    <x v="0"/>
    <x v="5"/>
    <s v="Bhutan"/>
    <s v="New Zealand"/>
    <s v="Delivered by Post"/>
    <x v="1"/>
    <x v="0"/>
    <x v="0"/>
  </r>
  <r>
    <s v="T0310"/>
    <x v="23"/>
    <n v="1"/>
    <x v="0"/>
    <x v="2"/>
    <d v="2025-11-17T00:00:00"/>
    <n v="6661.86"/>
    <n v="5286.7533333333322"/>
    <s v="DEV4836"/>
    <x v="0"/>
    <x v="0"/>
    <x v="3"/>
    <s v="Zimbabwe"/>
    <s v="Canada"/>
    <s v="Picked Up"/>
    <x v="1"/>
    <x v="0"/>
    <x v="0"/>
  </r>
  <r>
    <s v="T0369"/>
    <x v="23"/>
    <n v="1"/>
    <x v="0"/>
    <x v="2"/>
    <d v="2025-01-28T00:00:00"/>
    <n v="2642.56"/>
    <n v="5286.7533333333322"/>
    <s v="DEV2166"/>
    <x v="0"/>
    <x v="2"/>
    <x v="5"/>
    <s v="Zimbabwe"/>
    <s v="Bhutan"/>
    <s v="Delivered by Post"/>
    <x v="0"/>
    <x v="1"/>
    <x v="0"/>
  </r>
  <r>
    <s v="T0376"/>
    <x v="23"/>
    <n v="1"/>
    <x v="1"/>
    <x v="3"/>
    <d v="2025-10-01T00:00:00"/>
    <n v="7125.55"/>
    <n v="5286.7533333333322"/>
    <s v="DEV1796"/>
    <x v="2"/>
    <x v="0"/>
    <x v="3"/>
    <s v="Zimbabwe"/>
    <s v="Canada"/>
    <s v="Picked Up"/>
    <x v="1"/>
    <x v="0"/>
    <x v="0"/>
  </r>
  <r>
    <s v="T0417"/>
    <x v="23"/>
    <n v="1"/>
    <x v="0"/>
    <x v="1"/>
    <d v="2025-08-17T00:00:00"/>
    <n v="5046.5600000000004"/>
    <n v="5286.7533333333322"/>
    <s v="DEV3935"/>
    <x v="2"/>
    <x v="2"/>
    <x v="3"/>
    <s v="Comoros"/>
    <s v="New Zealand"/>
    <s v="Picked Up"/>
    <x v="0"/>
    <x v="1"/>
    <x v="0"/>
  </r>
  <r>
    <s v="T0427"/>
    <x v="23"/>
    <n v="1"/>
    <x v="1"/>
    <x v="1"/>
    <d v="2025-09-04T00:00:00"/>
    <n v="8754.5"/>
    <n v="5286.7533333333322"/>
    <s v="DEV6742"/>
    <x v="2"/>
    <x v="0"/>
    <x v="4"/>
    <s v="Norway"/>
    <s v="France"/>
    <s v="Delivered by Post"/>
    <x v="1"/>
    <x v="0"/>
    <x v="0"/>
  </r>
  <r>
    <s v="T0463"/>
    <x v="23"/>
    <n v="1"/>
    <x v="0"/>
    <x v="0"/>
    <d v="2025-05-01T00:00:00"/>
    <n v="8880.82"/>
    <n v="5286.7533333333322"/>
    <s v="DEV8113"/>
    <x v="4"/>
    <x v="0"/>
    <x v="0"/>
    <s v="France"/>
    <s v="Zimbabwe"/>
    <s v="Delivered by Post"/>
    <x v="1"/>
    <x v="0"/>
    <x v="1"/>
  </r>
  <r>
    <s v="T0506"/>
    <x v="23"/>
    <n v="1"/>
    <x v="1"/>
    <x v="0"/>
    <d v="2025-05-30T00:00:00"/>
    <n v="8980.42"/>
    <n v="5286.7533333333322"/>
    <s v="DEV3204"/>
    <x v="1"/>
    <x v="3"/>
    <x v="1"/>
    <s v="Turkmenistan"/>
    <s v="Bhutan"/>
    <s v="Picked Up"/>
    <x v="1"/>
    <x v="1"/>
    <x v="0"/>
  </r>
  <r>
    <s v="T0580"/>
    <x v="23"/>
    <n v="1"/>
    <x v="1"/>
    <x v="0"/>
    <d v="2025-01-13T00:00:00"/>
    <n v="4511.87"/>
    <n v="5286.7533333333322"/>
    <s v="DEV9182"/>
    <x v="3"/>
    <x v="1"/>
    <x v="1"/>
    <s v="Norway"/>
    <s v="Canada"/>
    <s v="Delivered by Post"/>
    <x v="0"/>
    <x v="0"/>
    <x v="0"/>
  </r>
  <r>
    <s v="T0737"/>
    <x v="23"/>
    <n v="1"/>
    <x v="0"/>
    <x v="2"/>
    <d v="2025-01-15T00:00:00"/>
    <n v="9092.1299999999992"/>
    <n v="5286.7533333333322"/>
    <s v="DEV6523"/>
    <x v="3"/>
    <x v="0"/>
    <x v="0"/>
    <s v="Zimbabwe"/>
    <s v="Norway"/>
    <s v="Picked Up"/>
    <x v="1"/>
    <x v="0"/>
    <x v="0"/>
  </r>
  <r>
    <s v="T0760"/>
    <x v="23"/>
    <n v="1"/>
    <x v="0"/>
    <x v="3"/>
    <d v="2025-06-19T00:00:00"/>
    <n v="6667.53"/>
    <n v="5286.7533333333322"/>
    <s v="DEV1050"/>
    <x v="0"/>
    <x v="1"/>
    <x v="3"/>
    <s v="Norway"/>
    <s v="Canada"/>
    <s v="Picked Up"/>
    <x v="1"/>
    <x v="0"/>
    <x v="0"/>
  </r>
  <r>
    <s v="T0807"/>
    <x v="23"/>
    <n v="1"/>
    <x v="0"/>
    <x v="1"/>
    <d v="2025-06-19T00:00:00"/>
    <n v="3376.11"/>
    <n v="5286.7533333333322"/>
    <s v="DEV6920"/>
    <x v="2"/>
    <x v="3"/>
    <x v="0"/>
    <s v="France"/>
    <s v="Romania"/>
    <s v="Delivered by Post"/>
    <x v="0"/>
    <x v="1"/>
    <x v="0"/>
  </r>
  <r>
    <s v="T0841"/>
    <x v="23"/>
    <n v="1"/>
    <x v="0"/>
    <x v="2"/>
    <d v="2025-05-03T00:00:00"/>
    <n v="6253.53"/>
    <n v="5286.7533333333322"/>
    <s v="DEV2228"/>
    <x v="3"/>
    <x v="1"/>
    <x v="2"/>
    <s v="Canada"/>
    <s v="Norway"/>
    <s v="Delivered by Post"/>
    <x v="1"/>
    <x v="0"/>
    <x v="0"/>
  </r>
  <r>
    <s v="T0868"/>
    <x v="23"/>
    <n v="1"/>
    <x v="1"/>
    <x v="1"/>
    <d v="2025-04-23T00:00:00"/>
    <n v="1192.1500000000001"/>
    <n v="5286.7533333333322"/>
    <s v="DEV3073"/>
    <x v="4"/>
    <x v="3"/>
    <x v="4"/>
    <s v="Romania"/>
    <s v="Zimbabwe"/>
    <s v="Delivered by Post"/>
    <x v="0"/>
    <x v="1"/>
    <x v="1"/>
  </r>
  <r>
    <s v="T0942"/>
    <x v="23"/>
    <n v="1"/>
    <x v="0"/>
    <x v="0"/>
    <d v="2025-11-08T00:00:00"/>
    <n v="493.88"/>
    <n v="5286.7533333333322"/>
    <s v="DEV6129"/>
    <x v="2"/>
    <x v="3"/>
    <x v="0"/>
    <s v="Bhutan"/>
    <s v="Canada"/>
    <s v="Picked Up"/>
    <x v="0"/>
    <x v="1"/>
    <x v="0"/>
  </r>
  <r>
    <s v="T1006"/>
    <x v="23"/>
    <n v="1"/>
    <x v="1"/>
    <x v="0"/>
    <d v="2025-11-27T00:00:00"/>
    <n v="3431.52"/>
    <n v="5286.7533333333322"/>
    <s v="DEV3262"/>
    <x v="0"/>
    <x v="2"/>
    <x v="2"/>
    <s v="Romania"/>
    <s v="France"/>
    <s v="Delivered by Post"/>
    <x v="0"/>
    <x v="1"/>
    <x v="0"/>
  </r>
  <r>
    <s v="T1034"/>
    <x v="23"/>
    <n v="1"/>
    <x v="1"/>
    <x v="1"/>
    <d v="2025-10-18T00:00:00"/>
    <n v="5657.22"/>
    <n v="5286.7533333333322"/>
    <s v="DEV5992"/>
    <x v="0"/>
    <x v="1"/>
    <x v="3"/>
    <s v="France"/>
    <s v="Norway"/>
    <s v="Picked Up"/>
    <x v="1"/>
    <x v="0"/>
    <x v="0"/>
  </r>
  <r>
    <s v="T1139"/>
    <x v="23"/>
    <n v="1"/>
    <x v="1"/>
    <x v="2"/>
    <d v="2025-03-18T00:00:00"/>
    <n v="735.46"/>
    <n v="5286.7533333333322"/>
    <s v="DEV4229"/>
    <x v="4"/>
    <x v="3"/>
    <x v="3"/>
    <s v="Zimbabwe"/>
    <s v="New Zealand"/>
    <s v="Delivered by Post"/>
    <x v="0"/>
    <x v="1"/>
    <x v="1"/>
  </r>
  <r>
    <s v="T1143"/>
    <x v="23"/>
    <n v="1"/>
    <x v="1"/>
    <x v="2"/>
    <d v="2025-12-29T00:00:00"/>
    <n v="8041.3"/>
    <n v="5286.7533333333322"/>
    <s v="DEV3168"/>
    <x v="4"/>
    <x v="3"/>
    <x v="5"/>
    <s v="Romania"/>
    <s v="Comoros"/>
    <s v="Delivered by Post"/>
    <x v="1"/>
    <x v="1"/>
    <x v="1"/>
  </r>
  <r>
    <s v="T1246"/>
    <x v="23"/>
    <n v="1"/>
    <x v="1"/>
    <x v="2"/>
    <d v="2025-10-29T00:00:00"/>
    <n v="1226.3499999999999"/>
    <n v="5286.7533333333322"/>
    <s v="DEV7640"/>
    <x v="0"/>
    <x v="2"/>
    <x v="1"/>
    <s v="Romania"/>
    <s v="Norway"/>
    <s v="Delivered by Post"/>
    <x v="0"/>
    <x v="1"/>
    <x v="0"/>
  </r>
  <r>
    <s v="T1254"/>
    <x v="23"/>
    <n v="1"/>
    <x v="0"/>
    <x v="0"/>
    <d v="2025-01-17T00:00:00"/>
    <n v="1607.48"/>
    <n v="5286.7533333333322"/>
    <s v="DEV7382"/>
    <x v="3"/>
    <x v="1"/>
    <x v="4"/>
    <s v="Bhutan"/>
    <s v="New Zealand"/>
    <s v="Delivered by Post"/>
    <x v="0"/>
    <x v="0"/>
    <x v="0"/>
  </r>
  <r>
    <s v="T1309"/>
    <x v="23"/>
    <n v="1"/>
    <x v="0"/>
    <x v="2"/>
    <d v="2025-07-13T00:00:00"/>
    <n v="7252.8"/>
    <n v="5286.7533333333322"/>
    <s v="DEV3014"/>
    <x v="3"/>
    <x v="1"/>
    <x v="0"/>
    <s v="France"/>
    <s v="Turkmenistan"/>
    <s v="Picked Up"/>
    <x v="1"/>
    <x v="0"/>
    <x v="0"/>
  </r>
  <r>
    <s v="T1551"/>
    <x v="23"/>
    <n v="1"/>
    <x v="0"/>
    <x v="2"/>
    <d v="2025-05-06T00:00:00"/>
    <n v="6578.09"/>
    <n v="5286.7533333333322"/>
    <s v="DEV2879"/>
    <x v="2"/>
    <x v="0"/>
    <x v="1"/>
    <s v="Bhutan"/>
    <s v="Comoros"/>
    <s v="Delivered by Post"/>
    <x v="1"/>
    <x v="0"/>
    <x v="0"/>
  </r>
  <r>
    <s v="T1630"/>
    <x v="23"/>
    <n v="1"/>
    <x v="1"/>
    <x v="1"/>
    <d v="2025-03-06T00:00:00"/>
    <n v="1690.11"/>
    <n v="5286.7533333333322"/>
    <s v="DEV6301"/>
    <x v="4"/>
    <x v="1"/>
    <x v="4"/>
    <s v="Norway"/>
    <s v="New Zealand"/>
    <s v="Delivered by Post"/>
    <x v="0"/>
    <x v="0"/>
    <x v="1"/>
  </r>
  <r>
    <s v="T1637"/>
    <x v="23"/>
    <n v="1"/>
    <x v="0"/>
    <x v="3"/>
    <d v="2025-01-27T00:00:00"/>
    <n v="6168.73"/>
    <n v="5286.7533333333322"/>
    <s v="DEV1772"/>
    <x v="4"/>
    <x v="3"/>
    <x v="5"/>
    <s v="Zimbabwe"/>
    <s v="France"/>
    <s v="Delivered by Post"/>
    <x v="1"/>
    <x v="1"/>
    <x v="1"/>
  </r>
  <r>
    <s v="T1653"/>
    <x v="23"/>
    <n v="1"/>
    <x v="1"/>
    <x v="2"/>
    <d v="2025-10-27T00:00:00"/>
    <n v="3190.45"/>
    <n v="5286.7533333333322"/>
    <s v="DEV4621"/>
    <x v="4"/>
    <x v="0"/>
    <x v="3"/>
    <s v="New Zealand"/>
    <s v="Turkmenistan"/>
    <s v="Picked Up"/>
    <x v="0"/>
    <x v="0"/>
    <x v="1"/>
  </r>
  <r>
    <s v="T1672"/>
    <x v="23"/>
    <n v="1"/>
    <x v="0"/>
    <x v="0"/>
    <d v="2025-11-15T00:00:00"/>
    <n v="9978.41"/>
    <n v="5286.7533333333322"/>
    <s v="DEV6071"/>
    <x v="1"/>
    <x v="2"/>
    <x v="0"/>
    <s v="France"/>
    <s v="Turkmenistan"/>
    <s v="Delivered by Post"/>
    <x v="1"/>
    <x v="1"/>
    <x v="0"/>
  </r>
  <r>
    <s v="T1720"/>
    <x v="23"/>
    <n v="1"/>
    <x v="0"/>
    <x v="1"/>
    <d v="2025-08-13T00:00:00"/>
    <n v="9216.58"/>
    <n v="5286.7533333333322"/>
    <s v="DEV4661"/>
    <x v="4"/>
    <x v="2"/>
    <x v="3"/>
    <s v="Zimbabwe"/>
    <s v="Canada"/>
    <s v="Delivered by Post"/>
    <x v="1"/>
    <x v="1"/>
    <x v="1"/>
  </r>
  <r>
    <s v="T1730"/>
    <x v="23"/>
    <n v="1"/>
    <x v="1"/>
    <x v="2"/>
    <d v="2025-12-24T00:00:00"/>
    <n v="9120.34"/>
    <n v="5286.7533333333322"/>
    <s v="DEV7623"/>
    <x v="3"/>
    <x v="2"/>
    <x v="3"/>
    <s v="New Zealand"/>
    <s v="Romania"/>
    <s v="Delivered by Post"/>
    <x v="1"/>
    <x v="1"/>
    <x v="0"/>
  </r>
  <r>
    <s v="T1819"/>
    <x v="23"/>
    <n v="1"/>
    <x v="1"/>
    <x v="0"/>
    <d v="2025-05-07T00:00:00"/>
    <n v="9167.83"/>
    <n v="5286.7533333333322"/>
    <s v="DEV9604"/>
    <x v="3"/>
    <x v="0"/>
    <x v="5"/>
    <s v="France"/>
    <s v="Romania"/>
    <s v="Picked Up"/>
    <x v="1"/>
    <x v="0"/>
    <x v="0"/>
  </r>
  <r>
    <s v="T1892"/>
    <x v="23"/>
    <n v="1"/>
    <x v="0"/>
    <x v="3"/>
    <d v="2025-02-04T00:00:00"/>
    <n v="6116.14"/>
    <n v="5286.7533333333322"/>
    <s v="DEV7969"/>
    <x v="4"/>
    <x v="2"/>
    <x v="0"/>
    <s v="Canada"/>
    <s v="Turkmenistan"/>
    <s v="Picked Up"/>
    <x v="1"/>
    <x v="1"/>
    <x v="1"/>
  </r>
  <r>
    <s v="T1935"/>
    <x v="23"/>
    <n v="1"/>
    <x v="0"/>
    <x v="0"/>
    <d v="2025-07-26T00:00:00"/>
    <n v="9423.5499999999993"/>
    <n v="5286.7533333333322"/>
    <s v="DEV1864"/>
    <x v="3"/>
    <x v="2"/>
    <x v="2"/>
    <s v="Norway"/>
    <s v="Turkmenistan"/>
    <s v="Delivered by Post"/>
    <x v="1"/>
    <x v="1"/>
    <x v="0"/>
  </r>
  <r>
    <s v="T2085"/>
    <x v="23"/>
    <n v="1"/>
    <x v="0"/>
    <x v="1"/>
    <d v="2025-02-24T00:00:00"/>
    <n v="509.67"/>
    <n v="5286.7533333333322"/>
    <s v="DEV5183"/>
    <x v="3"/>
    <x v="1"/>
    <x v="1"/>
    <s v="New Zealand"/>
    <s v="Comoros"/>
    <s v="Delivered by Post"/>
    <x v="0"/>
    <x v="0"/>
    <x v="0"/>
  </r>
  <r>
    <s v="T2104"/>
    <x v="23"/>
    <n v="1"/>
    <x v="0"/>
    <x v="2"/>
    <d v="2025-05-27T00:00:00"/>
    <n v="4969.47"/>
    <n v="5286.7533333333322"/>
    <s v="DEV3717"/>
    <x v="3"/>
    <x v="2"/>
    <x v="3"/>
    <s v="France"/>
    <s v="Bhutan"/>
    <s v="Picked Up"/>
    <x v="0"/>
    <x v="1"/>
    <x v="0"/>
  </r>
  <r>
    <s v="T2119"/>
    <x v="23"/>
    <n v="1"/>
    <x v="0"/>
    <x v="3"/>
    <d v="2025-12-22T00:00:00"/>
    <n v="5183.09"/>
    <n v="5286.7533333333322"/>
    <s v="DEV4840"/>
    <x v="2"/>
    <x v="0"/>
    <x v="0"/>
    <s v="Comoros"/>
    <s v="France"/>
    <s v="Picked Up"/>
    <x v="0"/>
    <x v="0"/>
    <x v="0"/>
  </r>
  <r>
    <s v="T2136"/>
    <x v="23"/>
    <n v="1"/>
    <x v="1"/>
    <x v="2"/>
    <d v="2025-11-10T00:00:00"/>
    <n v="1070.1500000000001"/>
    <n v="5286.7533333333322"/>
    <s v="DEV1610"/>
    <x v="2"/>
    <x v="1"/>
    <x v="1"/>
    <s v="France"/>
    <s v="Norway"/>
    <s v="Delivered by Post"/>
    <x v="0"/>
    <x v="0"/>
    <x v="0"/>
  </r>
  <r>
    <s v="T2158"/>
    <x v="23"/>
    <n v="1"/>
    <x v="0"/>
    <x v="1"/>
    <d v="2025-05-29T00:00:00"/>
    <n v="4014.36"/>
    <n v="5286.7533333333322"/>
    <s v="DEV5315"/>
    <x v="4"/>
    <x v="2"/>
    <x v="5"/>
    <s v="New Zealand"/>
    <s v="Bhutan"/>
    <s v="Delivered by Post"/>
    <x v="0"/>
    <x v="1"/>
    <x v="1"/>
  </r>
  <r>
    <s v="T2243"/>
    <x v="23"/>
    <n v="1"/>
    <x v="0"/>
    <x v="1"/>
    <d v="2025-04-12T00:00:00"/>
    <n v="7937.04"/>
    <n v="5286.7533333333322"/>
    <s v="DEV9933"/>
    <x v="3"/>
    <x v="3"/>
    <x v="0"/>
    <s v="Zimbabwe"/>
    <s v="Canada"/>
    <s v="Delivered by Post"/>
    <x v="1"/>
    <x v="1"/>
    <x v="0"/>
  </r>
  <r>
    <s v="T2244"/>
    <x v="23"/>
    <n v="1"/>
    <x v="1"/>
    <x v="0"/>
    <d v="2025-09-03T00:00:00"/>
    <n v="4513.91"/>
    <n v="5286.7533333333322"/>
    <s v="DEV6538"/>
    <x v="4"/>
    <x v="1"/>
    <x v="5"/>
    <s v="Romania"/>
    <s v="New Zealand"/>
    <s v="Picked Up"/>
    <x v="0"/>
    <x v="0"/>
    <x v="1"/>
  </r>
  <r>
    <s v="T2297"/>
    <x v="23"/>
    <n v="1"/>
    <x v="1"/>
    <x v="0"/>
    <d v="2025-10-28T00:00:00"/>
    <n v="9474.74"/>
    <n v="5286.7533333333322"/>
    <s v="DEV1857"/>
    <x v="4"/>
    <x v="2"/>
    <x v="0"/>
    <s v="France"/>
    <s v="New Zealand"/>
    <s v="Delivered by Post"/>
    <x v="1"/>
    <x v="1"/>
    <x v="1"/>
  </r>
  <r>
    <s v="T2346"/>
    <x v="23"/>
    <n v="1"/>
    <x v="1"/>
    <x v="1"/>
    <d v="2025-06-13T00:00:00"/>
    <n v="3670.18"/>
    <n v="5286.7533333333322"/>
    <s v="DEV3052"/>
    <x v="1"/>
    <x v="0"/>
    <x v="4"/>
    <s v="Norway"/>
    <s v="New Zealand"/>
    <s v="Picked Up"/>
    <x v="0"/>
    <x v="0"/>
    <x v="0"/>
  </r>
  <r>
    <s v="T2614"/>
    <x v="23"/>
    <n v="1"/>
    <x v="1"/>
    <x v="2"/>
    <d v="2025-10-25T00:00:00"/>
    <n v="2334.2399999999998"/>
    <n v="5286.7533333333322"/>
    <s v="DEV4056"/>
    <x v="2"/>
    <x v="0"/>
    <x v="0"/>
    <s v="Bhutan"/>
    <s v="Bhutan"/>
    <s v="Delivered by Post"/>
    <x v="0"/>
    <x v="1"/>
    <x v="0"/>
  </r>
  <r>
    <s v="T2670"/>
    <x v="23"/>
    <n v="1"/>
    <x v="0"/>
    <x v="2"/>
    <d v="2025-01-10T00:00:00"/>
    <n v="6200.44"/>
    <n v="5286.7533333333322"/>
    <s v="DEV3952"/>
    <x v="4"/>
    <x v="1"/>
    <x v="2"/>
    <s v="Zimbabwe"/>
    <s v="France"/>
    <s v="Picked Up"/>
    <x v="1"/>
    <x v="0"/>
    <x v="1"/>
  </r>
  <r>
    <s v="T2678"/>
    <x v="23"/>
    <n v="1"/>
    <x v="0"/>
    <x v="1"/>
    <d v="2025-01-09T00:00:00"/>
    <n v="8004.41"/>
    <n v="5286.7533333333322"/>
    <s v="DEV7071"/>
    <x v="4"/>
    <x v="3"/>
    <x v="3"/>
    <s v="New Zealand"/>
    <s v="Zimbabwe"/>
    <s v="Delivered by Post"/>
    <x v="1"/>
    <x v="1"/>
    <x v="1"/>
  </r>
  <r>
    <s v="T2697"/>
    <x v="23"/>
    <n v="1"/>
    <x v="1"/>
    <x v="3"/>
    <d v="2025-04-21T00:00:00"/>
    <n v="8640"/>
    <n v="5286.7533333333322"/>
    <s v="DEV4853"/>
    <x v="4"/>
    <x v="1"/>
    <x v="5"/>
    <s v="Comoros"/>
    <s v="Zimbabwe"/>
    <s v="Picked Up"/>
    <x v="1"/>
    <x v="0"/>
    <x v="1"/>
  </r>
  <r>
    <s v="T2735"/>
    <x v="23"/>
    <n v="1"/>
    <x v="1"/>
    <x v="3"/>
    <d v="2025-12-04T00:00:00"/>
    <n v="110.99"/>
    <n v="5286.7533333333322"/>
    <s v="DEV7545"/>
    <x v="3"/>
    <x v="3"/>
    <x v="4"/>
    <s v="Bhutan"/>
    <s v="Turkmenistan"/>
    <s v="Delivered by Post"/>
    <x v="0"/>
    <x v="1"/>
    <x v="0"/>
  </r>
  <r>
    <s v="T2781"/>
    <x v="23"/>
    <n v="1"/>
    <x v="0"/>
    <x v="2"/>
    <d v="2025-06-01T00:00:00"/>
    <n v="6700.87"/>
    <n v="5286.7533333333322"/>
    <s v="DEV3037"/>
    <x v="0"/>
    <x v="0"/>
    <x v="0"/>
    <s v="Norway"/>
    <s v="New Zealand"/>
    <s v="Picked Up"/>
    <x v="1"/>
    <x v="0"/>
    <x v="0"/>
  </r>
  <r>
    <s v="T2808"/>
    <x v="23"/>
    <n v="1"/>
    <x v="0"/>
    <x v="0"/>
    <d v="2025-03-21T00:00:00"/>
    <n v="3924.45"/>
    <n v="5286.7533333333322"/>
    <s v="DEV1079"/>
    <x v="1"/>
    <x v="3"/>
    <x v="4"/>
    <s v="Turkmenistan"/>
    <s v="New Zealand"/>
    <s v="Picked Up"/>
    <x v="0"/>
    <x v="1"/>
    <x v="0"/>
  </r>
  <r>
    <s v="T2809"/>
    <x v="23"/>
    <n v="1"/>
    <x v="0"/>
    <x v="3"/>
    <d v="2025-07-18T00:00:00"/>
    <n v="2379.58"/>
    <n v="5286.7533333333322"/>
    <s v="DEV1323"/>
    <x v="1"/>
    <x v="0"/>
    <x v="1"/>
    <s v="Comoros"/>
    <s v="Turkmenistan"/>
    <s v="Picked Up"/>
    <x v="0"/>
    <x v="0"/>
    <x v="0"/>
  </r>
  <r>
    <s v="T0005"/>
    <x v="24"/>
    <n v="1"/>
    <x v="3"/>
    <x v="0"/>
    <d v="2025-01-12T09:05:00"/>
    <n v="6742.66"/>
    <n v="4877.0190361445784"/>
    <s v="DEV9324"/>
    <x v="4"/>
    <x v="1"/>
    <x v="2"/>
    <s v="Faroe Islands"/>
    <s v="Luxembourg"/>
    <s v="Delivered by Post"/>
    <x v="1"/>
    <x v="0"/>
    <x v="1"/>
  </r>
  <r>
    <s v="T0042"/>
    <x v="24"/>
    <n v="1"/>
    <x v="0"/>
    <x v="1"/>
    <d v="2025-01-20T14:37:00"/>
    <n v="1686.77"/>
    <n v="4877.0190361445784"/>
    <s v="DEV8574"/>
    <x v="2"/>
    <x v="0"/>
    <x v="3"/>
    <s v="Faroe Islands"/>
    <s v="Indonesia"/>
    <s v="Delivered by Post"/>
    <x v="0"/>
    <x v="0"/>
    <x v="0"/>
  </r>
  <r>
    <s v="T0092"/>
    <x v="24"/>
    <n v="1"/>
    <x v="0"/>
    <x v="1"/>
    <d v="2025-02-22T05:50:00"/>
    <n v="5344.73"/>
    <n v="4877.0190361445784"/>
    <s v="DEV9115"/>
    <x v="5"/>
    <x v="1"/>
    <x v="2"/>
    <s v="Faroe Islands"/>
    <s v="San Marino"/>
    <s v="Delivered by Post"/>
    <x v="1"/>
    <x v="0"/>
    <x v="1"/>
  </r>
  <r>
    <s v="T0100"/>
    <x v="24"/>
    <n v="1"/>
    <x v="3"/>
    <x v="4"/>
    <d v="2025-07-06T08:29:00"/>
    <n v="7504.46"/>
    <n v="4877.0190361445784"/>
    <s v="DEV3120"/>
    <x v="2"/>
    <x v="0"/>
    <x v="3"/>
    <s v="Faroe Islands"/>
    <s v="Lebanon"/>
    <s v="Delivered by Post"/>
    <x v="1"/>
    <x v="0"/>
    <x v="0"/>
  </r>
  <r>
    <s v="T0221"/>
    <x v="24"/>
    <n v="1"/>
    <x v="1"/>
    <x v="3"/>
    <d v="2025-09-23T00:00:00"/>
    <n v="3423.41"/>
    <n v="4877.0190361445784"/>
    <s v="DEV2353"/>
    <x v="0"/>
    <x v="0"/>
    <x v="4"/>
    <s v="Norway"/>
    <s v="Turkmenistan"/>
    <s v="Delivered by Post"/>
    <x v="0"/>
    <x v="0"/>
    <x v="0"/>
  </r>
  <r>
    <s v="T0239"/>
    <x v="24"/>
    <n v="1"/>
    <x v="1"/>
    <x v="0"/>
    <d v="2025-03-07T00:00:00"/>
    <n v="5067.34"/>
    <n v="4877.0190361445784"/>
    <s v="DEV7453"/>
    <x v="4"/>
    <x v="3"/>
    <x v="5"/>
    <s v="New Zealand"/>
    <s v="Norway"/>
    <s v="Picked Up"/>
    <x v="1"/>
    <x v="1"/>
    <x v="1"/>
  </r>
  <r>
    <s v="T0267"/>
    <x v="24"/>
    <n v="1"/>
    <x v="0"/>
    <x v="2"/>
    <d v="2025-07-09T00:00:00"/>
    <n v="2466.44"/>
    <n v="4877.0190361445784"/>
    <s v="DEV9775"/>
    <x v="3"/>
    <x v="0"/>
    <x v="1"/>
    <s v="Bhutan"/>
    <s v="Canada"/>
    <s v="Picked Up"/>
    <x v="0"/>
    <x v="0"/>
    <x v="0"/>
  </r>
  <r>
    <s v="T0277"/>
    <x v="24"/>
    <n v="1"/>
    <x v="0"/>
    <x v="1"/>
    <d v="2025-02-12T00:00:00"/>
    <n v="3802.84"/>
    <n v="4877.0190361445784"/>
    <s v="DEV8109"/>
    <x v="4"/>
    <x v="0"/>
    <x v="5"/>
    <s v="Canada"/>
    <s v="Romania"/>
    <s v="Picked Up"/>
    <x v="0"/>
    <x v="0"/>
    <x v="1"/>
  </r>
  <r>
    <s v="T0400"/>
    <x v="24"/>
    <n v="1"/>
    <x v="1"/>
    <x v="1"/>
    <d v="2025-03-24T00:00:00"/>
    <n v="454.31"/>
    <n v="4877.0190361445784"/>
    <s v="DEV5178"/>
    <x v="1"/>
    <x v="3"/>
    <x v="4"/>
    <s v="Norway"/>
    <s v="Canada"/>
    <s v="Picked Up"/>
    <x v="0"/>
    <x v="1"/>
    <x v="0"/>
  </r>
  <r>
    <s v="T0404"/>
    <x v="24"/>
    <n v="1"/>
    <x v="0"/>
    <x v="3"/>
    <d v="2025-09-21T00:00:00"/>
    <n v="2603.08"/>
    <n v="4877.0190361445784"/>
    <s v="DEV8300"/>
    <x v="0"/>
    <x v="0"/>
    <x v="1"/>
    <s v="Romania"/>
    <s v="New Zealand"/>
    <s v="Picked Up"/>
    <x v="0"/>
    <x v="0"/>
    <x v="0"/>
  </r>
  <r>
    <s v="T0420"/>
    <x v="24"/>
    <n v="1"/>
    <x v="1"/>
    <x v="3"/>
    <d v="2025-06-26T00:00:00"/>
    <n v="9728.11"/>
    <n v="4877.0190361445784"/>
    <s v="DEV8898"/>
    <x v="2"/>
    <x v="0"/>
    <x v="5"/>
    <s v="Norway"/>
    <s v="Comoros"/>
    <s v="Picked Up"/>
    <x v="1"/>
    <x v="0"/>
    <x v="0"/>
  </r>
  <r>
    <s v="T0443"/>
    <x v="24"/>
    <n v="1"/>
    <x v="1"/>
    <x v="1"/>
    <d v="2025-10-08T00:00:00"/>
    <n v="5831.03"/>
    <n v="4877.0190361445784"/>
    <s v="DEV4885"/>
    <x v="4"/>
    <x v="1"/>
    <x v="5"/>
    <s v="New Zealand"/>
    <s v="New Zealand"/>
    <s v="Picked Up"/>
    <x v="1"/>
    <x v="1"/>
    <x v="0"/>
  </r>
  <r>
    <s v="T0487"/>
    <x v="24"/>
    <n v="1"/>
    <x v="1"/>
    <x v="0"/>
    <d v="2025-01-10T00:00:00"/>
    <n v="6620.71"/>
    <n v="4877.0190361445784"/>
    <s v="DEV7332"/>
    <x v="3"/>
    <x v="1"/>
    <x v="5"/>
    <s v="Zimbabwe"/>
    <s v="New Zealand"/>
    <s v="Delivered by Post"/>
    <x v="1"/>
    <x v="0"/>
    <x v="0"/>
  </r>
  <r>
    <s v="T0501"/>
    <x v="24"/>
    <n v="1"/>
    <x v="0"/>
    <x v="3"/>
    <d v="2025-10-17T00:00:00"/>
    <n v="5525.94"/>
    <n v="4877.0190361445784"/>
    <s v="DEV3459"/>
    <x v="3"/>
    <x v="2"/>
    <x v="0"/>
    <s v="Canada"/>
    <s v="Bhutan"/>
    <s v="Delivered by Post"/>
    <x v="1"/>
    <x v="1"/>
    <x v="0"/>
  </r>
  <r>
    <s v="T0529"/>
    <x v="24"/>
    <n v="1"/>
    <x v="0"/>
    <x v="2"/>
    <d v="2025-03-13T00:00:00"/>
    <n v="4380.1400000000003"/>
    <n v="4877.0190361445784"/>
    <s v="DEV7301"/>
    <x v="4"/>
    <x v="1"/>
    <x v="0"/>
    <s v="France"/>
    <s v="Norway"/>
    <s v="Picked Up"/>
    <x v="0"/>
    <x v="0"/>
    <x v="1"/>
  </r>
  <r>
    <s v="T0545"/>
    <x v="24"/>
    <n v="1"/>
    <x v="1"/>
    <x v="1"/>
    <d v="2025-08-14T00:00:00"/>
    <n v="3359.91"/>
    <n v="4877.0190361445784"/>
    <s v="DEV9056"/>
    <x v="3"/>
    <x v="1"/>
    <x v="0"/>
    <s v="Comoros"/>
    <s v="Zimbabwe"/>
    <s v="Picked Up"/>
    <x v="0"/>
    <x v="0"/>
    <x v="0"/>
  </r>
  <r>
    <s v="T0564"/>
    <x v="24"/>
    <n v="1"/>
    <x v="0"/>
    <x v="3"/>
    <d v="2025-05-19T00:00:00"/>
    <n v="3766.18"/>
    <n v="4877.0190361445784"/>
    <s v="DEV6503"/>
    <x v="3"/>
    <x v="0"/>
    <x v="3"/>
    <s v="Canada"/>
    <s v="France"/>
    <s v="Picked Up"/>
    <x v="0"/>
    <x v="0"/>
    <x v="0"/>
  </r>
  <r>
    <s v="T0570"/>
    <x v="24"/>
    <n v="1"/>
    <x v="0"/>
    <x v="3"/>
    <d v="2025-08-07T00:00:00"/>
    <n v="8939.67"/>
    <n v="4877.0190361445784"/>
    <s v="DEV9887"/>
    <x v="2"/>
    <x v="2"/>
    <x v="3"/>
    <s v="Zimbabwe"/>
    <s v="New Zealand"/>
    <s v="Picked Up"/>
    <x v="1"/>
    <x v="1"/>
    <x v="0"/>
  </r>
  <r>
    <s v="T0600"/>
    <x v="24"/>
    <n v="1"/>
    <x v="1"/>
    <x v="0"/>
    <d v="2025-06-10T00:00:00"/>
    <n v="4269.71"/>
    <n v="4877.0190361445784"/>
    <s v="DEV8633"/>
    <x v="1"/>
    <x v="2"/>
    <x v="4"/>
    <s v="New Zealand"/>
    <s v="France"/>
    <s v="Picked Up"/>
    <x v="0"/>
    <x v="1"/>
    <x v="0"/>
  </r>
  <r>
    <s v="T0693"/>
    <x v="24"/>
    <n v="1"/>
    <x v="0"/>
    <x v="0"/>
    <d v="2025-03-05T00:00:00"/>
    <n v="8283.2999999999993"/>
    <n v="4877.0190361445784"/>
    <s v="DEV7069"/>
    <x v="3"/>
    <x v="1"/>
    <x v="2"/>
    <s v="Romania"/>
    <s v="Canada"/>
    <s v="Delivered by Post"/>
    <x v="1"/>
    <x v="0"/>
    <x v="0"/>
  </r>
  <r>
    <s v="T0716"/>
    <x v="24"/>
    <n v="1"/>
    <x v="1"/>
    <x v="3"/>
    <d v="2025-10-09T00:00:00"/>
    <n v="5735.14"/>
    <n v="4877.0190361445784"/>
    <s v="DEV3200"/>
    <x v="1"/>
    <x v="3"/>
    <x v="4"/>
    <s v="Turkmenistan"/>
    <s v="New Zealand"/>
    <s v="Picked Up"/>
    <x v="1"/>
    <x v="1"/>
    <x v="0"/>
  </r>
  <r>
    <s v="T0727"/>
    <x v="24"/>
    <n v="1"/>
    <x v="0"/>
    <x v="1"/>
    <d v="2025-06-08T00:00:00"/>
    <n v="9553.2099999999991"/>
    <n v="4877.0190361445784"/>
    <s v="DEV8778"/>
    <x v="3"/>
    <x v="3"/>
    <x v="5"/>
    <s v="Romania"/>
    <s v="Turkmenistan"/>
    <s v="Delivered by Post"/>
    <x v="1"/>
    <x v="1"/>
    <x v="0"/>
  </r>
  <r>
    <s v="T0828"/>
    <x v="24"/>
    <n v="1"/>
    <x v="1"/>
    <x v="1"/>
    <d v="2025-07-16T00:00:00"/>
    <n v="4215.66"/>
    <n v="4877.0190361445784"/>
    <s v="DEV7911"/>
    <x v="2"/>
    <x v="2"/>
    <x v="3"/>
    <s v="Zimbabwe"/>
    <s v="Romania"/>
    <s v="Delivered by Post"/>
    <x v="0"/>
    <x v="1"/>
    <x v="0"/>
  </r>
  <r>
    <s v="T0856"/>
    <x v="24"/>
    <n v="1"/>
    <x v="1"/>
    <x v="3"/>
    <d v="2025-12-26T00:00:00"/>
    <n v="2886.03"/>
    <n v="4877.0190361445784"/>
    <s v="DEV2625"/>
    <x v="1"/>
    <x v="0"/>
    <x v="2"/>
    <s v="Canada"/>
    <s v="Bhutan"/>
    <s v="Picked Up"/>
    <x v="0"/>
    <x v="0"/>
    <x v="0"/>
  </r>
  <r>
    <s v="T0866"/>
    <x v="24"/>
    <n v="1"/>
    <x v="1"/>
    <x v="1"/>
    <d v="2025-04-03T00:00:00"/>
    <n v="8902.65"/>
    <n v="4877.0190361445784"/>
    <s v="DEV1166"/>
    <x v="3"/>
    <x v="0"/>
    <x v="2"/>
    <s v="New Zealand"/>
    <s v="New Zealand"/>
    <s v="Delivered by Post"/>
    <x v="1"/>
    <x v="1"/>
    <x v="0"/>
  </r>
  <r>
    <s v="T0896"/>
    <x v="24"/>
    <n v="1"/>
    <x v="1"/>
    <x v="1"/>
    <d v="2025-05-16T00:00:00"/>
    <n v="6405.4"/>
    <n v="4877.0190361445784"/>
    <s v="DEV6715"/>
    <x v="4"/>
    <x v="1"/>
    <x v="5"/>
    <s v="Bhutan"/>
    <s v="France"/>
    <s v="Delivered by Post"/>
    <x v="1"/>
    <x v="0"/>
    <x v="1"/>
  </r>
  <r>
    <s v="T0935"/>
    <x v="24"/>
    <n v="1"/>
    <x v="0"/>
    <x v="1"/>
    <d v="2025-01-08T00:00:00"/>
    <n v="4699.96"/>
    <n v="4877.0190361445784"/>
    <s v="DEV5495"/>
    <x v="1"/>
    <x v="2"/>
    <x v="5"/>
    <s v="France"/>
    <s v="New Zealand"/>
    <s v="Delivered by Post"/>
    <x v="0"/>
    <x v="1"/>
    <x v="0"/>
  </r>
  <r>
    <s v="T0943"/>
    <x v="24"/>
    <n v="1"/>
    <x v="0"/>
    <x v="1"/>
    <d v="2025-10-17T00:00:00"/>
    <n v="7637.99"/>
    <n v="4877.0190361445784"/>
    <s v="DEV9982"/>
    <x v="0"/>
    <x v="0"/>
    <x v="5"/>
    <s v="Canada"/>
    <s v="Comoros"/>
    <s v="Delivered by Post"/>
    <x v="1"/>
    <x v="0"/>
    <x v="0"/>
  </r>
  <r>
    <s v="T0951"/>
    <x v="24"/>
    <n v="1"/>
    <x v="1"/>
    <x v="0"/>
    <d v="2025-04-29T00:00:00"/>
    <n v="3238.35"/>
    <n v="4877.0190361445784"/>
    <s v="DEV9082"/>
    <x v="4"/>
    <x v="0"/>
    <x v="5"/>
    <s v="Turkmenistan"/>
    <s v="Turkmenistan"/>
    <s v="Delivered by Post"/>
    <x v="0"/>
    <x v="1"/>
    <x v="0"/>
  </r>
  <r>
    <s v="T1050"/>
    <x v="24"/>
    <n v="1"/>
    <x v="0"/>
    <x v="1"/>
    <d v="2025-11-13T00:00:00"/>
    <n v="3290.57"/>
    <n v="4877.0190361445784"/>
    <s v="DEV8210"/>
    <x v="4"/>
    <x v="0"/>
    <x v="2"/>
    <s v="Romania"/>
    <s v="Norway"/>
    <s v="Delivered by Post"/>
    <x v="0"/>
    <x v="0"/>
    <x v="1"/>
  </r>
  <r>
    <s v="T1107"/>
    <x v="24"/>
    <n v="1"/>
    <x v="1"/>
    <x v="0"/>
    <d v="2025-03-30T00:00:00"/>
    <n v="3097.33"/>
    <n v="4877.0190361445784"/>
    <s v="DEV9162"/>
    <x v="3"/>
    <x v="2"/>
    <x v="1"/>
    <s v="Zimbabwe"/>
    <s v="Norway"/>
    <s v="Delivered by Post"/>
    <x v="0"/>
    <x v="1"/>
    <x v="0"/>
  </r>
  <r>
    <s v="T1126"/>
    <x v="24"/>
    <n v="1"/>
    <x v="0"/>
    <x v="0"/>
    <d v="2025-10-16T00:00:00"/>
    <n v="7698.52"/>
    <n v="4877.0190361445784"/>
    <s v="DEV2211"/>
    <x v="1"/>
    <x v="1"/>
    <x v="5"/>
    <s v="Bhutan"/>
    <s v="France"/>
    <s v="Delivered by Post"/>
    <x v="1"/>
    <x v="0"/>
    <x v="0"/>
  </r>
  <r>
    <s v="T1130"/>
    <x v="24"/>
    <n v="1"/>
    <x v="1"/>
    <x v="1"/>
    <d v="2025-09-29T00:00:00"/>
    <n v="4662"/>
    <n v="4877.0190361445784"/>
    <s v="DEV5030"/>
    <x v="3"/>
    <x v="2"/>
    <x v="5"/>
    <s v="Romania"/>
    <s v="New Zealand"/>
    <s v="Delivered by Post"/>
    <x v="0"/>
    <x v="1"/>
    <x v="0"/>
  </r>
  <r>
    <s v="T1154"/>
    <x v="24"/>
    <n v="1"/>
    <x v="1"/>
    <x v="3"/>
    <d v="2025-01-08T00:00:00"/>
    <n v="9898.1299999999992"/>
    <n v="4877.0190361445784"/>
    <s v="DEV3830"/>
    <x v="3"/>
    <x v="2"/>
    <x v="0"/>
    <s v="Zimbabwe"/>
    <s v="Canada"/>
    <s v="Delivered by Post"/>
    <x v="1"/>
    <x v="1"/>
    <x v="0"/>
  </r>
  <r>
    <s v="T1223"/>
    <x v="24"/>
    <n v="1"/>
    <x v="0"/>
    <x v="2"/>
    <d v="2025-08-12T00:00:00"/>
    <n v="5737.98"/>
    <n v="4877.0190361445784"/>
    <s v="DEV8296"/>
    <x v="0"/>
    <x v="0"/>
    <x v="4"/>
    <s v="France"/>
    <s v="New Zealand"/>
    <s v="Picked Up"/>
    <x v="1"/>
    <x v="0"/>
    <x v="0"/>
  </r>
  <r>
    <s v="T1267"/>
    <x v="24"/>
    <n v="1"/>
    <x v="1"/>
    <x v="1"/>
    <d v="2025-03-27T00:00:00"/>
    <n v="7937.02"/>
    <n v="4877.0190361445784"/>
    <s v="DEV8920"/>
    <x v="2"/>
    <x v="0"/>
    <x v="3"/>
    <s v="Romania"/>
    <s v="Comoros"/>
    <s v="Delivered by Post"/>
    <x v="1"/>
    <x v="0"/>
    <x v="0"/>
  </r>
  <r>
    <s v="T1268"/>
    <x v="24"/>
    <n v="1"/>
    <x v="0"/>
    <x v="0"/>
    <d v="2025-08-20T00:00:00"/>
    <n v="3256.03"/>
    <n v="4877.0190361445784"/>
    <s v="DEV1060"/>
    <x v="2"/>
    <x v="3"/>
    <x v="2"/>
    <s v="New Zealand"/>
    <s v="New Zealand"/>
    <s v="Delivered by Post"/>
    <x v="0"/>
    <x v="1"/>
    <x v="0"/>
  </r>
  <r>
    <s v="T1283"/>
    <x v="24"/>
    <n v="1"/>
    <x v="0"/>
    <x v="2"/>
    <d v="2025-09-08T00:00:00"/>
    <n v="3564.12"/>
    <n v="4877.0190361445784"/>
    <s v="DEV8167"/>
    <x v="1"/>
    <x v="3"/>
    <x v="2"/>
    <s v="Bhutan"/>
    <s v="Comoros"/>
    <s v="Picked Up"/>
    <x v="0"/>
    <x v="1"/>
    <x v="0"/>
  </r>
  <r>
    <s v="T1290"/>
    <x v="24"/>
    <n v="1"/>
    <x v="0"/>
    <x v="3"/>
    <d v="2025-01-24T00:00:00"/>
    <n v="4744.95"/>
    <n v="4877.0190361445784"/>
    <s v="DEV6847"/>
    <x v="0"/>
    <x v="2"/>
    <x v="5"/>
    <s v="New Zealand"/>
    <s v="Comoros"/>
    <s v="Picked Up"/>
    <x v="0"/>
    <x v="1"/>
    <x v="0"/>
  </r>
  <r>
    <s v="T1313"/>
    <x v="24"/>
    <n v="1"/>
    <x v="0"/>
    <x v="2"/>
    <d v="2025-05-18T00:00:00"/>
    <n v="7195.9"/>
    <n v="4877.0190361445784"/>
    <s v="DEV3537"/>
    <x v="1"/>
    <x v="2"/>
    <x v="3"/>
    <s v="Bhutan"/>
    <s v="France"/>
    <s v="Picked Up"/>
    <x v="1"/>
    <x v="1"/>
    <x v="0"/>
  </r>
  <r>
    <s v="T1317"/>
    <x v="24"/>
    <n v="1"/>
    <x v="1"/>
    <x v="0"/>
    <d v="2025-04-26T00:00:00"/>
    <n v="3111.91"/>
    <n v="4877.0190361445784"/>
    <s v="DEV2785"/>
    <x v="4"/>
    <x v="2"/>
    <x v="5"/>
    <s v="Turkmenistan"/>
    <s v="Turkmenistan"/>
    <s v="Picked Up"/>
    <x v="0"/>
    <x v="1"/>
    <x v="0"/>
  </r>
  <r>
    <s v="T1329"/>
    <x v="24"/>
    <n v="1"/>
    <x v="1"/>
    <x v="1"/>
    <d v="2025-02-21T00:00:00"/>
    <n v="1582.22"/>
    <n v="4877.0190361445784"/>
    <s v="DEV4581"/>
    <x v="4"/>
    <x v="3"/>
    <x v="1"/>
    <s v="Canada"/>
    <s v="Bhutan"/>
    <s v="Picked Up"/>
    <x v="0"/>
    <x v="1"/>
    <x v="1"/>
  </r>
  <r>
    <s v="T1342"/>
    <x v="24"/>
    <n v="1"/>
    <x v="1"/>
    <x v="1"/>
    <d v="2025-02-08T00:00:00"/>
    <n v="672.92"/>
    <n v="4877.0190361445784"/>
    <s v="DEV4167"/>
    <x v="2"/>
    <x v="3"/>
    <x v="2"/>
    <s v="Canada"/>
    <s v="Zimbabwe"/>
    <s v="Delivered by Post"/>
    <x v="0"/>
    <x v="1"/>
    <x v="0"/>
  </r>
  <r>
    <s v="T1363"/>
    <x v="24"/>
    <n v="1"/>
    <x v="1"/>
    <x v="2"/>
    <d v="2025-03-20T00:00:00"/>
    <n v="5442.67"/>
    <n v="4877.0190361445784"/>
    <s v="DEV6244"/>
    <x v="2"/>
    <x v="2"/>
    <x v="4"/>
    <s v="Canada"/>
    <s v="Turkmenistan"/>
    <s v="Delivered by Post"/>
    <x v="1"/>
    <x v="1"/>
    <x v="0"/>
  </r>
  <r>
    <s v="T1475"/>
    <x v="24"/>
    <n v="1"/>
    <x v="0"/>
    <x v="3"/>
    <d v="2025-03-13T00:00:00"/>
    <n v="196.19"/>
    <n v="4877.0190361445784"/>
    <s v="DEV8552"/>
    <x v="4"/>
    <x v="3"/>
    <x v="5"/>
    <s v="New Zealand"/>
    <s v="Zimbabwe"/>
    <s v="Delivered by Post"/>
    <x v="0"/>
    <x v="1"/>
    <x v="1"/>
  </r>
  <r>
    <s v="T1531"/>
    <x v="24"/>
    <n v="1"/>
    <x v="1"/>
    <x v="0"/>
    <d v="2025-08-09T00:00:00"/>
    <n v="9315.3700000000008"/>
    <n v="4877.0190361445784"/>
    <s v="DEV5593"/>
    <x v="3"/>
    <x v="0"/>
    <x v="0"/>
    <s v="New Zealand"/>
    <s v="France"/>
    <s v="Delivered by Post"/>
    <x v="1"/>
    <x v="0"/>
    <x v="0"/>
  </r>
  <r>
    <s v="T1547"/>
    <x v="24"/>
    <n v="1"/>
    <x v="0"/>
    <x v="1"/>
    <d v="2025-07-22T00:00:00"/>
    <n v="433.82"/>
    <n v="4877.0190361445784"/>
    <s v="DEV6803"/>
    <x v="2"/>
    <x v="2"/>
    <x v="5"/>
    <s v="Turkmenistan"/>
    <s v="Norway"/>
    <s v="Picked Up"/>
    <x v="0"/>
    <x v="1"/>
    <x v="0"/>
  </r>
  <r>
    <s v="T1564"/>
    <x v="24"/>
    <n v="1"/>
    <x v="0"/>
    <x v="3"/>
    <d v="2025-06-19T00:00:00"/>
    <n v="8910.74"/>
    <n v="4877.0190361445784"/>
    <s v="DEV1377"/>
    <x v="0"/>
    <x v="2"/>
    <x v="1"/>
    <s v="New Zealand"/>
    <s v="Romania"/>
    <s v="Delivered by Post"/>
    <x v="1"/>
    <x v="1"/>
    <x v="0"/>
  </r>
  <r>
    <s v="T1576"/>
    <x v="24"/>
    <n v="1"/>
    <x v="1"/>
    <x v="0"/>
    <d v="2025-04-15T00:00:00"/>
    <n v="2251.81"/>
    <n v="4877.0190361445784"/>
    <s v="DEV4007"/>
    <x v="3"/>
    <x v="1"/>
    <x v="0"/>
    <s v="Norway"/>
    <s v="Canada"/>
    <s v="Picked Up"/>
    <x v="0"/>
    <x v="0"/>
    <x v="0"/>
  </r>
  <r>
    <s v="T1660"/>
    <x v="24"/>
    <n v="1"/>
    <x v="0"/>
    <x v="1"/>
    <d v="2025-09-18T00:00:00"/>
    <n v="2937.26"/>
    <n v="4877.0190361445784"/>
    <s v="DEV8725"/>
    <x v="0"/>
    <x v="2"/>
    <x v="4"/>
    <s v="Canada"/>
    <s v="Norway"/>
    <s v="Delivered by Post"/>
    <x v="0"/>
    <x v="1"/>
    <x v="0"/>
  </r>
  <r>
    <s v="T1683"/>
    <x v="24"/>
    <n v="1"/>
    <x v="0"/>
    <x v="2"/>
    <d v="2025-11-25T00:00:00"/>
    <n v="6189.39"/>
    <n v="4877.0190361445784"/>
    <s v="DEV6785"/>
    <x v="4"/>
    <x v="0"/>
    <x v="0"/>
    <s v="Norway"/>
    <s v="Comoros"/>
    <s v="Delivered by Post"/>
    <x v="1"/>
    <x v="0"/>
    <x v="1"/>
  </r>
  <r>
    <s v="T1685"/>
    <x v="24"/>
    <n v="1"/>
    <x v="0"/>
    <x v="3"/>
    <d v="2025-10-02T00:00:00"/>
    <n v="418.7"/>
    <n v="4877.0190361445784"/>
    <s v="DEV2489"/>
    <x v="3"/>
    <x v="1"/>
    <x v="5"/>
    <s v="Bhutan"/>
    <s v="France"/>
    <s v="Delivered by Post"/>
    <x v="0"/>
    <x v="0"/>
    <x v="0"/>
  </r>
  <r>
    <s v="T1737"/>
    <x v="24"/>
    <n v="1"/>
    <x v="1"/>
    <x v="3"/>
    <d v="2025-07-21T00:00:00"/>
    <n v="545.61"/>
    <n v="4877.0190361445784"/>
    <s v="DEV9652"/>
    <x v="0"/>
    <x v="2"/>
    <x v="4"/>
    <s v="Norway"/>
    <s v="Turkmenistan"/>
    <s v="Delivered by Post"/>
    <x v="0"/>
    <x v="1"/>
    <x v="0"/>
  </r>
  <r>
    <s v="T1752"/>
    <x v="24"/>
    <n v="1"/>
    <x v="1"/>
    <x v="2"/>
    <d v="2025-01-31T00:00:00"/>
    <n v="2260.98"/>
    <n v="4877.0190361445784"/>
    <s v="DEV8052"/>
    <x v="0"/>
    <x v="1"/>
    <x v="4"/>
    <s v="New Zealand"/>
    <s v="Norway"/>
    <s v="Delivered by Post"/>
    <x v="0"/>
    <x v="0"/>
    <x v="0"/>
  </r>
  <r>
    <s v="T1804"/>
    <x v="24"/>
    <n v="1"/>
    <x v="0"/>
    <x v="0"/>
    <d v="2025-06-18T00:00:00"/>
    <n v="6522.39"/>
    <n v="4877.0190361445784"/>
    <s v="DEV4272"/>
    <x v="0"/>
    <x v="0"/>
    <x v="2"/>
    <s v="Comoros"/>
    <s v="Canada"/>
    <s v="Picked Up"/>
    <x v="1"/>
    <x v="0"/>
    <x v="0"/>
  </r>
  <r>
    <s v="T1840"/>
    <x v="24"/>
    <n v="1"/>
    <x v="1"/>
    <x v="3"/>
    <d v="2025-10-15T00:00:00"/>
    <n v="1047.5899999999999"/>
    <n v="4877.0190361445784"/>
    <s v="DEV6618"/>
    <x v="3"/>
    <x v="1"/>
    <x v="0"/>
    <s v="Norway"/>
    <s v="Zimbabwe"/>
    <s v="Picked Up"/>
    <x v="0"/>
    <x v="0"/>
    <x v="0"/>
  </r>
  <r>
    <s v="T1865"/>
    <x v="24"/>
    <n v="1"/>
    <x v="1"/>
    <x v="2"/>
    <d v="2025-10-19T00:00:00"/>
    <n v="622.91"/>
    <n v="4877.0190361445784"/>
    <s v="DEV2137"/>
    <x v="3"/>
    <x v="2"/>
    <x v="2"/>
    <s v="Canada"/>
    <s v="Canada"/>
    <s v="Delivered by Post"/>
    <x v="0"/>
    <x v="1"/>
    <x v="0"/>
  </r>
  <r>
    <s v="T1882"/>
    <x v="24"/>
    <n v="1"/>
    <x v="1"/>
    <x v="1"/>
    <d v="2025-05-30T00:00:00"/>
    <n v="5261.56"/>
    <n v="4877.0190361445784"/>
    <s v="DEV1941"/>
    <x v="4"/>
    <x v="0"/>
    <x v="4"/>
    <s v="Bhutan"/>
    <s v="New Zealand"/>
    <s v="Delivered by Post"/>
    <x v="1"/>
    <x v="0"/>
    <x v="1"/>
  </r>
  <r>
    <s v="T1915"/>
    <x v="24"/>
    <n v="1"/>
    <x v="0"/>
    <x v="3"/>
    <d v="2025-11-17T00:00:00"/>
    <n v="8552.64"/>
    <n v="4877.0190361445784"/>
    <s v="DEV5166"/>
    <x v="2"/>
    <x v="2"/>
    <x v="5"/>
    <s v="Bhutan"/>
    <s v="Bhutan"/>
    <s v="Picked Up"/>
    <x v="1"/>
    <x v="1"/>
    <x v="0"/>
  </r>
  <r>
    <s v="T1944"/>
    <x v="24"/>
    <n v="1"/>
    <x v="1"/>
    <x v="0"/>
    <d v="2025-05-17T00:00:00"/>
    <n v="9819.27"/>
    <n v="4877.0190361445784"/>
    <s v="DEV7391"/>
    <x v="3"/>
    <x v="3"/>
    <x v="0"/>
    <s v="Turkmenistan"/>
    <s v="Canada"/>
    <s v="Delivered by Post"/>
    <x v="1"/>
    <x v="1"/>
    <x v="0"/>
  </r>
  <r>
    <s v="T1996"/>
    <x v="24"/>
    <n v="1"/>
    <x v="1"/>
    <x v="0"/>
    <d v="2025-09-21T00:00:00"/>
    <n v="7169.64"/>
    <n v="4877.0190361445784"/>
    <s v="DEV7036"/>
    <x v="4"/>
    <x v="3"/>
    <x v="2"/>
    <s v="Comoros"/>
    <s v="Norway"/>
    <s v="Picked Up"/>
    <x v="1"/>
    <x v="1"/>
    <x v="1"/>
  </r>
  <r>
    <s v="T1998"/>
    <x v="24"/>
    <n v="1"/>
    <x v="0"/>
    <x v="2"/>
    <d v="2025-01-07T00:00:00"/>
    <n v="2931.77"/>
    <n v="4877.0190361445784"/>
    <s v="DEV2937"/>
    <x v="2"/>
    <x v="3"/>
    <x v="1"/>
    <s v="Romania"/>
    <s v="Zimbabwe"/>
    <s v="Picked Up"/>
    <x v="0"/>
    <x v="1"/>
    <x v="0"/>
  </r>
  <r>
    <s v="T2005"/>
    <x v="24"/>
    <n v="1"/>
    <x v="1"/>
    <x v="3"/>
    <d v="2025-02-22T00:00:00"/>
    <n v="6145.43"/>
    <n v="4877.0190361445784"/>
    <s v="DEV4304"/>
    <x v="0"/>
    <x v="1"/>
    <x v="1"/>
    <s v="Zimbabwe"/>
    <s v="New Zealand"/>
    <s v="Picked Up"/>
    <x v="1"/>
    <x v="0"/>
    <x v="0"/>
  </r>
  <r>
    <s v="T2063"/>
    <x v="24"/>
    <n v="1"/>
    <x v="1"/>
    <x v="1"/>
    <d v="2025-01-11T00:00:00"/>
    <n v="1723.07"/>
    <n v="4877.0190361445784"/>
    <s v="DEV5287"/>
    <x v="3"/>
    <x v="1"/>
    <x v="3"/>
    <s v="Bhutan"/>
    <s v="Norway"/>
    <s v="Delivered by Post"/>
    <x v="0"/>
    <x v="0"/>
    <x v="0"/>
  </r>
  <r>
    <s v="T2102"/>
    <x v="24"/>
    <n v="1"/>
    <x v="1"/>
    <x v="2"/>
    <d v="2025-09-13T00:00:00"/>
    <n v="8235.89"/>
    <n v="4877.0190361445784"/>
    <s v="DEV4871"/>
    <x v="0"/>
    <x v="1"/>
    <x v="3"/>
    <s v="Zimbabwe"/>
    <s v="Turkmenistan"/>
    <s v="Delivered by Post"/>
    <x v="1"/>
    <x v="0"/>
    <x v="0"/>
  </r>
  <r>
    <s v="T2135"/>
    <x v="24"/>
    <n v="1"/>
    <x v="0"/>
    <x v="3"/>
    <d v="2025-07-29T00:00:00"/>
    <n v="4275.17"/>
    <n v="4877.0190361445784"/>
    <s v="DEV4302"/>
    <x v="4"/>
    <x v="2"/>
    <x v="0"/>
    <s v="France"/>
    <s v="Romania"/>
    <s v="Delivered by Post"/>
    <x v="0"/>
    <x v="1"/>
    <x v="1"/>
  </r>
  <r>
    <s v="T2228"/>
    <x v="24"/>
    <n v="1"/>
    <x v="1"/>
    <x v="1"/>
    <d v="2025-12-09T00:00:00"/>
    <n v="8252.4"/>
    <n v="4877.0190361445784"/>
    <s v="DEV4887"/>
    <x v="0"/>
    <x v="3"/>
    <x v="3"/>
    <s v="Zimbabwe"/>
    <s v="Norway"/>
    <s v="Delivered by Post"/>
    <x v="1"/>
    <x v="1"/>
    <x v="0"/>
  </r>
  <r>
    <s v="T2260"/>
    <x v="24"/>
    <n v="1"/>
    <x v="0"/>
    <x v="0"/>
    <d v="2025-07-24T00:00:00"/>
    <n v="5681.69"/>
    <n v="4877.0190361445784"/>
    <s v="DEV6632"/>
    <x v="3"/>
    <x v="2"/>
    <x v="1"/>
    <s v="Comoros"/>
    <s v="Turkmenistan"/>
    <s v="Delivered by Post"/>
    <x v="1"/>
    <x v="1"/>
    <x v="0"/>
  </r>
  <r>
    <s v="T2307"/>
    <x v="24"/>
    <n v="1"/>
    <x v="0"/>
    <x v="2"/>
    <d v="2025-03-21T00:00:00"/>
    <n v="4812.3999999999996"/>
    <n v="4877.0190361445784"/>
    <s v="DEV8999"/>
    <x v="3"/>
    <x v="0"/>
    <x v="3"/>
    <s v="Turkmenistan"/>
    <s v="Zimbabwe"/>
    <s v="Delivered by Post"/>
    <x v="0"/>
    <x v="0"/>
    <x v="0"/>
  </r>
  <r>
    <s v="T2310"/>
    <x v="24"/>
    <n v="1"/>
    <x v="1"/>
    <x v="2"/>
    <d v="2025-09-27T00:00:00"/>
    <n v="4834.0200000000004"/>
    <n v="4877.0190361445784"/>
    <s v="DEV7846"/>
    <x v="0"/>
    <x v="3"/>
    <x v="2"/>
    <s v="Turkmenistan"/>
    <s v="New Zealand"/>
    <s v="Delivered by Post"/>
    <x v="0"/>
    <x v="1"/>
    <x v="0"/>
  </r>
  <r>
    <s v="T2321"/>
    <x v="24"/>
    <n v="1"/>
    <x v="0"/>
    <x v="1"/>
    <d v="2025-07-04T00:00:00"/>
    <n v="7448.4"/>
    <n v="4877.0190361445784"/>
    <s v="DEV7045"/>
    <x v="2"/>
    <x v="0"/>
    <x v="1"/>
    <s v="Zimbabwe"/>
    <s v="Turkmenistan"/>
    <s v="Picked Up"/>
    <x v="1"/>
    <x v="0"/>
    <x v="0"/>
  </r>
  <r>
    <s v="T2327"/>
    <x v="24"/>
    <n v="1"/>
    <x v="0"/>
    <x v="0"/>
    <d v="2025-02-22T00:00:00"/>
    <n v="898.43"/>
    <n v="4877.0190361445784"/>
    <s v="DEV3051"/>
    <x v="4"/>
    <x v="1"/>
    <x v="3"/>
    <s v="Norway"/>
    <s v="France"/>
    <s v="Delivered by Post"/>
    <x v="0"/>
    <x v="0"/>
    <x v="1"/>
  </r>
  <r>
    <s v="T2392"/>
    <x v="24"/>
    <n v="1"/>
    <x v="1"/>
    <x v="1"/>
    <d v="2025-06-02T00:00:00"/>
    <n v="6420.48"/>
    <n v="4877.0190361445784"/>
    <s v="DEV6810"/>
    <x v="2"/>
    <x v="0"/>
    <x v="3"/>
    <s v="Bhutan"/>
    <s v="Canada"/>
    <s v="Delivered by Post"/>
    <x v="1"/>
    <x v="0"/>
    <x v="0"/>
  </r>
  <r>
    <s v="T2428"/>
    <x v="24"/>
    <n v="1"/>
    <x v="1"/>
    <x v="0"/>
    <d v="2025-09-29T00:00:00"/>
    <n v="5359.05"/>
    <n v="4877.0190361445784"/>
    <s v="DEV6627"/>
    <x v="0"/>
    <x v="0"/>
    <x v="4"/>
    <s v="France"/>
    <s v="Canada"/>
    <s v="Delivered by Post"/>
    <x v="1"/>
    <x v="0"/>
    <x v="0"/>
  </r>
  <r>
    <s v="T2456"/>
    <x v="24"/>
    <n v="1"/>
    <x v="1"/>
    <x v="3"/>
    <d v="2025-12-10T00:00:00"/>
    <n v="6106.79"/>
    <n v="4877.0190361445784"/>
    <s v="DEV9183"/>
    <x v="3"/>
    <x v="2"/>
    <x v="0"/>
    <s v="Norway"/>
    <s v="Zimbabwe"/>
    <s v="Picked Up"/>
    <x v="1"/>
    <x v="1"/>
    <x v="0"/>
  </r>
  <r>
    <s v="T2492"/>
    <x v="24"/>
    <n v="1"/>
    <x v="0"/>
    <x v="2"/>
    <d v="2025-08-20T00:00:00"/>
    <n v="5090.24"/>
    <n v="4877.0190361445784"/>
    <s v="DEV5373"/>
    <x v="1"/>
    <x v="2"/>
    <x v="1"/>
    <s v="France"/>
    <s v="New Zealand"/>
    <s v="Delivered by Post"/>
    <x v="1"/>
    <x v="1"/>
    <x v="0"/>
  </r>
  <r>
    <s v="T2604"/>
    <x v="24"/>
    <n v="1"/>
    <x v="1"/>
    <x v="2"/>
    <d v="2025-12-08T00:00:00"/>
    <n v="4569.18"/>
    <n v="4877.0190361445784"/>
    <s v="DEV7342"/>
    <x v="0"/>
    <x v="2"/>
    <x v="2"/>
    <s v="Bhutan"/>
    <s v="Zimbabwe"/>
    <s v="Picked Up"/>
    <x v="0"/>
    <x v="1"/>
    <x v="0"/>
  </r>
  <r>
    <s v="T2638"/>
    <x v="24"/>
    <n v="1"/>
    <x v="0"/>
    <x v="3"/>
    <d v="2025-09-20T00:00:00"/>
    <n v="1077.98"/>
    <n v="4877.0190361445784"/>
    <s v="DEV5615"/>
    <x v="2"/>
    <x v="0"/>
    <x v="3"/>
    <s v="New Zealand"/>
    <s v="Canada"/>
    <s v="Picked Up"/>
    <x v="0"/>
    <x v="0"/>
    <x v="0"/>
  </r>
  <r>
    <s v="T2714"/>
    <x v="24"/>
    <n v="1"/>
    <x v="1"/>
    <x v="3"/>
    <d v="2025-08-30T00:00:00"/>
    <n v="3861.1"/>
    <n v="4877.0190361445784"/>
    <s v="DEV1812"/>
    <x v="1"/>
    <x v="1"/>
    <x v="2"/>
    <s v="Romania"/>
    <s v="Turkmenistan"/>
    <s v="Picked Up"/>
    <x v="0"/>
    <x v="0"/>
    <x v="0"/>
  </r>
  <r>
    <s v="T2732"/>
    <x v="24"/>
    <n v="1"/>
    <x v="0"/>
    <x v="2"/>
    <d v="2025-10-09T00:00:00"/>
    <n v="6498.64"/>
    <n v="4877.0190361445784"/>
    <s v="DEV7987"/>
    <x v="2"/>
    <x v="0"/>
    <x v="4"/>
    <s v="Canada"/>
    <s v="France"/>
    <s v="Picked Up"/>
    <x v="1"/>
    <x v="0"/>
    <x v="0"/>
  </r>
  <r>
    <s v="T2768"/>
    <x v="24"/>
    <n v="1"/>
    <x v="0"/>
    <x v="3"/>
    <d v="2025-04-18T00:00:00"/>
    <n v="8070.35"/>
    <n v="4877.0190361445784"/>
    <s v="DEV3262"/>
    <x v="4"/>
    <x v="0"/>
    <x v="3"/>
    <s v="Norway"/>
    <s v="Romania"/>
    <s v="Picked Up"/>
    <x v="1"/>
    <x v="0"/>
    <x v="1"/>
  </r>
  <r>
    <s v="T2812"/>
    <x v="24"/>
    <n v="1"/>
    <x v="0"/>
    <x v="1"/>
    <d v="2025-08-16T00:00:00"/>
    <n v="1038.17"/>
    <n v="4877.0190361445784"/>
    <s v="DEV1833"/>
    <x v="4"/>
    <x v="0"/>
    <x v="3"/>
    <s v="Comoros"/>
    <s v="France"/>
    <s v="Delivered by Post"/>
    <x v="0"/>
    <x v="0"/>
    <x v="1"/>
  </r>
  <r>
    <s v="T2820"/>
    <x v="24"/>
    <n v="1"/>
    <x v="1"/>
    <x v="0"/>
    <d v="2025-10-15T00:00:00"/>
    <n v="4038.66"/>
    <n v="4877.0190361445784"/>
    <s v="DEV3059"/>
    <x v="1"/>
    <x v="3"/>
    <x v="3"/>
    <s v="Norway"/>
    <s v="Bhutan"/>
    <s v="Delivered by Post"/>
    <x v="0"/>
    <x v="1"/>
    <x v="0"/>
  </r>
  <r>
    <s v="T0016"/>
    <x v="25"/>
    <n v="1"/>
    <x v="1"/>
    <x v="0"/>
    <d v="2025-08-10T05:42:00"/>
    <n v="5230.7"/>
    <n v="5421.9623728813567"/>
    <s v="DEV6744"/>
    <x v="2"/>
    <x v="1"/>
    <x v="0"/>
    <s v="Indonesia"/>
    <s v="Ecuador"/>
    <s v="Picked Up"/>
    <x v="0"/>
    <x v="0"/>
    <x v="0"/>
  </r>
  <r>
    <s v="T0033"/>
    <x v="25"/>
    <n v="1"/>
    <x v="2"/>
    <x v="4"/>
    <d v="2025-02-01T17:44:00"/>
    <n v="3937.69"/>
    <n v="5421.9623728813567"/>
    <s v="DEV7966"/>
    <x v="1"/>
    <x v="2"/>
    <x v="2"/>
    <s v="Indonesia"/>
    <s v="Poland"/>
    <s v="Picked Up"/>
    <x v="0"/>
    <x v="1"/>
    <x v="0"/>
  </r>
  <r>
    <s v="T0037"/>
    <x v="25"/>
    <n v="1"/>
    <x v="2"/>
    <x v="4"/>
    <d v="2025-03-23T15:40:00"/>
    <n v="5609.23"/>
    <n v="5421.9623728813567"/>
    <s v="DEV4492"/>
    <x v="3"/>
    <x v="3"/>
    <x v="4"/>
    <s v="Indonesia"/>
    <s v="Hong Kong"/>
    <s v="Delivered by Post"/>
    <x v="1"/>
    <x v="1"/>
    <x v="0"/>
  </r>
  <r>
    <s v="T0113"/>
    <x v="25"/>
    <n v="1"/>
    <x v="1"/>
    <x v="2"/>
    <d v="2025-03-03T00:00:00"/>
    <n v="9951.74"/>
    <n v="5421.9623728813567"/>
    <s v="DEV4681"/>
    <x v="1"/>
    <x v="3"/>
    <x v="2"/>
    <s v="Turkmenistan"/>
    <s v="Romania"/>
    <s v="Picked Up"/>
    <x v="1"/>
    <x v="1"/>
    <x v="0"/>
  </r>
  <r>
    <s v="T0187"/>
    <x v="25"/>
    <n v="1"/>
    <x v="1"/>
    <x v="0"/>
    <d v="2025-02-11T00:00:00"/>
    <n v="4291.42"/>
    <n v="5421.9623728813567"/>
    <s v="DEV3430"/>
    <x v="1"/>
    <x v="2"/>
    <x v="1"/>
    <s v="Turkmenistan"/>
    <s v="New Zealand"/>
    <s v="Delivered by Post"/>
    <x v="0"/>
    <x v="1"/>
    <x v="0"/>
  </r>
  <r>
    <s v="T0189"/>
    <x v="25"/>
    <n v="1"/>
    <x v="1"/>
    <x v="3"/>
    <d v="2025-12-07T00:00:00"/>
    <n v="4189.1000000000004"/>
    <n v="5421.9623728813567"/>
    <s v="DEV7132"/>
    <x v="3"/>
    <x v="1"/>
    <x v="2"/>
    <s v="Zimbabwe"/>
    <s v="Zimbabwe"/>
    <s v="Picked Up"/>
    <x v="0"/>
    <x v="1"/>
    <x v="0"/>
  </r>
  <r>
    <s v="T0196"/>
    <x v="25"/>
    <n v="1"/>
    <x v="0"/>
    <x v="3"/>
    <d v="2025-04-19T00:00:00"/>
    <n v="9845.23"/>
    <n v="5421.9623728813567"/>
    <s v="DEV5186"/>
    <x v="4"/>
    <x v="3"/>
    <x v="2"/>
    <s v="Canada"/>
    <s v="Comoros"/>
    <s v="Delivered by Post"/>
    <x v="1"/>
    <x v="1"/>
    <x v="1"/>
  </r>
  <r>
    <s v="T0229"/>
    <x v="25"/>
    <n v="1"/>
    <x v="1"/>
    <x v="2"/>
    <d v="2025-10-22T00:00:00"/>
    <n v="9995.9699999999993"/>
    <n v="5421.9623728813567"/>
    <s v="DEV3053"/>
    <x v="4"/>
    <x v="0"/>
    <x v="4"/>
    <s v="Comoros"/>
    <s v="Turkmenistan"/>
    <s v="Delivered by Post"/>
    <x v="1"/>
    <x v="0"/>
    <x v="1"/>
  </r>
  <r>
    <s v="T0251"/>
    <x v="25"/>
    <n v="1"/>
    <x v="1"/>
    <x v="0"/>
    <d v="2025-01-05T00:00:00"/>
    <n v="7890.21"/>
    <n v="5421.9623728813567"/>
    <s v="DEV2758"/>
    <x v="4"/>
    <x v="3"/>
    <x v="4"/>
    <s v="Turkmenistan"/>
    <s v="Turkmenistan"/>
    <s v="Delivered by Post"/>
    <x v="1"/>
    <x v="1"/>
    <x v="0"/>
  </r>
  <r>
    <s v="T0329"/>
    <x v="25"/>
    <n v="1"/>
    <x v="1"/>
    <x v="2"/>
    <d v="2025-05-20T00:00:00"/>
    <n v="7022.22"/>
    <n v="5421.9623728813567"/>
    <s v="DEV2223"/>
    <x v="3"/>
    <x v="2"/>
    <x v="5"/>
    <s v="Zimbabwe"/>
    <s v="Norway"/>
    <s v="Picked Up"/>
    <x v="1"/>
    <x v="1"/>
    <x v="0"/>
  </r>
  <r>
    <s v="T0349"/>
    <x v="25"/>
    <n v="1"/>
    <x v="0"/>
    <x v="0"/>
    <d v="2025-07-04T00:00:00"/>
    <n v="5739.11"/>
    <n v="5421.9623728813567"/>
    <s v="DEV8005"/>
    <x v="1"/>
    <x v="3"/>
    <x v="3"/>
    <s v="Comoros"/>
    <s v="Romania"/>
    <s v="Picked Up"/>
    <x v="1"/>
    <x v="1"/>
    <x v="0"/>
  </r>
  <r>
    <s v="T0520"/>
    <x v="25"/>
    <n v="1"/>
    <x v="1"/>
    <x v="3"/>
    <d v="2025-06-09T00:00:00"/>
    <n v="1830.88"/>
    <n v="5421.9623728813567"/>
    <s v="DEV4246"/>
    <x v="2"/>
    <x v="0"/>
    <x v="4"/>
    <s v="Norway"/>
    <s v="Zimbabwe"/>
    <s v="Delivered by Post"/>
    <x v="0"/>
    <x v="0"/>
    <x v="0"/>
  </r>
  <r>
    <s v="T0523"/>
    <x v="25"/>
    <n v="1"/>
    <x v="1"/>
    <x v="0"/>
    <d v="2025-06-04T00:00:00"/>
    <n v="8184.65"/>
    <n v="5421.9623728813567"/>
    <s v="DEV8552"/>
    <x v="0"/>
    <x v="1"/>
    <x v="0"/>
    <s v="Romania"/>
    <s v="Turkmenistan"/>
    <s v="Picked Up"/>
    <x v="1"/>
    <x v="0"/>
    <x v="0"/>
  </r>
  <r>
    <s v="T0548"/>
    <x v="25"/>
    <n v="1"/>
    <x v="0"/>
    <x v="1"/>
    <d v="2025-01-02T00:00:00"/>
    <n v="8448.2900000000009"/>
    <n v="5421.9623728813567"/>
    <s v="DEV8898"/>
    <x v="1"/>
    <x v="3"/>
    <x v="1"/>
    <s v="France"/>
    <s v="Bhutan"/>
    <s v="Picked Up"/>
    <x v="1"/>
    <x v="1"/>
    <x v="0"/>
  </r>
  <r>
    <s v="T0584"/>
    <x v="25"/>
    <n v="1"/>
    <x v="1"/>
    <x v="2"/>
    <d v="2025-07-10T00:00:00"/>
    <n v="1522.06"/>
    <n v="5421.9623728813567"/>
    <s v="DEV5663"/>
    <x v="4"/>
    <x v="3"/>
    <x v="1"/>
    <s v="Comoros"/>
    <s v="Turkmenistan"/>
    <s v="Picked Up"/>
    <x v="0"/>
    <x v="1"/>
    <x v="1"/>
  </r>
  <r>
    <s v="T0621"/>
    <x v="25"/>
    <n v="1"/>
    <x v="0"/>
    <x v="1"/>
    <d v="2025-02-27T00:00:00"/>
    <n v="9434.4599999999991"/>
    <n v="5421.9623728813567"/>
    <s v="DEV9196"/>
    <x v="1"/>
    <x v="3"/>
    <x v="4"/>
    <s v="Zimbabwe"/>
    <s v="Romania"/>
    <s v="Picked Up"/>
    <x v="1"/>
    <x v="1"/>
    <x v="0"/>
  </r>
  <r>
    <s v="T0650"/>
    <x v="25"/>
    <n v="1"/>
    <x v="1"/>
    <x v="3"/>
    <d v="2025-10-28T00:00:00"/>
    <n v="500.32"/>
    <n v="5421.9623728813567"/>
    <s v="DEV8454"/>
    <x v="0"/>
    <x v="3"/>
    <x v="1"/>
    <s v="Norway"/>
    <s v="Romania"/>
    <s v="Picked Up"/>
    <x v="0"/>
    <x v="1"/>
    <x v="0"/>
  </r>
  <r>
    <s v="T0724"/>
    <x v="25"/>
    <n v="1"/>
    <x v="1"/>
    <x v="0"/>
    <d v="2025-06-18T00:00:00"/>
    <n v="683.91"/>
    <n v="5421.9623728813567"/>
    <s v="DEV8397"/>
    <x v="4"/>
    <x v="0"/>
    <x v="0"/>
    <s v="Zimbabwe"/>
    <s v="Turkmenistan"/>
    <s v="Picked Up"/>
    <x v="0"/>
    <x v="0"/>
    <x v="1"/>
  </r>
  <r>
    <s v="T0922"/>
    <x v="25"/>
    <n v="1"/>
    <x v="0"/>
    <x v="2"/>
    <d v="2025-05-15T00:00:00"/>
    <n v="6205.52"/>
    <n v="5421.9623728813567"/>
    <s v="DEV1491"/>
    <x v="1"/>
    <x v="3"/>
    <x v="4"/>
    <s v="France"/>
    <s v="Romania"/>
    <s v="Delivered by Post"/>
    <x v="1"/>
    <x v="1"/>
    <x v="0"/>
  </r>
  <r>
    <s v="T1005"/>
    <x v="25"/>
    <n v="1"/>
    <x v="1"/>
    <x v="2"/>
    <d v="2025-10-01T00:00:00"/>
    <n v="7743.94"/>
    <n v="5421.9623728813567"/>
    <s v="DEV6683"/>
    <x v="0"/>
    <x v="0"/>
    <x v="0"/>
    <s v="Norway"/>
    <s v="Romania"/>
    <s v="Delivered by Post"/>
    <x v="1"/>
    <x v="0"/>
    <x v="0"/>
  </r>
  <r>
    <s v="T1008"/>
    <x v="25"/>
    <n v="1"/>
    <x v="1"/>
    <x v="0"/>
    <d v="2025-06-27T00:00:00"/>
    <n v="6839.28"/>
    <n v="5421.9623728813567"/>
    <s v="DEV2661"/>
    <x v="0"/>
    <x v="0"/>
    <x v="0"/>
    <s v="New Zealand"/>
    <s v="Norway"/>
    <s v="Delivered by Post"/>
    <x v="1"/>
    <x v="0"/>
    <x v="0"/>
  </r>
  <r>
    <s v="T1169"/>
    <x v="25"/>
    <n v="1"/>
    <x v="1"/>
    <x v="1"/>
    <d v="2025-10-08T00:00:00"/>
    <n v="5473.86"/>
    <n v="5421.9623728813567"/>
    <s v="DEV4395"/>
    <x v="0"/>
    <x v="2"/>
    <x v="2"/>
    <s v="France"/>
    <s v="Romania"/>
    <s v="Picked Up"/>
    <x v="1"/>
    <x v="1"/>
    <x v="0"/>
  </r>
  <r>
    <s v="T1251"/>
    <x v="25"/>
    <n v="1"/>
    <x v="1"/>
    <x v="2"/>
    <d v="2025-07-03T00:00:00"/>
    <n v="8528.9599999999991"/>
    <n v="5421.9623728813567"/>
    <s v="DEV6020"/>
    <x v="4"/>
    <x v="1"/>
    <x v="4"/>
    <s v="Romania"/>
    <s v="France"/>
    <s v="Delivered by Post"/>
    <x v="1"/>
    <x v="0"/>
    <x v="1"/>
  </r>
  <r>
    <s v="T1260"/>
    <x v="25"/>
    <n v="1"/>
    <x v="0"/>
    <x v="1"/>
    <d v="2025-08-19T00:00:00"/>
    <n v="2690.39"/>
    <n v="5421.9623728813567"/>
    <s v="DEV7504"/>
    <x v="1"/>
    <x v="1"/>
    <x v="2"/>
    <s v="Zimbabwe"/>
    <s v="France"/>
    <s v="Delivered by Post"/>
    <x v="0"/>
    <x v="0"/>
    <x v="0"/>
  </r>
  <r>
    <s v="T1345"/>
    <x v="25"/>
    <n v="1"/>
    <x v="1"/>
    <x v="1"/>
    <d v="2025-07-26T00:00:00"/>
    <n v="1665.01"/>
    <n v="5421.9623728813567"/>
    <s v="DEV3130"/>
    <x v="2"/>
    <x v="2"/>
    <x v="1"/>
    <s v="Canada"/>
    <s v="Turkmenistan"/>
    <s v="Picked Up"/>
    <x v="0"/>
    <x v="1"/>
    <x v="0"/>
  </r>
  <r>
    <s v="T1358"/>
    <x v="25"/>
    <n v="1"/>
    <x v="0"/>
    <x v="0"/>
    <d v="2025-10-20T00:00:00"/>
    <n v="5715.85"/>
    <n v="5421.9623728813567"/>
    <s v="DEV6363"/>
    <x v="2"/>
    <x v="1"/>
    <x v="4"/>
    <s v="Canada"/>
    <s v="Turkmenistan"/>
    <s v="Delivered by Post"/>
    <x v="1"/>
    <x v="0"/>
    <x v="0"/>
  </r>
  <r>
    <s v="T1375"/>
    <x v="25"/>
    <n v="1"/>
    <x v="1"/>
    <x v="2"/>
    <d v="2025-08-02T00:00:00"/>
    <n v="1669.76"/>
    <n v="5421.9623728813567"/>
    <s v="DEV6315"/>
    <x v="2"/>
    <x v="1"/>
    <x v="4"/>
    <s v="Turkmenistan"/>
    <s v="Comoros"/>
    <s v="Delivered by Post"/>
    <x v="0"/>
    <x v="0"/>
    <x v="0"/>
  </r>
  <r>
    <s v="T1415"/>
    <x v="25"/>
    <n v="1"/>
    <x v="1"/>
    <x v="0"/>
    <d v="2025-09-26T00:00:00"/>
    <n v="4396.25"/>
    <n v="5421.9623728813567"/>
    <s v="DEV3264"/>
    <x v="0"/>
    <x v="0"/>
    <x v="2"/>
    <s v="Canada"/>
    <s v="France"/>
    <s v="Delivered by Post"/>
    <x v="0"/>
    <x v="0"/>
    <x v="0"/>
  </r>
  <r>
    <s v="T1435"/>
    <x v="25"/>
    <n v="1"/>
    <x v="0"/>
    <x v="1"/>
    <d v="2025-07-04T00:00:00"/>
    <n v="3357.88"/>
    <n v="5421.9623728813567"/>
    <s v="DEV5949"/>
    <x v="0"/>
    <x v="2"/>
    <x v="1"/>
    <s v="Zimbabwe"/>
    <s v="Zimbabwe"/>
    <s v="Delivered by Post"/>
    <x v="0"/>
    <x v="1"/>
    <x v="0"/>
  </r>
  <r>
    <s v="T1489"/>
    <x v="25"/>
    <n v="1"/>
    <x v="1"/>
    <x v="0"/>
    <d v="2025-08-08T00:00:00"/>
    <n v="8627.34"/>
    <n v="5421.9623728813567"/>
    <s v="DEV4174"/>
    <x v="2"/>
    <x v="2"/>
    <x v="3"/>
    <s v="France"/>
    <s v="France"/>
    <s v="Picked Up"/>
    <x v="1"/>
    <x v="1"/>
    <x v="0"/>
  </r>
  <r>
    <s v="T1519"/>
    <x v="25"/>
    <n v="1"/>
    <x v="0"/>
    <x v="3"/>
    <d v="2025-11-01T00:00:00"/>
    <n v="2010.56"/>
    <n v="5421.9623728813567"/>
    <s v="DEV8208"/>
    <x v="0"/>
    <x v="1"/>
    <x v="1"/>
    <s v="Bhutan"/>
    <s v="Zimbabwe"/>
    <s v="Picked Up"/>
    <x v="0"/>
    <x v="0"/>
    <x v="0"/>
  </r>
  <r>
    <s v="T1539"/>
    <x v="25"/>
    <n v="1"/>
    <x v="0"/>
    <x v="2"/>
    <d v="2025-01-02T00:00:00"/>
    <n v="6835.59"/>
    <n v="5421.9623728813567"/>
    <s v="DEV5565"/>
    <x v="1"/>
    <x v="0"/>
    <x v="3"/>
    <s v="New Zealand"/>
    <s v="Norway"/>
    <s v="Delivered by Post"/>
    <x v="1"/>
    <x v="0"/>
    <x v="0"/>
  </r>
  <r>
    <s v="T1657"/>
    <x v="25"/>
    <n v="1"/>
    <x v="1"/>
    <x v="1"/>
    <d v="2025-07-14T00:00:00"/>
    <n v="743.3"/>
    <n v="5421.9623728813567"/>
    <s v="DEV3291"/>
    <x v="0"/>
    <x v="0"/>
    <x v="0"/>
    <s v="New Zealand"/>
    <s v="Turkmenistan"/>
    <s v="Delivered by Post"/>
    <x v="0"/>
    <x v="0"/>
    <x v="0"/>
  </r>
  <r>
    <s v="T1771"/>
    <x v="25"/>
    <n v="1"/>
    <x v="0"/>
    <x v="3"/>
    <d v="2025-06-06T00:00:00"/>
    <n v="4848.4399999999996"/>
    <n v="5421.9623728813567"/>
    <s v="DEV6224"/>
    <x v="4"/>
    <x v="0"/>
    <x v="5"/>
    <s v="Bhutan"/>
    <s v="Norway"/>
    <s v="Picked Up"/>
    <x v="0"/>
    <x v="0"/>
    <x v="1"/>
  </r>
  <r>
    <s v="T1876"/>
    <x v="25"/>
    <n v="1"/>
    <x v="1"/>
    <x v="0"/>
    <d v="2025-09-20T00:00:00"/>
    <n v="7165.57"/>
    <n v="5421.9623728813567"/>
    <s v="DEV9623"/>
    <x v="3"/>
    <x v="2"/>
    <x v="0"/>
    <s v="Comoros"/>
    <s v="Turkmenistan"/>
    <s v="Delivered by Post"/>
    <x v="1"/>
    <x v="1"/>
    <x v="0"/>
  </r>
  <r>
    <s v="T1878"/>
    <x v="25"/>
    <n v="1"/>
    <x v="1"/>
    <x v="2"/>
    <d v="2025-01-13T00:00:00"/>
    <n v="3094.18"/>
    <n v="5421.9623728813567"/>
    <s v="DEV6317"/>
    <x v="2"/>
    <x v="1"/>
    <x v="3"/>
    <s v="Comoros"/>
    <s v="France"/>
    <s v="Delivered by Post"/>
    <x v="0"/>
    <x v="0"/>
    <x v="0"/>
  </r>
  <r>
    <s v="T1910"/>
    <x v="25"/>
    <n v="1"/>
    <x v="1"/>
    <x v="2"/>
    <d v="2025-10-01T00:00:00"/>
    <n v="5380.75"/>
    <n v="5421.9623728813567"/>
    <s v="DEV2223"/>
    <x v="1"/>
    <x v="1"/>
    <x v="4"/>
    <s v="Comoros"/>
    <s v="Turkmenistan"/>
    <s v="Picked Up"/>
    <x v="0"/>
    <x v="0"/>
    <x v="0"/>
  </r>
  <r>
    <s v="T1924"/>
    <x v="25"/>
    <n v="1"/>
    <x v="0"/>
    <x v="1"/>
    <d v="2025-05-06T00:00:00"/>
    <n v="1246.96"/>
    <n v="5421.9623728813567"/>
    <s v="DEV2026"/>
    <x v="0"/>
    <x v="3"/>
    <x v="4"/>
    <s v="New Zealand"/>
    <s v="Bhutan"/>
    <s v="Delivered by Post"/>
    <x v="0"/>
    <x v="1"/>
    <x v="0"/>
  </r>
  <r>
    <s v="T1952"/>
    <x v="25"/>
    <n v="1"/>
    <x v="1"/>
    <x v="2"/>
    <d v="2025-07-23T00:00:00"/>
    <n v="7848.36"/>
    <n v="5421.9623728813567"/>
    <s v="DEV6297"/>
    <x v="4"/>
    <x v="2"/>
    <x v="3"/>
    <s v="Norway"/>
    <s v="Bhutan"/>
    <s v="Delivered by Post"/>
    <x v="1"/>
    <x v="1"/>
    <x v="1"/>
  </r>
  <r>
    <s v="T2039"/>
    <x v="25"/>
    <n v="1"/>
    <x v="1"/>
    <x v="0"/>
    <d v="2025-01-16T00:00:00"/>
    <n v="7102.95"/>
    <n v="5421.9623728813567"/>
    <s v="DEV1535"/>
    <x v="3"/>
    <x v="1"/>
    <x v="1"/>
    <s v="Turkmenistan"/>
    <s v="Romania"/>
    <s v="Delivered by Post"/>
    <x v="1"/>
    <x v="0"/>
    <x v="0"/>
  </r>
  <r>
    <s v="T2065"/>
    <x v="25"/>
    <n v="1"/>
    <x v="1"/>
    <x v="2"/>
    <d v="2025-12-14T00:00:00"/>
    <n v="9463.07"/>
    <n v="5421.9623728813567"/>
    <s v="DEV5189"/>
    <x v="1"/>
    <x v="1"/>
    <x v="5"/>
    <s v="Comoros"/>
    <s v="Romania"/>
    <s v="Delivered by Post"/>
    <x v="1"/>
    <x v="0"/>
    <x v="0"/>
  </r>
  <r>
    <s v="T2180"/>
    <x v="25"/>
    <n v="1"/>
    <x v="0"/>
    <x v="1"/>
    <d v="2025-12-18T00:00:00"/>
    <n v="5378.69"/>
    <n v="5421.9623728813567"/>
    <s v="DEV9179"/>
    <x v="4"/>
    <x v="1"/>
    <x v="0"/>
    <s v="Bhutan"/>
    <s v="Bhutan"/>
    <s v="Picked Up"/>
    <x v="0"/>
    <x v="1"/>
    <x v="0"/>
  </r>
  <r>
    <s v="T2213"/>
    <x v="25"/>
    <n v="1"/>
    <x v="1"/>
    <x v="0"/>
    <d v="2025-06-27T00:00:00"/>
    <n v="9468.76"/>
    <n v="5421.9623728813567"/>
    <s v="DEV6897"/>
    <x v="2"/>
    <x v="1"/>
    <x v="4"/>
    <s v="Zimbabwe"/>
    <s v="Canada"/>
    <s v="Picked Up"/>
    <x v="1"/>
    <x v="0"/>
    <x v="0"/>
  </r>
  <r>
    <s v="T2216"/>
    <x v="25"/>
    <n v="1"/>
    <x v="1"/>
    <x v="2"/>
    <d v="2025-04-20T00:00:00"/>
    <n v="5362.97"/>
    <n v="5421.9623728813567"/>
    <s v="DEV6145"/>
    <x v="3"/>
    <x v="2"/>
    <x v="0"/>
    <s v="Turkmenistan"/>
    <s v="New Zealand"/>
    <s v="Delivered by Post"/>
    <x v="0"/>
    <x v="1"/>
    <x v="0"/>
  </r>
  <r>
    <s v="T2223"/>
    <x v="25"/>
    <n v="1"/>
    <x v="1"/>
    <x v="1"/>
    <d v="2025-12-07T00:00:00"/>
    <n v="9043.4599999999991"/>
    <n v="5421.9623728813567"/>
    <s v="DEV7950"/>
    <x v="0"/>
    <x v="1"/>
    <x v="3"/>
    <s v="Romania"/>
    <s v="New Zealand"/>
    <s v="Picked Up"/>
    <x v="1"/>
    <x v="0"/>
    <x v="0"/>
  </r>
  <r>
    <s v="T2273"/>
    <x v="25"/>
    <n v="1"/>
    <x v="1"/>
    <x v="0"/>
    <d v="2025-02-15T00:00:00"/>
    <n v="5372.34"/>
    <n v="5421.9623728813567"/>
    <s v="DEV6498"/>
    <x v="0"/>
    <x v="2"/>
    <x v="0"/>
    <s v="Norway"/>
    <s v="Bhutan"/>
    <s v="Delivered by Post"/>
    <x v="0"/>
    <x v="1"/>
    <x v="0"/>
  </r>
  <r>
    <s v="T2317"/>
    <x v="25"/>
    <n v="1"/>
    <x v="1"/>
    <x v="1"/>
    <d v="2025-09-27T00:00:00"/>
    <n v="2184.8200000000002"/>
    <n v="5421.9623728813567"/>
    <s v="DEV1973"/>
    <x v="1"/>
    <x v="0"/>
    <x v="5"/>
    <s v="Zimbabwe"/>
    <s v="France"/>
    <s v="Picked Up"/>
    <x v="0"/>
    <x v="0"/>
    <x v="0"/>
  </r>
  <r>
    <s v="T2347"/>
    <x v="25"/>
    <n v="1"/>
    <x v="0"/>
    <x v="3"/>
    <d v="2025-05-15T00:00:00"/>
    <n v="6989.99"/>
    <n v="5421.9623728813567"/>
    <s v="DEV5952"/>
    <x v="0"/>
    <x v="2"/>
    <x v="5"/>
    <s v="Turkmenistan"/>
    <s v="Comoros"/>
    <s v="Picked Up"/>
    <x v="1"/>
    <x v="1"/>
    <x v="0"/>
  </r>
  <r>
    <s v="T2380"/>
    <x v="25"/>
    <n v="1"/>
    <x v="0"/>
    <x v="3"/>
    <d v="2025-01-24T00:00:00"/>
    <n v="1784.85"/>
    <n v="5421.9623728813567"/>
    <s v="DEV2424"/>
    <x v="1"/>
    <x v="3"/>
    <x v="0"/>
    <s v="New Zealand"/>
    <s v="New Zealand"/>
    <s v="Delivered by Post"/>
    <x v="0"/>
    <x v="1"/>
    <x v="0"/>
  </r>
  <r>
    <s v="T2390"/>
    <x v="25"/>
    <n v="1"/>
    <x v="0"/>
    <x v="0"/>
    <d v="2025-08-29T00:00:00"/>
    <n v="6981.93"/>
    <n v="5421.9623728813567"/>
    <s v="DEV9133"/>
    <x v="2"/>
    <x v="3"/>
    <x v="5"/>
    <s v="France"/>
    <s v="France"/>
    <s v="Delivered by Post"/>
    <x v="1"/>
    <x v="1"/>
    <x v="0"/>
  </r>
  <r>
    <s v="T2417"/>
    <x v="25"/>
    <n v="1"/>
    <x v="1"/>
    <x v="3"/>
    <d v="2025-03-03T00:00:00"/>
    <n v="6885.82"/>
    <n v="5421.9623728813567"/>
    <s v="DEV1439"/>
    <x v="1"/>
    <x v="3"/>
    <x v="0"/>
    <s v="Comoros"/>
    <s v="Zimbabwe"/>
    <s v="Delivered by Post"/>
    <x v="1"/>
    <x v="1"/>
    <x v="0"/>
  </r>
  <r>
    <s v="T2479"/>
    <x v="25"/>
    <n v="1"/>
    <x v="1"/>
    <x v="0"/>
    <d v="2025-02-17T00:00:00"/>
    <n v="309.67"/>
    <n v="5421.9623728813567"/>
    <s v="DEV1898"/>
    <x v="4"/>
    <x v="1"/>
    <x v="2"/>
    <s v="Romania"/>
    <s v="Bhutan"/>
    <s v="Picked Up"/>
    <x v="0"/>
    <x v="0"/>
    <x v="1"/>
  </r>
  <r>
    <s v="T2488"/>
    <x v="25"/>
    <n v="1"/>
    <x v="1"/>
    <x v="1"/>
    <d v="2025-10-22T00:00:00"/>
    <n v="2318.4499999999998"/>
    <n v="5421.9623728813567"/>
    <s v="DEV8877"/>
    <x v="0"/>
    <x v="0"/>
    <x v="2"/>
    <s v="France"/>
    <s v="New Zealand"/>
    <s v="Delivered by Post"/>
    <x v="0"/>
    <x v="0"/>
    <x v="0"/>
  </r>
  <r>
    <s v="T2491"/>
    <x v="25"/>
    <n v="1"/>
    <x v="1"/>
    <x v="3"/>
    <d v="2025-06-23T00:00:00"/>
    <n v="7497.73"/>
    <n v="5421.9623728813567"/>
    <s v="DEV5417"/>
    <x v="0"/>
    <x v="3"/>
    <x v="1"/>
    <s v="Norway"/>
    <s v="Bhutan"/>
    <s v="Picked Up"/>
    <x v="1"/>
    <x v="1"/>
    <x v="0"/>
  </r>
  <r>
    <s v="T2552"/>
    <x v="25"/>
    <n v="1"/>
    <x v="0"/>
    <x v="3"/>
    <d v="2025-06-22T00:00:00"/>
    <n v="6273.45"/>
    <n v="5421.9623728813567"/>
    <s v="DEV2554"/>
    <x v="2"/>
    <x v="2"/>
    <x v="5"/>
    <s v="Bhutan"/>
    <s v="Turkmenistan"/>
    <s v="Delivered by Post"/>
    <x v="1"/>
    <x v="1"/>
    <x v="0"/>
  </r>
  <r>
    <s v="T2680"/>
    <x v="25"/>
    <n v="1"/>
    <x v="1"/>
    <x v="3"/>
    <d v="2025-02-26T00:00:00"/>
    <n v="6849.87"/>
    <n v="5421.9623728813567"/>
    <s v="DEV1402"/>
    <x v="3"/>
    <x v="0"/>
    <x v="1"/>
    <s v="Zimbabwe"/>
    <s v="Zimbabwe"/>
    <s v="Delivered by Post"/>
    <x v="1"/>
    <x v="1"/>
    <x v="0"/>
  </r>
  <r>
    <s v="T2725"/>
    <x v="25"/>
    <n v="1"/>
    <x v="0"/>
    <x v="1"/>
    <d v="2025-05-29T00:00:00"/>
    <n v="8296.77"/>
    <n v="5421.9623728813567"/>
    <s v="DEV9898"/>
    <x v="4"/>
    <x v="0"/>
    <x v="3"/>
    <s v="Norway"/>
    <s v="Norway"/>
    <s v="Delivered by Post"/>
    <x v="1"/>
    <x v="1"/>
    <x v="0"/>
  </r>
  <r>
    <s v="T2726"/>
    <x v="25"/>
    <n v="1"/>
    <x v="0"/>
    <x v="1"/>
    <d v="2025-03-22T00:00:00"/>
    <n v="1782.85"/>
    <n v="5421.9623728813567"/>
    <s v="DEV3284"/>
    <x v="4"/>
    <x v="2"/>
    <x v="1"/>
    <s v="Norway"/>
    <s v="Romania"/>
    <s v="Delivered by Post"/>
    <x v="0"/>
    <x v="1"/>
    <x v="1"/>
  </r>
  <r>
    <s v="T2800"/>
    <x v="25"/>
    <n v="1"/>
    <x v="1"/>
    <x v="1"/>
    <d v="2025-08-17T00:00:00"/>
    <n v="4152.3999999999996"/>
    <n v="5421.9623728813567"/>
    <s v="DEV9219"/>
    <x v="0"/>
    <x v="3"/>
    <x v="2"/>
    <s v="Turkmenistan"/>
    <s v="Zimbabwe"/>
    <s v="Delivered by Post"/>
    <x v="0"/>
    <x v="1"/>
    <x v="0"/>
  </r>
  <r>
    <s v="T0012"/>
    <x v="26"/>
    <n v="1"/>
    <x v="2"/>
    <x v="4"/>
    <d v="2025-08-28T16:03:00"/>
    <n v="4800.62"/>
    <n v="5094.5936065573751"/>
    <s v="DEV4804"/>
    <x v="0"/>
    <x v="2"/>
    <x v="2"/>
    <s v="Fiji"/>
    <s v="Kenya"/>
    <s v="Picked Up"/>
    <x v="0"/>
    <x v="1"/>
    <x v="0"/>
  </r>
  <r>
    <s v="T0055"/>
    <x v="26"/>
    <n v="1"/>
    <x v="3"/>
    <x v="1"/>
    <d v="2025-03-27T18:44:00"/>
    <n v="365.39"/>
    <n v="5094.5936065573751"/>
    <s v="DEV3857"/>
    <x v="5"/>
    <x v="3"/>
    <x v="3"/>
    <s v="Fiji"/>
    <s v="Germany"/>
    <s v="Picked Up"/>
    <x v="0"/>
    <x v="1"/>
    <x v="1"/>
  </r>
  <r>
    <s v="T0067"/>
    <x v="26"/>
    <n v="1"/>
    <x v="3"/>
    <x v="3"/>
    <d v="2025-01-08T16:11:00"/>
    <n v="8635.92"/>
    <n v="5094.5936065573751"/>
    <s v="DEV9263"/>
    <x v="1"/>
    <x v="0"/>
    <x v="3"/>
    <s v="Fiji"/>
    <s v="Cambodia"/>
    <s v="Picked Up"/>
    <x v="1"/>
    <x v="0"/>
    <x v="0"/>
  </r>
  <r>
    <s v="T0116"/>
    <x v="26"/>
    <n v="1"/>
    <x v="0"/>
    <x v="0"/>
    <d v="2025-07-26T00:00:00"/>
    <n v="4696.8999999999996"/>
    <n v="5094.5936065573751"/>
    <s v="DEV6559"/>
    <x v="1"/>
    <x v="2"/>
    <x v="0"/>
    <s v="Romania"/>
    <s v="Turkmenistan"/>
    <s v="Delivered by Post"/>
    <x v="0"/>
    <x v="1"/>
    <x v="0"/>
  </r>
  <r>
    <s v="T0195"/>
    <x v="26"/>
    <n v="1"/>
    <x v="0"/>
    <x v="3"/>
    <d v="2025-08-09T00:00:00"/>
    <n v="2768.01"/>
    <n v="5094.5936065573751"/>
    <s v="DEV5640"/>
    <x v="2"/>
    <x v="1"/>
    <x v="5"/>
    <s v="France"/>
    <s v="Canada"/>
    <s v="Picked Up"/>
    <x v="0"/>
    <x v="0"/>
    <x v="0"/>
  </r>
  <r>
    <s v="T0234"/>
    <x v="26"/>
    <n v="1"/>
    <x v="0"/>
    <x v="3"/>
    <d v="2025-06-13T00:00:00"/>
    <n v="4868.3"/>
    <n v="5094.5936065573751"/>
    <s v="DEV6658"/>
    <x v="0"/>
    <x v="2"/>
    <x v="1"/>
    <s v="Turkmenistan"/>
    <s v="Turkmenistan"/>
    <s v="Picked Up"/>
    <x v="0"/>
    <x v="1"/>
    <x v="0"/>
  </r>
  <r>
    <s v="T0244"/>
    <x v="26"/>
    <n v="1"/>
    <x v="1"/>
    <x v="2"/>
    <d v="2025-02-01T00:00:00"/>
    <n v="1556.74"/>
    <n v="5094.5936065573751"/>
    <s v="DEV3262"/>
    <x v="2"/>
    <x v="2"/>
    <x v="5"/>
    <s v="New Zealand"/>
    <s v="Comoros"/>
    <s v="Delivered by Post"/>
    <x v="0"/>
    <x v="1"/>
    <x v="0"/>
  </r>
  <r>
    <s v="T0260"/>
    <x v="26"/>
    <n v="1"/>
    <x v="1"/>
    <x v="3"/>
    <d v="2025-07-15T00:00:00"/>
    <n v="1840.81"/>
    <n v="5094.5936065573751"/>
    <s v="DEV7184"/>
    <x v="0"/>
    <x v="0"/>
    <x v="3"/>
    <s v="Turkmenistan"/>
    <s v="Norway"/>
    <s v="Delivered by Post"/>
    <x v="0"/>
    <x v="0"/>
    <x v="0"/>
  </r>
  <r>
    <s v="T0299"/>
    <x v="26"/>
    <n v="1"/>
    <x v="1"/>
    <x v="1"/>
    <d v="2025-09-07T00:00:00"/>
    <n v="5984.44"/>
    <n v="5094.5936065573751"/>
    <s v="DEV9804"/>
    <x v="3"/>
    <x v="2"/>
    <x v="4"/>
    <s v="France"/>
    <s v="Norway"/>
    <s v="Picked Up"/>
    <x v="1"/>
    <x v="1"/>
    <x v="0"/>
  </r>
  <r>
    <s v="T0356"/>
    <x v="26"/>
    <n v="1"/>
    <x v="1"/>
    <x v="0"/>
    <d v="2025-03-30T00:00:00"/>
    <n v="2678.16"/>
    <n v="5094.5936065573751"/>
    <s v="DEV7602"/>
    <x v="3"/>
    <x v="1"/>
    <x v="2"/>
    <s v="Bhutan"/>
    <s v="New Zealand"/>
    <s v="Picked Up"/>
    <x v="0"/>
    <x v="0"/>
    <x v="0"/>
  </r>
  <r>
    <s v="T0370"/>
    <x v="26"/>
    <n v="1"/>
    <x v="0"/>
    <x v="1"/>
    <d v="2025-06-25T00:00:00"/>
    <n v="587.91999999999996"/>
    <n v="5094.5936065573751"/>
    <s v="DEV8496"/>
    <x v="3"/>
    <x v="3"/>
    <x v="3"/>
    <s v="Norway"/>
    <s v="Zimbabwe"/>
    <s v="Delivered by Post"/>
    <x v="0"/>
    <x v="1"/>
    <x v="0"/>
  </r>
  <r>
    <s v="T0407"/>
    <x v="26"/>
    <n v="1"/>
    <x v="1"/>
    <x v="3"/>
    <d v="2025-01-09T00:00:00"/>
    <n v="3910.92"/>
    <n v="5094.5936065573751"/>
    <s v="DEV2938"/>
    <x v="2"/>
    <x v="0"/>
    <x v="3"/>
    <s v="Zimbabwe"/>
    <s v="Canada"/>
    <s v="Picked Up"/>
    <x v="0"/>
    <x v="0"/>
    <x v="0"/>
  </r>
  <r>
    <s v="T0450"/>
    <x v="26"/>
    <n v="1"/>
    <x v="0"/>
    <x v="1"/>
    <d v="2025-12-05T00:00:00"/>
    <n v="1714.82"/>
    <n v="5094.5936065573751"/>
    <s v="DEV2311"/>
    <x v="3"/>
    <x v="2"/>
    <x v="4"/>
    <s v="Zimbabwe"/>
    <s v="Zimbabwe"/>
    <s v="Picked Up"/>
    <x v="0"/>
    <x v="1"/>
    <x v="0"/>
  </r>
  <r>
    <s v="T0456"/>
    <x v="26"/>
    <n v="1"/>
    <x v="0"/>
    <x v="1"/>
    <d v="2025-11-27T00:00:00"/>
    <n v="8827.51"/>
    <n v="5094.5936065573751"/>
    <s v="DEV7199"/>
    <x v="3"/>
    <x v="3"/>
    <x v="2"/>
    <s v="Bhutan"/>
    <s v="Romania"/>
    <s v="Delivered by Post"/>
    <x v="1"/>
    <x v="1"/>
    <x v="0"/>
  </r>
  <r>
    <s v="T0493"/>
    <x v="26"/>
    <n v="1"/>
    <x v="1"/>
    <x v="1"/>
    <d v="2025-04-07T00:00:00"/>
    <n v="9613.9"/>
    <n v="5094.5936065573751"/>
    <s v="DEV3155"/>
    <x v="3"/>
    <x v="0"/>
    <x v="5"/>
    <s v="France"/>
    <s v="Romania"/>
    <s v="Picked Up"/>
    <x v="1"/>
    <x v="0"/>
    <x v="0"/>
  </r>
  <r>
    <s v="T0514"/>
    <x v="26"/>
    <n v="1"/>
    <x v="1"/>
    <x v="2"/>
    <d v="2025-06-04T00:00:00"/>
    <n v="913.64"/>
    <n v="5094.5936065573751"/>
    <s v="DEV9603"/>
    <x v="4"/>
    <x v="2"/>
    <x v="2"/>
    <s v="New Zealand"/>
    <s v="Canada"/>
    <s v="Picked Up"/>
    <x v="0"/>
    <x v="1"/>
    <x v="1"/>
  </r>
  <r>
    <s v="T0532"/>
    <x v="26"/>
    <n v="1"/>
    <x v="0"/>
    <x v="0"/>
    <d v="2025-10-18T00:00:00"/>
    <n v="9269.32"/>
    <n v="5094.5936065573751"/>
    <s v="DEV7038"/>
    <x v="1"/>
    <x v="1"/>
    <x v="3"/>
    <s v="Zimbabwe"/>
    <s v="Norway"/>
    <s v="Delivered by Post"/>
    <x v="1"/>
    <x v="0"/>
    <x v="0"/>
  </r>
  <r>
    <s v="T0542"/>
    <x v="26"/>
    <n v="1"/>
    <x v="1"/>
    <x v="3"/>
    <d v="2025-04-23T00:00:00"/>
    <n v="1022.1"/>
    <n v="5094.5936065573751"/>
    <s v="DEV5641"/>
    <x v="4"/>
    <x v="2"/>
    <x v="2"/>
    <s v="Canada"/>
    <s v="Zimbabwe"/>
    <s v="Picked Up"/>
    <x v="0"/>
    <x v="1"/>
    <x v="1"/>
  </r>
  <r>
    <s v="T0558"/>
    <x v="26"/>
    <n v="1"/>
    <x v="0"/>
    <x v="1"/>
    <d v="2025-09-13T00:00:00"/>
    <n v="2430.5700000000002"/>
    <n v="5094.5936065573751"/>
    <s v="DEV2442"/>
    <x v="4"/>
    <x v="3"/>
    <x v="4"/>
    <s v="Canada"/>
    <s v="Turkmenistan"/>
    <s v="Picked Up"/>
    <x v="0"/>
    <x v="1"/>
    <x v="1"/>
  </r>
  <r>
    <s v="T0566"/>
    <x v="26"/>
    <n v="1"/>
    <x v="0"/>
    <x v="2"/>
    <d v="2025-08-25T00:00:00"/>
    <n v="8576.89"/>
    <n v="5094.5936065573751"/>
    <s v="DEV1237"/>
    <x v="0"/>
    <x v="2"/>
    <x v="0"/>
    <s v="New Zealand"/>
    <s v="Bhutan"/>
    <s v="Picked Up"/>
    <x v="1"/>
    <x v="1"/>
    <x v="0"/>
  </r>
  <r>
    <s v="T0616"/>
    <x v="26"/>
    <n v="1"/>
    <x v="1"/>
    <x v="1"/>
    <d v="2025-01-10T00:00:00"/>
    <n v="4052.89"/>
    <n v="5094.5936065573751"/>
    <s v="DEV9457"/>
    <x v="3"/>
    <x v="1"/>
    <x v="0"/>
    <s v="Comoros"/>
    <s v="France"/>
    <s v="Delivered by Post"/>
    <x v="0"/>
    <x v="0"/>
    <x v="0"/>
  </r>
  <r>
    <s v="T0855"/>
    <x v="26"/>
    <n v="1"/>
    <x v="1"/>
    <x v="3"/>
    <d v="2025-02-28T00:00:00"/>
    <n v="4133.3500000000004"/>
    <n v="5094.5936065573751"/>
    <s v="DEV8517"/>
    <x v="0"/>
    <x v="3"/>
    <x v="0"/>
    <s v="Turkmenistan"/>
    <s v="Norway"/>
    <s v="Delivered by Post"/>
    <x v="0"/>
    <x v="1"/>
    <x v="0"/>
  </r>
  <r>
    <s v="T0999"/>
    <x v="26"/>
    <n v="1"/>
    <x v="0"/>
    <x v="1"/>
    <d v="2025-07-03T00:00:00"/>
    <n v="4781.18"/>
    <n v="5094.5936065573751"/>
    <s v="DEV3666"/>
    <x v="0"/>
    <x v="2"/>
    <x v="2"/>
    <s v="Comoros"/>
    <s v="Comoros"/>
    <s v="Delivered by Post"/>
    <x v="0"/>
    <x v="1"/>
    <x v="0"/>
  </r>
  <r>
    <s v="T1001"/>
    <x v="26"/>
    <n v="1"/>
    <x v="1"/>
    <x v="0"/>
    <d v="2025-03-25T00:00:00"/>
    <n v="4287.6499999999996"/>
    <n v="5094.5936065573751"/>
    <s v="DEV3726"/>
    <x v="4"/>
    <x v="2"/>
    <x v="5"/>
    <s v="Norway"/>
    <s v="Norway"/>
    <s v="Delivered by Post"/>
    <x v="0"/>
    <x v="1"/>
    <x v="0"/>
  </r>
  <r>
    <s v="T1018"/>
    <x v="26"/>
    <n v="1"/>
    <x v="0"/>
    <x v="3"/>
    <d v="2025-05-17T00:00:00"/>
    <n v="2111.0100000000002"/>
    <n v="5094.5936065573751"/>
    <s v="DEV6212"/>
    <x v="1"/>
    <x v="2"/>
    <x v="0"/>
    <s v="Canada"/>
    <s v="New Zealand"/>
    <s v="Picked Up"/>
    <x v="0"/>
    <x v="1"/>
    <x v="0"/>
  </r>
  <r>
    <s v="T1118"/>
    <x v="26"/>
    <n v="1"/>
    <x v="1"/>
    <x v="2"/>
    <d v="2025-05-23T00:00:00"/>
    <n v="6918.3"/>
    <n v="5094.5936065573751"/>
    <s v="DEV8998"/>
    <x v="4"/>
    <x v="0"/>
    <x v="3"/>
    <s v="Bhutan"/>
    <s v="Canada"/>
    <s v="Delivered by Post"/>
    <x v="1"/>
    <x v="0"/>
    <x v="1"/>
  </r>
  <r>
    <s v="T1153"/>
    <x v="26"/>
    <n v="1"/>
    <x v="1"/>
    <x v="2"/>
    <d v="2025-08-26T00:00:00"/>
    <n v="4676.2"/>
    <n v="5094.5936065573751"/>
    <s v="DEV3501"/>
    <x v="3"/>
    <x v="1"/>
    <x v="4"/>
    <s v="Canada"/>
    <s v="Norway"/>
    <s v="Delivered by Post"/>
    <x v="0"/>
    <x v="0"/>
    <x v="0"/>
  </r>
  <r>
    <s v="T1332"/>
    <x v="26"/>
    <n v="1"/>
    <x v="1"/>
    <x v="0"/>
    <d v="2025-01-28T00:00:00"/>
    <n v="508.9"/>
    <n v="5094.5936065573751"/>
    <s v="DEV7071"/>
    <x v="0"/>
    <x v="0"/>
    <x v="5"/>
    <s v="Canada"/>
    <s v="Turkmenistan"/>
    <s v="Delivered by Post"/>
    <x v="0"/>
    <x v="0"/>
    <x v="0"/>
  </r>
  <r>
    <s v="T1383"/>
    <x v="26"/>
    <n v="1"/>
    <x v="1"/>
    <x v="3"/>
    <d v="2025-01-13T00:00:00"/>
    <n v="2660.78"/>
    <n v="5094.5936065573751"/>
    <s v="DEV3704"/>
    <x v="0"/>
    <x v="1"/>
    <x v="5"/>
    <s v="Zimbabwe"/>
    <s v="Comoros"/>
    <s v="Picked Up"/>
    <x v="0"/>
    <x v="0"/>
    <x v="0"/>
  </r>
  <r>
    <s v="T1416"/>
    <x v="26"/>
    <n v="1"/>
    <x v="1"/>
    <x v="0"/>
    <d v="2025-02-04T00:00:00"/>
    <n v="4284.3599999999997"/>
    <n v="5094.5936065573751"/>
    <s v="DEV1828"/>
    <x v="0"/>
    <x v="1"/>
    <x v="3"/>
    <s v="Comoros"/>
    <s v="Zimbabwe"/>
    <s v="Delivered by Post"/>
    <x v="0"/>
    <x v="0"/>
    <x v="0"/>
  </r>
  <r>
    <s v="T1522"/>
    <x v="26"/>
    <n v="1"/>
    <x v="1"/>
    <x v="2"/>
    <d v="2025-10-13T00:00:00"/>
    <n v="4894.1400000000003"/>
    <n v="5094.5936065573751"/>
    <s v="DEV7843"/>
    <x v="0"/>
    <x v="1"/>
    <x v="2"/>
    <s v="Bhutan"/>
    <s v="Romania"/>
    <s v="Delivered by Post"/>
    <x v="0"/>
    <x v="0"/>
    <x v="0"/>
  </r>
  <r>
    <s v="T1567"/>
    <x v="26"/>
    <n v="1"/>
    <x v="0"/>
    <x v="0"/>
    <d v="2025-06-10T00:00:00"/>
    <n v="6760.49"/>
    <n v="5094.5936065573751"/>
    <s v="DEV5751"/>
    <x v="2"/>
    <x v="3"/>
    <x v="5"/>
    <s v="Bhutan"/>
    <s v="New Zealand"/>
    <s v="Delivered by Post"/>
    <x v="1"/>
    <x v="1"/>
    <x v="0"/>
  </r>
  <r>
    <s v="T1568"/>
    <x v="26"/>
    <n v="1"/>
    <x v="1"/>
    <x v="3"/>
    <d v="2025-05-30T00:00:00"/>
    <n v="6591.72"/>
    <n v="5094.5936065573751"/>
    <s v="DEV4627"/>
    <x v="4"/>
    <x v="3"/>
    <x v="2"/>
    <s v="France"/>
    <s v="Zimbabwe"/>
    <s v="Delivered by Post"/>
    <x v="1"/>
    <x v="1"/>
    <x v="1"/>
  </r>
  <r>
    <s v="T1612"/>
    <x v="26"/>
    <n v="1"/>
    <x v="1"/>
    <x v="0"/>
    <d v="2025-11-20T00:00:00"/>
    <n v="9006.2800000000007"/>
    <n v="5094.5936065573751"/>
    <s v="DEV7594"/>
    <x v="3"/>
    <x v="1"/>
    <x v="4"/>
    <s v="Zimbabwe"/>
    <s v="Romania"/>
    <s v="Delivered by Post"/>
    <x v="1"/>
    <x v="0"/>
    <x v="0"/>
  </r>
  <r>
    <s v="T1722"/>
    <x v="26"/>
    <n v="1"/>
    <x v="0"/>
    <x v="2"/>
    <d v="2025-03-21T00:00:00"/>
    <n v="1102.55"/>
    <n v="5094.5936065573751"/>
    <s v="DEV4322"/>
    <x v="2"/>
    <x v="1"/>
    <x v="1"/>
    <s v="Comoros"/>
    <s v="Comoros"/>
    <s v="Picked Up"/>
    <x v="0"/>
    <x v="1"/>
    <x v="0"/>
  </r>
  <r>
    <s v="T1790"/>
    <x v="26"/>
    <n v="1"/>
    <x v="1"/>
    <x v="1"/>
    <d v="2025-12-14T00:00:00"/>
    <n v="2601.25"/>
    <n v="5094.5936065573751"/>
    <s v="DEV4831"/>
    <x v="0"/>
    <x v="0"/>
    <x v="1"/>
    <s v="France"/>
    <s v="Zimbabwe"/>
    <s v="Delivered by Post"/>
    <x v="0"/>
    <x v="0"/>
    <x v="0"/>
  </r>
  <r>
    <s v="T1805"/>
    <x v="26"/>
    <n v="1"/>
    <x v="0"/>
    <x v="1"/>
    <d v="2025-01-16T00:00:00"/>
    <n v="6326.57"/>
    <n v="5094.5936065573751"/>
    <s v="DEV9837"/>
    <x v="1"/>
    <x v="0"/>
    <x v="4"/>
    <s v="Norway"/>
    <s v="Bhutan"/>
    <s v="Picked Up"/>
    <x v="1"/>
    <x v="0"/>
    <x v="0"/>
  </r>
  <r>
    <s v="T1811"/>
    <x v="26"/>
    <n v="1"/>
    <x v="0"/>
    <x v="1"/>
    <d v="2025-08-23T00:00:00"/>
    <n v="5986.87"/>
    <n v="5094.5936065573751"/>
    <s v="DEV5073"/>
    <x v="1"/>
    <x v="2"/>
    <x v="5"/>
    <s v="France"/>
    <s v="Comoros"/>
    <s v="Delivered by Post"/>
    <x v="1"/>
    <x v="1"/>
    <x v="0"/>
  </r>
  <r>
    <s v="T1815"/>
    <x v="26"/>
    <n v="1"/>
    <x v="0"/>
    <x v="1"/>
    <d v="2025-08-08T00:00:00"/>
    <n v="1565.09"/>
    <n v="5094.5936065573751"/>
    <s v="DEV7244"/>
    <x v="0"/>
    <x v="1"/>
    <x v="5"/>
    <s v="Turkmenistan"/>
    <s v="Bhutan"/>
    <s v="Delivered by Post"/>
    <x v="0"/>
    <x v="0"/>
    <x v="0"/>
  </r>
  <r>
    <s v="T1945"/>
    <x v="26"/>
    <n v="1"/>
    <x v="1"/>
    <x v="1"/>
    <d v="2025-05-08T00:00:00"/>
    <n v="3036.46"/>
    <n v="5094.5936065573751"/>
    <s v="DEV7076"/>
    <x v="3"/>
    <x v="3"/>
    <x v="4"/>
    <s v="France"/>
    <s v="Bhutan"/>
    <s v="Delivered by Post"/>
    <x v="0"/>
    <x v="1"/>
    <x v="0"/>
  </r>
  <r>
    <s v="T2052"/>
    <x v="26"/>
    <n v="1"/>
    <x v="0"/>
    <x v="0"/>
    <d v="2025-07-27T00:00:00"/>
    <n v="7347.79"/>
    <n v="5094.5936065573751"/>
    <s v="DEV7998"/>
    <x v="0"/>
    <x v="0"/>
    <x v="5"/>
    <s v="Comoros"/>
    <s v="Comoros"/>
    <s v="Delivered by Post"/>
    <x v="1"/>
    <x v="1"/>
    <x v="0"/>
  </r>
  <r>
    <s v="T2106"/>
    <x v="26"/>
    <n v="1"/>
    <x v="0"/>
    <x v="0"/>
    <d v="2025-07-11T00:00:00"/>
    <n v="7802.4"/>
    <n v="5094.5936065573751"/>
    <s v="DEV5841"/>
    <x v="2"/>
    <x v="2"/>
    <x v="2"/>
    <s v="Bhutan"/>
    <s v="Turkmenistan"/>
    <s v="Delivered by Post"/>
    <x v="1"/>
    <x v="1"/>
    <x v="0"/>
  </r>
  <r>
    <s v="T2125"/>
    <x v="26"/>
    <n v="1"/>
    <x v="0"/>
    <x v="1"/>
    <d v="2025-11-15T00:00:00"/>
    <n v="4034.58"/>
    <n v="5094.5936065573751"/>
    <s v="DEV4147"/>
    <x v="0"/>
    <x v="1"/>
    <x v="2"/>
    <s v="Comoros"/>
    <s v="Norway"/>
    <s v="Picked Up"/>
    <x v="0"/>
    <x v="0"/>
    <x v="0"/>
  </r>
  <r>
    <s v="T2127"/>
    <x v="26"/>
    <n v="1"/>
    <x v="0"/>
    <x v="2"/>
    <d v="2025-06-10T00:00:00"/>
    <n v="6753.41"/>
    <n v="5094.5936065573751"/>
    <s v="DEV1236"/>
    <x v="1"/>
    <x v="0"/>
    <x v="3"/>
    <s v="France"/>
    <s v="France"/>
    <s v="Delivered by Post"/>
    <x v="1"/>
    <x v="1"/>
    <x v="0"/>
  </r>
  <r>
    <s v="T2177"/>
    <x v="26"/>
    <n v="1"/>
    <x v="0"/>
    <x v="3"/>
    <d v="2025-06-16T00:00:00"/>
    <n v="7427.15"/>
    <n v="5094.5936065573751"/>
    <s v="DEV2960"/>
    <x v="2"/>
    <x v="2"/>
    <x v="5"/>
    <s v="Zimbabwe"/>
    <s v="Norway"/>
    <s v="Delivered by Post"/>
    <x v="1"/>
    <x v="1"/>
    <x v="0"/>
  </r>
  <r>
    <s v="T2188"/>
    <x v="26"/>
    <n v="1"/>
    <x v="0"/>
    <x v="0"/>
    <d v="2025-02-15T00:00:00"/>
    <n v="6489.19"/>
    <n v="5094.5936065573751"/>
    <s v="DEV4170"/>
    <x v="2"/>
    <x v="1"/>
    <x v="2"/>
    <s v="France"/>
    <s v="Comoros"/>
    <s v="Delivered by Post"/>
    <x v="1"/>
    <x v="0"/>
    <x v="0"/>
  </r>
  <r>
    <s v="T2253"/>
    <x v="26"/>
    <n v="1"/>
    <x v="0"/>
    <x v="2"/>
    <d v="2025-10-22T00:00:00"/>
    <n v="8327.9500000000007"/>
    <n v="5094.5936065573751"/>
    <s v="DEV7425"/>
    <x v="4"/>
    <x v="1"/>
    <x v="1"/>
    <s v="France"/>
    <s v="New Zealand"/>
    <s v="Delivered by Post"/>
    <x v="1"/>
    <x v="0"/>
    <x v="1"/>
  </r>
  <r>
    <s v="T2285"/>
    <x v="26"/>
    <n v="1"/>
    <x v="0"/>
    <x v="3"/>
    <d v="2025-11-19T00:00:00"/>
    <n v="7829.81"/>
    <n v="5094.5936065573751"/>
    <s v="DEV2642"/>
    <x v="4"/>
    <x v="2"/>
    <x v="4"/>
    <s v="Romania"/>
    <s v="Zimbabwe"/>
    <s v="Picked Up"/>
    <x v="1"/>
    <x v="1"/>
    <x v="1"/>
  </r>
  <r>
    <s v="T2319"/>
    <x v="26"/>
    <n v="1"/>
    <x v="1"/>
    <x v="1"/>
    <d v="2025-07-03T00:00:00"/>
    <n v="7558.22"/>
    <n v="5094.5936065573751"/>
    <s v="DEV9550"/>
    <x v="2"/>
    <x v="1"/>
    <x v="0"/>
    <s v="Norway"/>
    <s v="New Zealand"/>
    <s v="Picked Up"/>
    <x v="1"/>
    <x v="0"/>
    <x v="0"/>
  </r>
  <r>
    <s v="T2328"/>
    <x v="26"/>
    <n v="1"/>
    <x v="0"/>
    <x v="3"/>
    <d v="2025-02-02T00:00:00"/>
    <n v="5623.98"/>
    <n v="5094.5936065573751"/>
    <s v="DEV4611"/>
    <x v="4"/>
    <x v="0"/>
    <x v="1"/>
    <s v="Zimbabwe"/>
    <s v="Romania"/>
    <s v="Picked Up"/>
    <x v="1"/>
    <x v="0"/>
    <x v="1"/>
  </r>
  <r>
    <s v="T2372"/>
    <x v="26"/>
    <n v="1"/>
    <x v="0"/>
    <x v="1"/>
    <d v="2025-06-14T00:00:00"/>
    <n v="156.82"/>
    <n v="5094.5936065573751"/>
    <s v="DEV3515"/>
    <x v="2"/>
    <x v="2"/>
    <x v="2"/>
    <s v="Romania"/>
    <s v="France"/>
    <s v="Picked Up"/>
    <x v="0"/>
    <x v="1"/>
    <x v="0"/>
  </r>
  <r>
    <s v="T2385"/>
    <x v="26"/>
    <n v="1"/>
    <x v="1"/>
    <x v="3"/>
    <d v="2025-12-16T00:00:00"/>
    <n v="9717.08"/>
    <n v="5094.5936065573751"/>
    <s v="DEV2437"/>
    <x v="0"/>
    <x v="0"/>
    <x v="5"/>
    <s v="New Zealand"/>
    <s v="Turkmenistan"/>
    <s v="Delivered by Post"/>
    <x v="1"/>
    <x v="0"/>
    <x v="0"/>
  </r>
  <r>
    <s v="T2432"/>
    <x v="26"/>
    <n v="1"/>
    <x v="1"/>
    <x v="1"/>
    <d v="2025-03-26T00:00:00"/>
    <n v="6790.41"/>
    <n v="5094.5936065573751"/>
    <s v="DEV4977"/>
    <x v="4"/>
    <x v="1"/>
    <x v="2"/>
    <s v="Turkmenistan"/>
    <s v="Romania"/>
    <s v="Picked Up"/>
    <x v="1"/>
    <x v="0"/>
    <x v="1"/>
  </r>
  <r>
    <s v="T2487"/>
    <x v="26"/>
    <n v="1"/>
    <x v="1"/>
    <x v="2"/>
    <d v="2025-12-31T00:00:00"/>
    <n v="4239.8599999999997"/>
    <n v="5094.5936065573751"/>
    <s v="DEV2609"/>
    <x v="0"/>
    <x v="2"/>
    <x v="4"/>
    <s v="Zimbabwe"/>
    <s v="Norway"/>
    <s v="Picked Up"/>
    <x v="0"/>
    <x v="1"/>
    <x v="0"/>
  </r>
  <r>
    <s v="T2505"/>
    <x v="26"/>
    <n v="1"/>
    <x v="1"/>
    <x v="2"/>
    <d v="2025-02-19T00:00:00"/>
    <n v="8858.34"/>
    <n v="5094.5936065573751"/>
    <s v="DEV6597"/>
    <x v="2"/>
    <x v="2"/>
    <x v="3"/>
    <s v="Zimbabwe"/>
    <s v="Turkmenistan"/>
    <s v="Delivered by Post"/>
    <x v="1"/>
    <x v="1"/>
    <x v="0"/>
  </r>
  <r>
    <s v="T2557"/>
    <x v="26"/>
    <n v="1"/>
    <x v="0"/>
    <x v="1"/>
    <d v="2025-01-31T00:00:00"/>
    <n v="7900.48"/>
    <n v="5094.5936065573751"/>
    <s v="DEV7071"/>
    <x v="1"/>
    <x v="1"/>
    <x v="1"/>
    <s v="Comoros"/>
    <s v="Zimbabwe"/>
    <s v="Picked Up"/>
    <x v="1"/>
    <x v="0"/>
    <x v="0"/>
  </r>
  <r>
    <s v="T2668"/>
    <x v="26"/>
    <n v="1"/>
    <x v="1"/>
    <x v="0"/>
    <d v="2025-05-23T00:00:00"/>
    <n v="7116.66"/>
    <n v="5094.5936065573751"/>
    <s v="DEV4394"/>
    <x v="3"/>
    <x v="0"/>
    <x v="2"/>
    <s v="Bhutan"/>
    <s v="Canada"/>
    <s v="Picked Up"/>
    <x v="1"/>
    <x v="0"/>
    <x v="0"/>
  </r>
  <r>
    <s v="T2675"/>
    <x v="26"/>
    <n v="1"/>
    <x v="1"/>
    <x v="3"/>
    <d v="2025-06-23T00:00:00"/>
    <n v="7640.21"/>
    <n v="5094.5936065573751"/>
    <s v="DEV7897"/>
    <x v="0"/>
    <x v="2"/>
    <x v="2"/>
    <s v="Romania"/>
    <s v="Bhutan"/>
    <s v="Delivered by Post"/>
    <x v="1"/>
    <x v="1"/>
    <x v="0"/>
  </r>
  <r>
    <s v="T2682"/>
    <x v="26"/>
    <n v="1"/>
    <x v="1"/>
    <x v="2"/>
    <d v="2025-12-29T00:00:00"/>
    <n v="2070.67"/>
    <n v="5094.5936065573751"/>
    <s v="DEV5958"/>
    <x v="3"/>
    <x v="1"/>
    <x v="3"/>
    <s v="Canada"/>
    <s v="Canada"/>
    <s v="Delivered by Post"/>
    <x v="0"/>
    <x v="1"/>
    <x v="0"/>
  </r>
  <r>
    <s v="T2786"/>
    <x v="26"/>
    <n v="1"/>
    <x v="0"/>
    <x v="3"/>
    <d v="2025-01-21T00:00:00"/>
    <n v="9185.31"/>
    <n v="5094.5936065573751"/>
    <s v="DEV7380"/>
    <x v="4"/>
    <x v="3"/>
    <x v="2"/>
    <s v="Zimbabwe"/>
    <s v="Norway"/>
    <s v="Delivered by Post"/>
    <x v="1"/>
    <x v="1"/>
    <x v="1"/>
  </r>
  <r>
    <s v="T2810"/>
    <x v="26"/>
    <n v="1"/>
    <x v="0"/>
    <x v="0"/>
    <d v="2025-04-14T00:00:00"/>
    <n v="6550.97"/>
    <n v="5094.5936065573751"/>
    <s v="DEV2198"/>
    <x v="3"/>
    <x v="1"/>
    <x v="1"/>
    <s v="Romania"/>
    <s v="Norway"/>
    <s v="Delivered by Post"/>
    <x v="1"/>
    <x v="0"/>
    <x v="0"/>
  </r>
  <r>
    <s v="T0052"/>
    <x v="27"/>
    <n v="1"/>
    <x v="0"/>
    <x v="3"/>
    <d v="2025-02-25T23:40:00"/>
    <n v="6341.68"/>
    <n v="5193.9638095238097"/>
    <s v="DEV9411"/>
    <x v="0"/>
    <x v="1"/>
    <x v="1"/>
    <s v="Portugal"/>
    <s v="Cape Verde"/>
    <s v="Delivered by Post"/>
    <x v="1"/>
    <x v="0"/>
    <x v="0"/>
  </r>
  <r>
    <s v="T0084"/>
    <x v="27"/>
    <n v="1"/>
    <x v="1"/>
    <x v="1"/>
    <d v="2025-05-09T12:35:00"/>
    <n v="2205.0500000000002"/>
    <n v="5193.9638095238097"/>
    <s v="DEV5882"/>
    <x v="1"/>
    <x v="3"/>
    <x v="0"/>
    <s v="Portugal"/>
    <s v="Gabon"/>
    <s v="Picked Up"/>
    <x v="0"/>
    <x v="1"/>
    <x v="0"/>
  </r>
  <r>
    <s v="T0151"/>
    <x v="27"/>
    <n v="1"/>
    <x v="1"/>
    <x v="2"/>
    <d v="2025-05-19T00:00:00"/>
    <n v="9966.48"/>
    <n v="5193.9638095238097"/>
    <s v="DEV5118"/>
    <x v="3"/>
    <x v="0"/>
    <x v="3"/>
    <s v="Romania"/>
    <s v="New Zealand"/>
    <s v="Picked Up"/>
    <x v="1"/>
    <x v="0"/>
    <x v="0"/>
  </r>
  <r>
    <s v="T0158"/>
    <x v="27"/>
    <n v="1"/>
    <x v="0"/>
    <x v="3"/>
    <d v="2025-03-14T00:00:00"/>
    <n v="1192.02"/>
    <n v="5193.9638095238097"/>
    <s v="DEV1977"/>
    <x v="3"/>
    <x v="3"/>
    <x v="5"/>
    <s v="France"/>
    <s v="Comoros"/>
    <s v="Picked Up"/>
    <x v="0"/>
    <x v="1"/>
    <x v="0"/>
  </r>
  <r>
    <s v="T0190"/>
    <x v="27"/>
    <n v="1"/>
    <x v="0"/>
    <x v="0"/>
    <d v="2025-10-28T00:00:00"/>
    <n v="1010.82"/>
    <n v="5193.9638095238097"/>
    <s v="DEV6400"/>
    <x v="1"/>
    <x v="1"/>
    <x v="1"/>
    <s v="Bhutan"/>
    <s v="Canada"/>
    <s v="Delivered by Post"/>
    <x v="0"/>
    <x v="0"/>
    <x v="0"/>
  </r>
  <r>
    <s v="T0238"/>
    <x v="27"/>
    <n v="1"/>
    <x v="1"/>
    <x v="2"/>
    <d v="2025-07-07T00:00:00"/>
    <n v="1382.65"/>
    <n v="5193.9638095238097"/>
    <s v="DEV7563"/>
    <x v="1"/>
    <x v="2"/>
    <x v="1"/>
    <s v="Turkmenistan"/>
    <s v="France"/>
    <s v="Picked Up"/>
    <x v="0"/>
    <x v="1"/>
    <x v="0"/>
  </r>
  <r>
    <s v="T0483"/>
    <x v="27"/>
    <n v="1"/>
    <x v="1"/>
    <x v="0"/>
    <d v="2025-06-06T00:00:00"/>
    <n v="3684.41"/>
    <n v="5193.9638095238097"/>
    <s v="DEV6729"/>
    <x v="2"/>
    <x v="1"/>
    <x v="5"/>
    <s v="Norway"/>
    <s v="Comoros"/>
    <s v="Picked Up"/>
    <x v="0"/>
    <x v="0"/>
    <x v="0"/>
  </r>
  <r>
    <s v="T0604"/>
    <x v="27"/>
    <n v="1"/>
    <x v="1"/>
    <x v="2"/>
    <d v="2025-07-02T00:00:00"/>
    <n v="7265.74"/>
    <n v="5193.9638095238097"/>
    <s v="DEV7626"/>
    <x v="0"/>
    <x v="3"/>
    <x v="0"/>
    <s v="Comoros"/>
    <s v="Zimbabwe"/>
    <s v="Picked Up"/>
    <x v="1"/>
    <x v="1"/>
    <x v="0"/>
  </r>
  <r>
    <s v="T0667"/>
    <x v="27"/>
    <n v="1"/>
    <x v="0"/>
    <x v="0"/>
    <d v="2025-11-20T00:00:00"/>
    <n v="661.61"/>
    <n v="5193.9638095238097"/>
    <s v="DEV9516"/>
    <x v="4"/>
    <x v="1"/>
    <x v="4"/>
    <s v="Turkmenistan"/>
    <s v="France"/>
    <s v="Delivered by Post"/>
    <x v="0"/>
    <x v="0"/>
    <x v="1"/>
  </r>
  <r>
    <s v="T0697"/>
    <x v="27"/>
    <n v="1"/>
    <x v="0"/>
    <x v="3"/>
    <d v="2025-08-10T00:00:00"/>
    <n v="6427.61"/>
    <n v="5193.9638095238097"/>
    <s v="DEV5489"/>
    <x v="1"/>
    <x v="1"/>
    <x v="4"/>
    <s v="New Zealand"/>
    <s v="Turkmenistan"/>
    <s v="Picked Up"/>
    <x v="1"/>
    <x v="0"/>
    <x v="0"/>
  </r>
  <r>
    <s v="T0748"/>
    <x v="27"/>
    <n v="1"/>
    <x v="0"/>
    <x v="2"/>
    <d v="2025-01-11T00:00:00"/>
    <n v="5077.66"/>
    <n v="5193.9638095238097"/>
    <s v="DEV8002"/>
    <x v="1"/>
    <x v="3"/>
    <x v="5"/>
    <s v="Turkmenistan"/>
    <s v="Norway"/>
    <s v="Picked Up"/>
    <x v="0"/>
    <x v="1"/>
    <x v="0"/>
  </r>
  <r>
    <s v="T0752"/>
    <x v="27"/>
    <n v="1"/>
    <x v="0"/>
    <x v="3"/>
    <d v="2025-11-20T00:00:00"/>
    <n v="7369.86"/>
    <n v="5193.9638095238097"/>
    <s v="DEV1462"/>
    <x v="3"/>
    <x v="3"/>
    <x v="5"/>
    <s v="Comoros"/>
    <s v="Norway"/>
    <s v="Delivered by Post"/>
    <x v="1"/>
    <x v="1"/>
    <x v="0"/>
  </r>
  <r>
    <s v="T0754"/>
    <x v="27"/>
    <n v="1"/>
    <x v="1"/>
    <x v="3"/>
    <d v="2025-07-30T00:00:00"/>
    <n v="2566.0700000000002"/>
    <n v="5193.9638095238097"/>
    <s v="DEV2456"/>
    <x v="1"/>
    <x v="3"/>
    <x v="0"/>
    <s v="France"/>
    <s v="Romania"/>
    <s v="Delivered by Post"/>
    <x v="0"/>
    <x v="1"/>
    <x v="0"/>
  </r>
  <r>
    <s v="T0768"/>
    <x v="27"/>
    <n v="1"/>
    <x v="0"/>
    <x v="1"/>
    <d v="2025-02-24T00:00:00"/>
    <n v="3230.45"/>
    <n v="5193.9638095238097"/>
    <s v="DEV1150"/>
    <x v="2"/>
    <x v="1"/>
    <x v="1"/>
    <s v="Norway"/>
    <s v="France"/>
    <s v="Picked Up"/>
    <x v="0"/>
    <x v="0"/>
    <x v="0"/>
  </r>
  <r>
    <s v="T0781"/>
    <x v="27"/>
    <n v="1"/>
    <x v="0"/>
    <x v="3"/>
    <d v="2025-01-24T00:00:00"/>
    <n v="9772.18"/>
    <n v="5193.9638095238097"/>
    <s v="DEV5807"/>
    <x v="2"/>
    <x v="1"/>
    <x v="0"/>
    <s v="Comoros"/>
    <s v="New Zealand"/>
    <s v="Delivered by Post"/>
    <x v="1"/>
    <x v="0"/>
    <x v="0"/>
  </r>
  <r>
    <s v="T0805"/>
    <x v="27"/>
    <n v="1"/>
    <x v="0"/>
    <x v="3"/>
    <d v="2025-02-26T00:00:00"/>
    <n v="4817.99"/>
    <n v="5193.9638095238097"/>
    <s v="DEV6956"/>
    <x v="4"/>
    <x v="3"/>
    <x v="3"/>
    <s v="Bhutan"/>
    <s v="Romania"/>
    <s v="Delivered by Post"/>
    <x v="0"/>
    <x v="1"/>
    <x v="1"/>
  </r>
  <r>
    <s v="T0901"/>
    <x v="27"/>
    <n v="1"/>
    <x v="1"/>
    <x v="3"/>
    <d v="2025-11-02T00:00:00"/>
    <n v="4021.18"/>
    <n v="5193.9638095238097"/>
    <s v="DEV3839"/>
    <x v="2"/>
    <x v="1"/>
    <x v="3"/>
    <s v="New Zealand"/>
    <s v="Norway"/>
    <s v="Picked Up"/>
    <x v="0"/>
    <x v="0"/>
    <x v="0"/>
  </r>
  <r>
    <s v="T0911"/>
    <x v="27"/>
    <n v="1"/>
    <x v="0"/>
    <x v="2"/>
    <d v="2025-01-06T00:00:00"/>
    <n v="1524.26"/>
    <n v="5193.9638095238097"/>
    <s v="DEV5960"/>
    <x v="1"/>
    <x v="1"/>
    <x v="2"/>
    <s v="New Zealand"/>
    <s v="Norway"/>
    <s v="Delivered by Post"/>
    <x v="0"/>
    <x v="0"/>
    <x v="0"/>
  </r>
  <r>
    <s v="T0926"/>
    <x v="27"/>
    <n v="1"/>
    <x v="0"/>
    <x v="2"/>
    <d v="2025-03-02T00:00:00"/>
    <n v="7028.31"/>
    <n v="5193.9638095238097"/>
    <s v="DEV7024"/>
    <x v="4"/>
    <x v="2"/>
    <x v="1"/>
    <s v="Bhutan"/>
    <s v="Canada"/>
    <s v="Picked Up"/>
    <x v="1"/>
    <x v="1"/>
    <x v="1"/>
  </r>
  <r>
    <s v="T0949"/>
    <x v="27"/>
    <n v="1"/>
    <x v="0"/>
    <x v="3"/>
    <d v="2025-03-02T00:00:00"/>
    <n v="3575.96"/>
    <n v="5193.9638095238097"/>
    <s v="DEV6515"/>
    <x v="2"/>
    <x v="0"/>
    <x v="3"/>
    <s v="Canada"/>
    <s v="Zimbabwe"/>
    <s v="Delivered by Post"/>
    <x v="0"/>
    <x v="0"/>
    <x v="0"/>
  </r>
  <r>
    <s v="T0984"/>
    <x v="27"/>
    <n v="1"/>
    <x v="0"/>
    <x v="1"/>
    <d v="2025-10-14T00:00:00"/>
    <n v="6665.18"/>
    <n v="5193.9638095238097"/>
    <s v="DEV7181"/>
    <x v="0"/>
    <x v="1"/>
    <x v="1"/>
    <s v="France"/>
    <s v="Turkmenistan"/>
    <s v="Delivered by Post"/>
    <x v="1"/>
    <x v="0"/>
    <x v="0"/>
  </r>
  <r>
    <s v="T1156"/>
    <x v="27"/>
    <n v="1"/>
    <x v="1"/>
    <x v="0"/>
    <d v="2025-06-30T00:00:00"/>
    <n v="4379.32"/>
    <n v="5193.9638095238097"/>
    <s v="DEV2096"/>
    <x v="4"/>
    <x v="1"/>
    <x v="5"/>
    <s v="France"/>
    <s v="Norway"/>
    <s v="Picked Up"/>
    <x v="0"/>
    <x v="0"/>
    <x v="1"/>
  </r>
  <r>
    <s v="T1278"/>
    <x v="27"/>
    <n v="1"/>
    <x v="0"/>
    <x v="3"/>
    <d v="2025-06-26T00:00:00"/>
    <n v="2149.52"/>
    <n v="5193.9638095238097"/>
    <s v="DEV7627"/>
    <x v="2"/>
    <x v="1"/>
    <x v="5"/>
    <s v="France"/>
    <s v="France"/>
    <s v="Picked Up"/>
    <x v="0"/>
    <x v="1"/>
    <x v="0"/>
  </r>
  <r>
    <s v="T1291"/>
    <x v="27"/>
    <n v="1"/>
    <x v="0"/>
    <x v="0"/>
    <d v="2025-10-17T00:00:00"/>
    <n v="9577.14"/>
    <n v="5193.9638095238097"/>
    <s v="DEV4789"/>
    <x v="0"/>
    <x v="0"/>
    <x v="0"/>
    <s v="Comoros"/>
    <s v="Bhutan"/>
    <s v="Picked Up"/>
    <x v="1"/>
    <x v="0"/>
    <x v="0"/>
  </r>
  <r>
    <s v="T1330"/>
    <x v="27"/>
    <n v="1"/>
    <x v="1"/>
    <x v="2"/>
    <d v="2025-10-15T00:00:00"/>
    <n v="5741.81"/>
    <n v="5193.9638095238097"/>
    <s v="DEV3336"/>
    <x v="2"/>
    <x v="2"/>
    <x v="5"/>
    <s v="France"/>
    <s v="France"/>
    <s v="Picked Up"/>
    <x v="1"/>
    <x v="1"/>
    <x v="0"/>
  </r>
  <r>
    <s v="T1409"/>
    <x v="27"/>
    <n v="1"/>
    <x v="0"/>
    <x v="0"/>
    <d v="2025-09-21T00:00:00"/>
    <n v="77.180000000000007"/>
    <n v="5193.9638095238097"/>
    <s v="DEV1634"/>
    <x v="3"/>
    <x v="0"/>
    <x v="3"/>
    <s v="Bhutan"/>
    <s v="Turkmenistan"/>
    <s v="Picked Up"/>
    <x v="0"/>
    <x v="0"/>
    <x v="0"/>
  </r>
  <r>
    <s v="T1433"/>
    <x v="27"/>
    <n v="1"/>
    <x v="0"/>
    <x v="3"/>
    <d v="2025-02-07T00:00:00"/>
    <n v="269.45"/>
    <n v="5193.9638095238097"/>
    <s v="DEV2850"/>
    <x v="2"/>
    <x v="2"/>
    <x v="1"/>
    <s v="Norway"/>
    <s v="Romania"/>
    <s v="Delivered by Post"/>
    <x v="0"/>
    <x v="1"/>
    <x v="0"/>
  </r>
  <r>
    <s v="T1499"/>
    <x v="27"/>
    <n v="1"/>
    <x v="1"/>
    <x v="0"/>
    <d v="2025-02-06T00:00:00"/>
    <n v="503.79"/>
    <n v="5193.9638095238097"/>
    <s v="DEV5913"/>
    <x v="2"/>
    <x v="0"/>
    <x v="0"/>
    <s v="New Zealand"/>
    <s v="Norway"/>
    <s v="Delivered by Post"/>
    <x v="0"/>
    <x v="0"/>
    <x v="0"/>
  </r>
  <r>
    <s v="T1524"/>
    <x v="27"/>
    <n v="1"/>
    <x v="1"/>
    <x v="1"/>
    <d v="2025-04-26T00:00:00"/>
    <n v="3945.59"/>
    <n v="5193.9638095238097"/>
    <s v="DEV7829"/>
    <x v="4"/>
    <x v="0"/>
    <x v="1"/>
    <s v="Bhutan"/>
    <s v="Norway"/>
    <s v="Delivered by Post"/>
    <x v="0"/>
    <x v="0"/>
    <x v="1"/>
  </r>
  <r>
    <s v="T1583"/>
    <x v="27"/>
    <n v="1"/>
    <x v="1"/>
    <x v="3"/>
    <d v="2025-05-08T00:00:00"/>
    <n v="1462.84"/>
    <n v="5193.9638095238097"/>
    <s v="DEV1928"/>
    <x v="3"/>
    <x v="3"/>
    <x v="3"/>
    <s v="New Zealand"/>
    <s v="Romania"/>
    <s v="Picked Up"/>
    <x v="0"/>
    <x v="1"/>
    <x v="0"/>
  </r>
  <r>
    <s v="T1596"/>
    <x v="27"/>
    <n v="1"/>
    <x v="1"/>
    <x v="2"/>
    <d v="2025-04-30T00:00:00"/>
    <n v="6364.88"/>
    <n v="5193.9638095238097"/>
    <s v="DEV4030"/>
    <x v="0"/>
    <x v="1"/>
    <x v="4"/>
    <s v="New Zealand"/>
    <s v="Norway"/>
    <s v="Picked Up"/>
    <x v="1"/>
    <x v="0"/>
    <x v="0"/>
  </r>
  <r>
    <s v="T1615"/>
    <x v="27"/>
    <n v="1"/>
    <x v="0"/>
    <x v="0"/>
    <d v="2025-11-22T00:00:00"/>
    <n v="7567.4"/>
    <n v="5193.9638095238097"/>
    <s v="DEV9563"/>
    <x v="1"/>
    <x v="3"/>
    <x v="0"/>
    <s v="Zimbabwe"/>
    <s v="Norway"/>
    <s v="Delivered by Post"/>
    <x v="1"/>
    <x v="1"/>
    <x v="0"/>
  </r>
  <r>
    <s v="T1745"/>
    <x v="27"/>
    <n v="1"/>
    <x v="0"/>
    <x v="2"/>
    <d v="2025-03-26T00:00:00"/>
    <n v="6087.14"/>
    <n v="5193.9638095238097"/>
    <s v="DEV5825"/>
    <x v="3"/>
    <x v="3"/>
    <x v="2"/>
    <s v="France"/>
    <s v="France"/>
    <s v="Delivered by Post"/>
    <x v="1"/>
    <x v="1"/>
    <x v="0"/>
  </r>
  <r>
    <s v="T2030"/>
    <x v="27"/>
    <n v="1"/>
    <x v="0"/>
    <x v="3"/>
    <d v="2025-06-12T00:00:00"/>
    <n v="5945.64"/>
    <n v="5193.9638095238097"/>
    <s v="DEV7078"/>
    <x v="1"/>
    <x v="2"/>
    <x v="1"/>
    <s v="Norway"/>
    <s v="Turkmenistan"/>
    <s v="Delivered by Post"/>
    <x v="1"/>
    <x v="1"/>
    <x v="0"/>
  </r>
  <r>
    <s v="T2080"/>
    <x v="27"/>
    <n v="1"/>
    <x v="0"/>
    <x v="2"/>
    <d v="2025-05-12T00:00:00"/>
    <n v="7205.46"/>
    <n v="5193.9638095238097"/>
    <s v="DEV3847"/>
    <x v="0"/>
    <x v="0"/>
    <x v="5"/>
    <s v="France"/>
    <s v="Turkmenistan"/>
    <s v="Picked Up"/>
    <x v="1"/>
    <x v="0"/>
    <x v="0"/>
  </r>
  <r>
    <s v="T2089"/>
    <x v="27"/>
    <n v="1"/>
    <x v="0"/>
    <x v="2"/>
    <d v="2025-04-28T00:00:00"/>
    <n v="1455.48"/>
    <n v="5193.9638095238097"/>
    <s v="DEV3549"/>
    <x v="3"/>
    <x v="0"/>
    <x v="5"/>
    <s v="Turkmenistan"/>
    <s v="Romania"/>
    <s v="Delivered by Post"/>
    <x v="0"/>
    <x v="0"/>
    <x v="0"/>
  </r>
  <r>
    <s v="T2117"/>
    <x v="27"/>
    <n v="1"/>
    <x v="0"/>
    <x v="0"/>
    <d v="2025-07-19T00:00:00"/>
    <n v="9911.5300000000007"/>
    <n v="5193.9638095238097"/>
    <s v="DEV4186"/>
    <x v="0"/>
    <x v="0"/>
    <x v="0"/>
    <s v="Zimbabwe"/>
    <s v="Comoros"/>
    <s v="Delivered by Post"/>
    <x v="1"/>
    <x v="0"/>
    <x v="0"/>
  </r>
  <r>
    <s v="T2133"/>
    <x v="27"/>
    <n v="1"/>
    <x v="1"/>
    <x v="1"/>
    <d v="2025-03-27T00:00:00"/>
    <n v="5851.71"/>
    <n v="5193.9638095238097"/>
    <s v="DEV6684"/>
    <x v="3"/>
    <x v="2"/>
    <x v="5"/>
    <s v="Bhutan"/>
    <s v="Zimbabwe"/>
    <s v="Delivered by Post"/>
    <x v="1"/>
    <x v="1"/>
    <x v="0"/>
  </r>
  <r>
    <s v="T2143"/>
    <x v="27"/>
    <n v="1"/>
    <x v="1"/>
    <x v="0"/>
    <d v="2025-10-05T00:00:00"/>
    <n v="7292.56"/>
    <n v="5193.9638095238097"/>
    <s v="DEV9276"/>
    <x v="0"/>
    <x v="0"/>
    <x v="3"/>
    <s v="Zimbabwe"/>
    <s v="Bhutan"/>
    <s v="Delivered by Post"/>
    <x v="1"/>
    <x v="0"/>
    <x v="0"/>
  </r>
  <r>
    <s v="T2187"/>
    <x v="27"/>
    <n v="1"/>
    <x v="1"/>
    <x v="2"/>
    <d v="2025-07-15T00:00:00"/>
    <n v="8062.33"/>
    <n v="5193.9638095238097"/>
    <s v="DEV7972"/>
    <x v="2"/>
    <x v="2"/>
    <x v="2"/>
    <s v="Romania"/>
    <s v="Bhutan"/>
    <s v="Picked Up"/>
    <x v="1"/>
    <x v="1"/>
    <x v="0"/>
  </r>
  <r>
    <s v="T2194"/>
    <x v="27"/>
    <n v="1"/>
    <x v="1"/>
    <x v="2"/>
    <d v="2025-07-29T00:00:00"/>
    <n v="5375.02"/>
    <n v="5193.9638095238097"/>
    <s v="DEV9113"/>
    <x v="2"/>
    <x v="0"/>
    <x v="5"/>
    <s v="Bhutan"/>
    <s v="France"/>
    <s v="Delivered by Post"/>
    <x v="1"/>
    <x v="0"/>
    <x v="0"/>
  </r>
  <r>
    <s v="T2224"/>
    <x v="27"/>
    <n v="1"/>
    <x v="1"/>
    <x v="2"/>
    <d v="2025-01-24T00:00:00"/>
    <n v="4893.7299999999996"/>
    <n v="5193.9638095238097"/>
    <s v="DEV1946"/>
    <x v="0"/>
    <x v="2"/>
    <x v="0"/>
    <s v="Turkmenistan"/>
    <s v="Turkmenistan"/>
    <s v="Picked Up"/>
    <x v="0"/>
    <x v="1"/>
    <x v="0"/>
  </r>
  <r>
    <s v="T2229"/>
    <x v="27"/>
    <n v="1"/>
    <x v="0"/>
    <x v="1"/>
    <d v="2025-04-11T00:00:00"/>
    <n v="9392.7900000000009"/>
    <n v="5193.9638095238097"/>
    <s v="DEV2237"/>
    <x v="4"/>
    <x v="2"/>
    <x v="1"/>
    <s v="Norway"/>
    <s v="Bhutan"/>
    <s v="Picked Up"/>
    <x v="1"/>
    <x v="1"/>
    <x v="1"/>
  </r>
  <r>
    <s v="T2289"/>
    <x v="27"/>
    <n v="1"/>
    <x v="1"/>
    <x v="2"/>
    <d v="2025-05-01T00:00:00"/>
    <n v="7703.02"/>
    <n v="5193.9638095238097"/>
    <s v="DEV6315"/>
    <x v="1"/>
    <x v="0"/>
    <x v="3"/>
    <s v="Romania"/>
    <s v="Norway"/>
    <s v="Picked Up"/>
    <x v="1"/>
    <x v="0"/>
    <x v="0"/>
  </r>
  <r>
    <s v="T2416"/>
    <x v="27"/>
    <n v="1"/>
    <x v="1"/>
    <x v="1"/>
    <d v="2025-10-07T00:00:00"/>
    <n v="909.79"/>
    <n v="5193.9638095238097"/>
    <s v="DEV3540"/>
    <x v="0"/>
    <x v="0"/>
    <x v="5"/>
    <s v="Norway"/>
    <s v="Turkmenistan"/>
    <s v="Picked Up"/>
    <x v="0"/>
    <x v="0"/>
    <x v="0"/>
  </r>
  <r>
    <s v="T2437"/>
    <x v="27"/>
    <n v="1"/>
    <x v="1"/>
    <x v="2"/>
    <d v="2025-08-29T00:00:00"/>
    <n v="6215.75"/>
    <n v="5193.9638095238097"/>
    <s v="DEV5803"/>
    <x v="4"/>
    <x v="3"/>
    <x v="5"/>
    <s v="France"/>
    <s v="Comoros"/>
    <s v="Delivered by Post"/>
    <x v="1"/>
    <x v="1"/>
    <x v="1"/>
  </r>
  <r>
    <s v="T2460"/>
    <x v="27"/>
    <n v="1"/>
    <x v="0"/>
    <x v="0"/>
    <d v="2025-10-04T00:00:00"/>
    <n v="5519.75"/>
    <n v="5193.9638095238097"/>
    <s v="DEV1277"/>
    <x v="1"/>
    <x v="3"/>
    <x v="0"/>
    <s v="Romania"/>
    <s v="Comoros"/>
    <s v="Delivered by Post"/>
    <x v="1"/>
    <x v="1"/>
    <x v="0"/>
  </r>
  <r>
    <s v="T2530"/>
    <x v="27"/>
    <n v="1"/>
    <x v="1"/>
    <x v="0"/>
    <d v="2025-07-26T00:00:00"/>
    <n v="8775.66"/>
    <n v="5193.9638095238097"/>
    <s v="DEV8499"/>
    <x v="3"/>
    <x v="3"/>
    <x v="4"/>
    <s v="Bhutan"/>
    <s v="Comoros"/>
    <s v="Picked Up"/>
    <x v="1"/>
    <x v="1"/>
    <x v="0"/>
  </r>
  <r>
    <s v="T2534"/>
    <x v="27"/>
    <n v="1"/>
    <x v="0"/>
    <x v="0"/>
    <d v="2025-08-29T00:00:00"/>
    <n v="7798.02"/>
    <n v="5193.9638095238097"/>
    <s v="DEV9413"/>
    <x v="0"/>
    <x v="2"/>
    <x v="2"/>
    <s v="Canada"/>
    <s v="Norway"/>
    <s v="Picked Up"/>
    <x v="1"/>
    <x v="1"/>
    <x v="0"/>
  </r>
  <r>
    <s v="T2539"/>
    <x v="27"/>
    <n v="1"/>
    <x v="0"/>
    <x v="1"/>
    <d v="2025-09-11T00:00:00"/>
    <n v="7959.85"/>
    <n v="5193.9638095238097"/>
    <s v="DEV7796"/>
    <x v="4"/>
    <x v="3"/>
    <x v="3"/>
    <s v="Turkmenistan"/>
    <s v="Zimbabwe"/>
    <s v="Picked Up"/>
    <x v="1"/>
    <x v="1"/>
    <x v="1"/>
  </r>
  <r>
    <s v="T2563"/>
    <x v="27"/>
    <n v="1"/>
    <x v="1"/>
    <x v="0"/>
    <d v="2025-07-26T00:00:00"/>
    <n v="5661.03"/>
    <n v="5193.9638095238097"/>
    <s v="DEV6446"/>
    <x v="2"/>
    <x v="0"/>
    <x v="4"/>
    <s v="Norway"/>
    <s v="Comoros"/>
    <s v="Delivered by Post"/>
    <x v="1"/>
    <x v="0"/>
    <x v="0"/>
  </r>
  <r>
    <s v="T2576"/>
    <x v="27"/>
    <n v="1"/>
    <x v="0"/>
    <x v="1"/>
    <d v="2025-09-09T00:00:00"/>
    <n v="9309.07"/>
    <n v="5193.9638095238097"/>
    <s v="DEV9471"/>
    <x v="1"/>
    <x v="0"/>
    <x v="3"/>
    <s v="Canada"/>
    <s v="Canada"/>
    <s v="Delivered by Post"/>
    <x v="1"/>
    <x v="1"/>
    <x v="0"/>
  </r>
  <r>
    <s v="T2599"/>
    <x v="27"/>
    <n v="1"/>
    <x v="1"/>
    <x v="1"/>
    <d v="2025-07-04T00:00:00"/>
    <n v="5220.68"/>
    <n v="5193.9638095238097"/>
    <s v="DEV7965"/>
    <x v="1"/>
    <x v="2"/>
    <x v="1"/>
    <s v="Zimbabwe"/>
    <s v="Comoros"/>
    <s v="Delivered by Post"/>
    <x v="1"/>
    <x v="1"/>
    <x v="0"/>
  </r>
  <r>
    <s v="T2636"/>
    <x v="27"/>
    <n v="1"/>
    <x v="1"/>
    <x v="0"/>
    <d v="2025-09-16T00:00:00"/>
    <n v="9321.39"/>
    <n v="5193.9638095238097"/>
    <s v="DEV4025"/>
    <x v="4"/>
    <x v="3"/>
    <x v="3"/>
    <s v="Comoros"/>
    <s v="Bhutan"/>
    <s v="Picked Up"/>
    <x v="1"/>
    <x v="1"/>
    <x v="1"/>
  </r>
  <r>
    <s v="T2645"/>
    <x v="27"/>
    <n v="1"/>
    <x v="0"/>
    <x v="2"/>
    <d v="2025-06-04T00:00:00"/>
    <n v="4495.18"/>
    <n v="5193.9638095238097"/>
    <s v="DEV3537"/>
    <x v="3"/>
    <x v="1"/>
    <x v="0"/>
    <s v="Comoros"/>
    <s v="Bhutan"/>
    <s v="Delivered by Post"/>
    <x v="0"/>
    <x v="0"/>
    <x v="0"/>
  </r>
  <r>
    <s v="T2674"/>
    <x v="27"/>
    <n v="1"/>
    <x v="0"/>
    <x v="1"/>
    <d v="2025-04-24T00:00:00"/>
    <n v="4141.7700000000004"/>
    <n v="5193.9638095238097"/>
    <s v="DEV7581"/>
    <x v="1"/>
    <x v="1"/>
    <x v="1"/>
    <s v="New Zealand"/>
    <s v="Turkmenistan"/>
    <s v="Picked Up"/>
    <x v="0"/>
    <x v="0"/>
    <x v="0"/>
  </r>
  <r>
    <s v="T2689"/>
    <x v="27"/>
    <n v="1"/>
    <x v="0"/>
    <x v="2"/>
    <d v="2025-02-26T00:00:00"/>
    <n v="1514.69"/>
    <n v="5193.9638095238097"/>
    <s v="DEV3623"/>
    <x v="0"/>
    <x v="0"/>
    <x v="0"/>
    <s v="Bhutan"/>
    <s v="Zimbabwe"/>
    <s v="Picked Up"/>
    <x v="0"/>
    <x v="0"/>
    <x v="0"/>
  </r>
  <r>
    <s v="T2701"/>
    <x v="27"/>
    <n v="1"/>
    <x v="1"/>
    <x v="2"/>
    <d v="2025-05-10T00:00:00"/>
    <n v="6910.98"/>
    <n v="5193.9638095238097"/>
    <s v="DEV9260"/>
    <x v="1"/>
    <x v="0"/>
    <x v="0"/>
    <s v="Turkmenistan"/>
    <s v="Norway"/>
    <s v="Delivered by Post"/>
    <x v="1"/>
    <x v="0"/>
    <x v="0"/>
  </r>
  <r>
    <s v="T2751"/>
    <x v="27"/>
    <n v="1"/>
    <x v="1"/>
    <x v="0"/>
    <d v="2025-04-22T00:00:00"/>
    <n v="4787.3999999999996"/>
    <n v="5193.9638095238097"/>
    <s v="DEV8870"/>
    <x v="0"/>
    <x v="0"/>
    <x v="0"/>
    <s v="Romania"/>
    <s v="Turkmenistan"/>
    <s v="Picked Up"/>
    <x v="0"/>
    <x v="0"/>
    <x v="0"/>
  </r>
  <r>
    <s v="T2804"/>
    <x v="27"/>
    <n v="1"/>
    <x v="1"/>
    <x v="1"/>
    <d v="2025-12-01T00:00:00"/>
    <n v="2932.48"/>
    <n v="5193.9638095238097"/>
    <s v="DEV8373"/>
    <x v="2"/>
    <x v="3"/>
    <x v="0"/>
    <s v="Comoros"/>
    <s v="Comoros"/>
    <s v="Picked Up"/>
    <x v="0"/>
    <x v="1"/>
    <x v="0"/>
  </r>
  <r>
    <s v="T2811"/>
    <x v="27"/>
    <n v="1"/>
    <x v="1"/>
    <x v="2"/>
    <d v="2025-01-15T00:00:00"/>
    <n v="7336.15"/>
    <n v="5193.9638095238097"/>
    <s v="DEV9164"/>
    <x v="1"/>
    <x v="1"/>
    <x v="2"/>
    <s v="Canada"/>
    <s v="Comoros"/>
    <s v="Delivered by Post"/>
    <x v="1"/>
    <x v="0"/>
    <x v="0"/>
  </r>
  <r>
    <s v="T2824"/>
    <x v="27"/>
    <n v="1"/>
    <x v="0"/>
    <x v="0"/>
    <d v="2025-05-12T00:00:00"/>
    <n v="2061.58"/>
    <n v="5193.9638095238097"/>
    <s v="DEV1911"/>
    <x v="3"/>
    <x v="0"/>
    <x v="5"/>
    <s v="Romania"/>
    <s v="Romania"/>
    <s v="Picked Up"/>
    <x v="0"/>
    <x v="1"/>
    <x v="0"/>
  </r>
  <r>
    <s v="T2830"/>
    <x v="27"/>
    <n v="1"/>
    <x v="1"/>
    <x v="2"/>
    <d v="2025-12-27T00:00:00"/>
    <n v="9346"/>
    <n v="5193.9638095238097"/>
    <s v="DEV4210"/>
    <x v="0"/>
    <x v="3"/>
    <x v="0"/>
    <s v="Bhutan"/>
    <s v="Turkmenistan"/>
    <s v="Delivered by Post"/>
    <x v="1"/>
    <x v="1"/>
    <x v="0"/>
  </r>
  <r>
    <s v="T0098"/>
    <x v="28"/>
    <n v="1"/>
    <x v="1"/>
    <x v="0"/>
    <d v="2025-03-02T21:05:00"/>
    <n v="6760.4"/>
    <n v="5987.6081999999997"/>
    <s v="DEV5448"/>
    <x v="4"/>
    <x v="1"/>
    <x v="4"/>
    <s v="Denmark"/>
    <s v="Cyprus"/>
    <s v="Picked Up"/>
    <x v="1"/>
    <x v="0"/>
    <x v="1"/>
  </r>
  <r>
    <s v="T0169"/>
    <x v="28"/>
    <n v="1"/>
    <x v="0"/>
    <x v="1"/>
    <d v="2025-07-29T00:00:00"/>
    <n v="1042.1300000000001"/>
    <n v="5987.6081999999997"/>
    <s v="DEV3529"/>
    <x v="1"/>
    <x v="1"/>
    <x v="1"/>
    <s v="New Zealand"/>
    <s v="Bhutan"/>
    <s v="Picked Up"/>
    <x v="0"/>
    <x v="0"/>
    <x v="0"/>
  </r>
  <r>
    <s v="T0182"/>
    <x v="28"/>
    <n v="1"/>
    <x v="0"/>
    <x v="3"/>
    <d v="2025-10-06T00:00:00"/>
    <n v="9508.02"/>
    <n v="5987.6081999999997"/>
    <s v="DEV6876"/>
    <x v="1"/>
    <x v="1"/>
    <x v="1"/>
    <s v="Romania"/>
    <s v="Zimbabwe"/>
    <s v="Delivered by Post"/>
    <x v="1"/>
    <x v="0"/>
    <x v="0"/>
  </r>
  <r>
    <s v="T0186"/>
    <x v="28"/>
    <n v="1"/>
    <x v="0"/>
    <x v="2"/>
    <d v="2025-09-15T00:00:00"/>
    <n v="7791.27"/>
    <n v="5987.6081999999997"/>
    <s v="DEV1710"/>
    <x v="2"/>
    <x v="3"/>
    <x v="4"/>
    <s v="Canada"/>
    <s v="Canada"/>
    <s v="Delivered by Post"/>
    <x v="1"/>
    <x v="1"/>
    <x v="0"/>
  </r>
  <r>
    <s v="T0225"/>
    <x v="28"/>
    <n v="1"/>
    <x v="1"/>
    <x v="2"/>
    <d v="2025-06-10T00:00:00"/>
    <n v="7642.69"/>
    <n v="5987.6081999999997"/>
    <s v="DEV5566"/>
    <x v="3"/>
    <x v="0"/>
    <x v="2"/>
    <s v="Norway"/>
    <s v="Comoros"/>
    <s v="Delivered by Post"/>
    <x v="1"/>
    <x v="0"/>
    <x v="0"/>
  </r>
  <r>
    <s v="T0287"/>
    <x v="28"/>
    <n v="1"/>
    <x v="0"/>
    <x v="3"/>
    <d v="2025-06-14T00:00:00"/>
    <n v="3380.63"/>
    <n v="5987.6081999999997"/>
    <s v="DEV4290"/>
    <x v="0"/>
    <x v="3"/>
    <x v="0"/>
    <s v="Bhutan"/>
    <s v="New Zealand"/>
    <s v="Delivered by Post"/>
    <x v="0"/>
    <x v="1"/>
    <x v="0"/>
  </r>
  <r>
    <s v="T0303"/>
    <x v="28"/>
    <n v="1"/>
    <x v="0"/>
    <x v="2"/>
    <d v="2025-03-02T00:00:00"/>
    <n v="2665.01"/>
    <n v="5987.6081999999997"/>
    <s v="DEV4438"/>
    <x v="2"/>
    <x v="3"/>
    <x v="3"/>
    <s v="Bhutan"/>
    <s v="Norway"/>
    <s v="Picked Up"/>
    <x v="0"/>
    <x v="1"/>
    <x v="0"/>
  </r>
  <r>
    <s v="T0452"/>
    <x v="28"/>
    <n v="1"/>
    <x v="0"/>
    <x v="0"/>
    <d v="2025-01-18T00:00:00"/>
    <n v="6283.48"/>
    <n v="5987.6081999999997"/>
    <s v="DEV6846"/>
    <x v="4"/>
    <x v="1"/>
    <x v="4"/>
    <s v="Turkmenistan"/>
    <s v="France"/>
    <s v="Delivered by Post"/>
    <x v="1"/>
    <x v="0"/>
    <x v="1"/>
  </r>
  <r>
    <s v="T0556"/>
    <x v="28"/>
    <n v="1"/>
    <x v="0"/>
    <x v="0"/>
    <d v="2025-11-20T00:00:00"/>
    <n v="2474.2600000000002"/>
    <n v="5987.6081999999997"/>
    <s v="DEV7162"/>
    <x v="3"/>
    <x v="0"/>
    <x v="4"/>
    <s v="Zimbabwe"/>
    <s v="Canada"/>
    <s v="Picked Up"/>
    <x v="0"/>
    <x v="0"/>
    <x v="0"/>
  </r>
  <r>
    <s v="T0574"/>
    <x v="28"/>
    <n v="1"/>
    <x v="0"/>
    <x v="1"/>
    <d v="2025-08-23T00:00:00"/>
    <n v="6228.47"/>
    <n v="5987.6081999999997"/>
    <s v="DEV2313"/>
    <x v="0"/>
    <x v="2"/>
    <x v="1"/>
    <s v="Zimbabwe"/>
    <s v="Zimbabwe"/>
    <s v="Picked Up"/>
    <x v="1"/>
    <x v="1"/>
    <x v="0"/>
  </r>
  <r>
    <s v="T0625"/>
    <x v="28"/>
    <n v="1"/>
    <x v="1"/>
    <x v="3"/>
    <d v="2025-06-04T00:00:00"/>
    <n v="3915.29"/>
    <n v="5987.6081999999997"/>
    <s v="DEV4857"/>
    <x v="4"/>
    <x v="2"/>
    <x v="0"/>
    <s v="Comoros"/>
    <s v="New Zealand"/>
    <s v="Delivered by Post"/>
    <x v="0"/>
    <x v="1"/>
    <x v="1"/>
  </r>
  <r>
    <s v="T0722"/>
    <x v="28"/>
    <n v="1"/>
    <x v="0"/>
    <x v="1"/>
    <d v="2025-06-06T00:00:00"/>
    <n v="8536.7900000000009"/>
    <n v="5987.6081999999997"/>
    <s v="DEV1158"/>
    <x v="0"/>
    <x v="3"/>
    <x v="1"/>
    <s v="Romania"/>
    <s v="Bhutan"/>
    <s v="Delivered by Post"/>
    <x v="1"/>
    <x v="1"/>
    <x v="0"/>
  </r>
  <r>
    <s v="T0920"/>
    <x v="28"/>
    <n v="1"/>
    <x v="0"/>
    <x v="0"/>
    <d v="2025-03-07T00:00:00"/>
    <n v="4303.74"/>
    <n v="5987.6081999999997"/>
    <s v="DEV5886"/>
    <x v="1"/>
    <x v="0"/>
    <x v="4"/>
    <s v="Romania"/>
    <s v="Canada"/>
    <s v="Delivered by Post"/>
    <x v="0"/>
    <x v="0"/>
    <x v="0"/>
  </r>
  <r>
    <s v="T0950"/>
    <x v="28"/>
    <n v="1"/>
    <x v="1"/>
    <x v="3"/>
    <d v="2025-09-02T00:00:00"/>
    <n v="9111.2099999999991"/>
    <n v="5987.6081999999997"/>
    <s v="DEV3205"/>
    <x v="3"/>
    <x v="0"/>
    <x v="0"/>
    <s v="Canada"/>
    <s v="New Zealand"/>
    <s v="Delivered by Post"/>
    <x v="1"/>
    <x v="0"/>
    <x v="0"/>
  </r>
  <r>
    <s v="T1062"/>
    <x v="28"/>
    <n v="1"/>
    <x v="0"/>
    <x v="2"/>
    <d v="2025-01-26T00:00:00"/>
    <n v="8681.9500000000007"/>
    <n v="5987.6081999999997"/>
    <s v="DEV8185"/>
    <x v="0"/>
    <x v="2"/>
    <x v="0"/>
    <s v="Bhutan"/>
    <s v="Zimbabwe"/>
    <s v="Picked Up"/>
    <x v="1"/>
    <x v="1"/>
    <x v="0"/>
  </r>
  <r>
    <s v="T1075"/>
    <x v="28"/>
    <n v="1"/>
    <x v="1"/>
    <x v="2"/>
    <d v="2025-03-02T00:00:00"/>
    <n v="9927.35"/>
    <n v="5987.6081999999997"/>
    <s v="DEV5576"/>
    <x v="2"/>
    <x v="3"/>
    <x v="1"/>
    <s v="Norway"/>
    <s v="France"/>
    <s v="Delivered by Post"/>
    <x v="1"/>
    <x v="1"/>
    <x v="0"/>
  </r>
  <r>
    <s v="T1122"/>
    <x v="28"/>
    <n v="1"/>
    <x v="0"/>
    <x v="1"/>
    <d v="2025-06-12T00:00:00"/>
    <n v="5990.16"/>
    <n v="5987.6081999999997"/>
    <s v="DEV1232"/>
    <x v="3"/>
    <x v="3"/>
    <x v="1"/>
    <s v="Norway"/>
    <s v="New Zealand"/>
    <s v="Delivered by Post"/>
    <x v="1"/>
    <x v="1"/>
    <x v="0"/>
  </r>
  <r>
    <s v="T1127"/>
    <x v="28"/>
    <n v="1"/>
    <x v="1"/>
    <x v="3"/>
    <d v="2025-06-26T00:00:00"/>
    <n v="9106.9"/>
    <n v="5987.6081999999997"/>
    <s v="DEV8454"/>
    <x v="0"/>
    <x v="2"/>
    <x v="4"/>
    <s v="Turkmenistan"/>
    <s v="New Zealand"/>
    <s v="Picked Up"/>
    <x v="1"/>
    <x v="1"/>
    <x v="0"/>
  </r>
  <r>
    <s v="T1350"/>
    <x v="28"/>
    <n v="1"/>
    <x v="1"/>
    <x v="3"/>
    <d v="2025-05-16T00:00:00"/>
    <n v="789.64"/>
    <n v="5987.6081999999997"/>
    <s v="DEV1805"/>
    <x v="3"/>
    <x v="3"/>
    <x v="2"/>
    <s v="Norway"/>
    <s v="Bhutan"/>
    <s v="Delivered by Post"/>
    <x v="0"/>
    <x v="1"/>
    <x v="0"/>
  </r>
  <r>
    <s v="T1361"/>
    <x v="28"/>
    <n v="1"/>
    <x v="0"/>
    <x v="2"/>
    <d v="2025-02-16T00:00:00"/>
    <n v="6279.36"/>
    <n v="5987.6081999999997"/>
    <s v="DEV3933"/>
    <x v="3"/>
    <x v="1"/>
    <x v="4"/>
    <s v="Bhutan"/>
    <s v="Comoros"/>
    <s v="Picked Up"/>
    <x v="1"/>
    <x v="0"/>
    <x v="0"/>
  </r>
  <r>
    <s v="T1425"/>
    <x v="28"/>
    <n v="1"/>
    <x v="0"/>
    <x v="0"/>
    <d v="2025-05-13T00:00:00"/>
    <n v="9328.44"/>
    <n v="5987.6081999999997"/>
    <s v="DEV1767"/>
    <x v="0"/>
    <x v="1"/>
    <x v="1"/>
    <s v="Comoros"/>
    <s v="Zimbabwe"/>
    <s v="Picked Up"/>
    <x v="1"/>
    <x v="0"/>
    <x v="0"/>
  </r>
  <r>
    <s v="T1455"/>
    <x v="28"/>
    <n v="1"/>
    <x v="0"/>
    <x v="1"/>
    <d v="2025-12-07T00:00:00"/>
    <n v="9016.65"/>
    <n v="5987.6081999999997"/>
    <s v="DEV3725"/>
    <x v="0"/>
    <x v="2"/>
    <x v="2"/>
    <s v="Romania"/>
    <s v="Turkmenistan"/>
    <s v="Delivered by Post"/>
    <x v="1"/>
    <x v="1"/>
    <x v="0"/>
  </r>
  <r>
    <s v="T1491"/>
    <x v="28"/>
    <n v="1"/>
    <x v="1"/>
    <x v="3"/>
    <d v="2025-08-18T00:00:00"/>
    <n v="9273.77"/>
    <n v="5987.6081999999997"/>
    <s v="DEV6497"/>
    <x v="4"/>
    <x v="0"/>
    <x v="1"/>
    <s v="Bhutan"/>
    <s v="Norway"/>
    <s v="Picked Up"/>
    <x v="1"/>
    <x v="0"/>
    <x v="1"/>
  </r>
  <r>
    <s v="T1556"/>
    <x v="28"/>
    <n v="1"/>
    <x v="0"/>
    <x v="0"/>
    <d v="2025-09-02T00:00:00"/>
    <n v="5493.86"/>
    <n v="5987.6081999999997"/>
    <s v="DEV3246"/>
    <x v="1"/>
    <x v="3"/>
    <x v="0"/>
    <s v="Bhutan"/>
    <s v="Norway"/>
    <s v="Picked Up"/>
    <x v="0"/>
    <x v="1"/>
    <x v="0"/>
  </r>
  <r>
    <s v="T1586"/>
    <x v="28"/>
    <n v="1"/>
    <x v="1"/>
    <x v="2"/>
    <d v="2025-02-22T00:00:00"/>
    <n v="8152.53"/>
    <n v="5987.6081999999997"/>
    <s v="DEV9113"/>
    <x v="4"/>
    <x v="3"/>
    <x v="4"/>
    <s v="Zimbabwe"/>
    <s v="Norway"/>
    <s v="Delivered by Post"/>
    <x v="1"/>
    <x v="1"/>
    <x v="1"/>
  </r>
  <r>
    <s v="T1589"/>
    <x v="28"/>
    <n v="1"/>
    <x v="0"/>
    <x v="0"/>
    <d v="2025-03-08T00:00:00"/>
    <n v="5755.36"/>
    <n v="5987.6081999999997"/>
    <s v="DEV2408"/>
    <x v="1"/>
    <x v="0"/>
    <x v="5"/>
    <s v="Comoros"/>
    <s v="Turkmenistan"/>
    <s v="Picked Up"/>
    <x v="0"/>
    <x v="0"/>
    <x v="0"/>
  </r>
  <r>
    <s v="T1619"/>
    <x v="28"/>
    <n v="1"/>
    <x v="1"/>
    <x v="2"/>
    <d v="2025-10-30T00:00:00"/>
    <n v="2717.76"/>
    <n v="5987.6081999999997"/>
    <s v="DEV2031"/>
    <x v="0"/>
    <x v="1"/>
    <x v="4"/>
    <s v="Canada"/>
    <s v="Turkmenistan"/>
    <s v="Picked Up"/>
    <x v="0"/>
    <x v="0"/>
    <x v="0"/>
  </r>
  <r>
    <s v="T1676"/>
    <x v="28"/>
    <n v="1"/>
    <x v="0"/>
    <x v="0"/>
    <d v="2025-01-17T00:00:00"/>
    <n v="6959.86"/>
    <n v="5987.6081999999997"/>
    <s v="DEV6492"/>
    <x v="3"/>
    <x v="1"/>
    <x v="4"/>
    <s v="Norway"/>
    <s v="Zimbabwe"/>
    <s v="Delivered by Post"/>
    <x v="1"/>
    <x v="0"/>
    <x v="0"/>
  </r>
  <r>
    <s v="T1735"/>
    <x v="28"/>
    <n v="1"/>
    <x v="0"/>
    <x v="2"/>
    <d v="2025-03-04T00:00:00"/>
    <n v="1062.3699999999999"/>
    <n v="5987.6081999999997"/>
    <s v="DEV7295"/>
    <x v="4"/>
    <x v="1"/>
    <x v="5"/>
    <s v="Romania"/>
    <s v="Comoros"/>
    <s v="Picked Up"/>
    <x v="0"/>
    <x v="0"/>
    <x v="1"/>
  </r>
  <r>
    <s v="T1750"/>
    <x v="28"/>
    <n v="1"/>
    <x v="0"/>
    <x v="1"/>
    <d v="2025-10-16T00:00:00"/>
    <n v="4360.6499999999996"/>
    <n v="5987.6081999999997"/>
    <s v="DEV7515"/>
    <x v="4"/>
    <x v="3"/>
    <x v="2"/>
    <s v="Norway"/>
    <s v="New Zealand"/>
    <s v="Delivered by Post"/>
    <x v="0"/>
    <x v="1"/>
    <x v="1"/>
  </r>
  <r>
    <s v="T1862"/>
    <x v="28"/>
    <n v="1"/>
    <x v="0"/>
    <x v="1"/>
    <d v="2025-10-01T00:00:00"/>
    <n v="4760.3100000000004"/>
    <n v="5987.6081999999997"/>
    <s v="DEV3305"/>
    <x v="1"/>
    <x v="2"/>
    <x v="0"/>
    <s v="Norway"/>
    <s v="Canada"/>
    <s v="Picked Up"/>
    <x v="0"/>
    <x v="1"/>
    <x v="0"/>
  </r>
  <r>
    <s v="T1899"/>
    <x v="28"/>
    <n v="1"/>
    <x v="0"/>
    <x v="2"/>
    <d v="2025-08-04T00:00:00"/>
    <n v="5830.2"/>
    <n v="5987.6081999999997"/>
    <s v="DEV6143"/>
    <x v="4"/>
    <x v="2"/>
    <x v="5"/>
    <s v="Turkmenistan"/>
    <s v="Zimbabwe"/>
    <s v="Picked Up"/>
    <x v="0"/>
    <x v="1"/>
    <x v="1"/>
  </r>
  <r>
    <s v="T1900"/>
    <x v="28"/>
    <n v="1"/>
    <x v="0"/>
    <x v="3"/>
    <d v="2025-10-26T00:00:00"/>
    <n v="7502.02"/>
    <n v="5987.6081999999997"/>
    <s v="DEV6249"/>
    <x v="0"/>
    <x v="0"/>
    <x v="5"/>
    <s v="France"/>
    <s v="New Zealand"/>
    <s v="Delivered by Post"/>
    <x v="1"/>
    <x v="0"/>
    <x v="0"/>
  </r>
  <r>
    <s v="T1921"/>
    <x v="28"/>
    <n v="1"/>
    <x v="1"/>
    <x v="2"/>
    <d v="2025-07-31T00:00:00"/>
    <n v="4623.8100000000004"/>
    <n v="5987.6081999999997"/>
    <s v="DEV2277"/>
    <x v="1"/>
    <x v="2"/>
    <x v="1"/>
    <s v="Bhutan"/>
    <s v="Romania"/>
    <s v="Delivered by Post"/>
    <x v="0"/>
    <x v="1"/>
    <x v="0"/>
  </r>
  <r>
    <s v="T1931"/>
    <x v="28"/>
    <n v="1"/>
    <x v="0"/>
    <x v="1"/>
    <d v="2025-01-27T00:00:00"/>
    <n v="4980.6899999999996"/>
    <n v="5987.6081999999997"/>
    <s v="DEV9656"/>
    <x v="4"/>
    <x v="0"/>
    <x v="2"/>
    <s v="Zimbabwe"/>
    <s v="Turkmenistan"/>
    <s v="Delivered by Post"/>
    <x v="0"/>
    <x v="0"/>
    <x v="1"/>
  </r>
  <r>
    <s v="T1984"/>
    <x v="28"/>
    <n v="1"/>
    <x v="0"/>
    <x v="0"/>
    <d v="2025-07-24T00:00:00"/>
    <n v="7573.65"/>
    <n v="5987.6081999999997"/>
    <s v="DEV3357"/>
    <x v="0"/>
    <x v="1"/>
    <x v="2"/>
    <s v="Romania"/>
    <s v="Bhutan"/>
    <s v="Picked Up"/>
    <x v="1"/>
    <x v="0"/>
    <x v="0"/>
  </r>
  <r>
    <s v="T2027"/>
    <x v="28"/>
    <n v="1"/>
    <x v="0"/>
    <x v="3"/>
    <d v="2025-05-03T00:00:00"/>
    <n v="7070.61"/>
    <n v="5987.6081999999997"/>
    <s v="DEV9342"/>
    <x v="3"/>
    <x v="3"/>
    <x v="0"/>
    <s v="Bhutan"/>
    <s v="Bhutan"/>
    <s v="Picked Up"/>
    <x v="1"/>
    <x v="1"/>
    <x v="0"/>
  </r>
  <r>
    <s v="T2115"/>
    <x v="28"/>
    <n v="1"/>
    <x v="1"/>
    <x v="0"/>
    <d v="2025-08-03T00:00:00"/>
    <n v="8188.86"/>
    <n v="5987.6081999999997"/>
    <s v="DEV5998"/>
    <x v="2"/>
    <x v="1"/>
    <x v="0"/>
    <s v="Comoros"/>
    <s v="Turkmenistan"/>
    <s v="Picked Up"/>
    <x v="1"/>
    <x v="0"/>
    <x v="0"/>
  </r>
  <r>
    <s v="T2129"/>
    <x v="28"/>
    <n v="1"/>
    <x v="0"/>
    <x v="0"/>
    <d v="2025-12-09T00:00:00"/>
    <n v="4142.96"/>
    <n v="5987.6081999999997"/>
    <s v="DEV9433"/>
    <x v="0"/>
    <x v="0"/>
    <x v="1"/>
    <s v="Bhutan"/>
    <s v="France"/>
    <s v="Picked Up"/>
    <x v="0"/>
    <x v="0"/>
    <x v="0"/>
  </r>
  <r>
    <s v="T2308"/>
    <x v="28"/>
    <n v="1"/>
    <x v="0"/>
    <x v="3"/>
    <d v="2025-08-04T00:00:00"/>
    <n v="1585.66"/>
    <n v="5987.6081999999997"/>
    <s v="DEV1290"/>
    <x v="0"/>
    <x v="2"/>
    <x v="3"/>
    <s v="Canada"/>
    <s v="Turkmenistan"/>
    <s v="Picked Up"/>
    <x v="0"/>
    <x v="1"/>
    <x v="0"/>
  </r>
  <r>
    <s v="T2320"/>
    <x v="28"/>
    <n v="1"/>
    <x v="0"/>
    <x v="0"/>
    <d v="2025-03-26T00:00:00"/>
    <n v="7790.99"/>
    <n v="5987.6081999999997"/>
    <s v="DEV5092"/>
    <x v="1"/>
    <x v="2"/>
    <x v="0"/>
    <s v="France"/>
    <s v="Canada"/>
    <s v="Delivered by Post"/>
    <x v="1"/>
    <x v="1"/>
    <x v="0"/>
  </r>
  <r>
    <s v="T2339"/>
    <x v="28"/>
    <n v="1"/>
    <x v="0"/>
    <x v="2"/>
    <d v="2025-02-24T00:00:00"/>
    <n v="5301.66"/>
    <n v="5987.6081999999997"/>
    <s v="DEV7932"/>
    <x v="1"/>
    <x v="0"/>
    <x v="1"/>
    <s v="Canada"/>
    <s v="Norway"/>
    <s v="Picked Up"/>
    <x v="0"/>
    <x v="0"/>
    <x v="0"/>
  </r>
  <r>
    <s v="T2384"/>
    <x v="28"/>
    <n v="1"/>
    <x v="0"/>
    <x v="0"/>
    <d v="2025-12-15T00:00:00"/>
    <n v="4984.46"/>
    <n v="5987.6081999999997"/>
    <s v="DEV8359"/>
    <x v="2"/>
    <x v="2"/>
    <x v="2"/>
    <s v="France"/>
    <s v="New Zealand"/>
    <s v="Delivered by Post"/>
    <x v="0"/>
    <x v="1"/>
    <x v="0"/>
  </r>
  <r>
    <s v="T2435"/>
    <x v="28"/>
    <n v="1"/>
    <x v="0"/>
    <x v="1"/>
    <d v="2025-08-22T00:00:00"/>
    <n v="3085.22"/>
    <n v="5987.6081999999997"/>
    <s v="DEV8893"/>
    <x v="2"/>
    <x v="3"/>
    <x v="3"/>
    <s v="Comoros"/>
    <s v="Norway"/>
    <s v="Picked Up"/>
    <x v="0"/>
    <x v="1"/>
    <x v="0"/>
  </r>
  <r>
    <s v="T2449"/>
    <x v="28"/>
    <n v="1"/>
    <x v="1"/>
    <x v="1"/>
    <d v="2025-08-07T00:00:00"/>
    <n v="9298.2000000000007"/>
    <n v="5987.6081999999997"/>
    <s v="DEV6536"/>
    <x v="3"/>
    <x v="1"/>
    <x v="0"/>
    <s v="Turkmenistan"/>
    <s v="Comoros"/>
    <s v="Delivered by Post"/>
    <x v="1"/>
    <x v="0"/>
    <x v="0"/>
  </r>
  <r>
    <s v="T2542"/>
    <x v="28"/>
    <n v="1"/>
    <x v="1"/>
    <x v="2"/>
    <d v="2025-02-16T00:00:00"/>
    <n v="5446.09"/>
    <n v="5987.6081999999997"/>
    <s v="DEV9661"/>
    <x v="2"/>
    <x v="2"/>
    <x v="4"/>
    <s v="France"/>
    <s v="Romania"/>
    <s v="Delivered by Post"/>
    <x v="0"/>
    <x v="1"/>
    <x v="0"/>
  </r>
  <r>
    <s v="T2641"/>
    <x v="28"/>
    <n v="1"/>
    <x v="1"/>
    <x v="2"/>
    <d v="2025-09-10T00:00:00"/>
    <n v="7770.84"/>
    <n v="5987.6081999999997"/>
    <s v="DEV7096"/>
    <x v="2"/>
    <x v="2"/>
    <x v="1"/>
    <s v="France"/>
    <s v="Zimbabwe"/>
    <s v="Picked Up"/>
    <x v="1"/>
    <x v="1"/>
    <x v="0"/>
  </r>
  <r>
    <s v="T2673"/>
    <x v="28"/>
    <n v="1"/>
    <x v="0"/>
    <x v="3"/>
    <d v="2025-05-06T00:00:00"/>
    <n v="2430.11"/>
    <n v="5987.6081999999997"/>
    <s v="DEV3068"/>
    <x v="0"/>
    <x v="3"/>
    <x v="0"/>
    <s v="Zimbabwe"/>
    <s v="Norway"/>
    <s v="Delivered by Post"/>
    <x v="0"/>
    <x v="1"/>
    <x v="0"/>
  </r>
  <r>
    <s v="T2703"/>
    <x v="28"/>
    <n v="1"/>
    <x v="1"/>
    <x v="0"/>
    <d v="2025-05-06T00:00:00"/>
    <n v="6465.65"/>
    <n v="5987.6081999999997"/>
    <s v="DEV5536"/>
    <x v="0"/>
    <x v="3"/>
    <x v="3"/>
    <s v="Canada"/>
    <s v="New Zealand"/>
    <s v="Delivered by Post"/>
    <x v="1"/>
    <x v="1"/>
    <x v="0"/>
  </r>
  <r>
    <s v="T2727"/>
    <x v="28"/>
    <n v="1"/>
    <x v="1"/>
    <x v="2"/>
    <d v="2025-01-16T00:00:00"/>
    <n v="8008.42"/>
    <n v="5987.6081999999997"/>
    <s v="DEV3205"/>
    <x v="2"/>
    <x v="2"/>
    <x v="3"/>
    <s v="Turkmenistan"/>
    <s v="Comoros"/>
    <s v="Delivered by Post"/>
    <x v="1"/>
    <x v="1"/>
    <x v="0"/>
  </r>
  <r>
    <s v="T0096"/>
    <x v="29"/>
    <n v="1"/>
    <x v="1"/>
    <x v="4"/>
    <d v="2025-01-26T05:56:00"/>
    <n v="4984.26"/>
    <n v="5428.9163492063508"/>
    <s v="DEV2772"/>
    <x v="5"/>
    <x v="1"/>
    <x v="5"/>
    <s v="Georgia"/>
    <s v="Norway"/>
    <s v="Delivered by Post"/>
    <x v="0"/>
    <x v="0"/>
    <x v="1"/>
  </r>
  <r>
    <s v="T0159"/>
    <x v="29"/>
    <n v="1"/>
    <x v="1"/>
    <x v="2"/>
    <d v="2025-08-13T00:00:00"/>
    <n v="6902.35"/>
    <n v="5428.9163492063508"/>
    <s v="DEV1653"/>
    <x v="0"/>
    <x v="3"/>
    <x v="5"/>
    <s v="France"/>
    <s v="Canada"/>
    <s v="Picked Up"/>
    <x v="1"/>
    <x v="1"/>
    <x v="0"/>
  </r>
  <r>
    <s v="T0162"/>
    <x v="29"/>
    <n v="1"/>
    <x v="0"/>
    <x v="2"/>
    <d v="2025-09-21T00:00:00"/>
    <n v="926.19"/>
    <n v="5428.9163492063508"/>
    <s v="DEV9889"/>
    <x v="0"/>
    <x v="1"/>
    <x v="2"/>
    <s v="Romania"/>
    <s v="Turkmenistan"/>
    <s v="Delivered by Post"/>
    <x v="0"/>
    <x v="0"/>
    <x v="0"/>
  </r>
  <r>
    <s v="T0211"/>
    <x v="29"/>
    <n v="1"/>
    <x v="1"/>
    <x v="1"/>
    <d v="2025-04-13T00:00:00"/>
    <n v="7705.91"/>
    <n v="5428.9163492063508"/>
    <s v="DEV3267"/>
    <x v="4"/>
    <x v="0"/>
    <x v="3"/>
    <s v="Comoros"/>
    <s v="New Zealand"/>
    <s v="Picked Up"/>
    <x v="1"/>
    <x v="0"/>
    <x v="1"/>
  </r>
  <r>
    <s v="T0255"/>
    <x v="29"/>
    <n v="1"/>
    <x v="1"/>
    <x v="0"/>
    <d v="2025-11-24T00:00:00"/>
    <n v="3102.72"/>
    <n v="5428.9163492063508"/>
    <s v="DEV7021"/>
    <x v="2"/>
    <x v="2"/>
    <x v="0"/>
    <s v="Norway"/>
    <s v="Comoros"/>
    <s v="Picked Up"/>
    <x v="0"/>
    <x v="1"/>
    <x v="0"/>
  </r>
  <r>
    <s v="T0256"/>
    <x v="29"/>
    <n v="1"/>
    <x v="1"/>
    <x v="2"/>
    <d v="2025-10-03T00:00:00"/>
    <n v="7489.96"/>
    <n v="5428.9163492063508"/>
    <s v="DEV4578"/>
    <x v="3"/>
    <x v="0"/>
    <x v="5"/>
    <s v="Comoros"/>
    <s v="Turkmenistan"/>
    <s v="Delivered by Post"/>
    <x v="1"/>
    <x v="0"/>
    <x v="0"/>
  </r>
  <r>
    <s v="T0262"/>
    <x v="29"/>
    <n v="1"/>
    <x v="0"/>
    <x v="0"/>
    <d v="2025-12-05T00:00:00"/>
    <n v="3494.29"/>
    <n v="5428.9163492063508"/>
    <s v="DEV1256"/>
    <x v="3"/>
    <x v="2"/>
    <x v="2"/>
    <s v="Zimbabwe"/>
    <s v="Canada"/>
    <s v="Delivered by Post"/>
    <x v="0"/>
    <x v="1"/>
    <x v="0"/>
  </r>
  <r>
    <s v="T0270"/>
    <x v="29"/>
    <n v="1"/>
    <x v="1"/>
    <x v="3"/>
    <d v="2025-04-15T00:00:00"/>
    <n v="1031.1500000000001"/>
    <n v="5428.9163492063508"/>
    <s v="DEV6126"/>
    <x v="0"/>
    <x v="0"/>
    <x v="5"/>
    <s v="Romania"/>
    <s v="Norway"/>
    <s v="Picked Up"/>
    <x v="0"/>
    <x v="0"/>
    <x v="0"/>
  </r>
  <r>
    <s v="T0360"/>
    <x v="29"/>
    <n v="1"/>
    <x v="0"/>
    <x v="3"/>
    <d v="2025-07-08T00:00:00"/>
    <n v="553.05999999999995"/>
    <n v="5428.9163492063508"/>
    <s v="DEV9275"/>
    <x v="0"/>
    <x v="0"/>
    <x v="3"/>
    <s v="Canada"/>
    <s v="Romania"/>
    <s v="Delivered by Post"/>
    <x v="0"/>
    <x v="0"/>
    <x v="0"/>
  </r>
  <r>
    <s v="T0364"/>
    <x v="29"/>
    <n v="1"/>
    <x v="1"/>
    <x v="0"/>
    <d v="2025-01-04T00:00:00"/>
    <n v="3056.34"/>
    <n v="5428.9163492063508"/>
    <s v="DEV7131"/>
    <x v="2"/>
    <x v="3"/>
    <x v="1"/>
    <s v="Zimbabwe"/>
    <s v="Comoros"/>
    <s v="Picked Up"/>
    <x v="0"/>
    <x v="1"/>
    <x v="0"/>
  </r>
  <r>
    <s v="T0496"/>
    <x v="29"/>
    <n v="1"/>
    <x v="0"/>
    <x v="2"/>
    <d v="2025-06-10T00:00:00"/>
    <n v="8881.49"/>
    <n v="5428.9163492063508"/>
    <s v="DEV9784"/>
    <x v="2"/>
    <x v="0"/>
    <x v="5"/>
    <s v="Zimbabwe"/>
    <s v="Comoros"/>
    <s v="Delivered by Post"/>
    <x v="1"/>
    <x v="0"/>
    <x v="0"/>
  </r>
  <r>
    <s v="T0512"/>
    <x v="29"/>
    <n v="1"/>
    <x v="0"/>
    <x v="3"/>
    <d v="2025-10-17T00:00:00"/>
    <n v="7850.69"/>
    <n v="5428.9163492063508"/>
    <s v="DEV6169"/>
    <x v="2"/>
    <x v="0"/>
    <x v="0"/>
    <s v="New Zealand"/>
    <s v="New Zealand"/>
    <s v="Picked Up"/>
    <x v="1"/>
    <x v="1"/>
    <x v="0"/>
  </r>
  <r>
    <s v="T0533"/>
    <x v="29"/>
    <n v="1"/>
    <x v="0"/>
    <x v="1"/>
    <d v="2025-08-30T00:00:00"/>
    <n v="5193.6499999999996"/>
    <n v="5428.9163492063508"/>
    <s v="DEV2279"/>
    <x v="2"/>
    <x v="3"/>
    <x v="5"/>
    <s v="Canada"/>
    <s v="New Zealand"/>
    <s v="Picked Up"/>
    <x v="0"/>
    <x v="1"/>
    <x v="0"/>
  </r>
  <r>
    <s v="T0544"/>
    <x v="29"/>
    <n v="1"/>
    <x v="1"/>
    <x v="3"/>
    <d v="2025-08-07T00:00:00"/>
    <n v="6621.75"/>
    <n v="5428.9163492063508"/>
    <s v="DEV6298"/>
    <x v="4"/>
    <x v="2"/>
    <x v="2"/>
    <s v="France"/>
    <s v="Canada"/>
    <s v="Delivered by Post"/>
    <x v="1"/>
    <x v="1"/>
    <x v="1"/>
  </r>
  <r>
    <s v="T0726"/>
    <x v="29"/>
    <n v="1"/>
    <x v="0"/>
    <x v="3"/>
    <d v="2025-07-30T00:00:00"/>
    <n v="621.66"/>
    <n v="5428.9163492063508"/>
    <s v="DEV3572"/>
    <x v="1"/>
    <x v="2"/>
    <x v="5"/>
    <s v="Bhutan"/>
    <s v="Comoros"/>
    <s v="Picked Up"/>
    <x v="0"/>
    <x v="1"/>
    <x v="0"/>
  </r>
  <r>
    <s v="T0730"/>
    <x v="29"/>
    <n v="1"/>
    <x v="0"/>
    <x v="2"/>
    <d v="2025-12-24T00:00:00"/>
    <n v="3877.42"/>
    <n v="5428.9163492063508"/>
    <s v="DEV4927"/>
    <x v="3"/>
    <x v="3"/>
    <x v="3"/>
    <s v="Turkmenistan"/>
    <s v="France"/>
    <s v="Picked Up"/>
    <x v="0"/>
    <x v="1"/>
    <x v="0"/>
  </r>
  <r>
    <s v="T0773"/>
    <x v="29"/>
    <n v="1"/>
    <x v="1"/>
    <x v="2"/>
    <d v="2025-05-30T00:00:00"/>
    <n v="6563.61"/>
    <n v="5428.9163492063508"/>
    <s v="DEV4436"/>
    <x v="3"/>
    <x v="2"/>
    <x v="3"/>
    <s v="Canada"/>
    <s v="New Zealand"/>
    <s v="Picked Up"/>
    <x v="1"/>
    <x v="1"/>
    <x v="0"/>
  </r>
  <r>
    <s v="T0818"/>
    <x v="29"/>
    <n v="1"/>
    <x v="0"/>
    <x v="2"/>
    <d v="2025-04-03T00:00:00"/>
    <n v="1891.03"/>
    <n v="5428.9163492063508"/>
    <s v="DEV5621"/>
    <x v="1"/>
    <x v="3"/>
    <x v="0"/>
    <s v="Norway"/>
    <s v="Bhutan"/>
    <s v="Picked Up"/>
    <x v="0"/>
    <x v="1"/>
    <x v="0"/>
  </r>
  <r>
    <s v="T0863"/>
    <x v="29"/>
    <n v="1"/>
    <x v="0"/>
    <x v="1"/>
    <d v="2025-12-01T00:00:00"/>
    <n v="6362.91"/>
    <n v="5428.9163492063508"/>
    <s v="DEV5864"/>
    <x v="3"/>
    <x v="2"/>
    <x v="3"/>
    <s v="Bhutan"/>
    <s v="France"/>
    <s v="Picked Up"/>
    <x v="1"/>
    <x v="1"/>
    <x v="0"/>
  </r>
  <r>
    <s v="T0957"/>
    <x v="29"/>
    <n v="1"/>
    <x v="0"/>
    <x v="3"/>
    <d v="2025-01-20T00:00:00"/>
    <n v="6324.71"/>
    <n v="5428.9163492063508"/>
    <s v="DEV2645"/>
    <x v="2"/>
    <x v="3"/>
    <x v="0"/>
    <s v="Turkmenistan"/>
    <s v="Canada"/>
    <s v="Picked Up"/>
    <x v="1"/>
    <x v="1"/>
    <x v="0"/>
  </r>
  <r>
    <s v="T0962"/>
    <x v="29"/>
    <n v="1"/>
    <x v="1"/>
    <x v="2"/>
    <d v="2025-12-27T00:00:00"/>
    <n v="9565.34"/>
    <n v="5428.9163492063508"/>
    <s v="DEV8925"/>
    <x v="0"/>
    <x v="1"/>
    <x v="3"/>
    <s v="Romania"/>
    <s v="Canada"/>
    <s v="Delivered by Post"/>
    <x v="1"/>
    <x v="0"/>
    <x v="0"/>
  </r>
  <r>
    <s v="T1070"/>
    <x v="29"/>
    <n v="1"/>
    <x v="1"/>
    <x v="1"/>
    <d v="2025-11-05T00:00:00"/>
    <n v="9834.52"/>
    <n v="5428.9163492063508"/>
    <s v="DEV1011"/>
    <x v="4"/>
    <x v="1"/>
    <x v="4"/>
    <s v="France"/>
    <s v="Norway"/>
    <s v="Delivered by Post"/>
    <x v="1"/>
    <x v="0"/>
    <x v="1"/>
  </r>
  <r>
    <s v="T1177"/>
    <x v="29"/>
    <n v="1"/>
    <x v="0"/>
    <x v="2"/>
    <d v="2025-09-03T00:00:00"/>
    <n v="9843.08"/>
    <n v="5428.9163492063508"/>
    <s v="DEV5675"/>
    <x v="3"/>
    <x v="0"/>
    <x v="5"/>
    <s v="Zimbabwe"/>
    <s v="Canada"/>
    <s v="Picked Up"/>
    <x v="1"/>
    <x v="0"/>
    <x v="0"/>
  </r>
  <r>
    <s v="T1180"/>
    <x v="29"/>
    <n v="1"/>
    <x v="0"/>
    <x v="0"/>
    <d v="2025-11-22T00:00:00"/>
    <n v="9304.75"/>
    <n v="5428.9163492063508"/>
    <s v="DEV1497"/>
    <x v="0"/>
    <x v="2"/>
    <x v="2"/>
    <s v="Zimbabwe"/>
    <s v="Zimbabwe"/>
    <s v="Picked Up"/>
    <x v="1"/>
    <x v="1"/>
    <x v="0"/>
  </r>
  <r>
    <s v="T1181"/>
    <x v="29"/>
    <n v="1"/>
    <x v="1"/>
    <x v="3"/>
    <d v="2025-01-12T00:00:00"/>
    <n v="8704.43"/>
    <n v="5428.9163492063508"/>
    <s v="DEV8859"/>
    <x v="1"/>
    <x v="2"/>
    <x v="0"/>
    <s v="Zimbabwe"/>
    <s v="Bhutan"/>
    <s v="Delivered by Post"/>
    <x v="1"/>
    <x v="1"/>
    <x v="0"/>
  </r>
  <r>
    <s v="T1258"/>
    <x v="29"/>
    <n v="1"/>
    <x v="1"/>
    <x v="2"/>
    <d v="2025-01-23T00:00:00"/>
    <n v="9643.2199999999993"/>
    <n v="5428.9163492063508"/>
    <s v="DEV6449"/>
    <x v="1"/>
    <x v="1"/>
    <x v="5"/>
    <s v="Zimbabwe"/>
    <s v="Comoros"/>
    <s v="Delivered by Post"/>
    <x v="1"/>
    <x v="0"/>
    <x v="0"/>
  </r>
  <r>
    <s v="T1259"/>
    <x v="29"/>
    <n v="1"/>
    <x v="0"/>
    <x v="3"/>
    <d v="2025-10-30T00:00:00"/>
    <n v="9145.35"/>
    <n v="5428.9163492063508"/>
    <s v="DEV8360"/>
    <x v="4"/>
    <x v="3"/>
    <x v="3"/>
    <s v="Canada"/>
    <s v="Romania"/>
    <s v="Delivered by Post"/>
    <x v="1"/>
    <x v="1"/>
    <x v="1"/>
  </r>
  <r>
    <s v="T1348"/>
    <x v="29"/>
    <n v="1"/>
    <x v="0"/>
    <x v="1"/>
    <d v="2025-03-26T00:00:00"/>
    <n v="5469.62"/>
    <n v="5428.9163492063508"/>
    <s v="DEV2665"/>
    <x v="1"/>
    <x v="2"/>
    <x v="2"/>
    <s v="Bhutan"/>
    <s v="Zimbabwe"/>
    <s v="Picked Up"/>
    <x v="1"/>
    <x v="1"/>
    <x v="0"/>
  </r>
  <r>
    <s v="T1366"/>
    <x v="29"/>
    <n v="1"/>
    <x v="1"/>
    <x v="3"/>
    <d v="2025-04-06T00:00:00"/>
    <n v="5956.27"/>
    <n v="5428.9163492063508"/>
    <s v="DEV5040"/>
    <x v="3"/>
    <x v="3"/>
    <x v="4"/>
    <s v="Romania"/>
    <s v="Romania"/>
    <s v="Picked Up"/>
    <x v="1"/>
    <x v="1"/>
    <x v="0"/>
  </r>
  <r>
    <s v="T1395"/>
    <x v="29"/>
    <n v="1"/>
    <x v="0"/>
    <x v="1"/>
    <d v="2025-10-20T00:00:00"/>
    <n v="710.76"/>
    <n v="5428.9163492063508"/>
    <s v="DEV1374"/>
    <x v="3"/>
    <x v="2"/>
    <x v="3"/>
    <s v="New Zealand"/>
    <s v="Canada"/>
    <s v="Picked Up"/>
    <x v="0"/>
    <x v="1"/>
    <x v="0"/>
  </r>
  <r>
    <s v="T1398"/>
    <x v="29"/>
    <n v="1"/>
    <x v="0"/>
    <x v="0"/>
    <d v="2025-03-01T00:00:00"/>
    <n v="7538.97"/>
    <n v="5428.9163492063508"/>
    <s v="DEV7268"/>
    <x v="0"/>
    <x v="0"/>
    <x v="0"/>
    <s v="Norway"/>
    <s v="Canada"/>
    <s v="Picked Up"/>
    <x v="1"/>
    <x v="0"/>
    <x v="0"/>
  </r>
  <r>
    <s v="T1419"/>
    <x v="29"/>
    <n v="1"/>
    <x v="1"/>
    <x v="2"/>
    <d v="2025-11-05T00:00:00"/>
    <n v="5923.66"/>
    <n v="5428.9163492063508"/>
    <s v="DEV5794"/>
    <x v="1"/>
    <x v="1"/>
    <x v="4"/>
    <s v="Zimbabwe"/>
    <s v="Norway"/>
    <s v="Picked Up"/>
    <x v="1"/>
    <x v="0"/>
    <x v="0"/>
  </r>
  <r>
    <s v="T1422"/>
    <x v="29"/>
    <n v="1"/>
    <x v="0"/>
    <x v="0"/>
    <d v="2025-02-15T00:00:00"/>
    <n v="557.26"/>
    <n v="5428.9163492063508"/>
    <s v="DEV1899"/>
    <x v="3"/>
    <x v="0"/>
    <x v="3"/>
    <s v="France"/>
    <s v="Zimbabwe"/>
    <s v="Picked Up"/>
    <x v="0"/>
    <x v="0"/>
    <x v="0"/>
  </r>
  <r>
    <s v="T1509"/>
    <x v="29"/>
    <n v="1"/>
    <x v="0"/>
    <x v="3"/>
    <d v="2025-08-25T00:00:00"/>
    <n v="3731.94"/>
    <n v="5428.9163492063508"/>
    <s v="DEV1404"/>
    <x v="2"/>
    <x v="2"/>
    <x v="2"/>
    <s v="Comoros"/>
    <s v="Zimbabwe"/>
    <s v="Picked Up"/>
    <x v="0"/>
    <x v="1"/>
    <x v="0"/>
  </r>
  <r>
    <s v="T1558"/>
    <x v="29"/>
    <n v="1"/>
    <x v="1"/>
    <x v="0"/>
    <d v="2025-10-17T00:00:00"/>
    <n v="5343.2"/>
    <n v="5428.9163492063508"/>
    <s v="DEV8775"/>
    <x v="3"/>
    <x v="0"/>
    <x v="0"/>
    <s v="Bhutan"/>
    <s v="Comoros"/>
    <s v="Delivered by Post"/>
    <x v="0"/>
    <x v="0"/>
    <x v="0"/>
  </r>
  <r>
    <s v="T1611"/>
    <x v="29"/>
    <n v="1"/>
    <x v="0"/>
    <x v="1"/>
    <d v="2025-10-12T00:00:00"/>
    <n v="7575.05"/>
    <n v="5428.9163492063508"/>
    <s v="DEV9218"/>
    <x v="2"/>
    <x v="1"/>
    <x v="3"/>
    <s v="Romania"/>
    <s v="Romania"/>
    <s v="Delivered by Post"/>
    <x v="1"/>
    <x v="1"/>
    <x v="0"/>
  </r>
  <r>
    <s v="T1638"/>
    <x v="29"/>
    <n v="1"/>
    <x v="1"/>
    <x v="1"/>
    <d v="2025-07-02T00:00:00"/>
    <n v="3107.2"/>
    <n v="5428.9163492063508"/>
    <s v="DEV5875"/>
    <x v="0"/>
    <x v="3"/>
    <x v="2"/>
    <s v="Comoros"/>
    <s v="Zimbabwe"/>
    <s v="Delivered by Post"/>
    <x v="0"/>
    <x v="1"/>
    <x v="0"/>
  </r>
  <r>
    <s v="T1671"/>
    <x v="29"/>
    <n v="1"/>
    <x v="1"/>
    <x v="0"/>
    <d v="2025-01-11T00:00:00"/>
    <n v="1382.81"/>
    <n v="5428.9163492063508"/>
    <s v="DEV9105"/>
    <x v="2"/>
    <x v="3"/>
    <x v="2"/>
    <s v="Romania"/>
    <s v="Norway"/>
    <s v="Delivered by Post"/>
    <x v="0"/>
    <x v="1"/>
    <x v="0"/>
  </r>
  <r>
    <s v="T1681"/>
    <x v="29"/>
    <n v="1"/>
    <x v="0"/>
    <x v="1"/>
    <d v="2025-04-26T00:00:00"/>
    <n v="2605.5100000000002"/>
    <n v="5428.9163492063508"/>
    <s v="DEV5802"/>
    <x v="3"/>
    <x v="2"/>
    <x v="1"/>
    <s v="Norway"/>
    <s v="Zimbabwe"/>
    <s v="Delivered by Post"/>
    <x v="0"/>
    <x v="1"/>
    <x v="0"/>
  </r>
  <r>
    <s v="T1687"/>
    <x v="29"/>
    <n v="1"/>
    <x v="0"/>
    <x v="2"/>
    <d v="2025-12-03T00:00:00"/>
    <n v="2625.24"/>
    <n v="5428.9163492063508"/>
    <s v="DEV2451"/>
    <x v="2"/>
    <x v="0"/>
    <x v="5"/>
    <s v="Canada"/>
    <s v="Comoros"/>
    <s v="Delivered by Post"/>
    <x v="0"/>
    <x v="0"/>
    <x v="0"/>
  </r>
  <r>
    <s v="T1708"/>
    <x v="29"/>
    <n v="1"/>
    <x v="1"/>
    <x v="0"/>
    <d v="2025-09-18T00:00:00"/>
    <n v="6698.38"/>
    <n v="5428.9163492063508"/>
    <s v="DEV7853"/>
    <x v="0"/>
    <x v="3"/>
    <x v="3"/>
    <s v="Bhutan"/>
    <s v="Norway"/>
    <s v="Picked Up"/>
    <x v="1"/>
    <x v="1"/>
    <x v="0"/>
  </r>
  <r>
    <s v="T1870"/>
    <x v="29"/>
    <n v="1"/>
    <x v="0"/>
    <x v="2"/>
    <d v="2025-03-23T00:00:00"/>
    <n v="4231.47"/>
    <n v="5428.9163492063508"/>
    <s v="DEV1655"/>
    <x v="3"/>
    <x v="1"/>
    <x v="0"/>
    <s v="Turkmenistan"/>
    <s v="New Zealand"/>
    <s v="Delivered by Post"/>
    <x v="0"/>
    <x v="0"/>
    <x v="0"/>
  </r>
  <r>
    <s v="T1891"/>
    <x v="29"/>
    <n v="1"/>
    <x v="0"/>
    <x v="1"/>
    <d v="2025-02-19T00:00:00"/>
    <n v="1952.54"/>
    <n v="5428.9163492063508"/>
    <s v="DEV8209"/>
    <x v="0"/>
    <x v="1"/>
    <x v="1"/>
    <s v="Turkmenistan"/>
    <s v="Bhutan"/>
    <s v="Delivered by Post"/>
    <x v="0"/>
    <x v="0"/>
    <x v="0"/>
  </r>
  <r>
    <s v="T1897"/>
    <x v="29"/>
    <n v="1"/>
    <x v="1"/>
    <x v="0"/>
    <d v="2025-08-19T00:00:00"/>
    <n v="7263.08"/>
    <n v="5428.9163492063508"/>
    <s v="DEV9234"/>
    <x v="2"/>
    <x v="0"/>
    <x v="0"/>
    <s v="Norway"/>
    <s v="Romania"/>
    <s v="Delivered by Post"/>
    <x v="1"/>
    <x v="0"/>
    <x v="0"/>
  </r>
  <r>
    <s v="T1916"/>
    <x v="29"/>
    <n v="1"/>
    <x v="1"/>
    <x v="2"/>
    <d v="2025-12-30T00:00:00"/>
    <n v="9108.2999999999993"/>
    <n v="5428.9163492063508"/>
    <s v="DEV7369"/>
    <x v="3"/>
    <x v="0"/>
    <x v="1"/>
    <s v="New Zealand"/>
    <s v="Turkmenistan"/>
    <s v="Delivered by Post"/>
    <x v="1"/>
    <x v="0"/>
    <x v="0"/>
  </r>
  <r>
    <s v="T2040"/>
    <x v="29"/>
    <n v="1"/>
    <x v="0"/>
    <x v="1"/>
    <d v="2025-06-13T00:00:00"/>
    <n v="9101.86"/>
    <n v="5428.9163492063508"/>
    <s v="DEV9316"/>
    <x v="2"/>
    <x v="2"/>
    <x v="1"/>
    <s v="Comoros"/>
    <s v="Zimbabwe"/>
    <s v="Picked Up"/>
    <x v="1"/>
    <x v="1"/>
    <x v="0"/>
  </r>
  <r>
    <s v="T2054"/>
    <x v="29"/>
    <n v="1"/>
    <x v="0"/>
    <x v="1"/>
    <d v="2025-08-06T00:00:00"/>
    <n v="9246.9699999999993"/>
    <n v="5428.9163492063508"/>
    <s v="DEV8126"/>
    <x v="0"/>
    <x v="0"/>
    <x v="5"/>
    <s v="Romania"/>
    <s v="Comoros"/>
    <s v="Delivered by Post"/>
    <x v="1"/>
    <x v="0"/>
    <x v="0"/>
  </r>
  <r>
    <s v="T2086"/>
    <x v="29"/>
    <n v="1"/>
    <x v="0"/>
    <x v="3"/>
    <d v="2025-05-30T00:00:00"/>
    <n v="1888.81"/>
    <n v="5428.9163492063508"/>
    <s v="DEV1397"/>
    <x v="4"/>
    <x v="3"/>
    <x v="0"/>
    <s v="Zimbabwe"/>
    <s v="Turkmenistan"/>
    <s v="Picked Up"/>
    <x v="0"/>
    <x v="1"/>
    <x v="1"/>
  </r>
  <r>
    <s v="T2221"/>
    <x v="29"/>
    <n v="1"/>
    <x v="1"/>
    <x v="0"/>
    <d v="2025-01-10T00:00:00"/>
    <n v="302.70999999999998"/>
    <n v="5428.9163492063508"/>
    <s v="DEV8538"/>
    <x v="4"/>
    <x v="0"/>
    <x v="3"/>
    <s v="Canada"/>
    <s v="Zimbabwe"/>
    <s v="Delivered by Post"/>
    <x v="0"/>
    <x v="0"/>
    <x v="1"/>
  </r>
  <r>
    <s v="T2249"/>
    <x v="29"/>
    <n v="1"/>
    <x v="0"/>
    <x v="0"/>
    <d v="2025-07-18T00:00:00"/>
    <n v="4674.6400000000003"/>
    <n v="5428.9163492063508"/>
    <s v="DEV4677"/>
    <x v="4"/>
    <x v="3"/>
    <x v="3"/>
    <s v="Comoros"/>
    <s v="Romania"/>
    <s v="Picked Up"/>
    <x v="0"/>
    <x v="1"/>
    <x v="1"/>
  </r>
  <r>
    <s v="T2338"/>
    <x v="29"/>
    <n v="1"/>
    <x v="0"/>
    <x v="2"/>
    <d v="2025-09-06T00:00:00"/>
    <n v="7989.43"/>
    <n v="5428.9163492063508"/>
    <s v="DEV8872"/>
    <x v="4"/>
    <x v="3"/>
    <x v="5"/>
    <s v="Romania"/>
    <s v="Romania"/>
    <s v="Picked Up"/>
    <x v="1"/>
    <x v="1"/>
    <x v="0"/>
  </r>
  <r>
    <s v="T2391"/>
    <x v="29"/>
    <n v="1"/>
    <x v="1"/>
    <x v="3"/>
    <d v="2025-05-22T00:00:00"/>
    <n v="6855.71"/>
    <n v="5428.9163492063508"/>
    <s v="DEV1708"/>
    <x v="0"/>
    <x v="1"/>
    <x v="5"/>
    <s v="Norway"/>
    <s v="Bhutan"/>
    <s v="Picked Up"/>
    <x v="1"/>
    <x v="0"/>
    <x v="0"/>
  </r>
  <r>
    <s v="T2419"/>
    <x v="29"/>
    <n v="1"/>
    <x v="0"/>
    <x v="1"/>
    <d v="2025-05-15T00:00:00"/>
    <n v="5847.2"/>
    <n v="5428.9163492063508"/>
    <s v="DEV6914"/>
    <x v="3"/>
    <x v="3"/>
    <x v="3"/>
    <s v="France"/>
    <s v="Zimbabwe"/>
    <s v="Delivered by Post"/>
    <x v="1"/>
    <x v="1"/>
    <x v="0"/>
  </r>
  <r>
    <s v="T2443"/>
    <x v="29"/>
    <n v="1"/>
    <x v="0"/>
    <x v="0"/>
    <d v="2025-02-23T00:00:00"/>
    <n v="8728.44"/>
    <n v="5428.9163492063508"/>
    <s v="DEV2253"/>
    <x v="3"/>
    <x v="0"/>
    <x v="4"/>
    <s v="Turkmenistan"/>
    <s v="Norway"/>
    <s v="Delivered by Post"/>
    <x v="1"/>
    <x v="0"/>
    <x v="0"/>
  </r>
  <r>
    <s v="T2566"/>
    <x v="29"/>
    <n v="1"/>
    <x v="0"/>
    <x v="3"/>
    <d v="2025-04-10T00:00:00"/>
    <n v="4092.05"/>
    <n v="5428.9163492063508"/>
    <s v="DEV2568"/>
    <x v="0"/>
    <x v="3"/>
    <x v="4"/>
    <s v="Norway"/>
    <s v="Turkmenistan"/>
    <s v="Delivered by Post"/>
    <x v="0"/>
    <x v="1"/>
    <x v="0"/>
  </r>
  <r>
    <s v="T2607"/>
    <x v="29"/>
    <n v="1"/>
    <x v="1"/>
    <x v="3"/>
    <d v="2025-12-14T00:00:00"/>
    <n v="120.77"/>
    <n v="5428.9163492063508"/>
    <s v="DEV2570"/>
    <x v="0"/>
    <x v="1"/>
    <x v="0"/>
    <s v="Norway"/>
    <s v="Bhutan"/>
    <s v="Picked Up"/>
    <x v="0"/>
    <x v="0"/>
    <x v="0"/>
  </r>
  <r>
    <s v="T2629"/>
    <x v="29"/>
    <n v="1"/>
    <x v="0"/>
    <x v="3"/>
    <d v="2025-03-21T00:00:00"/>
    <n v="6282.02"/>
    <n v="5428.9163492063508"/>
    <s v="DEV1886"/>
    <x v="1"/>
    <x v="3"/>
    <x v="0"/>
    <s v="Romania"/>
    <s v="Canada"/>
    <s v="Picked Up"/>
    <x v="1"/>
    <x v="1"/>
    <x v="0"/>
  </r>
  <r>
    <s v="T2656"/>
    <x v="29"/>
    <n v="1"/>
    <x v="0"/>
    <x v="2"/>
    <d v="2025-11-03T00:00:00"/>
    <n v="6500.03"/>
    <n v="5428.9163492063508"/>
    <s v="DEV7659"/>
    <x v="3"/>
    <x v="1"/>
    <x v="5"/>
    <s v="New Zealand"/>
    <s v="Turkmenistan"/>
    <s v="Picked Up"/>
    <x v="1"/>
    <x v="0"/>
    <x v="0"/>
  </r>
  <r>
    <s v="T2677"/>
    <x v="29"/>
    <n v="1"/>
    <x v="0"/>
    <x v="0"/>
    <d v="2025-12-24T00:00:00"/>
    <n v="9571.48"/>
    <n v="5428.9163492063508"/>
    <s v="DEV2496"/>
    <x v="0"/>
    <x v="1"/>
    <x v="3"/>
    <s v="Romania"/>
    <s v="Norway"/>
    <s v="Picked Up"/>
    <x v="1"/>
    <x v="0"/>
    <x v="0"/>
  </r>
  <r>
    <s v="T2688"/>
    <x v="29"/>
    <n v="1"/>
    <x v="1"/>
    <x v="3"/>
    <d v="2025-01-04T00:00:00"/>
    <n v="263.47000000000003"/>
    <n v="5428.9163492063508"/>
    <s v="DEV5275"/>
    <x v="0"/>
    <x v="2"/>
    <x v="2"/>
    <s v="Comoros"/>
    <s v="Turkmenistan"/>
    <s v="Delivered by Post"/>
    <x v="0"/>
    <x v="1"/>
    <x v="0"/>
  </r>
  <r>
    <s v="T2763"/>
    <x v="29"/>
    <n v="1"/>
    <x v="1"/>
    <x v="1"/>
    <d v="2025-01-15T00:00:00"/>
    <n v="7776.75"/>
    <n v="5428.9163492063508"/>
    <s v="DEV5002"/>
    <x v="3"/>
    <x v="3"/>
    <x v="4"/>
    <s v="Bhutan"/>
    <s v="Turkmenistan"/>
    <s v="Delivered by Post"/>
    <x v="1"/>
    <x v="1"/>
    <x v="0"/>
  </r>
  <r>
    <s v="T2793"/>
    <x v="29"/>
    <n v="1"/>
    <x v="0"/>
    <x v="0"/>
    <d v="2025-03-08T00:00:00"/>
    <n v="4520.46"/>
    <n v="5428.9163492063508"/>
    <s v="DEV8804"/>
    <x v="3"/>
    <x v="3"/>
    <x v="2"/>
    <s v="France"/>
    <s v="Turkmenistan"/>
    <s v="Delivered by Post"/>
    <x v="0"/>
    <x v="1"/>
    <x v="0"/>
  </r>
  <r>
    <s v="T2817"/>
    <x v="29"/>
    <n v="1"/>
    <x v="0"/>
    <x v="0"/>
    <d v="2025-05-29T00:00:00"/>
    <n v="7001.83"/>
    <n v="5428.9163492063508"/>
    <s v="DEV5474"/>
    <x v="2"/>
    <x v="3"/>
    <x v="1"/>
    <s v="Bhutan"/>
    <s v="Comoros"/>
    <s v="Delivered by Post"/>
    <x v="1"/>
    <x v="1"/>
    <x v="0"/>
  </r>
  <r>
    <s v="T0041"/>
    <x v="30"/>
    <n v="1"/>
    <x v="0"/>
    <x v="4"/>
    <d v="2025-06-12T20:16:00"/>
    <n v="9631.15"/>
    <n v="4912.8857407407413"/>
    <s v="DEV4248"/>
    <x v="5"/>
    <x v="2"/>
    <x v="4"/>
    <s v="Wallis and Futuna"/>
    <s v="Bangladesh"/>
    <s v="Picked Up"/>
    <x v="1"/>
    <x v="1"/>
    <x v="1"/>
  </r>
  <r>
    <s v="T0068"/>
    <x v="30"/>
    <n v="1"/>
    <x v="2"/>
    <x v="4"/>
    <d v="2025-08-10T08:32:00"/>
    <n v="2070.9899999999998"/>
    <n v="4912.8857407407413"/>
    <s v="DEV6502"/>
    <x v="3"/>
    <x v="1"/>
    <x v="3"/>
    <s v="Wallis and Futuna"/>
    <s v="Nigeria"/>
    <s v="Delivered by Post"/>
    <x v="0"/>
    <x v="0"/>
    <x v="0"/>
  </r>
  <r>
    <s v="T0154"/>
    <x v="30"/>
    <n v="1"/>
    <x v="0"/>
    <x v="3"/>
    <d v="2025-09-02T00:00:00"/>
    <n v="4432.66"/>
    <n v="4912.8857407407413"/>
    <s v="DEV2070"/>
    <x v="0"/>
    <x v="1"/>
    <x v="2"/>
    <s v="Canada"/>
    <s v="Norway"/>
    <s v="Picked Up"/>
    <x v="0"/>
    <x v="0"/>
    <x v="0"/>
  </r>
  <r>
    <s v="T0311"/>
    <x v="30"/>
    <n v="1"/>
    <x v="1"/>
    <x v="0"/>
    <d v="2025-01-05T00:00:00"/>
    <n v="825.49"/>
    <n v="4912.8857407407413"/>
    <s v="DEV6629"/>
    <x v="1"/>
    <x v="1"/>
    <x v="3"/>
    <s v="Norway"/>
    <s v="Comoros"/>
    <s v="Picked Up"/>
    <x v="0"/>
    <x v="0"/>
    <x v="0"/>
  </r>
  <r>
    <s v="T0441"/>
    <x v="30"/>
    <n v="1"/>
    <x v="1"/>
    <x v="2"/>
    <d v="2025-04-04T00:00:00"/>
    <n v="3743.41"/>
    <n v="4912.8857407407413"/>
    <s v="DEV5591"/>
    <x v="0"/>
    <x v="2"/>
    <x v="5"/>
    <s v="Norway"/>
    <s v="Canada"/>
    <s v="Delivered by Post"/>
    <x v="0"/>
    <x v="1"/>
    <x v="0"/>
  </r>
  <r>
    <s v="T0442"/>
    <x v="30"/>
    <n v="1"/>
    <x v="1"/>
    <x v="2"/>
    <d v="2025-12-18T00:00:00"/>
    <n v="9399.56"/>
    <n v="4912.8857407407413"/>
    <s v="DEV8490"/>
    <x v="1"/>
    <x v="1"/>
    <x v="1"/>
    <s v="Canada"/>
    <s v="Canada"/>
    <s v="Picked Up"/>
    <x v="1"/>
    <x v="1"/>
    <x v="0"/>
  </r>
  <r>
    <s v="T0451"/>
    <x v="30"/>
    <n v="1"/>
    <x v="1"/>
    <x v="0"/>
    <d v="2025-02-23T00:00:00"/>
    <n v="5506.92"/>
    <n v="4912.8857407407413"/>
    <s v="DEV3544"/>
    <x v="1"/>
    <x v="1"/>
    <x v="1"/>
    <s v="Romania"/>
    <s v="Romania"/>
    <s v="Delivered by Post"/>
    <x v="1"/>
    <x v="1"/>
    <x v="0"/>
  </r>
  <r>
    <s v="T0462"/>
    <x v="30"/>
    <n v="1"/>
    <x v="1"/>
    <x v="1"/>
    <d v="2025-11-19T00:00:00"/>
    <n v="3921.77"/>
    <n v="4912.8857407407413"/>
    <s v="DEV1691"/>
    <x v="2"/>
    <x v="0"/>
    <x v="1"/>
    <s v="Comoros"/>
    <s v="France"/>
    <s v="Picked Up"/>
    <x v="0"/>
    <x v="0"/>
    <x v="0"/>
  </r>
  <r>
    <s v="T0478"/>
    <x v="30"/>
    <n v="1"/>
    <x v="0"/>
    <x v="3"/>
    <d v="2025-01-20T00:00:00"/>
    <n v="1770.38"/>
    <n v="4912.8857407407413"/>
    <s v="DEV7251"/>
    <x v="1"/>
    <x v="0"/>
    <x v="1"/>
    <s v="New Zealand"/>
    <s v="Bhutan"/>
    <s v="Delivered by Post"/>
    <x v="0"/>
    <x v="0"/>
    <x v="0"/>
  </r>
  <r>
    <s v="T0485"/>
    <x v="30"/>
    <n v="1"/>
    <x v="0"/>
    <x v="1"/>
    <d v="2025-10-07T00:00:00"/>
    <n v="276.33999999999997"/>
    <n v="4912.8857407407413"/>
    <s v="DEV5237"/>
    <x v="2"/>
    <x v="1"/>
    <x v="5"/>
    <s v="Norway"/>
    <s v="Canada"/>
    <s v="Delivered by Post"/>
    <x v="0"/>
    <x v="0"/>
    <x v="0"/>
  </r>
  <r>
    <s v="T0524"/>
    <x v="30"/>
    <n v="1"/>
    <x v="1"/>
    <x v="2"/>
    <d v="2025-10-18T00:00:00"/>
    <n v="3868.97"/>
    <n v="4912.8857407407413"/>
    <s v="DEV9921"/>
    <x v="3"/>
    <x v="2"/>
    <x v="3"/>
    <s v="Zimbabwe"/>
    <s v="Comoros"/>
    <s v="Picked Up"/>
    <x v="0"/>
    <x v="1"/>
    <x v="0"/>
  </r>
  <r>
    <s v="T0534"/>
    <x v="30"/>
    <n v="1"/>
    <x v="1"/>
    <x v="2"/>
    <d v="2025-06-30T00:00:00"/>
    <n v="4567.6499999999996"/>
    <n v="4912.8857407407413"/>
    <s v="DEV5738"/>
    <x v="3"/>
    <x v="0"/>
    <x v="3"/>
    <s v="France"/>
    <s v="France"/>
    <s v="Picked Up"/>
    <x v="0"/>
    <x v="1"/>
    <x v="0"/>
  </r>
  <r>
    <s v="T0609"/>
    <x v="30"/>
    <n v="1"/>
    <x v="0"/>
    <x v="2"/>
    <d v="2025-05-15T00:00:00"/>
    <n v="5644.44"/>
    <n v="4912.8857407407413"/>
    <s v="DEV7189"/>
    <x v="2"/>
    <x v="3"/>
    <x v="1"/>
    <s v="New Zealand"/>
    <s v="Canada"/>
    <s v="Picked Up"/>
    <x v="1"/>
    <x v="1"/>
    <x v="0"/>
  </r>
  <r>
    <s v="T0658"/>
    <x v="30"/>
    <n v="1"/>
    <x v="0"/>
    <x v="3"/>
    <d v="2025-11-05T00:00:00"/>
    <n v="3471.28"/>
    <n v="4912.8857407407413"/>
    <s v="DEV8675"/>
    <x v="3"/>
    <x v="3"/>
    <x v="3"/>
    <s v="Bhutan"/>
    <s v="Bhutan"/>
    <s v="Delivered by Post"/>
    <x v="0"/>
    <x v="1"/>
    <x v="0"/>
  </r>
  <r>
    <s v="T0659"/>
    <x v="30"/>
    <n v="1"/>
    <x v="0"/>
    <x v="3"/>
    <d v="2025-12-20T00:00:00"/>
    <n v="8007.56"/>
    <n v="4912.8857407407413"/>
    <s v="DEV2412"/>
    <x v="0"/>
    <x v="2"/>
    <x v="0"/>
    <s v="Romania"/>
    <s v="Norway"/>
    <s v="Delivered by Post"/>
    <x v="1"/>
    <x v="1"/>
    <x v="0"/>
  </r>
  <r>
    <s v="T0714"/>
    <x v="30"/>
    <n v="1"/>
    <x v="0"/>
    <x v="2"/>
    <d v="2025-11-27T00:00:00"/>
    <n v="7920.42"/>
    <n v="4912.8857407407413"/>
    <s v="DEV7131"/>
    <x v="0"/>
    <x v="1"/>
    <x v="0"/>
    <s v="New Zealand"/>
    <s v="New Zealand"/>
    <s v="Delivered by Post"/>
    <x v="1"/>
    <x v="1"/>
    <x v="0"/>
  </r>
  <r>
    <s v="T0721"/>
    <x v="30"/>
    <n v="1"/>
    <x v="1"/>
    <x v="2"/>
    <d v="2025-06-24T00:00:00"/>
    <n v="2375.5500000000002"/>
    <n v="4912.8857407407413"/>
    <s v="DEV6129"/>
    <x v="3"/>
    <x v="1"/>
    <x v="3"/>
    <s v="Bhutan"/>
    <s v="Romania"/>
    <s v="Delivered by Post"/>
    <x v="0"/>
    <x v="0"/>
    <x v="0"/>
  </r>
  <r>
    <s v="T0792"/>
    <x v="30"/>
    <n v="1"/>
    <x v="0"/>
    <x v="2"/>
    <d v="2025-01-08T00:00:00"/>
    <n v="5003.16"/>
    <n v="4912.8857407407413"/>
    <s v="DEV4115"/>
    <x v="1"/>
    <x v="1"/>
    <x v="3"/>
    <s v="Turkmenistan"/>
    <s v="New Zealand"/>
    <s v="Picked Up"/>
    <x v="1"/>
    <x v="0"/>
    <x v="0"/>
  </r>
  <r>
    <s v="T0910"/>
    <x v="30"/>
    <n v="1"/>
    <x v="0"/>
    <x v="2"/>
    <d v="2025-07-08T00:00:00"/>
    <n v="4830.6400000000003"/>
    <n v="4912.8857407407413"/>
    <s v="DEV5508"/>
    <x v="0"/>
    <x v="1"/>
    <x v="3"/>
    <s v="Zimbabwe"/>
    <s v="Comoros"/>
    <s v="Delivered by Post"/>
    <x v="0"/>
    <x v="0"/>
    <x v="0"/>
  </r>
  <r>
    <s v="T0998"/>
    <x v="30"/>
    <n v="1"/>
    <x v="1"/>
    <x v="2"/>
    <d v="2025-12-04T00:00:00"/>
    <n v="1441.16"/>
    <n v="4912.8857407407413"/>
    <s v="DEV1554"/>
    <x v="4"/>
    <x v="0"/>
    <x v="3"/>
    <s v="New Zealand"/>
    <s v="Canada"/>
    <s v="Picked Up"/>
    <x v="0"/>
    <x v="0"/>
    <x v="1"/>
  </r>
  <r>
    <s v="T1036"/>
    <x v="30"/>
    <n v="1"/>
    <x v="1"/>
    <x v="1"/>
    <d v="2025-10-28T00:00:00"/>
    <n v="6203.68"/>
    <n v="4912.8857407407413"/>
    <s v="DEV6149"/>
    <x v="2"/>
    <x v="3"/>
    <x v="4"/>
    <s v="Comoros"/>
    <s v="Norway"/>
    <s v="Delivered by Post"/>
    <x v="1"/>
    <x v="1"/>
    <x v="0"/>
  </r>
  <r>
    <s v="T1121"/>
    <x v="30"/>
    <n v="1"/>
    <x v="0"/>
    <x v="2"/>
    <d v="2025-04-05T00:00:00"/>
    <n v="4814.26"/>
    <n v="4912.8857407407413"/>
    <s v="DEV2104"/>
    <x v="3"/>
    <x v="1"/>
    <x v="5"/>
    <s v="New Zealand"/>
    <s v="Comoros"/>
    <s v="Picked Up"/>
    <x v="0"/>
    <x v="0"/>
    <x v="0"/>
  </r>
  <r>
    <s v="T1138"/>
    <x v="30"/>
    <n v="1"/>
    <x v="1"/>
    <x v="2"/>
    <d v="2025-10-27T00:00:00"/>
    <n v="1746.06"/>
    <n v="4912.8857407407413"/>
    <s v="DEV3979"/>
    <x v="0"/>
    <x v="0"/>
    <x v="4"/>
    <s v="New Zealand"/>
    <s v="New Zealand"/>
    <s v="Picked Up"/>
    <x v="0"/>
    <x v="1"/>
    <x v="0"/>
  </r>
  <r>
    <s v="T1155"/>
    <x v="30"/>
    <n v="1"/>
    <x v="0"/>
    <x v="2"/>
    <d v="2025-07-20T00:00:00"/>
    <n v="1541.5"/>
    <n v="4912.8857407407413"/>
    <s v="DEV5972"/>
    <x v="2"/>
    <x v="3"/>
    <x v="0"/>
    <s v="Romania"/>
    <s v="Comoros"/>
    <s v="Delivered by Post"/>
    <x v="0"/>
    <x v="1"/>
    <x v="0"/>
  </r>
  <r>
    <s v="T1162"/>
    <x v="30"/>
    <n v="1"/>
    <x v="1"/>
    <x v="3"/>
    <d v="2025-11-14T00:00:00"/>
    <n v="2503.5300000000002"/>
    <n v="4912.8857407407413"/>
    <s v="DEV3394"/>
    <x v="4"/>
    <x v="3"/>
    <x v="4"/>
    <s v="New Zealand"/>
    <s v="Turkmenistan"/>
    <s v="Picked Up"/>
    <x v="0"/>
    <x v="1"/>
    <x v="1"/>
  </r>
  <r>
    <s v="T1194"/>
    <x v="30"/>
    <n v="1"/>
    <x v="0"/>
    <x v="0"/>
    <d v="2025-08-21T00:00:00"/>
    <n v="2558.96"/>
    <n v="4912.8857407407413"/>
    <s v="DEV6527"/>
    <x v="3"/>
    <x v="1"/>
    <x v="2"/>
    <s v="New Zealand"/>
    <s v="France"/>
    <s v="Delivered by Post"/>
    <x v="0"/>
    <x v="0"/>
    <x v="0"/>
  </r>
  <r>
    <s v="T1242"/>
    <x v="30"/>
    <n v="1"/>
    <x v="1"/>
    <x v="3"/>
    <d v="2025-09-27T00:00:00"/>
    <n v="9558.9"/>
    <n v="4912.8857407407413"/>
    <s v="DEV9520"/>
    <x v="4"/>
    <x v="2"/>
    <x v="0"/>
    <s v="Canada"/>
    <s v="Bhutan"/>
    <s v="Delivered by Post"/>
    <x v="1"/>
    <x v="1"/>
    <x v="1"/>
  </r>
  <r>
    <s v="T1308"/>
    <x v="30"/>
    <n v="1"/>
    <x v="0"/>
    <x v="0"/>
    <d v="2025-11-03T00:00:00"/>
    <n v="451.81"/>
    <n v="4912.8857407407413"/>
    <s v="DEV1045"/>
    <x v="4"/>
    <x v="2"/>
    <x v="4"/>
    <s v="New Zealand"/>
    <s v="New Zealand"/>
    <s v="Picked Up"/>
    <x v="0"/>
    <x v="1"/>
    <x v="0"/>
  </r>
  <r>
    <s v="T1352"/>
    <x v="30"/>
    <n v="1"/>
    <x v="1"/>
    <x v="2"/>
    <d v="2025-12-08T00:00:00"/>
    <n v="5365.11"/>
    <n v="4912.8857407407413"/>
    <s v="DEV3790"/>
    <x v="3"/>
    <x v="0"/>
    <x v="2"/>
    <s v="Norway"/>
    <s v="Zimbabwe"/>
    <s v="Delivered by Post"/>
    <x v="1"/>
    <x v="0"/>
    <x v="0"/>
  </r>
  <r>
    <s v="T1473"/>
    <x v="30"/>
    <n v="1"/>
    <x v="1"/>
    <x v="0"/>
    <d v="2025-07-06T00:00:00"/>
    <n v="5314.93"/>
    <n v="4912.8857407407413"/>
    <s v="DEV7078"/>
    <x v="2"/>
    <x v="1"/>
    <x v="0"/>
    <s v="New Zealand"/>
    <s v="Comoros"/>
    <s v="Picked Up"/>
    <x v="1"/>
    <x v="0"/>
    <x v="0"/>
  </r>
  <r>
    <s v="T1487"/>
    <x v="30"/>
    <n v="1"/>
    <x v="0"/>
    <x v="1"/>
    <d v="2025-02-06T00:00:00"/>
    <n v="2061.7399999999998"/>
    <n v="4912.8857407407413"/>
    <s v="DEV5224"/>
    <x v="4"/>
    <x v="0"/>
    <x v="0"/>
    <s v="New Zealand"/>
    <s v="Turkmenistan"/>
    <s v="Delivered by Post"/>
    <x v="0"/>
    <x v="0"/>
    <x v="1"/>
  </r>
  <r>
    <s v="T1546"/>
    <x v="30"/>
    <n v="1"/>
    <x v="1"/>
    <x v="0"/>
    <d v="2025-09-19T00:00:00"/>
    <n v="4001.11"/>
    <n v="4912.8857407407413"/>
    <s v="DEV7374"/>
    <x v="2"/>
    <x v="1"/>
    <x v="2"/>
    <s v="Turkmenistan"/>
    <s v="Norway"/>
    <s v="Picked Up"/>
    <x v="0"/>
    <x v="0"/>
    <x v="0"/>
  </r>
  <r>
    <s v="T1643"/>
    <x v="30"/>
    <n v="1"/>
    <x v="0"/>
    <x v="0"/>
    <d v="2025-09-20T00:00:00"/>
    <n v="8131.07"/>
    <n v="4912.8857407407413"/>
    <s v="DEV2759"/>
    <x v="4"/>
    <x v="1"/>
    <x v="3"/>
    <s v="Comoros"/>
    <s v="Romania"/>
    <s v="Delivered by Post"/>
    <x v="1"/>
    <x v="0"/>
    <x v="1"/>
  </r>
  <r>
    <s v="T1694"/>
    <x v="30"/>
    <n v="1"/>
    <x v="0"/>
    <x v="0"/>
    <d v="2025-01-12T00:00:00"/>
    <n v="9999.75"/>
    <n v="4912.8857407407413"/>
    <s v="DEV9438"/>
    <x v="4"/>
    <x v="2"/>
    <x v="0"/>
    <s v="Bhutan"/>
    <s v="Zimbabwe"/>
    <s v="Picked Up"/>
    <x v="1"/>
    <x v="1"/>
    <x v="1"/>
  </r>
  <r>
    <s v="T1782"/>
    <x v="30"/>
    <n v="1"/>
    <x v="0"/>
    <x v="2"/>
    <d v="2025-12-21T00:00:00"/>
    <n v="9512.67"/>
    <n v="4912.8857407407413"/>
    <s v="DEV5112"/>
    <x v="2"/>
    <x v="3"/>
    <x v="0"/>
    <s v="Canada"/>
    <s v="France"/>
    <s v="Delivered by Post"/>
    <x v="1"/>
    <x v="1"/>
    <x v="0"/>
  </r>
  <r>
    <s v="T1794"/>
    <x v="30"/>
    <n v="1"/>
    <x v="0"/>
    <x v="1"/>
    <d v="2025-04-04T00:00:00"/>
    <n v="7023.39"/>
    <n v="4912.8857407407413"/>
    <s v="DEV4004"/>
    <x v="0"/>
    <x v="1"/>
    <x v="4"/>
    <s v="France"/>
    <s v="Zimbabwe"/>
    <s v="Picked Up"/>
    <x v="1"/>
    <x v="0"/>
    <x v="0"/>
  </r>
  <r>
    <s v="T2020"/>
    <x v="30"/>
    <n v="1"/>
    <x v="0"/>
    <x v="0"/>
    <d v="2025-04-21T00:00:00"/>
    <n v="3482.56"/>
    <n v="4912.8857407407413"/>
    <s v="DEV9348"/>
    <x v="2"/>
    <x v="0"/>
    <x v="1"/>
    <s v="France"/>
    <s v="Zimbabwe"/>
    <s v="Picked Up"/>
    <x v="0"/>
    <x v="0"/>
    <x v="0"/>
  </r>
  <r>
    <s v="T2038"/>
    <x v="30"/>
    <n v="1"/>
    <x v="0"/>
    <x v="3"/>
    <d v="2025-09-10T00:00:00"/>
    <n v="6734.03"/>
    <n v="4912.8857407407413"/>
    <s v="DEV2872"/>
    <x v="1"/>
    <x v="3"/>
    <x v="2"/>
    <s v="Zimbabwe"/>
    <s v="Canada"/>
    <s v="Picked Up"/>
    <x v="1"/>
    <x v="1"/>
    <x v="0"/>
  </r>
  <r>
    <s v="T2058"/>
    <x v="30"/>
    <n v="1"/>
    <x v="0"/>
    <x v="1"/>
    <d v="2025-10-30T00:00:00"/>
    <n v="5536.79"/>
    <n v="4912.8857407407413"/>
    <s v="DEV7495"/>
    <x v="4"/>
    <x v="0"/>
    <x v="5"/>
    <s v="Turkmenistan"/>
    <s v="Comoros"/>
    <s v="Picked Up"/>
    <x v="1"/>
    <x v="0"/>
    <x v="1"/>
  </r>
  <r>
    <s v="T2126"/>
    <x v="30"/>
    <n v="1"/>
    <x v="0"/>
    <x v="1"/>
    <d v="2025-06-06T00:00:00"/>
    <n v="6585.78"/>
    <n v="4912.8857407407413"/>
    <s v="DEV3812"/>
    <x v="3"/>
    <x v="3"/>
    <x v="2"/>
    <s v="Turkmenistan"/>
    <s v="Romania"/>
    <s v="Picked Up"/>
    <x v="1"/>
    <x v="1"/>
    <x v="0"/>
  </r>
  <r>
    <s v="T2196"/>
    <x v="30"/>
    <n v="1"/>
    <x v="1"/>
    <x v="1"/>
    <d v="2025-09-15T00:00:00"/>
    <n v="3257.65"/>
    <n v="4912.8857407407413"/>
    <s v="DEV9004"/>
    <x v="4"/>
    <x v="1"/>
    <x v="1"/>
    <s v="Zimbabwe"/>
    <s v="Zimbabwe"/>
    <s v="Delivered by Post"/>
    <x v="0"/>
    <x v="1"/>
    <x v="0"/>
  </r>
  <r>
    <s v="T2201"/>
    <x v="30"/>
    <n v="1"/>
    <x v="1"/>
    <x v="2"/>
    <d v="2025-12-02T00:00:00"/>
    <n v="3846.63"/>
    <n v="4912.8857407407413"/>
    <s v="DEV1807"/>
    <x v="1"/>
    <x v="0"/>
    <x v="1"/>
    <s v="Canada"/>
    <s v="Romania"/>
    <s v="Picked Up"/>
    <x v="0"/>
    <x v="0"/>
    <x v="0"/>
  </r>
  <r>
    <s v="T2268"/>
    <x v="30"/>
    <n v="1"/>
    <x v="0"/>
    <x v="1"/>
    <d v="2025-09-27T00:00:00"/>
    <n v="94.67"/>
    <n v="4912.8857407407413"/>
    <s v="DEV6115"/>
    <x v="4"/>
    <x v="0"/>
    <x v="0"/>
    <s v="Canada"/>
    <s v="Norway"/>
    <s v="Picked Up"/>
    <x v="0"/>
    <x v="0"/>
    <x v="1"/>
  </r>
  <r>
    <s v="T2284"/>
    <x v="30"/>
    <n v="1"/>
    <x v="1"/>
    <x v="1"/>
    <d v="2025-07-27T00:00:00"/>
    <n v="2319.14"/>
    <n v="4912.8857407407413"/>
    <s v="DEV3267"/>
    <x v="3"/>
    <x v="3"/>
    <x v="1"/>
    <s v="Norway"/>
    <s v="Canada"/>
    <s v="Picked Up"/>
    <x v="0"/>
    <x v="1"/>
    <x v="0"/>
  </r>
  <r>
    <s v="T2402"/>
    <x v="30"/>
    <n v="1"/>
    <x v="0"/>
    <x v="2"/>
    <d v="2025-06-16T00:00:00"/>
    <n v="6786.16"/>
    <n v="4912.8857407407413"/>
    <s v="DEV8169"/>
    <x v="0"/>
    <x v="0"/>
    <x v="0"/>
    <s v="Norway"/>
    <s v="Norway"/>
    <s v="Picked Up"/>
    <x v="1"/>
    <x v="1"/>
    <x v="0"/>
  </r>
  <r>
    <s v="T2520"/>
    <x v="30"/>
    <n v="1"/>
    <x v="0"/>
    <x v="0"/>
    <d v="2025-07-03T00:00:00"/>
    <n v="7612.56"/>
    <n v="4912.8857407407413"/>
    <s v="DEV7544"/>
    <x v="0"/>
    <x v="2"/>
    <x v="0"/>
    <s v="Norway"/>
    <s v="Comoros"/>
    <s v="Delivered by Post"/>
    <x v="1"/>
    <x v="1"/>
    <x v="0"/>
  </r>
  <r>
    <s v="T2547"/>
    <x v="30"/>
    <n v="1"/>
    <x v="1"/>
    <x v="2"/>
    <d v="2025-10-26T00:00:00"/>
    <n v="4053.49"/>
    <n v="4912.8857407407413"/>
    <s v="DEV2342"/>
    <x v="0"/>
    <x v="0"/>
    <x v="0"/>
    <s v="Norway"/>
    <s v="Zimbabwe"/>
    <s v="Delivered by Post"/>
    <x v="0"/>
    <x v="0"/>
    <x v="0"/>
  </r>
  <r>
    <s v="T2569"/>
    <x v="30"/>
    <n v="1"/>
    <x v="1"/>
    <x v="2"/>
    <d v="2025-03-22T00:00:00"/>
    <n v="6522.15"/>
    <n v="4912.8857407407413"/>
    <s v="DEV9045"/>
    <x v="4"/>
    <x v="0"/>
    <x v="0"/>
    <s v="Zimbabwe"/>
    <s v="New Zealand"/>
    <s v="Delivered by Post"/>
    <x v="1"/>
    <x v="0"/>
    <x v="1"/>
  </r>
  <r>
    <s v="T2609"/>
    <x v="30"/>
    <n v="1"/>
    <x v="1"/>
    <x v="1"/>
    <d v="2025-12-23T00:00:00"/>
    <n v="8626.82"/>
    <n v="4912.8857407407413"/>
    <s v="DEV7729"/>
    <x v="4"/>
    <x v="3"/>
    <x v="4"/>
    <s v="Canada"/>
    <s v="Norway"/>
    <s v="Delivered by Post"/>
    <x v="1"/>
    <x v="1"/>
    <x v="1"/>
  </r>
  <r>
    <s v="T2620"/>
    <x v="30"/>
    <n v="1"/>
    <x v="0"/>
    <x v="1"/>
    <d v="2025-01-12T00:00:00"/>
    <n v="5679.53"/>
    <n v="4912.8857407407413"/>
    <s v="DEV2428"/>
    <x v="4"/>
    <x v="3"/>
    <x v="0"/>
    <s v="New Zealand"/>
    <s v="Comoros"/>
    <s v="Delivered by Post"/>
    <x v="1"/>
    <x v="1"/>
    <x v="1"/>
  </r>
  <r>
    <s v="T2704"/>
    <x v="30"/>
    <n v="1"/>
    <x v="1"/>
    <x v="0"/>
    <d v="2025-08-23T00:00:00"/>
    <n v="6942.6"/>
    <n v="4912.8857407407413"/>
    <s v="DEV4339"/>
    <x v="1"/>
    <x v="2"/>
    <x v="3"/>
    <s v="France"/>
    <s v="Romania"/>
    <s v="Delivered by Post"/>
    <x v="1"/>
    <x v="1"/>
    <x v="0"/>
  </r>
  <r>
    <s v="T2839"/>
    <x v="30"/>
    <n v="1"/>
    <x v="1"/>
    <x v="3"/>
    <d v="2025-06-25T00:00:00"/>
    <n v="6314.52"/>
    <n v="4912.8857407407413"/>
    <s v="DEV8222"/>
    <x v="0"/>
    <x v="0"/>
    <x v="4"/>
    <s v="Norway"/>
    <s v="Comoros"/>
    <s v="Delivered by Post"/>
    <x v="1"/>
    <x v="0"/>
    <x v="0"/>
  </r>
  <r>
    <s v="T2840"/>
    <x v="30"/>
    <n v="1"/>
    <x v="1"/>
    <x v="0"/>
    <d v="2025-05-28T00:00:00"/>
    <n v="9472.7900000000009"/>
    <n v="4912.8857407407413"/>
    <s v="DEV2594"/>
    <x v="3"/>
    <x v="1"/>
    <x v="4"/>
    <s v="Bhutan"/>
    <s v="Zimbabwe"/>
    <s v="Delivered by Post"/>
    <x v="1"/>
    <x v="0"/>
    <x v="0"/>
  </r>
  <r>
    <s v="T2843"/>
    <x v="30"/>
    <n v="1"/>
    <x v="0"/>
    <x v="1"/>
    <d v="2025-11-05T00:00:00"/>
    <n v="1929.99"/>
    <n v="4912.8857407407413"/>
    <s v="DEV1711"/>
    <x v="3"/>
    <x v="1"/>
    <x v="2"/>
    <s v="Zimbabwe"/>
    <s v="Norway"/>
    <s v="Delivered by Post"/>
    <x v="0"/>
    <x v="0"/>
    <x v="0"/>
  </r>
  <r>
    <s v="T0010"/>
    <x v="31"/>
    <n v="1"/>
    <x v="3"/>
    <x v="0"/>
    <d v="2025-06-24T22:48:00"/>
    <n v="5663.63"/>
    <n v="4981.743968253968"/>
    <s v="DEV5937"/>
    <x v="4"/>
    <x v="2"/>
    <x v="2"/>
    <s v="Tokelau"/>
    <s v="Netherlands"/>
    <s v="Delivered by Post"/>
    <x v="1"/>
    <x v="1"/>
    <x v="1"/>
  </r>
  <r>
    <s v="T0070"/>
    <x v="31"/>
    <n v="1"/>
    <x v="0"/>
    <x v="3"/>
    <d v="2025-07-05T22:19:00"/>
    <n v="949.45"/>
    <n v="4981.743968253968"/>
    <s v="DEV4984"/>
    <x v="1"/>
    <x v="0"/>
    <x v="4"/>
    <s v="Tokelau"/>
    <s v="Greenland"/>
    <s v="Picked Up"/>
    <x v="0"/>
    <x v="0"/>
    <x v="0"/>
  </r>
  <r>
    <s v="T0089"/>
    <x v="31"/>
    <n v="1"/>
    <x v="0"/>
    <x v="4"/>
    <d v="2025-06-23T13:01:00"/>
    <n v="1737.71"/>
    <n v="4981.743968253968"/>
    <s v="DEV4073"/>
    <x v="5"/>
    <x v="3"/>
    <x v="2"/>
    <s v="Tokelau"/>
    <s v="Congo"/>
    <s v="Delivered by Post"/>
    <x v="0"/>
    <x v="1"/>
    <x v="1"/>
  </r>
  <r>
    <s v="T0118"/>
    <x v="31"/>
    <n v="1"/>
    <x v="0"/>
    <x v="1"/>
    <d v="2025-07-14T00:00:00"/>
    <n v="4839.5200000000004"/>
    <n v="4981.743968253968"/>
    <s v="DEV7396"/>
    <x v="4"/>
    <x v="1"/>
    <x v="1"/>
    <s v="Bhutan"/>
    <s v="Turkmenistan"/>
    <s v="Delivered by Post"/>
    <x v="0"/>
    <x v="0"/>
    <x v="1"/>
  </r>
  <r>
    <s v="T0141"/>
    <x v="31"/>
    <n v="1"/>
    <x v="1"/>
    <x v="1"/>
    <d v="2025-08-28T00:00:00"/>
    <n v="338.8"/>
    <n v="4981.743968253968"/>
    <s v="DEV9751"/>
    <x v="1"/>
    <x v="1"/>
    <x v="5"/>
    <s v="Canada"/>
    <s v="Zimbabwe"/>
    <s v="Delivered by Post"/>
    <x v="0"/>
    <x v="0"/>
    <x v="0"/>
  </r>
  <r>
    <s v="T0165"/>
    <x v="31"/>
    <n v="1"/>
    <x v="1"/>
    <x v="2"/>
    <d v="2025-09-05T00:00:00"/>
    <n v="9329.9"/>
    <n v="4981.743968253968"/>
    <s v="DEV4993"/>
    <x v="0"/>
    <x v="2"/>
    <x v="4"/>
    <s v="Romania"/>
    <s v="Turkmenistan"/>
    <s v="Picked Up"/>
    <x v="1"/>
    <x v="1"/>
    <x v="0"/>
  </r>
  <r>
    <s v="T0233"/>
    <x v="31"/>
    <n v="1"/>
    <x v="1"/>
    <x v="2"/>
    <d v="2025-05-06T00:00:00"/>
    <n v="8895.52"/>
    <n v="4981.743968253968"/>
    <s v="DEV7653"/>
    <x v="4"/>
    <x v="1"/>
    <x v="2"/>
    <s v="Canada"/>
    <s v="Norway"/>
    <s v="Delivered by Post"/>
    <x v="1"/>
    <x v="0"/>
    <x v="1"/>
  </r>
  <r>
    <s v="T0301"/>
    <x v="31"/>
    <n v="1"/>
    <x v="0"/>
    <x v="3"/>
    <d v="2025-01-17T00:00:00"/>
    <n v="1714.17"/>
    <n v="4981.743968253968"/>
    <s v="DEV4683"/>
    <x v="2"/>
    <x v="3"/>
    <x v="0"/>
    <s v="Comoros"/>
    <s v="Comoros"/>
    <s v="Picked Up"/>
    <x v="0"/>
    <x v="1"/>
    <x v="0"/>
  </r>
  <r>
    <s v="T0306"/>
    <x v="31"/>
    <n v="1"/>
    <x v="1"/>
    <x v="2"/>
    <d v="2025-08-20T00:00:00"/>
    <n v="1464.61"/>
    <n v="4981.743968253968"/>
    <s v="DEV2525"/>
    <x v="0"/>
    <x v="3"/>
    <x v="3"/>
    <s v="New Zealand"/>
    <s v="Comoros"/>
    <s v="Delivered by Post"/>
    <x v="0"/>
    <x v="1"/>
    <x v="0"/>
  </r>
  <r>
    <s v="T0320"/>
    <x v="31"/>
    <n v="1"/>
    <x v="1"/>
    <x v="1"/>
    <d v="2025-07-10T00:00:00"/>
    <n v="9532.51"/>
    <n v="4981.743968253968"/>
    <s v="DEV5403"/>
    <x v="1"/>
    <x v="0"/>
    <x v="1"/>
    <s v="Bhutan"/>
    <s v="France"/>
    <s v="Picked Up"/>
    <x v="1"/>
    <x v="0"/>
    <x v="0"/>
  </r>
  <r>
    <s v="T0327"/>
    <x v="31"/>
    <n v="1"/>
    <x v="0"/>
    <x v="3"/>
    <d v="2025-02-17T00:00:00"/>
    <n v="9613.7900000000009"/>
    <n v="4981.743968253968"/>
    <s v="DEV4792"/>
    <x v="2"/>
    <x v="1"/>
    <x v="3"/>
    <s v="New Zealand"/>
    <s v="Comoros"/>
    <s v="Picked Up"/>
    <x v="1"/>
    <x v="0"/>
    <x v="0"/>
  </r>
  <r>
    <s v="T0361"/>
    <x v="31"/>
    <n v="1"/>
    <x v="1"/>
    <x v="3"/>
    <d v="2025-06-26T00:00:00"/>
    <n v="5960.73"/>
    <n v="4981.743968253968"/>
    <s v="DEV5237"/>
    <x v="1"/>
    <x v="3"/>
    <x v="2"/>
    <s v="Bhutan"/>
    <s v="Canada"/>
    <s v="Picked Up"/>
    <x v="1"/>
    <x v="1"/>
    <x v="0"/>
  </r>
  <r>
    <s v="T0391"/>
    <x v="31"/>
    <n v="1"/>
    <x v="1"/>
    <x v="0"/>
    <d v="2025-05-11T00:00:00"/>
    <n v="1447.47"/>
    <n v="4981.743968253968"/>
    <s v="DEV4209"/>
    <x v="3"/>
    <x v="0"/>
    <x v="4"/>
    <s v="Romania"/>
    <s v="Comoros"/>
    <s v="Picked Up"/>
    <x v="0"/>
    <x v="0"/>
    <x v="0"/>
  </r>
  <r>
    <s v="T0444"/>
    <x v="31"/>
    <n v="1"/>
    <x v="1"/>
    <x v="3"/>
    <d v="2025-07-25T00:00:00"/>
    <n v="4268.2299999999996"/>
    <n v="4981.743968253968"/>
    <s v="DEV8384"/>
    <x v="3"/>
    <x v="2"/>
    <x v="5"/>
    <s v="Romania"/>
    <s v="Zimbabwe"/>
    <s v="Delivered by Post"/>
    <x v="0"/>
    <x v="1"/>
    <x v="0"/>
  </r>
  <r>
    <s v="T0446"/>
    <x v="31"/>
    <n v="1"/>
    <x v="0"/>
    <x v="2"/>
    <d v="2025-02-20T00:00:00"/>
    <n v="3035.34"/>
    <n v="4981.743968253968"/>
    <s v="DEV3676"/>
    <x v="1"/>
    <x v="2"/>
    <x v="1"/>
    <s v="Comoros"/>
    <s v="Zimbabwe"/>
    <s v="Delivered by Post"/>
    <x v="0"/>
    <x v="1"/>
    <x v="0"/>
  </r>
  <r>
    <s v="T0547"/>
    <x v="31"/>
    <n v="1"/>
    <x v="0"/>
    <x v="2"/>
    <d v="2025-05-17T00:00:00"/>
    <n v="1531.1"/>
    <n v="4981.743968253968"/>
    <s v="DEV6403"/>
    <x v="0"/>
    <x v="0"/>
    <x v="5"/>
    <s v="Comoros"/>
    <s v="Comoros"/>
    <s v="Delivered by Post"/>
    <x v="0"/>
    <x v="1"/>
    <x v="0"/>
  </r>
  <r>
    <s v="T0551"/>
    <x v="31"/>
    <n v="1"/>
    <x v="1"/>
    <x v="2"/>
    <d v="2025-10-01T00:00:00"/>
    <n v="3918.24"/>
    <n v="4981.743968253968"/>
    <s v="DEV1268"/>
    <x v="1"/>
    <x v="3"/>
    <x v="2"/>
    <s v="New Zealand"/>
    <s v="Canada"/>
    <s v="Delivered by Post"/>
    <x v="0"/>
    <x v="1"/>
    <x v="0"/>
  </r>
  <r>
    <s v="T0554"/>
    <x v="31"/>
    <n v="1"/>
    <x v="0"/>
    <x v="1"/>
    <d v="2025-08-07T00:00:00"/>
    <n v="5970.03"/>
    <n v="4981.743968253968"/>
    <s v="DEV7586"/>
    <x v="4"/>
    <x v="0"/>
    <x v="3"/>
    <s v="Turkmenistan"/>
    <s v="Norway"/>
    <s v="Delivered by Post"/>
    <x v="1"/>
    <x v="0"/>
    <x v="1"/>
  </r>
  <r>
    <s v="T0645"/>
    <x v="31"/>
    <n v="1"/>
    <x v="1"/>
    <x v="1"/>
    <d v="2025-07-03T00:00:00"/>
    <n v="8020.95"/>
    <n v="4981.743968253968"/>
    <s v="DEV2574"/>
    <x v="4"/>
    <x v="2"/>
    <x v="4"/>
    <s v="Comoros"/>
    <s v="Bhutan"/>
    <s v="Delivered by Post"/>
    <x v="1"/>
    <x v="1"/>
    <x v="1"/>
  </r>
  <r>
    <s v="T0656"/>
    <x v="31"/>
    <n v="1"/>
    <x v="1"/>
    <x v="1"/>
    <d v="2026-01-01T00:00:00"/>
    <n v="4026.82"/>
    <n v="4981.743968253968"/>
    <s v="DEV9655"/>
    <x v="1"/>
    <x v="1"/>
    <x v="5"/>
    <s v="New Zealand"/>
    <s v="Turkmenistan"/>
    <s v="Picked Up"/>
    <x v="0"/>
    <x v="0"/>
    <x v="0"/>
  </r>
  <r>
    <s v="T0769"/>
    <x v="31"/>
    <n v="1"/>
    <x v="1"/>
    <x v="1"/>
    <d v="2025-12-07T00:00:00"/>
    <n v="6815.81"/>
    <n v="4981.743968253968"/>
    <s v="DEV1562"/>
    <x v="2"/>
    <x v="3"/>
    <x v="1"/>
    <s v="Turkmenistan"/>
    <s v="Zimbabwe"/>
    <s v="Delivered by Post"/>
    <x v="1"/>
    <x v="1"/>
    <x v="0"/>
  </r>
  <r>
    <s v="T0802"/>
    <x v="31"/>
    <n v="1"/>
    <x v="0"/>
    <x v="1"/>
    <d v="2025-05-08T00:00:00"/>
    <n v="872.02"/>
    <n v="4981.743968253968"/>
    <s v="DEV2884"/>
    <x v="4"/>
    <x v="2"/>
    <x v="3"/>
    <s v="Bhutan"/>
    <s v="Romania"/>
    <s v="Delivered by Post"/>
    <x v="0"/>
    <x v="1"/>
    <x v="1"/>
  </r>
  <r>
    <s v="T0857"/>
    <x v="31"/>
    <n v="1"/>
    <x v="0"/>
    <x v="2"/>
    <d v="2025-09-15T00:00:00"/>
    <n v="7511.94"/>
    <n v="4981.743968253968"/>
    <s v="DEV1534"/>
    <x v="4"/>
    <x v="1"/>
    <x v="0"/>
    <s v="Romania"/>
    <s v="Comoros"/>
    <s v="Delivered by Post"/>
    <x v="1"/>
    <x v="0"/>
    <x v="1"/>
  </r>
  <r>
    <s v="T0883"/>
    <x v="31"/>
    <n v="1"/>
    <x v="0"/>
    <x v="2"/>
    <d v="2025-07-17T00:00:00"/>
    <n v="649.66"/>
    <n v="4981.743968253968"/>
    <s v="DEV8989"/>
    <x v="1"/>
    <x v="3"/>
    <x v="0"/>
    <s v="Turkmenistan"/>
    <s v="Turkmenistan"/>
    <s v="Delivered by Post"/>
    <x v="0"/>
    <x v="1"/>
    <x v="0"/>
  </r>
  <r>
    <s v="T0956"/>
    <x v="31"/>
    <n v="1"/>
    <x v="1"/>
    <x v="0"/>
    <d v="2025-07-01T00:00:00"/>
    <n v="2667.41"/>
    <n v="4981.743968253968"/>
    <s v="DEV4644"/>
    <x v="1"/>
    <x v="3"/>
    <x v="0"/>
    <s v="Turkmenistan"/>
    <s v="New Zealand"/>
    <s v="Delivered by Post"/>
    <x v="0"/>
    <x v="1"/>
    <x v="0"/>
  </r>
  <r>
    <s v="T1038"/>
    <x v="31"/>
    <n v="1"/>
    <x v="0"/>
    <x v="1"/>
    <d v="2025-04-14T00:00:00"/>
    <n v="4620.25"/>
    <n v="4981.743968253968"/>
    <s v="DEV1538"/>
    <x v="0"/>
    <x v="0"/>
    <x v="1"/>
    <s v="Turkmenistan"/>
    <s v="Zimbabwe"/>
    <s v="Delivered by Post"/>
    <x v="0"/>
    <x v="0"/>
    <x v="0"/>
  </r>
  <r>
    <s v="T1076"/>
    <x v="31"/>
    <n v="1"/>
    <x v="0"/>
    <x v="3"/>
    <d v="2025-09-23T00:00:00"/>
    <n v="7731.48"/>
    <n v="4981.743968253968"/>
    <s v="DEV2034"/>
    <x v="4"/>
    <x v="1"/>
    <x v="3"/>
    <s v="Canada"/>
    <s v="Turkmenistan"/>
    <s v="Picked Up"/>
    <x v="1"/>
    <x v="0"/>
    <x v="1"/>
  </r>
  <r>
    <s v="T1190"/>
    <x v="31"/>
    <n v="1"/>
    <x v="1"/>
    <x v="1"/>
    <d v="2025-07-27T00:00:00"/>
    <n v="1486.34"/>
    <n v="4981.743968253968"/>
    <s v="DEV4428"/>
    <x v="2"/>
    <x v="0"/>
    <x v="0"/>
    <s v="Canada"/>
    <s v="Canada"/>
    <s v="Picked Up"/>
    <x v="0"/>
    <x v="1"/>
    <x v="0"/>
  </r>
  <r>
    <s v="T1199"/>
    <x v="31"/>
    <n v="1"/>
    <x v="0"/>
    <x v="3"/>
    <d v="2025-11-22T00:00:00"/>
    <n v="3698.42"/>
    <n v="4981.743968253968"/>
    <s v="DEV2742"/>
    <x v="0"/>
    <x v="1"/>
    <x v="2"/>
    <s v="France"/>
    <s v="Bhutan"/>
    <s v="Delivered by Post"/>
    <x v="0"/>
    <x v="0"/>
    <x v="0"/>
  </r>
  <r>
    <s v="T1221"/>
    <x v="31"/>
    <n v="1"/>
    <x v="1"/>
    <x v="1"/>
    <d v="2025-07-10T00:00:00"/>
    <n v="5100.22"/>
    <n v="4981.743968253968"/>
    <s v="DEV2267"/>
    <x v="2"/>
    <x v="1"/>
    <x v="0"/>
    <s v="Bhutan"/>
    <s v="Romania"/>
    <s v="Picked Up"/>
    <x v="1"/>
    <x v="0"/>
    <x v="0"/>
  </r>
  <r>
    <s v="T1272"/>
    <x v="31"/>
    <n v="1"/>
    <x v="0"/>
    <x v="0"/>
    <d v="2025-05-26T00:00:00"/>
    <n v="3118.43"/>
    <n v="4981.743968253968"/>
    <s v="DEV4027"/>
    <x v="1"/>
    <x v="2"/>
    <x v="5"/>
    <s v="Zimbabwe"/>
    <s v="New Zealand"/>
    <s v="Picked Up"/>
    <x v="0"/>
    <x v="1"/>
    <x v="0"/>
  </r>
  <r>
    <s v="T1414"/>
    <x v="31"/>
    <n v="1"/>
    <x v="0"/>
    <x v="3"/>
    <d v="2025-04-12T00:00:00"/>
    <n v="345.36"/>
    <n v="4981.743968253968"/>
    <s v="DEV4282"/>
    <x v="2"/>
    <x v="1"/>
    <x v="0"/>
    <s v="Comoros"/>
    <s v="France"/>
    <s v="Delivered by Post"/>
    <x v="0"/>
    <x v="0"/>
    <x v="0"/>
  </r>
  <r>
    <s v="T1420"/>
    <x v="31"/>
    <n v="1"/>
    <x v="1"/>
    <x v="3"/>
    <d v="2025-05-08T00:00:00"/>
    <n v="2902.22"/>
    <n v="4981.743968253968"/>
    <s v="DEV3854"/>
    <x v="4"/>
    <x v="1"/>
    <x v="0"/>
    <s v="Romania"/>
    <s v="Turkmenistan"/>
    <s v="Delivered by Post"/>
    <x v="0"/>
    <x v="0"/>
    <x v="1"/>
  </r>
  <r>
    <s v="T1476"/>
    <x v="31"/>
    <n v="1"/>
    <x v="0"/>
    <x v="2"/>
    <d v="2025-06-01T00:00:00"/>
    <n v="4596.34"/>
    <n v="4981.743968253968"/>
    <s v="DEV4029"/>
    <x v="1"/>
    <x v="0"/>
    <x v="5"/>
    <s v="Turkmenistan"/>
    <s v="Norway"/>
    <s v="Delivered by Post"/>
    <x v="0"/>
    <x v="0"/>
    <x v="0"/>
  </r>
  <r>
    <s v="T1504"/>
    <x v="31"/>
    <n v="1"/>
    <x v="1"/>
    <x v="1"/>
    <d v="2025-07-20T00:00:00"/>
    <n v="2164.54"/>
    <n v="4981.743968253968"/>
    <s v="DEV5683"/>
    <x v="1"/>
    <x v="1"/>
    <x v="5"/>
    <s v="France"/>
    <s v="Norway"/>
    <s v="Picked Up"/>
    <x v="0"/>
    <x v="0"/>
    <x v="0"/>
  </r>
  <r>
    <s v="T1516"/>
    <x v="31"/>
    <n v="1"/>
    <x v="0"/>
    <x v="0"/>
    <d v="2025-02-03T00:00:00"/>
    <n v="9874.66"/>
    <n v="4981.743968253968"/>
    <s v="DEV6896"/>
    <x v="2"/>
    <x v="2"/>
    <x v="3"/>
    <s v="Canada"/>
    <s v="Norway"/>
    <s v="Picked Up"/>
    <x v="1"/>
    <x v="1"/>
    <x v="0"/>
  </r>
  <r>
    <s v="T1538"/>
    <x v="31"/>
    <n v="1"/>
    <x v="0"/>
    <x v="2"/>
    <d v="2025-06-24T00:00:00"/>
    <n v="1980.26"/>
    <n v="4981.743968253968"/>
    <s v="DEV3418"/>
    <x v="3"/>
    <x v="1"/>
    <x v="4"/>
    <s v="Comoros"/>
    <s v="Norway"/>
    <s v="Delivered by Post"/>
    <x v="0"/>
    <x v="0"/>
    <x v="0"/>
  </r>
  <r>
    <s v="T1542"/>
    <x v="31"/>
    <n v="1"/>
    <x v="0"/>
    <x v="0"/>
    <d v="2025-04-12T00:00:00"/>
    <n v="9934.8700000000008"/>
    <n v="4981.743968253968"/>
    <s v="DEV6666"/>
    <x v="4"/>
    <x v="2"/>
    <x v="5"/>
    <s v="Bhutan"/>
    <s v="Norway"/>
    <s v="Picked Up"/>
    <x v="1"/>
    <x v="1"/>
    <x v="1"/>
  </r>
  <r>
    <s v="T1548"/>
    <x v="31"/>
    <n v="1"/>
    <x v="1"/>
    <x v="3"/>
    <d v="2025-10-01T00:00:00"/>
    <n v="6678.9"/>
    <n v="4981.743968253968"/>
    <s v="DEV7595"/>
    <x v="0"/>
    <x v="2"/>
    <x v="1"/>
    <s v="Comoros"/>
    <s v="France"/>
    <s v="Picked Up"/>
    <x v="1"/>
    <x v="1"/>
    <x v="0"/>
  </r>
  <r>
    <s v="T1592"/>
    <x v="31"/>
    <n v="1"/>
    <x v="0"/>
    <x v="1"/>
    <d v="2025-10-13T00:00:00"/>
    <n v="9456.2000000000007"/>
    <n v="4981.743968253968"/>
    <s v="DEV3978"/>
    <x v="3"/>
    <x v="0"/>
    <x v="1"/>
    <s v="France"/>
    <s v="Norway"/>
    <s v="Picked Up"/>
    <x v="1"/>
    <x v="0"/>
    <x v="0"/>
  </r>
  <r>
    <s v="T1707"/>
    <x v="31"/>
    <n v="1"/>
    <x v="1"/>
    <x v="2"/>
    <d v="2025-02-12T00:00:00"/>
    <n v="8461.18"/>
    <n v="4981.743968253968"/>
    <s v="DEV7714"/>
    <x v="2"/>
    <x v="2"/>
    <x v="0"/>
    <s v="New Zealand"/>
    <s v="Zimbabwe"/>
    <s v="Picked Up"/>
    <x v="1"/>
    <x v="1"/>
    <x v="0"/>
  </r>
  <r>
    <s v="T1828"/>
    <x v="31"/>
    <n v="1"/>
    <x v="0"/>
    <x v="2"/>
    <d v="2025-02-14T00:00:00"/>
    <n v="9906.26"/>
    <n v="4981.743968253968"/>
    <s v="DEV3938"/>
    <x v="1"/>
    <x v="2"/>
    <x v="3"/>
    <s v="New Zealand"/>
    <s v="Zimbabwe"/>
    <s v="Picked Up"/>
    <x v="1"/>
    <x v="1"/>
    <x v="0"/>
  </r>
  <r>
    <s v="T1889"/>
    <x v="31"/>
    <n v="1"/>
    <x v="1"/>
    <x v="0"/>
    <d v="2025-06-22T00:00:00"/>
    <n v="6420.19"/>
    <n v="4981.743968253968"/>
    <s v="DEV9986"/>
    <x v="1"/>
    <x v="2"/>
    <x v="3"/>
    <s v="Bhutan"/>
    <s v="Canada"/>
    <s v="Picked Up"/>
    <x v="1"/>
    <x v="1"/>
    <x v="0"/>
  </r>
  <r>
    <s v="T1964"/>
    <x v="31"/>
    <n v="1"/>
    <x v="0"/>
    <x v="2"/>
    <d v="2025-09-01T00:00:00"/>
    <n v="9342.17"/>
    <n v="4981.743968253968"/>
    <s v="DEV7037"/>
    <x v="0"/>
    <x v="1"/>
    <x v="1"/>
    <s v="Bhutan"/>
    <s v="Romania"/>
    <s v="Picked Up"/>
    <x v="1"/>
    <x v="0"/>
    <x v="0"/>
  </r>
  <r>
    <s v="T1989"/>
    <x v="31"/>
    <n v="1"/>
    <x v="0"/>
    <x v="3"/>
    <d v="2025-03-26T00:00:00"/>
    <n v="5652.84"/>
    <n v="4981.743968253968"/>
    <s v="DEV8408"/>
    <x v="1"/>
    <x v="2"/>
    <x v="0"/>
    <s v="Romania"/>
    <s v="Norway"/>
    <s v="Delivered by Post"/>
    <x v="1"/>
    <x v="1"/>
    <x v="0"/>
  </r>
  <r>
    <s v="T2091"/>
    <x v="31"/>
    <n v="1"/>
    <x v="1"/>
    <x v="0"/>
    <d v="2025-07-11T00:00:00"/>
    <n v="59.74"/>
    <n v="4981.743968253968"/>
    <s v="DEV1925"/>
    <x v="4"/>
    <x v="3"/>
    <x v="1"/>
    <s v="Canada"/>
    <s v="Canada"/>
    <s v="Picked Up"/>
    <x v="0"/>
    <x v="1"/>
    <x v="0"/>
  </r>
  <r>
    <s v="T2113"/>
    <x v="31"/>
    <n v="1"/>
    <x v="1"/>
    <x v="3"/>
    <d v="2025-08-02T00:00:00"/>
    <n v="1286.18"/>
    <n v="4981.743968253968"/>
    <s v="DEV9466"/>
    <x v="1"/>
    <x v="0"/>
    <x v="2"/>
    <s v="Bhutan"/>
    <s v="Zimbabwe"/>
    <s v="Delivered by Post"/>
    <x v="0"/>
    <x v="0"/>
    <x v="0"/>
  </r>
  <r>
    <s v="T2121"/>
    <x v="31"/>
    <n v="1"/>
    <x v="0"/>
    <x v="1"/>
    <d v="2025-12-28T00:00:00"/>
    <n v="8683.08"/>
    <n v="4981.743968253968"/>
    <s v="DEV7648"/>
    <x v="1"/>
    <x v="0"/>
    <x v="3"/>
    <s v="Turkmenistan"/>
    <s v="Bhutan"/>
    <s v="Picked Up"/>
    <x v="1"/>
    <x v="0"/>
    <x v="0"/>
  </r>
  <r>
    <s v="T2154"/>
    <x v="31"/>
    <n v="1"/>
    <x v="1"/>
    <x v="3"/>
    <d v="2025-12-17T00:00:00"/>
    <n v="2686.41"/>
    <n v="4981.743968253968"/>
    <s v="DEV4922"/>
    <x v="4"/>
    <x v="3"/>
    <x v="0"/>
    <s v="New Zealand"/>
    <s v="Romania"/>
    <s v="Delivered by Post"/>
    <x v="0"/>
    <x v="1"/>
    <x v="1"/>
  </r>
  <r>
    <s v="T2192"/>
    <x v="31"/>
    <n v="1"/>
    <x v="1"/>
    <x v="2"/>
    <d v="2025-06-19T00:00:00"/>
    <n v="127.87"/>
    <n v="4981.743968253968"/>
    <s v="DEV3445"/>
    <x v="2"/>
    <x v="2"/>
    <x v="1"/>
    <s v="Turkmenistan"/>
    <s v="Norway"/>
    <s v="Picked Up"/>
    <x v="0"/>
    <x v="1"/>
    <x v="0"/>
  </r>
  <r>
    <s v="T2275"/>
    <x v="31"/>
    <n v="1"/>
    <x v="1"/>
    <x v="1"/>
    <d v="2025-01-15T00:00:00"/>
    <n v="6112.58"/>
    <n v="4981.743968253968"/>
    <s v="DEV3115"/>
    <x v="4"/>
    <x v="0"/>
    <x v="5"/>
    <s v="Norway"/>
    <s v="Canada"/>
    <s v="Picked Up"/>
    <x v="1"/>
    <x v="0"/>
    <x v="1"/>
  </r>
  <r>
    <s v="T2353"/>
    <x v="31"/>
    <n v="1"/>
    <x v="1"/>
    <x v="1"/>
    <d v="2025-11-18T00:00:00"/>
    <n v="6778.88"/>
    <n v="4981.743968253968"/>
    <s v="DEV6944"/>
    <x v="4"/>
    <x v="1"/>
    <x v="2"/>
    <s v="Norway"/>
    <s v="Norway"/>
    <s v="Picked Up"/>
    <x v="1"/>
    <x v="1"/>
    <x v="0"/>
  </r>
  <r>
    <s v="T2415"/>
    <x v="31"/>
    <n v="1"/>
    <x v="0"/>
    <x v="2"/>
    <d v="2025-01-02T00:00:00"/>
    <n v="5497.18"/>
    <n v="4981.743968253968"/>
    <s v="DEV5466"/>
    <x v="0"/>
    <x v="3"/>
    <x v="4"/>
    <s v="Comoros"/>
    <s v="Comoros"/>
    <s v="Picked Up"/>
    <x v="1"/>
    <x v="1"/>
    <x v="0"/>
  </r>
  <r>
    <s v="T2494"/>
    <x v="31"/>
    <n v="1"/>
    <x v="1"/>
    <x v="2"/>
    <d v="2025-05-17T00:00:00"/>
    <n v="7765.59"/>
    <n v="4981.743968253968"/>
    <s v="DEV3059"/>
    <x v="1"/>
    <x v="1"/>
    <x v="3"/>
    <s v="Romania"/>
    <s v="Bhutan"/>
    <s v="Picked Up"/>
    <x v="1"/>
    <x v="0"/>
    <x v="0"/>
  </r>
  <r>
    <s v="T2508"/>
    <x v="31"/>
    <n v="1"/>
    <x v="1"/>
    <x v="1"/>
    <d v="2025-05-04T00:00:00"/>
    <n v="2168.21"/>
    <n v="4981.743968253968"/>
    <s v="DEV8911"/>
    <x v="4"/>
    <x v="1"/>
    <x v="4"/>
    <s v="Canada"/>
    <s v="Canada"/>
    <s v="Delivered by Post"/>
    <x v="0"/>
    <x v="1"/>
    <x v="0"/>
  </r>
  <r>
    <s v="T2556"/>
    <x v="31"/>
    <n v="1"/>
    <x v="1"/>
    <x v="1"/>
    <d v="2025-08-18T00:00:00"/>
    <n v="3663.99"/>
    <n v="4981.743968253968"/>
    <s v="DEV9862"/>
    <x v="1"/>
    <x v="1"/>
    <x v="4"/>
    <s v="Zimbabwe"/>
    <s v="Zimbabwe"/>
    <s v="Picked Up"/>
    <x v="0"/>
    <x v="1"/>
    <x v="0"/>
  </r>
  <r>
    <s v="T2624"/>
    <x v="31"/>
    <n v="1"/>
    <x v="0"/>
    <x v="3"/>
    <d v="2025-12-22T00:00:00"/>
    <n v="4141.7"/>
    <n v="4981.743968253968"/>
    <s v="DEV1191"/>
    <x v="0"/>
    <x v="0"/>
    <x v="2"/>
    <s v="Bhutan"/>
    <s v="New Zealand"/>
    <s v="Picked Up"/>
    <x v="0"/>
    <x v="0"/>
    <x v="0"/>
  </r>
  <r>
    <s v="T2628"/>
    <x v="31"/>
    <n v="1"/>
    <x v="1"/>
    <x v="3"/>
    <d v="2025-05-17T00:00:00"/>
    <n v="7454.85"/>
    <n v="4981.743968253968"/>
    <s v="DEV6168"/>
    <x v="2"/>
    <x v="2"/>
    <x v="2"/>
    <s v="Romania"/>
    <s v="Norway"/>
    <s v="Picked Up"/>
    <x v="1"/>
    <x v="1"/>
    <x v="0"/>
  </r>
  <r>
    <s v="T2662"/>
    <x v="31"/>
    <n v="1"/>
    <x v="1"/>
    <x v="3"/>
    <d v="2025-06-17T00:00:00"/>
    <n v="5039.3599999999997"/>
    <n v="4981.743968253968"/>
    <s v="DEV7308"/>
    <x v="4"/>
    <x v="1"/>
    <x v="3"/>
    <s v="Bhutan"/>
    <s v="New Zealand"/>
    <s v="Delivered by Post"/>
    <x v="1"/>
    <x v="0"/>
    <x v="1"/>
  </r>
  <r>
    <s v="T2692"/>
    <x v="31"/>
    <n v="1"/>
    <x v="0"/>
    <x v="3"/>
    <d v="2025-12-10T00:00:00"/>
    <n v="8518.81"/>
    <n v="4981.743968253968"/>
    <s v="DEV8604"/>
    <x v="3"/>
    <x v="1"/>
    <x v="5"/>
    <s v="Norway"/>
    <s v="Zimbabwe"/>
    <s v="Picked Up"/>
    <x v="1"/>
    <x v="0"/>
    <x v="0"/>
  </r>
  <r>
    <s v="T2699"/>
    <x v="31"/>
    <n v="1"/>
    <x v="1"/>
    <x v="1"/>
    <d v="2025-04-18T00:00:00"/>
    <n v="1163.76"/>
    <n v="4981.743968253968"/>
    <s v="DEV4915"/>
    <x v="1"/>
    <x v="2"/>
    <x v="3"/>
    <s v="Zimbabwe"/>
    <s v="Romania"/>
    <s v="Delivered by Post"/>
    <x v="0"/>
    <x v="1"/>
    <x v="0"/>
  </r>
  <r>
    <s v="T2740"/>
    <x v="31"/>
    <n v="1"/>
    <x v="0"/>
    <x v="1"/>
    <d v="2025-05-14T00:00:00"/>
    <n v="8834.8799999999992"/>
    <n v="4981.743968253968"/>
    <s v="DEV7878"/>
    <x v="0"/>
    <x v="1"/>
    <x v="2"/>
    <s v="Romania"/>
    <s v="Norway"/>
    <s v="Picked Up"/>
    <x v="1"/>
    <x v="0"/>
    <x v="0"/>
  </r>
  <r>
    <s v="T2754"/>
    <x v="31"/>
    <n v="1"/>
    <x v="1"/>
    <x v="3"/>
    <d v="2025-12-13T00:00:00"/>
    <n v="9620.31"/>
    <n v="4981.743968253968"/>
    <s v="DEV5062"/>
    <x v="1"/>
    <x v="3"/>
    <x v="4"/>
    <s v="New Zealand"/>
    <s v="Turkmenistan"/>
    <s v="Delivered by Post"/>
    <x v="1"/>
    <x v="1"/>
    <x v="0"/>
  </r>
  <r>
    <s v="T0009"/>
    <x v="32"/>
    <n v="1"/>
    <x v="1"/>
    <x v="3"/>
    <d v="2025-03-27T06:26:00"/>
    <n v="7428.03"/>
    <n v="4538.7005769230773"/>
    <s v="DEV7864"/>
    <x v="5"/>
    <x v="0"/>
    <x v="1"/>
    <s v="Botswana"/>
    <s v="Northern Mariana Islands"/>
    <s v="Delivered by Post"/>
    <x v="1"/>
    <x v="0"/>
    <x v="1"/>
  </r>
  <r>
    <s v="T0120"/>
    <x v="32"/>
    <n v="1"/>
    <x v="0"/>
    <x v="1"/>
    <d v="2025-07-26T00:00:00"/>
    <n v="847.11"/>
    <n v="4538.7005769230773"/>
    <s v="DEV5033"/>
    <x v="2"/>
    <x v="0"/>
    <x v="5"/>
    <s v="Zimbabwe"/>
    <s v="Bhutan"/>
    <s v="Delivered by Post"/>
    <x v="0"/>
    <x v="0"/>
    <x v="0"/>
  </r>
  <r>
    <s v="T0134"/>
    <x v="32"/>
    <n v="1"/>
    <x v="0"/>
    <x v="1"/>
    <d v="2025-12-11T00:00:00"/>
    <n v="6655.35"/>
    <n v="4538.7005769230773"/>
    <s v="DEV4680"/>
    <x v="3"/>
    <x v="2"/>
    <x v="2"/>
    <s v="Canada"/>
    <s v="Romania"/>
    <s v="Delivered by Post"/>
    <x v="1"/>
    <x v="1"/>
    <x v="0"/>
  </r>
  <r>
    <s v="T0237"/>
    <x v="32"/>
    <n v="1"/>
    <x v="1"/>
    <x v="0"/>
    <d v="2025-01-26T00:00:00"/>
    <n v="4599.4399999999996"/>
    <n v="4538.7005769230773"/>
    <s v="DEV9108"/>
    <x v="2"/>
    <x v="1"/>
    <x v="1"/>
    <s v="Turkmenistan"/>
    <s v="Canada"/>
    <s v="Picked Up"/>
    <x v="1"/>
    <x v="0"/>
    <x v="0"/>
  </r>
  <r>
    <s v="T0258"/>
    <x v="32"/>
    <n v="1"/>
    <x v="0"/>
    <x v="2"/>
    <d v="2025-08-22T00:00:00"/>
    <n v="4482.55"/>
    <n v="4538.7005769230773"/>
    <s v="DEV1945"/>
    <x v="2"/>
    <x v="1"/>
    <x v="3"/>
    <s v="France"/>
    <s v="Canada"/>
    <s v="Delivered by Post"/>
    <x v="0"/>
    <x v="0"/>
    <x v="0"/>
  </r>
  <r>
    <s v="T0324"/>
    <x v="32"/>
    <n v="1"/>
    <x v="0"/>
    <x v="0"/>
    <d v="2025-07-25T00:00:00"/>
    <n v="6749.59"/>
    <n v="4538.7005769230773"/>
    <s v="DEV8620"/>
    <x v="4"/>
    <x v="3"/>
    <x v="1"/>
    <s v="Zimbabwe"/>
    <s v="Turkmenistan"/>
    <s v="Delivered by Post"/>
    <x v="1"/>
    <x v="1"/>
    <x v="1"/>
  </r>
  <r>
    <s v="T0402"/>
    <x v="32"/>
    <n v="1"/>
    <x v="1"/>
    <x v="0"/>
    <d v="2025-06-28T00:00:00"/>
    <n v="1635.74"/>
    <n v="4538.7005769230773"/>
    <s v="DEV4495"/>
    <x v="4"/>
    <x v="3"/>
    <x v="1"/>
    <s v="France"/>
    <s v="Romania"/>
    <s v="Delivered by Post"/>
    <x v="0"/>
    <x v="1"/>
    <x v="1"/>
  </r>
  <r>
    <s v="T0474"/>
    <x v="32"/>
    <n v="1"/>
    <x v="1"/>
    <x v="3"/>
    <d v="2025-06-11T00:00:00"/>
    <n v="3408.25"/>
    <n v="4538.7005769230773"/>
    <s v="DEV6319"/>
    <x v="4"/>
    <x v="1"/>
    <x v="3"/>
    <s v="Bhutan"/>
    <s v="New Zealand"/>
    <s v="Picked Up"/>
    <x v="0"/>
    <x v="0"/>
    <x v="1"/>
  </r>
  <r>
    <s v="T0531"/>
    <x v="32"/>
    <n v="1"/>
    <x v="1"/>
    <x v="3"/>
    <d v="2025-04-26T00:00:00"/>
    <n v="4270.04"/>
    <n v="4538.7005769230773"/>
    <s v="DEV7959"/>
    <x v="2"/>
    <x v="0"/>
    <x v="5"/>
    <s v="Comoros"/>
    <s v="Romania"/>
    <s v="Delivered by Post"/>
    <x v="0"/>
    <x v="0"/>
    <x v="0"/>
  </r>
  <r>
    <s v="T0571"/>
    <x v="32"/>
    <n v="1"/>
    <x v="0"/>
    <x v="0"/>
    <d v="2025-07-16T00:00:00"/>
    <n v="9455.9599999999991"/>
    <n v="4538.7005769230773"/>
    <s v="DEV8624"/>
    <x v="2"/>
    <x v="0"/>
    <x v="1"/>
    <s v="New Zealand"/>
    <s v="Norway"/>
    <s v="Picked Up"/>
    <x v="1"/>
    <x v="0"/>
    <x v="0"/>
  </r>
  <r>
    <s v="T0636"/>
    <x v="32"/>
    <n v="1"/>
    <x v="1"/>
    <x v="1"/>
    <d v="2025-02-15T00:00:00"/>
    <n v="4953.76"/>
    <n v="4538.7005769230773"/>
    <s v="DEV9690"/>
    <x v="0"/>
    <x v="2"/>
    <x v="1"/>
    <s v="Zimbabwe"/>
    <s v="New Zealand"/>
    <s v="Picked Up"/>
    <x v="1"/>
    <x v="1"/>
    <x v="0"/>
  </r>
  <r>
    <s v="T0649"/>
    <x v="32"/>
    <n v="1"/>
    <x v="1"/>
    <x v="3"/>
    <d v="2025-05-11T00:00:00"/>
    <n v="4277.8900000000003"/>
    <n v="4538.7005769230773"/>
    <s v="DEV2339"/>
    <x v="2"/>
    <x v="0"/>
    <x v="2"/>
    <s v="Comoros"/>
    <s v="Norway"/>
    <s v="Picked Up"/>
    <x v="0"/>
    <x v="0"/>
    <x v="0"/>
  </r>
  <r>
    <s v="T0661"/>
    <x v="32"/>
    <n v="1"/>
    <x v="1"/>
    <x v="0"/>
    <d v="2025-11-13T00:00:00"/>
    <n v="368.1"/>
    <n v="4538.7005769230773"/>
    <s v="DEV2977"/>
    <x v="2"/>
    <x v="2"/>
    <x v="4"/>
    <s v="France"/>
    <s v="New Zealand"/>
    <s v="Delivered by Post"/>
    <x v="0"/>
    <x v="1"/>
    <x v="0"/>
  </r>
  <r>
    <s v="T0675"/>
    <x v="32"/>
    <n v="1"/>
    <x v="0"/>
    <x v="0"/>
    <d v="2025-12-22T00:00:00"/>
    <n v="1314.88"/>
    <n v="4538.7005769230773"/>
    <s v="DEV8461"/>
    <x v="0"/>
    <x v="0"/>
    <x v="3"/>
    <s v="Norway"/>
    <s v="Turkmenistan"/>
    <s v="Delivered by Post"/>
    <x v="0"/>
    <x v="0"/>
    <x v="0"/>
  </r>
  <r>
    <s v="T0742"/>
    <x v="32"/>
    <n v="1"/>
    <x v="0"/>
    <x v="1"/>
    <d v="2025-01-11T00:00:00"/>
    <n v="6423.89"/>
    <n v="4538.7005769230773"/>
    <s v="DEV3032"/>
    <x v="4"/>
    <x v="2"/>
    <x v="3"/>
    <s v="Bhutan"/>
    <s v="Romania"/>
    <s v="Picked Up"/>
    <x v="1"/>
    <x v="1"/>
    <x v="1"/>
  </r>
  <r>
    <s v="T0775"/>
    <x v="32"/>
    <n v="1"/>
    <x v="0"/>
    <x v="2"/>
    <d v="2025-05-06T00:00:00"/>
    <n v="6518.47"/>
    <n v="4538.7005769230773"/>
    <s v="DEV2946"/>
    <x v="3"/>
    <x v="1"/>
    <x v="4"/>
    <s v="France"/>
    <s v="Norway"/>
    <s v="Delivered by Post"/>
    <x v="1"/>
    <x v="0"/>
    <x v="0"/>
  </r>
  <r>
    <s v="T0813"/>
    <x v="32"/>
    <n v="1"/>
    <x v="1"/>
    <x v="1"/>
    <d v="2025-06-01T00:00:00"/>
    <n v="7092.15"/>
    <n v="4538.7005769230773"/>
    <s v="DEV5399"/>
    <x v="2"/>
    <x v="0"/>
    <x v="0"/>
    <s v="Romania"/>
    <s v="Canada"/>
    <s v="Picked Up"/>
    <x v="1"/>
    <x v="0"/>
    <x v="0"/>
  </r>
  <r>
    <s v="T0887"/>
    <x v="32"/>
    <n v="1"/>
    <x v="1"/>
    <x v="0"/>
    <d v="2025-01-26T00:00:00"/>
    <n v="3370.71"/>
    <n v="4538.7005769230773"/>
    <s v="DEV7267"/>
    <x v="0"/>
    <x v="2"/>
    <x v="1"/>
    <s v="Romania"/>
    <s v="Bhutan"/>
    <s v="Picked Up"/>
    <x v="0"/>
    <x v="1"/>
    <x v="0"/>
  </r>
  <r>
    <s v="T1046"/>
    <x v="32"/>
    <n v="1"/>
    <x v="1"/>
    <x v="0"/>
    <d v="2025-12-17T00:00:00"/>
    <n v="3088.57"/>
    <n v="4538.7005769230773"/>
    <s v="DEV4445"/>
    <x v="2"/>
    <x v="2"/>
    <x v="1"/>
    <s v="Norway"/>
    <s v="Romania"/>
    <s v="Delivered by Post"/>
    <x v="0"/>
    <x v="1"/>
    <x v="0"/>
  </r>
  <r>
    <s v="T1056"/>
    <x v="32"/>
    <n v="1"/>
    <x v="0"/>
    <x v="3"/>
    <d v="2025-10-03T00:00:00"/>
    <n v="3766.07"/>
    <n v="4538.7005769230773"/>
    <s v="DEV5630"/>
    <x v="2"/>
    <x v="3"/>
    <x v="3"/>
    <s v="Zimbabwe"/>
    <s v="Zimbabwe"/>
    <s v="Picked Up"/>
    <x v="0"/>
    <x v="1"/>
    <x v="0"/>
  </r>
  <r>
    <s v="T1078"/>
    <x v="32"/>
    <n v="1"/>
    <x v="0"/>
    <x v="1"/>
    <d v="2025-12-15T00:00:00"/>
    <n v="1866.99"/>
    <n v="4538.7005769230773"/>
    <s v="DEV1273"/>
    <x v="3"/>
    <x v="3"/>
    <x v="5"/>
    <s v="Norway"/>
    <s v="Turkmenistan"/>
    <s v="Picked Up"/>
    <x v="0"/>
    <x v="1"/>
    <x v="0"/>
  </r>
  <r>
    <s v="T1094"/>
    <x v="32"/>
    <n v="1"/>
    <x v="0"/>
    <x v="2"/>
    <d v="2025-11-13T00:00:00"/>
    <n v="7017.27"/>
    <n v="4538.7005769230773"/>
    <s v="DEV2244"/>
    <x v="3"/>
    <x v="0"/>
    <x v="2"/>
    <s v="Bhutan"/>
    <s v="France"/>
    <s v="Picked Up"/>
    <x v="1"/>
    <x v="0"/>
    <x v="0"/>
  </r>
  <r>
    <s v="T1115"/>
    <x v="32"/>
    <n v="1"/>
    <x v="0"/>
    <x v="0"/>
    <d v="2025-08-23T00:00:00"/>
    <n v="3739.7"/>
    <n v="4538.7005769230773"/>
    <s v="DEV4630"/>
    <x v="4"/>
    <x v="0"/>
    <x v="3"/>
    <s v="Romania"/>
    <s v="Comoros"/>
    <s v="Picked Up"/>
    <x v="0"/>
    <x v="0"/>
    <x v="1"/>
  </r>
  <r>
    <s v="T1214"/>
    <x v="32"/>
    <n v="1"/>
    <x v="0"/>
    <x v="2"/>
    <d v="2025-11-18T00:00:00"/>
    <n v="5696.16"/>
    <n v="4538.7005769230773"/>
    <s v="DEV2770"/>
    <x v="0"/>
    <x v="1"/>
    <x v="4"/>
    <s v="New Zealand"/>
    <s v="Zimbabwe"/>
    <s v="Picked Up"/>
    <x v="1"/>
    <x v="0"/>
    <x v="0"/>
  </r>
  <r>
    <s v="T1229"/>
    <x v="32"/>
    <n v="1"/>
    <x v="0"/>
    <x v="1"/>
    <d v="2025-01-25T00:00:00"/>
    <n v="5069.87"/>
    <n v="4538.7005769230773"/>
    <s v="DEV3554"/>
    <x v="3"/>
    <x v="2"/>
    <x v="5"/>
    <s v="New Zealand"/>
    <s v="France"/>
    <s v="Delivered by Post"/>
    <x v="1"/>
    <x v="1"/>
    <x v="0"/>
  </r>
  <r>
    <s v="T1232"/>
    <x v="32"/>
    <n v="1"/>
    <x v="0"/>
    <x v="1"/>
    <d v="2025-02-07T00:00:00"/>
    <n v="8586.3700000000008"/>
    <n v="4538.7005769230773"/>
    <s v="DEV7021"/>
    <x v="4"/>
    <x v="0"/>
    <x v="5"/>
    <s v="Bhutan"/>
    <s v="Bhutan"/>
    <s v="Delivered by Post"/>
    <x v="1"/>
    <x v="1"/>
    <x v="0"/>
  </r>
  <r>
    <s v="T1265"/>
    <x v="32"/>
    <n v="1"/>
    <x v="1"/>
    <x v="0"/>
    <d v="2025-07-02T00:00:00"/>
    <n v="1264.8699999999999"/>
    <n v="4538.7005769230773"/>
    <s v="DEV6787"/>
    <x v="3"/>
    <x v="1"/>
    <x v="0"/>
    <s v="Turkmenistan"/>
    <s v="France"/>
    <s v="Picked Up"/>
    <x v="0"/>
    <x v="0"/>
    <x v="0"/>
  </r>
  <r>
    <s v="T1322"/>
    <x v="32"/>
    <n v="1"/>
    <x v="0"/>
    <x v="0"/>
    <d v="2025-04-05T00:00:00"/>
    <n v="8590.8700000000008"/>
    <n v="4538.7005769230773"/>
    <s v="DEV1435"/>
    <x v="1"/>
    <x v="0"/>
    <x v="1"/>
    <s v="Bhutan"/>
    <s v="Zimbabwe"/>
    <s v="Picked Up"/>
    <x v="1"/>
    <x v="0"/>
    <x v="0"/>
  </r>
  <r>
    <s v="T1351"/>
    <x v="32"/>
    <n v="1"/>
    <x v="1"/>
    <x v="3"/>
    <d v="2025-05-26T00:00:00"/>
    <n v="477.86"/>
    <n v="4538.7005769230773"/>
    <s v="DEV4874"/>
    <x v="0"/>
    <x v="2"/>
    <x v="3"/>
    <s v="France"/>
    <s v="Zimbabwe"/>
    <s v="Delivered by Post"/>
    <x v="0"/>
    <x v="1"/>
    <x v="0"/>
  </r>
  <r>
    <s v="T1377"/>
    <x v="32"/>
    <n v="1"/>
    <x v="0"/>
    <x v="0"/>
    <d v="2025-12-21T00:00:00"/>
    <n v="1332.52"/>
    <n v="4538.7005769230773"/>
    <s v="DEV6444"/>
    <x v="1"/>
    <x v="2"/>
    <x v="2"/>
    <s v="Canada"/>
    <s v="Canada"/>
    <s v="Picked Up"/>
    <x v="0"/>
    <x v="1"/>
    <x v="0"/>
  </r>
  <r>
    <s v="T1453"/>
    <x v="32"/>
    <n v="1"/>
    <x v="1"/>
    <x v="0"/>
    <d v="2025-01-17T00:00:00"/>
    <n v="3276.77"/>
    <n v="4538.7005769230773"/>
    <s v="DEV8032"/>
    <x v="4"/>
    <x v="3"/>
    <x v="3"/>
    <s v="New Zealand"/>
    <s v="France"/>
    <s v="Delivered by Post"/>
    <x v="0"/>
    <x v="1"/>
    <x v="1"/>
  </r>
  <r>
    <s v="T1481"/>
    <x v="32"/>
    <n v="1"/>
    <x v="1"/>
    <x v="3"/>
    <d v="2025-01-03T00:00:00"/>
    <n v="1671.4"/>
    <n v="4538.7005769230773"/>
    <s v="DEV2457"/>
    <x v="0"/>
    <x v="2"/>
    <x v="0"/>
    <s v="France"/>
    <s v="Comoros"/>
    <s v="Picked Up"/>
    <x v="0"/>
    <x v="1"/>
    <x v="0"/>
  </r>
  <r>
    <s v="T1641"/>
    <x v="32"/>
    <n v="1"/>
    <x v="0"/>
    <x v="3"/>
    <d v="2025-03-31T00:00:00"/>
    <n v="5372.73"/>
    <n v="4538.7005769230773"/>
    <s v="DEV9901"/>
    <x v="0"/>
    <x v="2"/>
    <x v="2"/>
    <s v="France"/>
    <s v="Turkmenistan"/>
    <s v="Delivered by Post"/>
    <x v="1"/>
    <x v="1"/>
    <x v="0"/>
  </r>
  <r>
    <s v="T1668"/>
    <x v="32"/>
    <n v="1"/>
    <x v="1"/>
    <x v="3"/>
    <d v="2025-09-20T00:00:00"/>
    <n v="4959.51"/>
    <n v="4538.7005769230773"/>
    <s v="DEV4834"/>
    <x v="3"/>
    <x v="1"/>
    <x v="1"/>
    <s v="Comoros"/>
    <s v="Comoros"/>
    <s v="Picked Up"/>
    <x v="1"/>
    <x v="1"/>
    <x v="0"/>
  </r>
  <r>
    <s v="T1729"/>
    <x v="32"/>
    <n v="1"/>
    <x v="1"/>
    <x v="0"/>
    <d v="2025-08-06T00:00:00"/>
    <n v="706.29"/>
    <n v="4538.7005769230773"/>
    <s v="DEV2222"/>
    <x v="1"/>
    <x v="3"/>
    <x v="0"/>
    <s v="Canada"/>
    <s v="Norway"/>
    <s v="Picked Up"/>
    <x v="0"/>
    <x v="1"/>
    <x v="0"/>
  </r>
  <r>
    <s v="T1836"/>
    <x v="32"/>
    <n v="1"/>
    <x v="1"/>
    <x v="3"/>
    <d v="2025-11-18T00:00:00"/>
    <n v="3748.88"/>
    <n v="4538.7005769230773"/>
    <s v="DEV1344"/>
    <x v="0"/>
    <x v="0"/>
    <x v="0"/>
    <s v="Bhutan"/>
    <s v="New Zealand"/>
    <s v="Picked Up"/>
    <x v="0"/>
    <x v="0"/>
    <x v="0"/>
  </r>
  <r>
    <s v="T1918"/>
    <x v="32"/>
    <n v="1"/>
    <x v="0"/>
    <x v="3"/>
    <d v="2025-02-20T00:00:00"/>
    <n v="6660.82"/>
    <n v="4538.7005769230773"/>
    <s v="DEV5912"/>
    <x v="4"/>
    <x v="1"/>
    <x v="4"/>
    <s v="Canada"/>
    <s v="France"/>
    <s v="Picked Up"/>
    <x v="1"/>
    <x v="0"/>
    <x v="1"/>
  </r>
  <r>
    <s v="T2069"/>
    <x v="32"/>
    <n v="1"/>
    <x v="0"/>
    <x v="2"/>
    <d v="2025-11-09T00:00:00"/>
    <n v="9015.8700000000008"/>
    <n v="4538.7005769230773"/>
    <s v="DEV4578"/>
    <x v="4"/>
    <x v="3"/>
    <x v="0"/>
    <s v="Bhutan"/>
    <s v="New Zealand"/>
    <s v="Picked Up"/>
    <x v="1"/>
    <x v="1"/>
    <x v="1"/>
  </r>
  <r>
    <s v="T2081"/>
    <x v="32"/>
    <n v="1"/>
    <x v="1"/>
    <x v="1"/>
    <d v="2025-01-08T00:00:00"/>
    <n v="9758.2800000000007"/>
    <n v="4538.7005769230773"/>
    <s v="DEV1970"/>
    <x v="0"/>
    <x v="2"/>
    <x v="2"/>
    <s v="Bhutan"/>
    <s v="Romania"/>
    <s v="Picked Up"/>
    <x v="1"/>
    <x v="1"/>
    <x v="0"/>
  </r>
  <r>
    <s v="T2162"/>
    <x v="32"/>
    <n v="1"/>
    <x v="1"/>
    <x v="0"/>
    <d v="2025-05-24T00:00:00"/>
    <n v="6446.22"/>
    <n v="4538.7005769230773"/>
    <s v="DEV8562"/>
    <x v="2"/>
    <x v="1"/>
    <x v="4"/>
    <s v="Bhutan"/>
    <s v="Turkmenistan"/>
    <s v="Picked Up"/>
    <x v="1"/>
    <x v="0"/>
    <x v="0"/>
  </r>
  <r>
    <s v="T2233"/>
    <x v="32"/>
    <n v="1"/>
    <x v="1"/>
    <x v="2"/>
    <d v="2025-02-11T00:00:00"/>
    <n v="3044.04"/>
    <n v="4538.7005769230773"/>
    <s v="DEV7258"/>
    <x v="3"/>
    <x v="2"/>
    <x v="2"/>
    <s v="Zimbabwe"/>
    <s v="France"/>
    <s v="Picked Up"/>
    <x v="0"/>
    <x v="1"/>
    <x v="0"/>
  </r>
  <r>
    <s v="T2235"/>
    <x v="32"/>
    <n v="1"/>
    <x v="1"/>
    <x v="2"/>
    <d v="2025-09-05T00:00:00"/>
    <n v="4842.75"/>
    <n v="4538.7005769230773"/>
    <s v="DEV1173"/>
    <x v="0"/>
    <x v="1"/>
    <x v="4"/>
    <s v="Zimbabwe"/>
    <s v="Turkmenistan"/>
    <s v="Picked Up"/>
    <x v="1"/>
    <x v="0"/>
    <x v="0"/>
  </r>
  <r>
    <s v="T2294"/>
    <x v="32"/>
    <n v="1"/>
    <x v="0"/>
    <x v="2"/>
    <d v="2025-04-30T00:00:00"/>
    <n v="1031.1500000000001"/>
    <n v="4538.7005769230773"/>
    <s v="DEV6576"/>
    <x v="3"/>
    <x v="2"/>
    <x v="2"/>
    <s v="Norway"/>
    <s v="Romania"/>
    <s v="Delivered by Post"/>
    <x v="0"/>
    <x v="1"/>
    <x v="0"/>
  </r>
  <r>
    <s v="T2356"/>
    <x v="32"/>
    <n v="1"/>
    <x v="0"/>
    <x v="2"/>
    <d v="2025-08-25T00:00:00"/>
    <n v="1933.28"/>
    <n v="4538.7005769230773"/>
    <s v="DEV5487"/>
    <x v="1"/>
    <x v="2"/>
    <x v="0"/>
    <s v="Romania"/>
    <s v="Zimbabwe"/>
    <s v="Picked Up"/>
    <x v="0"/>
    <x v="1"/>
    <x v="0"/>
  </r>
  <r>
    <s v="T2359"/>
    <x v="32"/>
    <n v="1"/>
    <x v="0"/>
    <x v="0"/>
    <d v="2025-06-08T00:00:00"/>
    <n v="1174.01"/>
    <n v="4538.7005769230773"/>
    <s v="DEV4617"/>
    <x v="1"/>
    <x v="1"/>
    <x v="1"/>
    <s v="Canada"/>
    <s v="Turkmenistan"/>
    <s v="Picked Up"/>
    <x v="0"/>
    <x v="0"/>
    <x v="0"/>
  </r>
  <r>
    <s v="T2379"/>
    <x v="32"/>
    <n v="1"/>
    <x v="1"/>
    <x v="2"/>
    <d v="2025-11-22T00:00:00"/>
    <n v="8382.66"/>
    <n v="4538.7005769230773"/>
    <s v="DEV4850"/>
    <x v="4"/>
    <x v="3"/>
    <x v="3"/>
    <s v="Canada"/>
    <s v="France"/>
    <s v="Delivered by Post"/>
    <x v="1"/>
    <x v="1"/>
    <x v="1"/>
  </r>
  <r>
    <s v="T2394"/>
    <x v="32"/>
    <n v="1"/>
    <x v="1"/>
    <x v="3"/>
    <d v="2025-08-02T00:00:00"/>
    <n v="7575.46"/>
    <n v="4538.7005769230773"/>
    <s v="DEV2180"/>
    <x v="0"/>
    <x v="1"/>
    <x v="5"/>
    <s v="France"/>
    <s v="Romania"/>
    <s v="Delivered by Post"/>
    <x v="1"/>
    <x v="0"/>
    <x v="0"/>
  </r>
  <r>
    <s v="T2516"/>
    <x v="32"/>
    <n v="1"/>
    <x v="1"/>
    <x v="2"/>
    <d v="2025-09-02T00:00:00"/>
    <n v="1074.48"/>
    <n v="4538.7005769230773"/>
    <s v="DEV6734"/>
    <x v="1"/>
    <x v="0"/>
    <x v="0"/>
    <s v="France"/>
    <s v="New Zealand"/>
    <s v="Picked Up"/>
    <x v="0"/>
    <x v="0"/>
    <x v="0"/>
  </r>
  <r>
    <s v="T2544"/>
    <x v="32"/>
    <n v="1"/>
    <x v="1"/>
    <x v="3"/>
    <d v="2025-07-21T00:00:00"/>
    <n v="8612.7099999999991"/>
    <n v="4538.7005769230773"/>
    <s v="DEV3709"/>
    <x v="4"/>
    <x v="2"/>
    <x v="1"/>
    <s v="Romania"/>
    <s v="New Zealand"/>
    <s v="Delivered by Post"/>
    <x v="1"/>
    <x v="1"/>
    <x v="1"/>
  </r>
  <r>
    <s v="T2649"/>
    <x v="32"/>
    <n v="1"/>
    <x v="1"/>
    <x v="1"/>
    <d v="2025-02-10T00:00:00"/>
    <n v="4202.88"/>
    <n v="4538.7005769230773"/>
    <s v="DEV2454"/>
    <x v="4"/>
    <x v="3"/>
    <x v="3"/>
    <s v="Comoros"/>
    <s v="Turkmenistan"/>
    <s v="Delivered by Post"/>
    <x v="0"/>
    <x v="1"/>
    <x v="1"/>
  </r>
  <r>
    <s v="T2663"/>
    <x v="32"/>
    <n v="1"/>
    <x v="0"/>
    <x v="3"/>
    <d v="2025-06-22T00:00:00"/>
    <n v="3884.46"/>
    <n v="4538.7005769230773"/>
    <s v="DEV3158"/>
    <x v="0"/>
    <x v="1"/>
    <x v="3"/>
    <s v="Bhutan"/>
    <s v="France"/>
    <s v="Delivered by Post"/>
    <x v="0"/>
    <x v="0"/>
    <x v="0"/>
  </r>
  <r>
    <s v="T2766"/>
    <x v="32"/>
    <n v="1"/>
    <x v="0"/>
    <x v="1"/>
    <d v="2025-05-07T00:00:00"/>
    <n v="4288.75"/>
    <n v="4538.7005769230773"/>
    <s v="DEV5330"/>
    <x v="4"/>
    <x v="1"/>
    <x v="1"/>
    <s v="Zimbabwe"/>
    <s v="Turkmenistan"/>
    <s v="Picked Up"/>
    <x v="0"/>
    <x v="0"/>
    <x v="1"/>
  </r>
  <r>
    <s v="T0028"/>
    <x v="33"/>
    <n v="1"/>
    <x v="1"/>
    <x v="3"/>
    <d v="2025-03-26T14:03:00"/>
    <n v="4335.1499999999996"/>
    <n v="5058.2299999999987"/>
    <s v="DEV8065"/>
    <x v="5"/>
    <x v="3"/>
    <x v="3"/>
    <s v="Bhutan"/>
    <s v="Iran"/>
    <s v="Picked Up"/>
    <x v="0"/>
    <x v="1"/>
    <x v="1"/>
  </r>
  <r>
    <s v="T0090"/>
    <x v="33"/>
    <n v="1"/>
    <x v="2"/>
    <x v="4"/>
    <d v="2025-02-25T04:29:00"/>
    <n v="6267.22"/>
    <n v="5058.2299999999987"/>
    <s v="DEV3383"/>
    <x v="3"/>
    <x v="2"/>
    <x v="1"/>
    <s v="Bhutan"/>
    <s v="Christmas Island"/>
    <s v="Delivered by Post"/>
    <x v="1"/>
    <x v="1"/>
    <x v="0"/>
  </r>
  <r>
    <s v="T0200"/>
    <x v="33"/>
    <n v="1"/>
    <x v="1"/>
    <x v="3"/>
    <d v="2025-11-27T00:00:00"/>
    <n v="5124.0200000000004"/>
    <n v="5058.2299999999987"/>
    <s v="DEV4871"/>
    <x v="1"/>
    <x v="2"/>
    <x v="1"/>
    <s v="Romania"/>
    <s v="Norway"/>
    <s v="Picked Up"/>
    <x v="1"/>
    <x v="1"/>
    <x v="0"/>
  </r>
  <r>
    <s v="T0217"/>
    <x v="33"/>
    <n v="1"/>
    <x v="0"/>
    <x v="2"/>
    <d v="2025-08-29T00:00:00"/>
    <n v="9747.81"/>
    <n v="5058.2299999999987"/>
    <s v="DEV7338"/>
    <x v="4"/>
    <x v="3"/>
    <x v="3"/>
    <s v="Canada"/>
    <s v="New Zealand"/>
    <s v="Picked Up"/>
    <x v="1"/>
    <x v="1"/>
    <x v="1"/>
  </r>
  <r>
    <s v="T0243"/>
    <x v="33"/>
    <n v="1"/>
    <x v="1"/>
    <x v="1"/>
    <d v="2025-12-15T00:00:00"/>
    <n v="6308.8"/>
    <n v="5058.2299999999987"/>
    <s v="DEV1517"/>
    <x v="2"/>
    <x v="0"/>
    <x v="0"/>
    <s v="Canada"/>
    <s v="Comoros"/>
    <s v="Delivered by Post"/>
    <x v="1"/>
    <x v="0"/>
    <x v="0"/>
  </r>
  <r>
    <s v="T0295"/>
    <x v="33"/>
    <n v="1"/>
    <x v="1"/>
    <x v="2"/>
    <d v="2025-04-29T00:00:00"/>
    <n v="1785.81"/>
    <n v="5058.2299999999987"/>
    <s v="DEV4022"/>
    <x v="3"/>
    <x v="1"/>
    <x v="4"/>
    <s v="Canada"/>
    <s v="Romania"/>
    <s v="Delivered by Post"/>
    <x v="0"/>
    <x v="0"/>
    <x v="0"/>
  </r>
  <r>
    <s v="T0315"/>
    <x v="33"/>
    <n v="1"/>
    <x v="1"/>
    <x v="3"/>
    <d v="2025-11-27T00:00:00"/>
    <n v="6088.92"/>
    <n v="5058.2299999999987"/>
    <s v="DEV4921"/>
    <x v="0"/>
    <x v="1"/>
    <x v="2"/>
    <s v="Romania"/>
    <s v="Comoros"/>
    <s v="Picked Up"/>
    <x v="1"/>
    <x v="0"/>
    <x v="0"/>
  </r>
  <r>
    <s v="T0316"/>
    <x v="33"/>
    <n v="1"/>
    <x v="1"/>
    <x v="3"/>
    <d v="2025-03-09T00:00:00"/>
    <n v="8892.81"/>
    <n v="5058.2299999999987"/>
    <s v="DEV7895"/>
    <x v="4"/>
    <x v="2"/>
    <x v="4"/>
    <s v="Zimbabwe"/>
    <s v="Canada"/>
    <s v="Picked Up"/>
    <x v="1"/>
    <x v="1"/>
    <x v="1"/>
  </r>
  <r>
    <s v="T0435"/>
    <x v="33"/>
    <n v="1"/>
    <x v="0"/>
    <x v="3"/>
    <d v="2025-10-14T00:00:00"/>
    <n v="202.9"/>
    <n v="5058.2299999999987"/>
    <s v="DEV6703"/>
    <x v="4"/>
    <x v="3"/>
    <x v="0"/>
    <s v="Romania"/>
    <s v="Comoros"/>
    <s v="Delivered by Post"/>
    <x v="0"/>
    <x v="1"/>
    <x v="1"/>
  </r>
  <r>
    <s v="T0469"/>
    <x v="33"/>
    <n v="1"/>
    <x v="0"/>
    <x v="3"/>
    <d v="2025-06-15T00:00:00"/>
    <n v="6848.08"/>
    <n v="5058.2299999999987"/>
    <s v="DEV6276"/>
    <x v="1"/>
    <x v="0"/>
    <x v="5"/>
    <s v="Zimbabwe"/>
    <s v="Canada"/>
    <s v="Picked Up"/>
    <x v="1"/>
    <x v="0"/>
    <x v="0"/>
  </r>
  <r>
    <s v="T0666"/>
    <x v="33"/>
    <n v="1"/>
    <x v="0"/>
    <x v="2"/>
    <d v="2025-03-16T00:00:00"/>
    <n v="7956.34"/>
    <n v="5058.2299999999987"/>
    <s v="DEV9476"/>
    <x v="1"/>
    <x v="0"/>
    <x v="1"/>
    <s v="New Zealand"/>
    <s v="Bhutan"/>
    <s v="Picked Up"/>
    <x v="1"/>
    <x v="0"/>
    <x v="0"/>
  </r>
  <r>
    <s v="T0761"/>
    <x v="33"/>
    <n v="1"/>
    <x v="0"/>
    <x v="3"/>
    <d v="2025-08-20T00:00:00"/>
    <n v="2830.7"/>
    <n v="5058.2299999999987"/>
    <s v="DEV8785"/>
    <x v="2"/>
    <x v="1"/>
    <x v="3"/>
    <s v="Romania"/>
    <s v="Canada"/>
    <s v="Delivered by Post"/>
    <x v="0"/>
    <x v="0"/>
    <x v="0"/>
  </r>
  <r>
    <s v="T0853"/>
    <x v="33"/>
    <n v="1"/>
    <x v="0"/>
    <x v="2"/>
    <d v="2025-11-24T00:00:00"/>
    <n v="7236.75"/>
    <n v="5058.2299999999987"/>
    <s v="DEV2596"/>
    <x v="1"/>
    <x v="2"/>
    <x v="3"/>
    <s v="Romania"/>
    <s v="Bhutan"/>
    <s v="Picked Up"/>
    <x v="1"/>
    <x v="1"/>
    <x v="0"/>
  </r>
  <r>
    <s v="T0903"/>
    <x v="33"/>
    <n v="1"/>
    <x v="1"/>
    <x v="2"/>
    <d v="2025-07-01T00:00:00"/>
    <n v="4446.92"/>
    <n v="5058.2299999999987"/>
    <s v="DEV8643"/>
    <x v="0"/>
    <x v="1"/>
    <x v="4"/>
    <s v="Canada"/>
    <s v="Turkmenistan"/>
    <s v="Picked Up"/>
    <x v="0"/>
    <x v="0"/>
    <x v="0"/>
  </r>
  <r>
    <s v="T0985"/>
    <x v="33"/>
    <n v="1"/>
    <x v="0"/>
    <x v="1"/>
    <d v="2025-11-21T00:00:00"/>
    <n v="828.09"/>
    <n v="5058.2299999999987"/>
    <s v="DEV3341"/>
    <x v="0"/>
    <x v="1"/>
    <x v="4"/>
    <s v="France"/>
    <s v="Zimbabwe"/>
    <s v="Delivered by Post"/>
    <x v="0"/>
    <x v="0"/>
    <x v="0"/>
  </r>
  <r>
    <s v="T1084"/>
    <x v="33"/>
    <n v="1"/>
    <x v="1"/>
    <x v="1"/>
    <d v="2025-12-05T00:00:00"/>
    <n v="1070.99"/>
    <n v="5058.2299999999987"/>
    <s v="DEV5895"/>
    <x v="1"/>
    <x v="1"/>
    <x v="0"/>
    <s v="Zimbabwe"/>
    <s v="New Zealand"/>
    <s v="Delivered by Post"/>
    <x v="0"/>
    <x v="0"/>
    <x v="0"/>
  </r>
  <r>
    <s v="T1125"/>
    <x v="33"/>
    <n v="1"/>
    <x v="0"/>
    <x v="3"/>
    <d v="2025-07-09T00:00:00"/>
    <n v="5366.02"/>
    <n v="5058.2299999999987"/>
    <s v="DEV3350"/>
    <x v="1"/>
    <x v="2"/>
    <x v="2"/>
    <s v="Bhutan"/>
    <s v="Canada"/>
    <s v="Picked Up"/>
    <x v="1"/>
    <x v="1"/>
    <x v="0"/>
  </r>
  <r>
    <s v="T1157"/>
    <x v="33"/>
    <n v="1"/>
    <x v="1"/>
    <x v="2"/>
    <d v="2025-01-07T00:00:00"/>
    <n v="9436.2099999999991"/>
    <n v="5058.2299999999987"/>
    <s v="DEV3598"/>
    <x v="4"/>
    <x v="3"/>
    <x v="3"/>
    <s v="Bhutan"/>
    <s v="Zimbabwe"/>
    <s v="Picked Up"/>
    <x v="1"/>
    <x v="1"/>
    <x v="1"/>
  </r>
  <r>
    <s v="T1158"/>
    <x v="33"/>
    <n v="1"/>
    <x v="0"/>
    <x v="3"/>
    <d v="2025-10-17T00:00:00"/>
    <n v="2854.88"/>
    <n v="5058.2299999999987"/>
    <s v="DEV2034"/>
    <x v="1"/>
    <x v="1"/>
    <x v="1"/>
    <s v="Bhutan"/>
    <s v="Romania"/>
    <s v="Picked Up"/>
    <x v="0"/>
    <x v="0"/>
    <x v="0"/>
  </r>
  <r>
    <s v="T1231"/>
    <x v="33"/>
    <n v="1"/>
    <x v="1"/>
    <x v="2"/>
    <d v="2025-09-26T00:00:00"/>
    <n v="7998.44"/>
    <n v="5058.2299999999987"/>
    <s v="DEV9514"/>
    <x v="4"/>
    <x v="1"/>
    <x v="1"/>
    <s v="Turkmenistan"/>
    <s v="Bhutan"/>
    <s v="Picked Up"/>
    <x v="1"/>
    <x v="0"/>
    <x v="1"/>
  </r>
  <r>
    <s v="T1314"/>
    <x v="33"/>
    <n v="1"/>
    <x v="1"/>
    <x v="2"/>
    <d v="2025-06-02T00:00:00"/>
    <n v="5735.63"/>
    <n v="5058.2299999999987"/>
    <s v="DEV1339"/>
    <x v="3"/>
    <x v="1"/>
    <x v="3"/>
    <s v="Norway"/>
    <s v="New Zealand"/>
    <s v="Delivered by Post"/>
    <x v="1"/>
    <x v="0"/>
    <x v="0"/>
  </r>
  <r>
    <s v="T1343"/>
    <x v="33"/>
    <n v="1"/>
    <x v="0"/>
    <x v="3"/>
    <d v="2025-11-19T00:00:00"/>
    <n v="607.05999999999995"/>
    <n v="5058.2299999999987"/>
    <s v="DEV2198"/>
    <x v="4"/>
    <x v="0"/>
    <x v="4"/>
    <s v="Bhutan"/>
    <s v="Norway"/>
    <s v="Picked Up"/>
    <x v="0"/>
    <x v="0"/>
    <x v="1"/>
  </r>
  <r>
    <s v="T1356"/>
    <x v="33"/>
    <n v="1"/>
    <x v="0"/>
    <x v="3"/>
    <d v="2025-01-02T00:00:00"/>
    <n v="7809.86"/>
    <n v="5058.2299999999987"/>
    <s v="DEV9857"/>
    <x v="3"/>
    <x v="0"/>
    <x v="3"/>
    <s v="Norway"/>
    <s v="Norway"/>
    <s v="Picked Up"/>
    <x v="1"/>
    <x v="1"/>
    <x v="0"/>
  </r>
  <r>
    <s v="T1369"/>
    <x v="33"/>
    <n v="1"/>
    <x v="1"/>
    <x v="0"/>
    <d v="2025-11-09T00:00:00"/>
    <n v="2665.35"/>
    <n v="5058.2299999999987"/>
    <s v="DEV8991"/>
    <x v="4"/>
    <x v="3"/>
    <x v="0"/>
    <s v="Canada"/>
    <s v="Romania"/>
    <s v="Delivered by Post"/>
    <x v="0"/>
    <x v="1"/>
    <x v="1"/>
  </r>
  <r>
    <s v="T1438"/>
    <x v="33"/>
    <n v="1"/>
    <x v="0"/>
    <x v="3"/>
    <d v="2025-11-15T00:00:00"/>
    <n v="8485.52"/>
    <n v="5058.2299999999987"/>
    <s v="DEV7463"/>
    <x v="0"/>
    <x v="3"/>
    <x v="5"/>
    <s v="Bhutan"/>
    <s v="Turkmenistan"/>
    <s v="Picked Up"/>
    <x v="1"/>
    <x v="1"/>
    <x v="0"/>
  </r>
  <r>
    <s v="T1443"/>
    <x v="33"/>
    <n v="1"/>
    <x v="0"/>
    <x v="3"/>
    <d v="2025-07-12T00:00:00"/>
    <n v="9714.18"/>
    <n v="5058.2299999999987"/>
    <s v="DEV5488"/>
    <x v="2"/>
    <x v="1"/>
    <x v="4"/>
    <s v="Comoros"/>
    <s v="Bhutan"/>
    <s v="Picked Up"/>
    <x v="1"/>
    <x v="0"/>
    <x v="0"/>
  </r>
  <r>
    <s v="T1511"/>
    <x v="33"/>
    <n v="1"/>
    <x v="0"/>
    <x v="3"/>
    <d v="2025-10-17T00:00:00"/>
    <n v="5749.86"/>
    <n v="5058.2299999999987"/>
    <s v="DEV8106"/>
    <x v="1"/>
    <x v="0"/>
    <x v="5"/>
    <s v="Bhutan"/>
    <s v="Romania"/>
    <s v="Delivered by Post"/>
    <x v="1"/>
    <x v="0"/>
    <x v="0"/>
  </r>
  <r>
    <s v="T1572"/>
    <x v="33"/>
    <n v="1"/>
    <x v="1"/>
    <x v="3"/>
    <d v="2025-06-22T00:00:00"/>
    <n v="3510.09"/>
    <n v="5058.2299999999987"/>
    <s v="DEV3161"/>
    <x v="3"/>
    <x v="0"/>
    <x v="0"/>
    <s v="Canada"/>
    <s v="Canada"/>
    <s v="Delivered by Post"/>
    <x v="0"/>
    <x v="1"/>
    <x v="0"/>
  </r>
  <r>
    <s v="T1651"/>
    <x v="33"/>
    <n v="1"/>
    <x v="0"/>
    <x v="0"/>
    <d v="2025-04-18T00:00:00"/>
    <n v="1092.8699999999999"/>
    <n v="5058.2299999999987"/>
    <s v="DEV9237"/>
    <x v="4"/>
    <x v="1"/>
    <x v="5"/>
    <s v="Zimbabwe"/>
    <s v="Zimbabwe"/>
    <s v="Picked Up"/>
    <x v="0"/>
    <x v="1"/>
    <x v="0"/>
  </r>
  <r>
    <s v="T1791"/>
    <x v="33"/>
    <n v="1"/>
    <x v="0"/>
    <x v="1"/>
    <d v="2025-08-20T00:00:00"/>
    <n v="7478.12"/>
    <n v="5058.2299999999987"/>
    <s v="DEV3735"/>
    <x v="2"/>
    <x v="0"/>
    <x v="2"/>
    <s v="Turkmenistan"/>
    <s v="France"/>
    <s v="Delivered by Post"/>
    <x v="1"/>
    <x v="0"/>
    <x v="0"/>
  </r>
  <r>
    <s v="T1806"/>
    <x v="33"/>
    <n v="1"/>
    <x v="0"/>
    <x v="3"/>
    <d v="2025-06-03T00:00:00"/>
    <n v="1697.76"/>
    <n v="5058.2299999999987"/>
    <s v="DEV6345"/>
    <x v="1"/>
    <x v="0"/>
    <x v="4"/>
    <s v="Norway"/>
    <s v="Turkmenistan"/>
    <s v="Delivered by Post"/>
    <x v="0"/>
    <x v="0"/>
    <x v="0"/>
  </r>
  <r>
    <s v="T1829"/>
    <x v="33"/>
    <n v="1"/>
    <x v="0"/>
    <x v="1"/>
    <d v="2025-06-02T00:00:00"/>
    <n v="4868.58"/>
    <n v="5058.2299999999987"/>
    <s v="DEV4012"/>
    <x v="4"/>
    <x v="3"/>
    <x v="1"/>
    <s v="Comoros"/>
    <s v="France"/>
    <s v="Picked Up"/>
    <x v="0"/>
    <x v="1"/>
    <x v="1"/>
  </r>
  <r>
    <s v="T1906"/>
    <x v="33"/>
    <n v="1"/>
    <x v="0"/>
    <x v="3"/>
    <d v="2025-07-01T00:00:00"/>
    <n v="7840.26"/>
    <n v="5058.2299999999987"/>
    <s v="DEV8308"/>
    <x v="1"/>
    <x v="1"/>
    <x v="4"/>
    <s v="Romania"/>
    <s v="Zimbabwe"/>
    <s v="Picked Up"/>
    <x v="1"/>
    <x v="0"/>
    <x v="0"/>
  </r>
  <r>
    <s v="T2006"/>
    <x v="33"/>
    <n v="1"/>
    <x v="1"/>
    <x v="0"/>
    <d v="2025-07-18T00:00:00"/>
    <n v="1437.64"/>
    <n v="5058.2299999999987"/>
    <s v="DEV3681"/>
    <x v="0"/>
    <x v="1"/>
    <x v="1"/>
    <s v="Norway"/>
    <s v="Bhutan"/>
    <s v="Delivered by Post"/>
    <x v="0"/>
    <x v="0"/>
    <x v="0"/>
  </r>
  <r>
    <s v="T2023"/>
    <x v="33"/>
    <n v="1"/>
    <x v="1"/>
    <x v="0"/>
    <d v="2025-09-07T00:00:00"/>
    <n v="9317.4"/>
    <n v="5058.2299999999987"/>
    <s v="DEV9993"/>
    <x v="4"/>
    <x v="0"/>
    <x v="2"/>
    <s v="Canada"/>
    <s v="Norway"/>
    <s v="Delivered by Post"/>
    <x v="1"/>
    <x v="0"/>
    <x v="1"/>
  </r>
  <r>
    <s v="T2025"/>
    <x v="33"/>
    <n v="1"/>
    <x v="1"/>
    <x v="2"/>
    <d v="2025-08-13T00:00:00"/>
    <n v="9778.77"/>
    <n v="5058.2299999999987"/>
    <s v="DEV9541"/>
    <x v="3"/>
    <x v="2"/>
    <x v="0"/>
    <s v="Bhutan"/>
    <s v="Zimbabwe"/>
    <s v="Delivered by Post"/>
    <x v="1"/>
    <x v="1"/>
    <x v="0"/>
  </r>
  <r>
    <s v="T2141"/>
    <x v="33"/>
    <n v="1"/>
    <x v="1"/>
    <x v="2"/>
    <d v="2025-01-09T00:00:00"/>
    <n v="9630.57"/>
    <n v="5058.2299999999987"/>
    <s v="DEV2744"/>
    <x v="0"/>
    <x v="0"/>
    <x v="4"/>
    <s v="Canada"/>
    <s v="Zimbabwe"/>
    <s v="Delivered by Post"/>
    <x v="1"/>
    <x v="0"/>
    <x v="0"/>
  </r>
  <r>
    <s v="T2193"/>
    <x v="33"/>
    <n v="1"/>
    <x v="0"/>
    <x v="0"/>
    <d v="2025-09-27T00:00:00"/>
    <n v="9067.02"/>
    <n v="5058.2299999999987"/>
    <s v="DEV3527"/>
    <x v="3"/>
    <x v="3"/>
    <x v="0"/>
    <s v="Canada"/>
    <s v="Bhutan"/>
    <s v="Delivered by Post"/>
    <x v="1"/>
    <x v="1"/>
    <x v="0"/>
  </r>
  <r>
    <s v="T2197"/>
    <x v="33"/>
    <n v="1"/>
    <x v="0"/>
    <x v="2"/>
    <d v="2025-08-16T00:00:00"/>
    <n v="3888.43"/>
    <n v="5058.2299999999987"/>
    <s v="DEV2971"/>
    <x v="1"/>
    <x v="1"/>
    <x v="4"/>
    <s v="France"/>
    <s v="New Zealand"/>
    <s v="Picked Up"/>
    <x v="0"/>
    <x v="0"/>
    <x v="0"/>
  </r>
  <r>
    <s v="T2256"/>
    <x v="33"/>
    <n v="1"/>
    <x v="1"/>
    <x v="0"/>
    <d v="2025-11-16T00:00:00"/>
    <n v="1365.56"/>
    <n v="5058.2299999999987"/>
    <s v="DEV8220"/>
    <x v="0"/>
    <x v="1"/>
    <x v="5"/>
    <s v="New Zealand"/>
    <s v="Comoros"/>
    <s v="Picked Up"/>
    <x v="0"/>
    <x v="0"/>
    <x v="0"/>
  </r>
  <r>
    <s v="T2262"/>
    <x v="33"/>
    <n v="1"/>
    <x v="1"/>
    <x v="2"/>
    <d v="2025-06-24T00:00:00"/>
    <n v="8863.52"/>
    <n v="5058.2299999999987"/>
    <s v="DEV2747"/>
    <x v="1"/>
    <x v="0"/>
    <x v="1"/>
    <s v="Norway"/>
    <s v="New Zealand"/>
    <s v="Delivered by Post"/>
    <x v="1"/>
    <x v="0"/>
    <x v="0"/>
  </r>
  <r>
    <s v="T2287"/>
    <x v="33"/>
    <n v="1"/>
    <x v="0"/>
    <x v="1"/>
    <d v="2025-06-18T00:00:00"/>
    <n v="2695.66"/>
    <n v="5058.2299999999987"/>
    <s v="DEV9642"/>
    <x v="4"/>
    <x v="1"/>
    <x v="1"/>
    <s v="Norway"/>
    <s v="Norway"/>
    <s v="Picked Up"/>
    <x v="0"/>
    <x v="1"/>
    <x v="0"/>
  </r>
  <r>
    <s v="T2329"/>
    <x v="33"/>
    <n v="1"/>
    <x v="0"/>
    <x v="3"/>
    <d v="2025-01-05T00:00:00"/>
    <n v="1081.26"/>
    <n v="5058.2299999999987"/>
    <s v="DEV2407"/>
    <x v="3"/>
    <x v="2"/>
    <x v="1"/>
    <s v="Zimbabwe"/>
    <s v="Comoros"/>
    <s v="Picked Up"/>
    <x v="0"/>
    <x v="1"/>
    <x v="0"/>
  </r>
  <r>
    <s v="T2331"/>
    <x v="33"/>
    <n v="1"/>
    <x v="0"/>
    <x v="3"/>
    <d v="2025-07-01T00:00:00"/>
    <n v="2166.17"/>
    <n v="5058.2299999999987"/>
    <s v="DEV5452"/>
    <x v="4"/>
    <x v="1"/>
    <x v="0"/>
    <s v="Norway"/>
    <s v="Comoros"/>
    <s v="Delivered by Post"/>
    <x v="0"/>
    <x v="0"/>
    <x v="1"/>
  </r>
  <r>
    <s v="T2377"/>
    <x v="33"/>
    <n v="1"/>
    <x v="0"/>
    <x v="0"/>
    <d v="2025-07-03T00:00:00"/>
    <n v="85.75"/>
    <n v="5058.2299999999987"/>
    <s v="DEV6207"/>
    <x v="1"/>
    <x v="1"/>
    <x v="5"/>
    <s v="Bhutan"/>
    <s v="Zimbabwe"/>
    <s v="Picked Up"/>
    <x v="0"/>
    <x v="0"/>
    <x v="0"/>
  </r>
  <r>
    <s v="T2429"/>
    <x v="33"/>
    <n v="1"/>
    <x v="0"/>
    <x v="3"/>
    <d v="2025-05-20T00:00:00"/>
    <n v="3017.83"/>
    <n v="5058.2299999999987"/>
    <s v="DEV1571"/>
    <x v="2"/>
    <x v="0"/>
    <x v="0"/>
    <s v="New Zealand"/>
    <s v="Turkmenistan"/>
    <s v="Delivered by Post"/>
    <x v="0"/>
    <x v="0"/>
    <x v="0"/>
  </r>
  <r>
    <s v="T2484"/>
    <x v="33"/>
    <n v="1"/>
    <x v="0"/>
    <x v="3"/>
    <d v="2025-10-09T00:00:00"/>
    <n v="8516.6299999999992"/>
    <n v="5058.2299999999987"/>
    <s v="DEV5494"/>
    <x v="4"/>
    <x v="3"/>
    <x v="2"/>
    <s v="Romania"/>
    <s v="Zimbabwe"/>
    <s v="Delivered by Post"/>
    <x v="1"/>
    <x v="1"/>
    <x v="1"/>
  </r>
  <r>
    <s v="T2528"/>
    <x v="33"/>
    <n v="1"/>
    <x v="0"/>
    <x v="1"/>
    <d v="2025-11-05T00:00:00"/>
    <n v="9920.85"/>
    <n v="5058.2299999999987"/>
    <s v="DEV8679"/>
    <x v="2"/>
    <x v="2"/>
    <x v="3"/>
    <s v="Romania"/>
    <s v="Zimbabwe"/>
    <s v="Delivered by Post"/>
    <x v="1"/>
    <x v="1"/>
    <x v="0"/>
  </r>
  <r>
    <s v="T2545"/>
    <x v="33"/>
    <n v="1"/>
    <x v="0"/>
    <x v="1"/>
    <d v="2025-02-22T00:00:00"/>
    <n v="4086.72"/>
    <n v="5058.2299999999987"/>
    <s v="DEV6827"/>
    <x v="0"/>
    <x v="0"/>
    <x v="0"/>
    <s v="Turkmenistan"/>
    <s v="Comoros"/>
    <s v="Picked Up"/>
    <x v="0"/>
    <x v="0"/>
    <x v="0"/>
  </r>
  <r>
    <s v="T2622"/>
    <x v="33"/>
    <n v="1"/>
    <x v="1"/>
    <x v="0"/>
    <d v="2025-09-04T00:00:00"/>
    <n v="4730.1899999999996"/>
    <n v="5058.2299999999987"/>
    <s v="DEV9876"/>
    <x v="1"/>
    <x v="2"/>
    <x v="5"/>
    <s v="Norway"/>
    <s v="Romania"/>
    <s v="Delivered by Post"/>
    <x v="0"/>
    <x v="1"/>
    <x v="0"/>
  </r>
  <r>
    <s v="T2654"/>
    <x v="33"/>
    <n v="1"/>
    <x v="1"/>
    <x v="2"/>
    <d v="2025-07-26T00:00:00"/>
    <n v="1038.43"/>
    <n v="5058.2299999999987"/>
    <s v="DEV5472"/>
    <x v="3"/>
    <x v="0"/>
    <x v="5"/>
    <s v="Romania"/>
    <s v="France"/>
    <s v="Picked Up"/>
    <x v="0"/>
    <x v="0"/>
    <x v="0"/>
  </r>
  <r>
    <s v="T2685"/>
    <x v="33"/>
    <n v="1"/>
    <x v="1"/>
    <x v="3"/>
    <d v="2025-01-19T00:00:00"/>
    <n v="1128.99"/>
    <n v="5058.2299999999987"/>
    <s v="DEV2546"/>
    <x v="0"/>
    <x v="2"/>
    <x v="3"/>
    <s v="Romania"/>
    <s v="Canada"/>
    <s v="Picked Up"/>
    <x v="0"/>
    <x v="1"/>
    <x v="0"/>
  </r>
  <r>
    <s v="T2718"/>
    <x v="33"/>
    <n v="1"/>
    <x v="0"/>
    <x v="3"/>
    <d v="2025-08-09T00:00:00"/>
    <n v="3438.41"/>
    <n v="5058.2299999999987"/>
    <s v="DEV6234"/>
    <x v="2"/>
    <x v="0"/>
    <x v="4"/>
    <s v="Zimbabwe"/>
    <s v="New Zealand"/>
    <s v="Delivered by Post"/>
    <x v="0"/>
    <x v="0"/>
    <x v="0"/>
  </r>
  <r>
    <s v="T2826"/>
    <x v="33"/>
    <n v="1"/>
    <x v="1"/>
    <x v="3"/>
    <d v="2025-03-20T00:00:00"/>
    <n v="5006.62"/>
    <n v="5058.2299999999987"/>
    <s v="DEV7433"/>
    <x v="1"/>
    <x v="3"/>
    <x v="2"/>
    <s v="France"/>
    <s v="Romania"/>
    <s v="Delivered by Post"/>
    <x v="0"/>
    <x v="1"/>
    <x v="0"/>
  </r>
  <r>
    <s v="T0008"/>
    <x v="34"/>
    <n v="1"/>
    <x v="1"/>
    <x v="1"/>
    <d v="2025-09-03T05:59:00"/>
    <n v="6844.6"/>
    <n v="4813.7290000000003"/>
    <s v="DEV8857"/>
    <x v="5"/>
    <x v="1"/>
    <x v="5"/>
    <s v="Anguilla"/>
    <s v="Pakistan"/>
    <s v="Picked Up"/>
    <x v="1"/>
    <x v="0"/>
    <x v="1"/>
  </r>
  <r>
    <s v="T0094"/>
    <x v="34"/>
    <n v="1"/>
    <x v="3"/>
    <x v="0"/>
    <d v="2025-08-10T07:29:00"/>
    <n v="737.87"/>
    <n v="4813.7290000000003"/>
    <s v="DEV1275"/>
    <x v="4"/>
    <x v="2"/>
    <x v="5"/>
    <s v="Anguilla"/>
    <s v="Israel"/>
    <s v="Picked Up"/>
    <x v="0"/>
    <x v="1"/>
    <x v="1"/>
  </r>
  <r>
    <s v="T0104"/>
    <x v="34"/>
    <n v="1"/>
    <x v="0"/>
    <x v="3"/>
    <d v="2025-11-18T00:00:00"/>
    <n v="1292.02"/>
    <n v="4813.7290000000003"/>
    <s v="DEV6925"/>
    <x v="2"/>
    <x v="2"/>
    <x v="3"/>
    <s v="Zimbabwe"/>
    <s v="Canada"/>
    <s v="Picked Up"/>
    <x v="0"/>
    <x v="1"/>
    <x v="0"/>
  </r>
  <r>
    <s v="T0146"/>
    <x v="34"/>
    <n v="1"/>
    <x v="1"/>
    <x v="0"/>
    <d v="2025-08-04T00:00:00"/>
    <n v="4312.3599999999997"/>
    <n v="4813.7290000000003"/>
    <s v="DEV2729"/>
    <x v="0"/>
    <x v="3"/>
    <x v="3"/>
    <s v="Comoros"/>
    <s v="Norway"/>
    <s v="Delivered by Post"/>
    <x v="0"/>
    <x v="1"/>
    <x v="0"/>
  </r>
  <r>
    <s v="T0167"/>
    <x v="34"/>
    <n v="1"/>
    <x v="1"/>
    <x v="2"/>
    <d v="2025-06-14T00:00:00"/>
    <n v="4869.2"/>
    <n v="4813.7290000000003"/>
    <s v="DEV4912"/>
    <x v="2"/>
    <x v="1"/>
    <x v="0"/>
    <s v="Bhutan"/>
    <s v="Canada"/>
    <s v="Delivered by Post"/>
    <x v="1"/>
    <x v="0"/>
    <x v="0"/>
  </r>
  <r>
    <s v="T0220"/>
    <x v="34"/>
    <n v="1"/>
    <x v="0"/>
    <x v="3"/>
    <d v="2025-07-02T00:00:00"/>
    <n v="4760.33"/>
    <n v="4813.7290000000003"/>
    <s v="DEV6438"/>
    <x v="4"/>
    <x v="0"/>
    <x v="1"/>
    <s v="Bhutan"/>
    <s v="Bhutan"/>
    <s v="Delivered by Post"/>
    <x v="0"/>
    <x v="1"/>
    <x v="0"/>
  </r>
  <r>
    <s v="T0273"/>
    <x v="34"/>
    <n v="1"/>
    <x v="0"/>
    <x v="0"/>
    <d v="2025-12-09T00:00:00"/>
    <n v="9903.7199999999993"/>
    <n v="4813.7290000000003"/>
    <s v="DEV1104"/>
    <x v="0"/>
    <x v="2"/>
    <x v="3"/>
    <s v="Romania"/>
    <s v="Zimbabwe"/>
    <s v="Picked Up"/>
    <x v="1"/>
    <x v="1"/>
    <x v="0"/>
  </r>
  <r>
    <s v="T0275"/>
    <x v="34"/>
    <n v="1"/>
    <x v="1"/>
    <x v="1"/>
    <d v="2025-02-24T00:00:00"/>
    <n v="9775.92"/>
    <n v="4813.7290000000003"/>
    <s v="DEV9591"/>
    <x v="3"/>
    <x v="2"/>
    <x v="0"/>
    <s v="Turkmenistan"/>
    <s v="France"/>
    <s v="Delivered by Post"/>
    <x v="1"/>
    <x v="1"/>
    <x v="0"/>
  </r>
  <r>
    <s v="T0410"/>
    <x v="34"/>
    <n v="1"/>
    <x v="0"/>
    <x v="3"/>
    <d v="2025-04-19T00:00:00"/>
    <n v="5497.88"/>
    <n v="4813.7290000000003"/>
    <s v="DEV9397"/>
    <x v="3"/>
    <x v="2"/>
    <x v="0"/>
    <s v="Romania"/>
    <s v="France"/>
    <s v="Picked Up"/>
    <x v="1"/>
    <x v="1"/>
    <x v="0"/>
  </r>
  <r>
    <s v="T0415"/>
    <x v="34"/>
    <n v="1"/>
    <x v="0"/>
    <x v="0"/>
    <d v="2025-01-10T00:00:00"/>
    <n v="2004.5"/>
    <n v="4813.7290000000003"/>
    <s v="DEV1511"/>
    <x v="2"/>
    <x v="1"/>
    <x v="5"/>
    <s v="Romania"/>
    <s v="Canada"/>
    <s v="Delivered by Post"/>
    <x v="0"/>
    <x v="0"/>
    <x v="0"/>
  </r>
  <r>
    <s v="T0416"/>
    <x v="34"/>
    <n v="1"/>
    <x v="0"/>
    <x v="3"/>
    <d v="2025-07-20T00:00:00"/>
    <n v="8945.16"/>
    <n v="4813.7290000000003"/>
    <s v="DEV5767"/>
    <x v="3"/>
    <x v="1"/>
    <x v="5"/>
    <s v="Turkmenistan"/>
    <s v="Zimbabwe"/>
    <s v="Delivered by Post"/>
    <x v="1"/>
    <x v="0"/>
    <x v="0"/>
  </r>
  <r>
    <s v="T0503"/>
    <x v="34"/>
    <n v="1"/>
    <x v="1"/>
    <x v="1"/>
    <d v="2025-04-22T00:00:00"/>
    <n v="8084.17"/>
    <n v="4813.7290000000003"/>
    <s v="DEV8794"/>
    <x v="0"/>
    <x v="1"/>
    <x v="4"/>
    <s v="Zimbabwe"/>
    <s v="Canada"/>
    <s v="Picked Up"/>
    <x v="1"/>
    <x v="0"/>
    <x v="0"/>
  </r>
  <r>
    <s v="T0546"/>
    <x v="34"/>
    <n v="1"/>
    <x v="0"/>
    <x v="2"/>
    <d v="2025-05-13T00:00:00"/>
    <n v="7698.64"/>
    <n v="4813.7290000000003"/>
    <s v="DEV1571"/>
    <x v="1"/>
    <x v="0"/>
    <x v="5"/>
    <s v="France"/>
    <s v="Comoros"/>
    <s v="Picked Up"/>
    <x v="1"/>
    <x v="0"/>
    <x v="0"/>
  </r>
  <r>
    <s v="T0607"/>
    <x v="34"/>
    <n v="1"/>
    <x v="0"/>
    <x v="0"/>
    <d v="2025-08-09T00:00:00"/>
    <n v="3468.98"/>
    <n v="4813.7290000000003"/>
    <s v="DEV7285"/>
    <x v="0"/>
    <x v="3"/>
    <x v="4"/>
    <s v="Comoros"/>
    <s v="Comoros"/>
    <s v="Picked Up"/>
    <x v="0"/>
    <x v="1"/>
    <x v="0"/>
  </r>
  <r>
    <s v="T0680"/>
    <x v="34"/>
    <n v="1"/>
    <x v="1"/>
    <x v="3"/>
    <d v="2025-11-27T00:00:00"/>
    <n v="505.91"/>
    <n v="4813.7290000000003"/>
    <s v="DEV3713"/>
    <x v="1"/>
    <x v="3"/>
    <x v="5"/>
    <s v="Zimbabwe"/>
    <s v="Turkmenistan"/>
    <s v="Picked Up"/>
    <x v="0"/>
    <x v="1"/>
    <x v="0"/>
  </r>
  <r>
    <s v="T0688"/>
    <x v="34"/>
    <n v="1"/>
    <x v="1"/>
    <x v="0"/>
    <d v="2025-01-01T00:00:00"/>
    <n v="9528.5"/>
    <n v="4813.7290000000003"/>
    <s v="DEV5739"/>
    <x v="3"/>
    <x v="0"/>
    <x v="2"/>
    <s v="Comoros"/>
    <s v="France"/>
    <s v="Delivered by Post"/>
    <x v="1"/>
    <x v="0"/>
    <x v="0"/>
  </r>
  <r>
    <s v="T0848"/>
    <x v="34"/>
    <n v="1"/>
    <x v="0"/>
    <x v="3"/>
    <d v="2025-10-18T00:00:00"/>
    <n v="1599.62"/>
    <n v="4813.7290000000003"/>
    <s v="DEV7230"/>
    <x v="1"/>
    <x v="3"/>
    <x v="4"/>
    <s v="Comoros"/>
    <s v="Romania"/>
    <s v="Picked Up"/>
    <x v="0"/>
    <x v="1"/>
    <x v="0"/>
  </r>
  <r>
    <s v="T0929"/>
    <x v="34"/>
    <n v="1"/>
    <x v="1"/>
    <x v="1"/>
    <d v="2025-08-16T00:00:00"/>
    <n v="2098.3200000000002"/>
    <n v="4813.7290000000003"/>
    <s v="DEV5959"/>
    <x v="4"/>
    <x v="3"/>
    <x v="3"/>
    <s v="Romania"/>
    <s v="Turkmenistan"/>
    <s v="Delivered by Post"/>
    <x v="0"/>
    <x v="1"/>
    <x v="1"/>
  </r>
  <r>
    <s v="T0975"/>
    <x v="34"/>
    <n v="1"/>
    <x v="0"/>
    <x v="3"/>
    <d v="2025-08-25T00:00:00"/>
    <n v="5023.16"/>
    <n v="4813.7290000000003"/>
    <s v="DEV8913"/>
    <x v="2"/>
    <x v="0"/>
    <x v="2"/>
    <s v="Bhutan"/>
    <s v="Zimbabwe"/>
    <s v="Delivered by Post"/>
    <x v="1"/>
    <x v="0"/>
    <x v="0"/>
  </r>
  <r>
    <s v="T0990"/>
    <x v="34"/>
    <n v="1"/>
    <x v="0"/>
    <x v="3"/>
    <d v="2025-12-11T00:00:00"/>
    <n v="2810.91"/>
    <n v="4813.7290000000003"/>
    <s v="DEV3772"/>
    <x v="2"/>
    <x v="3"/>
    <x v="5"/>
    <s v="Canada"/>
    <s v="Bhutan"/>
    <s v="Delivered by Post"/>
    <x v="0"/>
    <x v="1"/>
    <x v="0"/>
  </r>
  <r>
    <s v="T1044"/>
    <x v="34"/>
    <n v="1"/>
    <x v="1"/>
    <x v="2"/>
    <d v="2025-02-27T00:00:00"/>
    <n v="2527.77"/>
    <n v="4813.7290000000003"/>
    <s v="DEV8988"/>
    <x v="1"/>
    <x v="3"/>
    <x v="5"/>
    <s v="Comoros"/>
    <s v="Comoros"/>
    <s v="Picked Up"/>
    <x v="0"/>
    <x v="1"/>
    <x v="0"/>
  </r>
  <r>
    <s v="T1069"/>
    <x v="34"/>
    <n v="1"/>
    <x v="0"/>
    <x v="1"/>
    <d v="2025-02-21T00:00:00"/>
    <n v="3801.52"/>
    <n v="4813.7290000000003"/>
    <s v="DEV6712"/>
    <x v="3"/>
    <x v="0"/>
    <x v="4"/>
    <s v="Zimbabwe"/>
    <s v="Zimbabwe"/>
    <s v="Delivered by Post"/>
    <x v="0"/>
    <x v="1"/>
    <x v="0"/>
  </r>
  <r>
    <s v="T1079"/>
    <x v="34"/>
    <n v="1"/>
    <x v="0"/>
    <x v="3"/>
    <d v="2025-03-23T00:00:00"/>
    <n v="3658.43"/>
    <n v="4813.7290000000003"/>
    <s v="DEV3713"/>
    <x v="2"/>
    <x v="2"/>
    <x v="3"/>
    <s v="Norway"/>
    <s v="Turkmenistan"/>
    <s v="Delivered by Post"/>
    <x v="0"/>
    <x v="1"/>
    <x v="0"/>
  </r>
  <r>
    <s v="T1099"/>
    <x v="34"/>
    <n v="1"/>
    <x v="1"/>
    <x v="3"/>
    <d v="2025-02-23T00:00:00"/>
    <n v="5810.64"/>
    <n v="4813.7290000000003"/>
    <s v="DEV4732"/>
    <x v="4"/>
    <x v="2"/>
    <x v="4"/>
    <s v="France"/>
    <s v="Canada"/>
    <s v="Delivered by Post"/>
    <x v="1"/>
    <x v="1"/>
    <x v="1"/>
  </r>
  <r>
    <s v="T1102"/>
    <x v="34"/>
    <n v="1"/>
    <x v="0"/>
    <x v="2"/>
    <d v="2025-03-15T00:00:00"/>
    <n v="6987.2"/>
    <n v="4813.7290000000003"/>
    <s v="DEV6152"/>
    <x v="1"/>
    <x v="0"/>
    <x v="3"/>
    <s v="New Zealand"/>
    <s v="Zimbabwe"/>
    <s v="Picked Up"/>
    <x v="1"/>
    <x v="0"/>
    <x v="0"/>
  </r>
  <r>
    <s v="T1120"/>
    <x v="34"/>
    <n v="1"/>
    <x v="1"/>
    <x v="0"/>
    <d v="2025-03-03T00:00:00"/>
    <n v="2900.07"/>
    <n v="4813.7290000000003"/>
    <s v="DEV4311"/>
    <x v="1"/>
    <x v="1"/>
    <x v="0"/>
    <s v="Norway"/>
    <s v="Turkmenistan"/>
    <s v="Picked Up"/>
    <x v="0"/>
    <x v="0"/>
    <x v="0"/>
  </r>
  <r>
    <s v="T1276"/>
    <x v="34"/>
    <n v="1"/>
    <x v="0"/>
    <x v="0"/>
    <d v="2025-06-21T00:00:00"/>
    <n v="1113.56"/>
    <n v="4813.7290000000003"/>
    <s v="DEV4033"/>
    <x v="2"/>
    <x v="0"/>
    <x v="3"/>
    <s v="Canada"/>
    <s v="Comoros"/>
    <s v="Picked Up"/>
    <x v="0"/>
    <x v="0"/>
    <x v="0"/>
  </r>
  <r>
    <s v="T1325"/>
    <x v="34"/>
    <n v="1"/>
    <x v="1"/>
    <x v="3"/>
    <d v="2025-01-14T00:00:00"/>
    <n v="2957.82"/>
    <n v="4813.7290000000003"/>
    <s v="DEV3282"/>
    <x v="0"/>
    <x v="2"/>
    <x v="0"/>
    <s v="Norway"/>
    <s v="Romania"/>
    <s v="Picked Up"/>
    <x v="0"/>
    <x v="1"/>
    <x v="0"/>
  </r>
  <r>
    <s v="T1339"/>
    <x v="34"/>
    <n v="1"/>
    <x v="1"/>
    <x v="0"/>
    <d v="2025-10-09T00:00:00"/>
    <n v="6781.71"/>
    <n v="4813.7290000000003"/>
    <s v="DEV7198"/>
    <x v="4"/>
    <x v="1"/>
    <x v="3"/>
    <s v="Zimbabwe"/>
    <s v="Romania"/>
    <s v="Picked Up"/>
    <x v="1"/>
    <x v="0"/>
    <x v="1"/>
  </r>
  <r>
    <s v="T1362"/>
    <x v="34"/>
    <n v="1"/>
    <x v="0"/>
    <x v="2"/>
    <d v="2025-05-21T00:00:00"/>
    <n v="7702.62"/>
    <n v="4813.7290000000003"/>
    <s v="DEV2277"/>
    <x v="2"/>
    <x v="0"/>
    <x v="3"/>
    <s v="Comoros"/>
    <s v="Comoros"/>
    <s v="Delivered by Post"/>
    <x v="1"/>
    <x v="1"/>
    <x v="0"/>
  </r>
  <r>
    <s v="T1424"/>
    <x v="34"/>
    <n v="1"/>
    <x v="1"/>
    <x v="1"/>
    <d v="2025-03-24T00:00:00"/>
    <n v="9284.35"/>
    <n v="4813.7290000000003"/>
    <s v="DEV8393"/>
    <x v="4"/>
    <x v="2"/>
    <x v="5"/>
    <s v="Comoros"/>
    <s v="Turkmenistan"/>
    <s v="Delivered by Post"/>
    <x v="1"/>
    <x v="1"/>
    <x v="1"/>
  </r>
  <r>
    <s v="T1430"/>
    <x v="34"/>
    <n v="1"/>
    <x v="1"/>
    <x v="0"/>
    <d v="2025-05-17T00:00:00"/>
    <n v="2524.12"/>
    <n v="4813.7290000000003"/>
    <s v="DEV9383"/>
    <x v="4"/>
    <x v="2"/>
    <x v="2"/>
    <s v="Comoros"/>
    <s v="Canada"/>
    <s v="Picked Up"/>
    <x v="0"/>
    <x v="1"/>
    <x v="1"/>
  </r>
  <r>
    <s v="T1432"/>
    <x v="34"/>
    <n v="1"/>
    <x v="0"/>
    <x v="0"/>
    <d v="2025-08-12T00:00:00"/>
    <n v="4031.3"/>
    <n v="4813.7290000000003"/>
    <s v="DEV5235"/>
    <x v="0"/>
    <x v="1"/>
    <x v="0"/>
    <s v="Turkmenistan"/>
    <s v="Comoros"/>
    <s v="Picked Up"/>
    <x v="0"/>
    <x v="0"/>
    <x v="0"/>
  </r>
  <r>
    <s v="T1461"/>
    <x v="34"/>
    <n v="1"/>
    <x v="1"/>
    <x v="1"/>
    <d v="2025-12-20T00:00:00"/>
    <n v="7366.64"/>
    <n v="4813.7290000000003"/>
    <s v="DEV1998"/>
    <x v="4"/>
    <x v="3"/>
    <x v="4"/>
    <s v="Norway"/>
    <s v="Comoros"/>
    <s v="Picked Up"/>
    <x v="1"/>
    <x v="1"/>
    <x v="1"/>
  </r>
  <r>
    <s v="T1536"/>
    <x v="34"/>
    <n v="1"/>
    <x v="1"/>
    <x v="3"/>
    <d v="2025-03-27T00:00:00"/>
    <n v="6473.89"/>
    <n v="4813.7290000000003"/>
    <s v="DEV2970"/>
    <x v="1"/>
    <x v="3"/>
    <x v="3"/>
    <s v="Turkmenistan"/>
    <s v="Comoros"/>
    <s v="Picked Up"/>
    <x v="1"/>
    <x v="1"/>
    <x v="0"/>
  </r>
  <r>
    <s v="T1540"/>
    <x v="34"/>
    <n v="1"/>
    <x v="1"/>
    <x v="3"/>
    <d v="2025-11-29T00:00:00"/>
    <n v="675.67"/>
    <n v="4813.7290000000003"/>
    <s v="DEV1747"/>
    <x v="1"/>
    <x v="0"/>
    <x v="0"/>
    <s v="Comoros"/>
    <s v="Norway"/>
    <s v="Picked Up"/>
    <x v="0"/>
    <x v="0"/>
    <x v="0"/>
  </r>
  <r>
    <s v="T1578"/>
    <x v="34"/>
    <n v="1"/>
    <x v="1"/>
    <x v="1"/>
    <d v="2025-10-19T00:00:00"/>
    <n v="8320.39"/>
    <n v="4813.7290000000003"/>
    <s v="DEV7249"/>
    <x v="2"/>
    <x v="0"/>
    <x v="0"/>
    <s v="Zimbabwe"/>
    <s v="Comoros"/>
    <s v="Delivered by Post"/>
    <x v="1"/>
    <x v="0"/>
    <x v="0"/>
  </r>
  <r>
    <s v="T1585"/>
    <x v="34"/>
    <n v="1"/>
    <x v="0"/>
    <x v="0"/>
    <d v="2025-08-21T00:00:00"/>
    <n v="2995.25"/>
    <n v="4813.7290000000003"/>
    <s v="DEV3671"/>
    <x v="3"/>
    <x v="2"/>
    <x v="1"/>
    <s v="Canada"/>
    <s v="New Zealand"/>
    <s v="Picked Up"/>
    <x v="0"/>
    <x v="1"/>
    <x v="0"/>
  </r>
  <r>
    <s v="T1609"/>
    <x v="34"/>
    <n v="1"/>
    <x v="0"/>
    <x v="0"/>
    <d v="2025-01-02T00:00:00"/>
    <n v="3399.77"/>
    <n v="4813.7290000000003"/>
    <s v="DEV1760"/>
    <x v="4"/>
    <x v="2"/>
    <x v="1"/>
    <s v="Romania"/>
    <s v="Turkmenistan"/>
    <s v="Picked Up"/>
    <x v="0"/>
    <x v="1"/>
    <x v="1"/>
  </r>
  <r>
    <s v="T1646"/>
    <x v="34"/>
    <n v="1"/>
    <x v="0"/>
    <x v="0"/>
    <d v="2025-09-30T00:00:00"/>
    <n v="5975.99"/>
    <n v="4813.7290000000003"/>
    <s v="DEV6576"/>
    <x v="3"/>
    <x v="0"/>
    <x v="3"/>
    <s v="Zimbabwe"/>
    <s v="Turkmenistan"/>
    <s v="Delivered by Post"/>
    <x v="1"/>
    <x v="0"/>
    <x v="0"/>
  </r>
  <r>
    <s v="T1723"/>
    <x v="34"/>
    <n v="1"/>
    <x v="0"/>
    <x v="0"/>
    <d v="2025-08-18T00:00:00"/>
    <n v="2019.76"/>
    <n v="4813.7290000000003"/>
    <s v="DEV2737"/>
    <x v="1"/>
    <x v="2"/>
    <x v="1"/>
    <s v="Turkmenistan"/>
    <s v="Canada"/>
    <s v="Delivered by Post"/>
    <x v="0"/>
    <x v="1"/>
    <x v="0"/>
  </r>
  <r>
    <s v="T1759"/>
    <x v="34"/>
    <n v="1"/>
    <x v="0"/>
    <x v="0"/>
    <d v="2025-03-06T00:00:00"/>
    <n v="315.19"/>
    <n v="4813.7290000000003"/>
    <s v="DEV5427"/>
    <x v="1"/>
    <x v="2"/>
    <x v="5"/>
    <s v="Canada"/>
    <s v="Comoros"/>
    <s v="Delivered by Post"/>
    <x v="0"/>
    <x v="1"/>
    <x v="0"/>
  </r>
  <r>
    <s v="T1802"/>
    <x v="34"/>
    <n v="1"/>
    <x v="1"/>
    <x v="1"/>
    <d v="2025-05-20T00:00:00"/>
    <n v="4419.93"/>
    <n v="4813.7290000000003"/>
    <s v="DEV9398"/>
    <x v="4"/>
    <x v="2"/>
    <x v="2"/>
    <s v="Norway"/>
    <s v="Zimbabwe"/>
    <s v="Delivered by Post"/>
    <x v="0"/>
    <x v="1"/>
    <x v="1"/>
  </r>
  <r>
    <s v="T1886"/>
    <x v="34"/>
    <n v="1"/>
    <x v="0"/>
    <x v="3"/>
    <d v="2025-02-05T00:00:00"/>
    <n v="6134.06"/>
    <n v="4813.7290000000003"/>
    <s v="DEV5409"/>
    <x v="2"/>
    <x v="0"/>
    <x v="5"/>
    <s v="Bhutan"/>
    <s v="Zimbabwe"/>
    <s v="Delivered by Post"/>
    <x v="1"/>
    <x v="0"/>
    <x v="0"/>
  </r>
  <r>
    <s v="T2043"/>
    <x v="34"/>
    <n v="1"/>
    <x v="0"/>
    <x v="2"/>
    <d v="2025-12-09T00:00:00"/>
    <n v="3364.07"/>
    <n v="4813.7290000000003"/>
    <s v="DEV5752"/>
    <x v="1"/>
    <x v="0"/>
    <x v="2"/>
    <s v="Norway"/>
    <s v="Canada"/>
    <s v="Delivered by Post"/>
    <x v="0"/>
    <x v="0"/>
    <x v="0"/>
  </r>
  <r>
    <s v="T2079"/>
    <x v="34"/>
    <n v="1"/>
    <x v="0"/>
    <x v="1"/>
    <d v="2025-08-15T00:00:00"/>
    <n v="8459.75"/>
    <n v="4813.7290000000003"/>
    <s v="DEV7312"/>
    <x v="1"/>
    <x v="2"/>
    <x v="2"/>
    <s v="New Zealand"/>
    <s v="Comoros"/>
    <s v="Delivered by Post"/>
    <x v="1"/>
    <x v="1"/>
    <x v="0"/>
  </r>
  <r>
    <s v="T2147"/>
    <x v="34"/>
    <n v="1"/>
    <x v="1"/>
    <x v="2"/>
    <d v="2025-03-30T00:00:00"/>
    <n v="3271.07"/>
    <n v="4813.7290000000003"/>
    <s v="DEV5929"/>
    <x v="2"/>
    <x v="0"/>
    <x v="3"/>
    <s v="Bhutan"/>
    <s v="Romania"/>
    <s v="Delivered by Post"/>
    <x v="0"/>
    <x v="0"/>
    <x v="0"/>
  </r>
  <r>
    <s v="T2168"/>
    <x v="34"/>
    <n v="1"/>
    <x v="1"/>
    <x v="2"/>
    <d v="2025-06-08T00:00:00"/>
    <n v="9161.98"/>
    <n v="4813.7290000000003"/>
    <s v="DEV8849"/>
    <x v="4"/>
    <x v="0"/>
    <x v="0"/>
    <s v="Zimbabwe"/>
    <s v="Romania"/>
    <s v="Delivered by Post"/>
    <x v="1"/>
    <x v="0"/>
    <x v="1"/>
  </r>
  <r>
    <s v="T2248"/>
    <x v="34"/>
    <n v="1"/>
    <x v="1"/>
    <x v="1"/>
    <d v="2025-05-03T00:00:00"/>
    <n v="8101.06"/>
    <n v="4813.7290000000003"/>
    <s v="DEV7310"/>
    <x v="2"/>
    <x v="3"/>
    <x v="2"/>
    <s v="Turkmenistan"/>
    <s v="Comoros"/>
    <s v="Delivered by Post"/>
    <x v="1"/>
    <x v="1"/>
    <x v="0"/>
  </r>
  <r>
    <s v="T2252"/>
    <x v="34"/>
    <n v="1"/>
    <x v="0"/>
    <x v="3"/>
    <d v="2025-05-29T00:00:00"/>
    <n v="972.66"/>
    <n v="4813.7290000000003"/>
    <s v="DEV8924"/>
    <x v="1"/>
    <x v="1"/>
    <x v="5"/>
    <s v="New Zealand"/>
    <s v="France"/>
    <s v="Delivered by Post"/>
    <x v="0"/>
    <x v="0"/>
    <x v="0"/>
  </r>
  <r>
    <s v="T2305"/>
    <x v="34"/>
    <n v="1"/>
    <x v="1"/>
    <x v="0"/>
    <d v="2025-07-17T00:00:00"/>
    <n v="5959.27"/>
    <n v="4813.7290000000003"/>
    <s v="DEV9568"/>
    <x v="1"/>
    <x v="1"/>
    <x v="5"/>
    <s v="Comoros"/>
    <s v="Turkmenistan"/>
    <s v="Delivered by Post"/>
    <x v="1"/>
    <x v="0"/>
    <x v="0"/>
  </r>
  <r>
    <s v="T2325"/>
    <x v="34"/>
    <n v="1"/>
    <x v="0"/>
    <x v="1"/>
    <d v="2025-08-25T00:00:00"/>
    <n v="5464.99"/>
    <n v="4813.7290000000003"/>
    <s v="DEV8569"/>
    <x v="1"/>
    <x v="3"/>
    <x v="1"/>
    <s v="Canada"/>
    <s v="Romania"/>
    <s v="Picked Up"/>
    <x v="1"/>
    <x v="1"/>
    <x v="0"/>
  </r>
  <r>
    <s v="T2444"/>
    <x v="34"/>
    <n v="1"/>
    <x v="1"/>
    <x v="2"/>
    <d v="2025-02-09T00:00:00"/>
    <n v="7595.05"/>
    <n v="4813.7290000000003"/>
    <s v="DEV5895"/>
    <x v="4"/>
    <x v="3"/>
    <x v="5"/>
    <s v="Bhutan"/>
    <s v="Bhutan"/>
    <s v="Picked Up"/>
    <x v="1"/>
    <x v="1"/>
    <x v="0"/>
  </r>
  <r>
    <s v="T2495"/>
    <x v="34"/>
    <n v="1"/>
    <x v="0"/>
    <x v="3"/>
    <d v="2025-12-14T00:00:00"/>
    <n v="3708.12"/>
    <n v="4813.7290000000003"/>
    <s v="DEV8388"/>
    <x v="1"/>
    <x v="2"/>
    <x v="1"/>
    <s v="Canada"/>
    <s v="Zimbabwe"/>
    <s v="Delivered by Post"/>
    <x v="0"/>
    <x v="1"/>
    <x v="0"/>
  </r>
  <r>
    <s v="T2524"/>
    <x v="34"/>
    <n v="1"/>
    <x v="0"/>
    <x v="1"/>
    <d v="2025-07-04T00:00:00"/>
    <n v="2845.26"/>
    <n v="4813.7290000000003"/>
    <s v="DEV8976"/>
    <x v="2"/>
    <x v="0"/>
    <x v="1"/>
    <s v="Comoros"/>
    <s v="Romania"/>
    <s v="Delivered by Post"/>
    <x v="0"/>
    <x v="0"/>
    <x v="0"/>
  </r>
  <r>
    <s v="T2594"/>
    <x v="34"/>
    <n v="1"/>
    <x v="0"/>
    <x v="1"/>
    <d v="2025-05-10T00:00:00"/>
    <n v="3555.53"/>
    <n v="4813.7290000000003"/>
    <s v="DEV5335"/>
    <x v="3"/>
    <x v="3"/>
    <x v="5"/>
    <s v="France"/>
    <s v="Turkmenistan"/>
    <s v="Picked Up"/>
    <x v="0"/>
    <x v="1"/>
    <x v="0"/>
  </r>
  <r>
    <s v="T2744"/>
    <x v="34"/>
    <n v="1"/>
    <x v="0"/>
    <x v="2"/>
    <d v="2025-06-02T00:00:00"/>
    <n v="1000.47"/>
    <n v="4813.7290000000003"/>
    <s v="DEV7098"/>
    <x v="1"/>
    <x v="0"/>
    <x v="2"/>
    <s v="Norway"/>
    <s v="Zimbabwe"/>
    <s v="Picked Up"/>
    <x v="0"/>
    <x v="0"/>
    <x v="0"/>
  </r>
  <r>
    <s v="T2746"/>
    <x v="34"/>
    <n v="1"/>
    <x v="0"/>
    <x v="1"/>
    <d v="2025-02-02T00:00:00"/>
    <n v="4483.87"/>
    <n v="4813.7290000000003"/>
    <s v="DEV8835"/>
    <x v="1"/>
    <x v="2"/>
    <x v="3"/>
    <s v="Norway"/>
    <s v="Canada"/>
    <s v="Delivered by Post"/>
    <x v="0"/>
    <x v="1"/>
    <x v="0"/>
  </r>
  <r>
    <s v="T2752"/>
    <x v="34"/>
    <n v="1"/>
    <x v="1"/>
    <x v="1"/>
    <d v="2025-01-22T00:00:00"/>
    <n v="9711.07"/>
    <n v="4813.7290000000003"/>
    <s v="DEV9301"/>
    <x v="0"/>
    <x v="2"/>
    <x v="2"/>
    <s v="France"/>
    <s v="New Zealand"/>
    <s v="Picked Up"/>
    <x v="1"/>
    <x v="1"/>
    <x v="0"/>
  </r>
  <r>
    <s v="T2848"/>
    <x v="34"/>
    <n v="1"/>
    <x v="0"/>
    <x v="1"/>
    <d v="2025-04-07T00:00:00"/>
    <n v="3230.1"/>
    <n v="4813.7290000000003"/>
    <s v="DEV7097"/>
    <x v="3"/>
    <x v="0"/>
    <x v="2"/>
    <s v="Canada"/>
    <s v="Canada"/>
    <s v="Picked Up"/>
    <x v="0"/>
    <x v="1"/>
    <x v="0"/>
  </r>
  <r>
    <s v="T0007"/>
    <x v="35"/>
    <n v="1"/>
    <x v="2"/>
    <x v="4"/>
    <d v="2025-05-02T02:20:00"/>
    <n v="3940.73"/>
    <n v="5513.8293103448259"/>
    <s v="DEV3032"/>
    <x v="5"/>
    <x v="3"/>
    <x v="5"/>
    <s v="Turkmenistan"/>
    <s v="Guatemala"/>
    <s v="Delivered by Post"/>
    <x v="0"/>
    <x v="1"/>
    <x v="1"/>
  </r>
  <r>
    <s v="T0226"/>
    <x v="35"/>
    <n v="1"/>
    <x v="1"/>
    <x v="1"/>
    <d v="2025-11-10T00:00:00"/>
    <n v="1221.72"/>
    <n v="5513.8293103448259"/>
    <s v="DEV9047"/>
    <x v="3"/>
    <x v="0"/>
    <x v="0"/>
    <s v="Zimbabwe"/>
    <s v="Comoros"/>
    <s v="Picked Up"/>
    <x v="0"/>
    <x v="0"/>
    <x v="0"/>
  </r>
  <r>
    <s v="T0265"/>
    <x v="35"/>
    <n v="1"/>
    <x v="0"/>
    <x v="2"/>
    <d v="2025-10-12T00:00:00"/>
    <n v="9487.7800000000007"/>
    <n v="5513.8293103448259"/>
    <s v="DEV1768"/>
    <x v="4"/>
    <x v="1"/>
    <x v="5"/>
    <s v="New Zealand"/>
    <s v="Bhutan"/>
    <s v="Delivered by Post"/>
    <x v="1"/>
    <x v="0"/>
    <x v="1"/>
  </r>
  <r>
    <s v="T0284"/>
    <x v="35"/>
    <n v="1"/>
    <x v="1"/>
    <x v="2"/>
    <d v="2025-01-07T00:00:00"/>
    <n v="975.99"/>
    <n v="5513.8293103448259"/>
    <s v="DEV7779"/>
    <x v="0"/>
    <x v="0"/>
    <x v="3"/>
    <s v="Turkmenistan"/>
    <s v="Romania"/>
    <s v="Picked Up"/>
    <x v="0"/>
    <x v="0"/>
    <x v="0"/>
  </r>
  <r>
    <s v="T0386"/>
    <x v="35"/>
    <n v="1"/>
    <x v="0"/>
    <x v="1"/>
    <d v="2025-09-16T00:00:00"/>
    <n v="8926.02"/>
    <n v="5513.8293103448259"/>
    <s v="DEV9123"/>
    <x v="3"/>
    <x v="0"/>
    <x v="4"/>
    <s v="New Zealand"/>
    <s v="Romania"/>
    <s v="Delivered by Post"/>
    <x v="1"/>
    <x v="0"/>
    <x v="0"/>
  </r>
  <r>
    <s v="T0403"/>
    <x v="35"/>
    <n v="1"/>
    <x v="0"/>
    <x v="0"/>
    <d v="2025-12-09T00:00:00"/>
    <n v="8245.7000000000007"/>
    <n v="5513.8293103448259"/>
    <s v="DEV8301"/>
    <x v="3"/>
    <x v="2"/>
    <x v="2"/>
    <s v="New Zealand"/>
    <s v="Bhutan"/>
    <s v="Picked Up"/>
    <x v="1"/>
    <x v="1"/>
    <x v="0"/>
  </r>
  <r>
    <s v="T0482"/>
    <x v="35"/>
    <n v="1"/>
    <x v="0"/>
    <x v="1"/>
    <d v="2025-05-05T00:00:00"/>
    <n v="2021.18"/>
    <n v="5513.8293103448259"/>
    <s v="DEV5362"/>
    <x v="0"/>
    <x v="3"/>
    <x v="3"/>
    <s v="Zimbabwe"/>
    <s v="Zimbabwe"/>
    <s v="Delivered by Post"/>
    <x v="0"/>
    <x v="1"/>
    <x v="0"/>
  </r>
  <r>
    <s v="T0504"/>
    <x v="35"/>
    <n v="1"/>
    <x v="0"/>
    <x v="0"/>
    <d v="2025-04-05T00:00:00"/>
    <n v="2817.22"/>
    <n v="5513.8293103448259"/>
    <s v="DEV1902"/>
    <x v="4"/>
    <x v="0"/>
    <x v="0"/>
    <s v="Canada"/>
    <s v="France"/>
    <s v="Delivered by Post"/>
    <x v="0"/>
    <x v="0"/>
    <x v="1"/>
  </r>
  <r>
    <s v="T0528"/>
    <x v="35"/>
    <n v="1"/>
    <x v="1"/>
    <x v="0"/>
    <d v="2025-05-25T00:00:00"/>
    <n v="9680.6"/>
    <n v="5513.8293103448259"/>
    <s v="DEV4854"/>
    <x v="0"/>
    <x v="1"/>
    <x v="3"/>
    <s v="New Zealand"/>
    <s v="Bhutan"/>
    <s v="Delivered by Post"/>
    <x v="1"/>
    <x v="0"/>
    <x v="0"/>
  </r>
  <r>
    <s v="T0572"/>
    <x v="35"/>
    <n v="1"/>
    <x v="1"/>
    <x v="1"/>
    <d v="2025-10-04T00:00:00"/>
    <n v="7107.9"/>
    <n v="5513.8293103448259"/>
    <s v="DEV8839"/>
    <x v="2"/>
    <x v="2"/>
    <x v="3"/>
    <s v="Romania"/>
    <s v="New Zealand"/>
    <s v="Delivered by Post"/>
    <x v="1"/>
    <x v="1"/>
    <x v="0"/>
  </r>
  <r>
    <s v="T0587"/>
    <x v="35"/>
    <n v="1"/>
    <x v="0"/>
    <x v="1"/>
    <d v="2025-04-06T00:00:00"/>
    <n v="4648.09"/>
    <n v="5513.8293103448259"/>
    <s v="DEV5742"/>
    <x v="2"/>
    <x v="1"/>
    <x v="2"/>
    <s v="France"/>
    <s v="France"/>
    <s v="Delivered by Post"/>
    <x v="0"/>
    <x v="1"/>
    <x v="0"/>
  </r>
  <r>
    <s v="T0588"/>
    <x v="35"/>
    <n v="1"/>
    <x v="0"/>
    <x v="1"/>
    <d v="2025-05-15T00:00:00"/>
    <n v="7411.57"/>
    <n v="5513.8293103448259"/>
    <s v="DEV8742"/>
    <x v="1"/>
    <x v="3"/>
    <x v="4"/>
    <s v="Norway"/>
    <s v="Comoros"/>
    <s v="Picked Up"/>
    <x v="1"/>
    <x v="1"/>
    <x v="0"/>
  </r>
  <r>
    <s v="T0663"/>
    <x v="35"/>
    <n v="1"/>
    <x v="0"/>
    <x v="1"/>
    <d v="2025-07-05T00:00:00"/>
    <n v="467.6"/>
    <n v="5513.8293103448259"/>
    <s v="DEV5786"/>
    <x v="0"/>
    <x v="1"/>
    <x v="3"/>
    <s v="Zimbabwe"/>
    <s v="Norway"/>
    <s v="Delivered by Post"/>
    <x v="0"/>
    <x v="0"/>
    <x v="0"/>
  </r>
  <r>
    <s v="T0692"/>
    <x v="35"/>
    <n v="1"/>
    <x v="1"/>
    <x v="0"/>
    <d v="2025-11-29T00:00:00"/>
    <n v="8957.92"/>
    <n v="5513.8293103448259"/>
    <s v="DEV2270"/>
    <x v="2"/>
    <x v="0"/>
    <x v="3"/>
    <s v="Comoros"/>
    <s v="Zimbabwe"/>
    <s v="Delivered by Post"/>
    <x v="1"/>
    <x v="0"/>
    <x v="0"/>
  </r>
  <r>
    <s v="T0812"/>
    <x v="35"/>
    <n v="1"/>
    <x v="1"/>
    <x v="1"/>
    <d v="2025-04-05T00:00:00"/>
    <n v="7804.75"/>
    <n v="5513.8293103448259"/>
    <s v="DEV3621"/>
    <x v="2"/>
    <x v="2"/>
    <x v="5"/>
    <s v="Canada"/>
    <s v="Turkmenistan"/>
    <s v="Delivered by Post"/>
    <x v="1"/>
    <x v="1"/>
    <x v="0"/>
  </r>
  <r>
    <s v="T0830"/>
    <x v="35"/>
    <n v="1"/>
    <x v="0"/>
    <x v="1"/>
    <d v="2025-04-25T00:00:00"/>
    <n v="9719.61"/>
    <n v="5513.8293103448259"/>
    <s v="DEV3257"/>
    <x v="1"/>
    <x v="2"/>
    <x v="4"/>
    <s v="Canada"/>
    <s v="Bhutan"/>
    <s v="Delivered by Post"/>
    <x v="1"/>
    <x v="1"/>
    <x v="0"/>
  </r>
  <r>
    <s v="T0834"/>
    <x v="35"/>
    <n v="1"/>
    <x v="1"/>
    <x v="1"/>
    <d v="2025-08-05T00:00:00"/>
    <n v="7128.5"/>
    <n v="5513.8293103448259"/>
    <s v="DEV5453"/>
    <x v="1"/>
    <x v="1"/>
    <x v="0"/>
    <s v="Romania"/>
    <s v="Bhutan"/>
    <s v="Picked Up"/>
    <x v="1"/>
    <x v="0"/>
    <x v="0"/>
  </r>
  <r>
    <s v="T0842"/>
    <x v="35"/>
    <n v="1"/>
    <x v="0"/>
    <x v="2"/>
    <d v="2025-02-18T00:00:00"/>
    <n v="8681.9599999999991"/>
    <n v="5513.8293103448259"/>
    <s v="DEV6139"/>
    <x v="3"/>
    <x v="3"/>
    <x v="0"/>
    <s v="Zimbabwe"/>
    <s v="France"/>
    <s v="Delivered by Post"/>
    <x v="1"/>
    <x v="1"/>
    <x v="0"/>
  </r>
  <r>
    <s v="T0924"/>
    <x v="35"/>
    <n v="1"/>
    <x v="0"/>
    <x v="0"/>
    <d v="2025-01-19T00:00:00"/>
    <n v="4813.78"/>
    <n v="5513.8293103448259"/>
    <s v="DEV9316"/>
    <x v="3"/>
    <x v="3"/>
    <x v="4"/>
    <s v="Comoros"/>
    <s v="France"/>
    <s v="Picked Up"/>
    <x v="0"/>
    <x v="1"/>
    <x v="0"/>
  </r>
  <r>
    <s v="T0967"/>
    <x v="35"/>
    <n v="1"/>
    <x v="0"/>
    <x v="0"/>
    <d v="2025-09-27T00:00:00"/>
    <n v="7346.68"/>
    <n v="5513.8293103448259"/>
    <s v="DEV9216"/>
    <x v="0"/>
    <x v="1"/>
    <x v="2"/>
    <s v="Norway"/>
    <s v="France"/>
    <s v="Delivered by Post"/>
    <x v="1"/>
    <x v="0"/>
    <x v="0"/>
  </r>
  <r>
    <s v="T1039"/>
    <x v="35"/>
    <n v="1"/>
    <x v="0"/>
    <x v="0"/>
    <d v="2025-08-17T00:00:00"/>
    <n v="9618.48"/>
    <n v="5513.8293103448259"/>
    <s v="DEV9567"/>
    <x v="3"/>
    <x v="2"/>
    <x v="1"/>
    <s v="Norway"/>
    <s v="Romania"/>
    <s v="Picked Up"/>
    <x v="1"/>
    <x v="1"/>
    <x v="0"/>
  </r>
  <r>
    <s v="T1057"/>
    <x v="35"/>
    <n v="1"/>
    <x v="0"/>
    <x v="2"/>
    <d v="2025-11-09T00:00:00"/>
    <n v="7816.85"/>
    <n v="5513.8293103448259"/>
    <s v="DEV4127"/>
    <x v="1"/>
    <x v="1"/>
    <x v="1"/>
    <s v="Comoros"/>
    <s v="Comoros"/>
    <s v="Picked Up"/>
    <x v="1"/>
    <x v="1"/>
    <x v="0"/>
  </r>
  <r>
    <s v="T1131"/>
    <x v="35"/>
    <n v="1"/>
    <x v="1"/>
    <x v="3"/>
    <d v="2025-04-20T00:00:00"/>
    <n v="8631.26"/>
    <n v="5513.8293103448259"/>
    <s v="DEV3315"/>
    <x v="0"/>
    <x v="0"/>
    <x v="5"/>
    <s v="Comoros"/>
    <s v="France"/>
    <s v="Delivered by Post"/>
    <x v="1"/>
    <x v="0"/>
    <x v="0"/>
  </r>
  <r>
    <s v="T1165"/>
    <x v="35"/>
    <n v="1"/>
    <x v="1"/>
    <x v="0"/>
    <d v="2025-05-21T00:00:00"/>
    <n v="1611.94"/>
    <n v="5513.8293103448259"/>
    <s v="DEV5521"/>
    <x v="3"/>
    <x v="1"/>
    <x v="1"/>
    <s v="Norway"/>
    <s v="Norway"/>
    <s v="Delivered by Post"/>
    <x v="0"/>
    <x v="1"/>
    <x v="0"/>
  </r>
  <r>
    <s v="T1188"/>
    <x v="35"/>
    <n v="1"/>
    <x v="0"/>
    <x v="3"/>
    <d v="2025-09-08T00:00:00"/>
    <n v="6663.14"/>
    <n v="5513.8293103448259"/>
    <s v="DEV6332"/>
    <x v="4"/>
    <x v="1"/>
    <x v="5"/>
    <s v="Bhutan"/>
    <s v="Romania"/>
    <s v="Delivered by Post"/>
    <x v="1"/>
    <x v="0"/>
    <x v="1"/>
  </r>
  <r>
    <s v="T1204"/>
    <x v="35"/>
    <n v="1"/>
    <x v="0"/>
    <x v="1"/>
    <d v="2025-12-08T00:00:00"/>
    <n v="6352.3"/>
    <n v="5513.8293103448259"/>
    <s v="DEV9353"/>
    <x v="3"/>
    <x v="0"/>
    <x v="4"/>
    <s v="Turkmenistan"/>
    <s v="Zimbabwe"/>
    <s v="Picked Up"/>
    <x v="1"/>
    <x v="0"/>
    <x v="0"/>
  </r>
  <r>
    <s v="T1217"/>
    <x v="35"/>
    <n v="1"/>
    <x v="0"/>
    <x v="3"/>
    <d v="2025-04-23T00:00:00"/>
    <n v="3567.84"/>
    <n v="5513.8293103448259"/>
    <s v="DEV7279"/>
    <x v="3"/>
    <x v="0"/>
    <x v="0"/>
    <s v="Zimbabwe"/>
    <s v="France"/>
    <s v="Delivered by Post"/>
    <x v="0"/>
    <x v="0"/>
    <x v="0"/>
  </r>
  <r>
    <s v="T1270"/>
    <x v="35"/>
    <n v="1"/>
    <x v="1"/>
    <x v="0"/>
    <d v="2025-11-16T00:00:00"/>
    <n v="9961.5499999999993"/>
    <n v="5513.8293103448259"/>
    <s v="DEV6194"/>
    <x v="3"/>
    <x v="3"/>
    <x v="5"/>
    <s v="Bhutan"/>
    <s v="France"/>
    <s v="Picked Up"/>
    <x v="1"/>
    <x v="1"/>
    <x v="0"/>
  </r>
  <r>
    <s v="T1340"/>
    <x v="35"/>
    <n v="1"/>
    <x v="0"/>
    <x v="1"/>
    <d v="2025-09-28T00:00:00"/>
    <n v="4845.1899999999996"/>
    <n v="5513.8293103448259"/>
    <s v="DEV6518"/>
    <x v="1"/>
    <x v="3"/>
    <x v="0"/>
    <s v="France"/>
    <s v="Bhutan"/>
    <s v="Picked Up"/>
    <x v="0"/>
    <x v="1"/>
    <x v="0"/>
  </r>
  <r>
    <s v="T1405"/>
    <x v="35"/>
    <n v="1"/>
    <x v="0"/>
    <x v="2"/>
    <d v="2025-02-13T00:00:00"/>
    <n v="4973.83"/>
    <n v="5513.8293103448259"/>
    <s v="DEV7982"/>
    <x v="2"/>
    <x v="0"/>
    <x v="4"/>
    <s v="Romania"/>
    <s v="Norway"/>
    <s v="Picked Up"/>
    <x v="0"/>
    <x v="0"/>
    <x v="0"/>
  </r>
  <r>
    <s v="T1427"/>
    <x v="35"/>
    <n v="1"/>
    <x v="1"/>
    <x v="2"/>
    <d v="2025-12-07T00:00:00"/>
    <n v="9042.93"/>
    <n v="5513.8293103448259"/>
    <s v="DEV1819"/>
    <x v="4"/>
    <x v="0"/>
    <x v="5"/>
    <s v="New Zealand"/>
    <s v="Romania"/>
    <s v="Picked Up"/>
    <x v="1"/>
    <x v="0"/>
    <x v="1"/>
  </r>
  <r>
    <s v="T1431"/>
    <x v="35"/>
    <n v="1"/>
    <x v="0"/>
    <x v="3"/>
    <d v="2025-10-24T00:00:00"/>
    <n v="3413.28"/>
    <n v="5513.8293103448259"/>
    <s v="DEV7662"/>
    <x v="4"/>
    <x v="2"/>
    <x v="2"/>
    <s v="Turkmenistan"/>
    <s v="Romania"/>
    <s v="Delivered by Post"/>
    <x v="0"/>
    <x v="1"/>
    <x v="1"/>
  </r>
  <r>
    <s v="T1490"/>
    <x v="35"/>
    <n v="1"/>
    <x v="0"/>
    <x v="2"/>
    <d v="2025-11-19T00:00:00"/>
    <n v="3071.22"/>
    <n v="5513.8293103448259"/>
    <s v="DEV7650"/>
    <x v="3"/>
    <x v="0"/>
    <x v="1"/>
    <s v="New Zealand"/>
    <s v="Canada"/>
    <s v="Delivered by Post"/>
    <x v="0"/>
    <x v="0"/>
    <x v="0"/>
  </r>
  <r>
    <s v="T1537"/>
    <x v="35"/>
    <n v="1"/>
    <x v="1"/>
    <x v="3"/>
    <d v="2025-04-01T00:00:00"/>
    <n v="2844.47"/>
    <n v="5513.8293103448259"/>
    <s v="DEV9281"/>
    <x v="0"/>
    <x v="3"/>
    <x v="1"/>
    <s v="Comoros"/>
    <s v="Canada"/>
    <s v="Picked Up"/>
    <x v="0"/>
    <x v="1"/>
    <x v="0"/>
  </r>
  <r>
    <s v="T1610"/>
    <x v="35"/>
    <n v="1"/>
    <x v="0"/>
    <x v="2"/>
    <d v="2025-11-12T00:00:00"/>
    <n v="7112.35"/>
    <n v="5513.8293103448259"/>
    <s v="DEV2023"/>
    <x v="1"/>
    <x v="1"/>
    <x v="4"/>
    <s v="Turkmenistan"/>
    <s v="Bhutan"/>
    <s v="Picked Up"/>
    <x v="1"/>
    <x v="0"/>
    <x v="0"/>
  </r>
  <r>
    <s v="T1613"/>
    <x v="35"/>
    <n v="1"/>
    <x v="0"/>
    <x v="0"/>
    <d v="2025-04-08T00:00:00"/>
    <n v="3081.79"/>
    <n v="5513.8293103448259"/>
    <s v="DEV9287"/>
    <x v="3"/>
    <x v="2"/>
    <x v="0"/>
    <s v="Norway"/>
    <s v="Zimbabwe"/>
    <s v="Picked Up"/>
    <x v="0"/>
    <x v="1"/>
    <x v="0"/>
  </r>
  <r>
    <s v="T1620"/>
    <x v="35"/>
    <n v="1"/>
    <x v="1"/>
    <x v="3"/>
    <d v="2025-10-14T00:00:00"/>
    <n v="7829.38"/>
    <n v="5513.8293103448259"/>
    <s v="DEV5656"/>
    <x v="0"/>
    <x v="3"/>
    <x v="2"/>
    <s v="Turkmenistan"/>
    <s v="Romania"/>
    <s v="Delivered by Post"/>
    <x v="1"/>
    <x v="1"/>
    <x v="0"/>
  </r>
  <r>
    <s v="T1625"/>
    <x v="35"/>
    <n v="1"/>
    <x v="0"/>
    <x v="0"/>
    <d v="2025-03-18T00:00:00"/>
    <n v="3508.95"/>
    <n v="5513.8293103448259"/>
    <s v="DEV7071"/>
    <x v="1"/>
    <x v="0"/>
    <x v="2"/>
    <s v="Romania"/>
    <s v="Canada"/>
    <s v="Delivered by Post"/>
    <x v="0"/>
    <x v="0"/>
    <x v="0"/>
  </r>
  <r>
    <s v="T1731"/>
    <x v="35"/>
    <n v="1"/>
    <x v="0"/>
    <x v="0"/>
    <d v="2025-05-22T00:00:00"/>
    <n v="952.62"/>
    <n v="5513.8293103448259"/>
    <s v="DEV7891"/>
    <x v="4"/>
    <x v="2"/>
    <x v="4"/>
    <s v="Turkmenistan"/>
    <s v="Bhutan"/>
    <s v="Picked Up"/>
    <x v="0"/>
    <x v="1"/>
    <x v="1"/>
  </r>
  <r>
    <s v="T1858"/>
    <x v="35"/>
    <n v="1"/>
    <x v="1"/>
    <x v="3"/>
    <d v="2025-11-18T00:00:00"/>
    <n v="2388.7600000000002"/>
    <n v="5513.8293103448259"/>
    <s v="DEV8536"/>
    <x v="0"/>
    <x v="0"/>
    <x v="1"/>
    <s v="Comoros"/>
    <s v="Canada"/>
    <s v="Picked Up"/>
    <x v="0"/>
    <x v="0"/>
    <x v="0"/>
  </r>
  <r>
    <s v="T1923"/>
    <x v="35"/>
    <n v="1"/>
    <x v="1"/>
    <x v="0"/>
    <d v="2025-02-18T00:00:00"/>
    <n v="2246.04"/>
    <n v="5513.8293103448259"/>
    <s v="DEV8411"/>
    <x v="2"/>
    <x v="0"/>
    <x v="1"/>
    <s v="Norway"/>
    <s v="France"/>
    <s v="Delivered by Post"/>
    <x v="0"/>
    <x v="0"/>
    <x v="0"/>
  </r>
  <r>
    <s v="T2032"/>
    <x v="35"/>
    <n v="1"/>
    <x v="1"/>
    <x v="2"/>
    <d v="2025-08-29T00:00:00"/>
    <n v="8657.0400000000009"/>
    <n v="5513.8293103448259"/>
    <s v="DEV2899"/>
    <x v="1"/>
    <x v="3"/>
    <x v="0"/>
    <s v="New Zealand"/>
    <s v="Norway"/>
    <s v="Delivered by Post"/>
    <x v="1"/>
    <x v="1"/>
    <x v="0"/>
  </r>
  <r>
    <s v="T2073"/>
    <x v="35"/>
    <n v="1"/>
    <x v="0"/>
    <x v="1"/>
    <d v="2025-12-19T00:00:00"/>
    <n v="9928.43"/>
    <n v="5513.8293103448259"/>
    <s v="DEV1079"/>
    <x v="4"/>
    <x v="3"/>
    <x v="2"/>
    <s v="Norway"/>
    <s v="Turkmenistan"/>
    <s v="Picked Up"/>
    <x v="1"/>
    <x v="1"/>
    <x v="1"/>
  </r>
  <r>
    <s v="T2077"/>
    <x v="35"/>
    <n v="1"/>
    <x v="1"/>
    <x v="3"/>
    <d v="2025-02-11T00:00:00"/>
    <n v="7163.38"/>
    <n v="5513.8293103448259"/>
    <s v="DEV8067"/>
    <x v="1"/>
    <x v="0"/>
    <x v="5"/>
    <s v="Romania"/>
    <s v="New Zealand"/>
    <s v="Picked Up"/>
    <x v="1"/>
    <x v="0"/>
    <x v="0"/>
  </r>
  <r>
    <s v="T2195"/>
    <x v="35"/>
    <n v="1"/>
    <x v="1"/>
    <x v="3"/>
    <d v="2025-10-22T00:00:00"/>
    <n v="2227.17"/>
    <n v="5513.8293103448259"/>
    <s v="DEV6484"/>
    <x v="3"/>
    <x v="0"/>
    <x v="0"/>
    <s v="New Zealand"/>
    <s v="Romania"/>
    <s v="Picked Up"/>
    <x v="0"/>
    <x v="0"/>
    <x v="0"/>
  </r>
  <r>
    <s v="T2208"/>
    <x v="35"/>
    <n v="1"/>
    <x v="1"/>
    <x v="3"/>
    <d v="2025-02-12T00:00:00"/>
    <n v="6114.63"/>
    <n v="5513.8293103448259"/>
    <s v="DEV2639"/>
    <x v="2"/>
    <x v="0"/>
    <x v="4"/>
    <s v="Comoros"/>
    <s v="New Zealand"/>
    <s v="Delivered by Post"/>
    <x v="1"/>
    <x v="0"/>
    <x v="0"/>
  </r>
  <r>
    <s v="T2264"/>
    <x v="35"/>
    <n v="1"/>
    <x v="1"/>
    <x v="2"/>
    <d v="2025-01-15T00:00:00"/>
    <n v="8603.42"/>
    <n v="5513.8293103448259"/>
    <s v="DEV3956"/>
    <x v="1"/>
    <x v="2"/>
    <x v="3"/>
    <s v="Norway"/>
    <s v="Norway"/>
    <s v="Picked Up"/>
    <x v="1"/>
    <x v="1"/>
    <x v="0"/>
  </r>
  <r>
    <s v="T2276"/>
    <x v="35"/>
    <n v="1"/>
    <x v="1"/>
    <x v="1"/>
    <d v="2025-05-02T00:00:00"/>
    <n v="1589.64"/>
    <n v="5513.8293103448259"/>
    <s v="DEV3447"/>
    <x v="2"/>
    <x v="1"/>
    <x v="2"/>
    <s v="France"/>
    <s v="Romania"/>
    <s v="Delivered by Post"/>
    <x v="0"/>
    <x v="0"/>
    <x v="0"/>
  </r>
  <r>
    <s v="T2509"/>
    <x v="35"/>
    <n v="1"/>
    <x v="0"/>
    <x v="3"/>
    <d v="2025-05-05T00:00:00"/>
    <n v="5627.07"/>
    <n v="5513.8293103448259"/>
    <s v="DEV6477"/>
    <x v="1"/>
    <x v="2"/>
    <x v="2"/>
    <s v="Turkmenistan"/>
    <s v="Canada"/>
    <s v="Picked Up"/>
    <x v="1"/>
    <x v="1"/>
    <x v="0"/>
  </r>
  <r>
    <s v="T2511"/>
    <x v="35"/>
    <n v="1"/>
    <x v="1"/>
    <x v="2"/>
    <d v="2025-02-02T00:00:00"/>
    <n v="9927.8700000000008"/>
    <n v="5513.8293103448259"/>
    <s v="DEV6037"/>
    <x v="0"/>
    <x v="2"/>
    <x v="2"/>
    <s v="Canada"/>
    <s v="Canada"/>
    <s v="Picked Up"/>
    <x v="1"/>
    <x v="1"/>
    <x v="0"/>
  </r>
  <r>
    <s v="T2590"/>
    <x v="35"/>
    <n v="1"/>
    <x v="1"/>
    <x v="3"/>
    <d v="2025-01-04T00:00:00"/>
    <n v="4660.07"/>
    <n v="5513.8293103448259"/>
    <s v="DEV1294"/>
    <x v="3"/>
    <x v="1"/>
    <x v="4"/>
    <s v="Bhutan"/>
    <s v="New Zealand"/>
    <s v="Delivered by Post"/>
    <x v="0"/>
    <x v="0"/>
    <x v="0"/>
  </r>
  <r>
    <s v="T2596"/>
    <x v="35"/>
    <n v="1"/>
    <x v="0"/>
    <x v="3"/>
    <d v="2025-10-14T00:00:00"/>
    <n v="6837.98"/>
    <n v="5513.8293103448259"/>
    <s v="DEV4694"/>
    <x v="0"/>
    <x v="3"/>
    <x v="3"/>
    <s v="Turkmenistan"/>
    <s v="Zimbabwe"/>
    <s v="Picked Up"/>
    <x v="1"/>
    <x v="1"/>
    <x v="0"/>
  </r>
  <r>
    <s v="T2690"/>
    <x v="35"/>
    <n v="1"/>
    <x v="0"/>
    <x v="0"/>
    <d v="2025-01-14T00:00:00"/>
    <n v="4389.29"/>
    <n v="5513.8293103448259"/>
    <s v="DEV4609"/>
    <x v="0"/>
    <x v="0"/>
    <x v="5"/>
    <s v="Zimbabwe"/>
    <s v="France"/>
    <s v="Picked Up"/>
    <x v="0"/>
    <x v="0"/>
    <x v="0"/>
  </r>
  <r>
    <s v="T2691"/>
    <x v="35"/>
    <n v="1"/>
    <x v="0"/>
    <x v="1"/>
    <d v="2025-03-11T00:00:00"/>
    <n v="719.07"/>
    <n v="5513.8293103448259"/>
    <s v="DEV7655"/>
    <x v="3"/>
    <x v="0"/>
    <x v="1"/>
    <s v="Turkmenistan"/>
    <s v="Comoros"/>
    <s v="Delivered by Post"/>
    <x v="0"/>
    <x v="0"/>
    <x v="0"/>
  </r>
  <r>
    <s v="T2700"/>
    <x v="35"/>
    <n v="1"/>
    <x v="1"/>
    <x v="1"/>
    <d v="2025-09-21T00:00:00"/>
    <n v="2206.66"/>
    <n v="5513.8293103448259"/>
    <s v="DEV8822"/>
    <x v="4"/>
    <x v="2"/>
    <x v="0"/>
    <s v="New Zealand"/>
    <s v="New Zealand"/>
    <s v="Picked Up"/>
    <x v="0"/>
    <x v="1"/>
    <x v="0"/>
  </r>
  <r>
    <s v="T2719"/>
    <x v="35"/>
    <n v="1"/>
    <x v="1"/>
    <x v="1"/>
    <d v="2025-06-05T00:00:00"/>
    <n v="1745.83"/>
    <n v="5513.8293103448259"/>
    <s v="DEV3920"/>
    <x v="3"/>
    <x v="0"/>
    <x v="5"/>
    <s v="Zimbabwe"/>
    <s v="Zimbabwe"/>
    <s v="Delivered by Post"/>
    <x v="0"/>
    <x v="1"/>
    <x v="0"/>
  </r>
  <r>
    <s v="T2761"/>
    <x v="35"/>
    <n v="1"/>
    <x v="1"/>
    <x v="3"/>
    <d v="2025-05-20T00:00:00"/>
    <n v="4303.8599999999997"/>
    <n v="5513.8293103448259"/>
    <s v="DEV8100"/>
    <x v="3"/>
    <x v="3"/>
    <x v="1"/>
    <s v="Comoros"/>
    <s v="Canada"/>
    <s v="Delivered by Post"/>
    <x v="0"/>
    <x v="1"/>
    <x v="0"/>
  </r>
  <r>
    <s v="T2850"/>
    <x v="35"/>
    <n v="1"/>
    <x v="1"/>
    <x v="2"/>
    <d v="2025-12-01T00:00:00"/>
    <n v="4161.22"/>
    <n v="5513.8293103448259"/>
    <s v="DEV4953"/>
    <x v="4"/>
    <x v="3"/>
    <x v="4"/>
    <s v="Romania"/>
    <s v="Romania"/>
    <s v="Picked Up"/>
    <x v="0"/>
    <x v="1"/>
    <x v="0"/>
  </r>
  <r>
    <s v="T0032"/>
    <x v="36"/>
    <n v="1"/>
    <x v="3"/>
    <x v="1"/>
    <d v="2025-05-26T07:42:00"/>
    <n v="6245.64"/>
    <n v="4876.7728571428579"/>
    <s v="DEV2629"/>
    <x v="4"/>
    <x v="0"/>
    <x v="0"/>
    <s v="Trinidad and Tobago"/>
    <s v="Northern Mariana Islands"/>
    <s v="Delivered by Post"/>
    <x v="1"/>
    <x v="0"/>
    <x v="1"/>
  </r>
  <r>
    <s v="T0074"/>
    <x v="36"/>
    <n v="1"/>
    <x v="0"/>
    <x v="4"/>
    <d v="2025-01-13T08:13:00"/>
    <n v="2050.1999999999998"/>
    <n v="4876.7728571428579"/>
    <s v="DEV8314"/>
    <x v="5"/>
    <x v="3"/>
    <x v="5"/>
    <s v="Trinidad and Tobago"/>
    <s v="Puerto Rico"/>
    <s v="Picked Up"/>
    <x v="0"/>
    <x v="1"/>
    <x v="1"/>
  </r>
  <r>
    <s v="T0079"/>
    <x v="36"/>
    <n v="1"/>
    <x v="0"/>
    <x v="3"/>
    <d v="2025-07-07T05:26:00"/>
    <n v="6899.8"/>
    <n v="4876.7728571428579"/>
    <s v="DEV7218"/>
    <x v="4"/>
    <x v="2"/>
    <x v="2"/>
    <s v="Trinidad and Tobago"/>
    <s v="Guernsey"/>
    <s v="Picked Up"/>
    <x v="1"/>
    <x v="1"/>
    <x v="1"/>
  </r>
  <r>
    <s v="T0155"/>
    <x v="36"/>
    <n v="1"/>
    <x v="0"/>
    <x v="0"/>
    <d v="2025-10-13T00:00:00"/>
    <n v="9493.7999999999993"/>
    <n v="4876.7728571428579"/>
    <s v="DEV4697"/>
    <x v="2"/>
    <x v="1"/>
    <x v="4"/>
    <s v="Comoros"/>
    <s v="France"/>
    <s v="Delivered by Post"/>
    <x v="1"/>
    <x v="0"/>
    <x v="0"/>
  </r>
  <r>
    <s v="T0192"/>
    <x v="36"/>
    <n v="1"/>
    <x v="0"/>
    <x v="3"/>
    <d v="2025-01-15T00:00:00"/>
    <n v="2300.2800000000002"/>
    <n v="4876.7728571428579"/>
    <s v="DEV5477"/>
    <x v="4"/>
    <x v="3"/>
    <x v="1"/>
    <s v="Canada"/>
    <s v="Norway"/>
    <s v="Picked Up"/>
    <x v="0"/>
    <x v="1"/>
    <x v="1"/>
  </r>
  <r>
    <s v="T0193"/>
    <x v="36"/>
    <n v="1"/>
    <x v="0"/>
    <x v="0"/>
    <d v="2025-09-29T00:00:00"/>
    <n v="6590.58"/>
    <n v="4876.7728571428579"/>
    <s v="DEV7163"/>
    <x v="0"/>
    <x v="1"/>
    <x v="1"/>
    <s v="Norway"/>
    <s v="New Zealand"/>
    <s v="Delivered by Post"/>
    <x v="1"/>
    <x v="0"/>
    <x v="0"/>
  </r>
  <r>
    <s v="T0198"/>
    <x v="36"/>
    <n v="1"/>
    <x v="1"/>
    <x v="0"/>
    <d v="2025-07-27T00:00:00"/>
    <n v="4074.01"/>
    <n v="4876.7728571428579"/>
    <s v="DEV6321"/>
    <x v="3"/>
    <x v="1"/>
    <x v="3"/>
    <s v="New Zealand"/>
    <s v="Zimbabwe"/>
    <s v="Delivered by Post"/>
    <x v="0"/>
    <x v="0"/>
    <x v="0"/>
  </r>
  <r>
    <s v="T0302"/>
    <x v="36"/>
    <n v="1"/>
    <x v="1"/>
    <x v="0"/>
    <d v="2025-08-14T00:00:00"/>
    <n v="1186.3599999999999"/>
    <n v="4876.7728571428579"/>
    <s v="DEV4580"/>
    <x v="0"/>
    <x v="0"/>
    <x v="3"/>
    <s v="Romania"/>
    <s v="France"/>
    <s v="Picked Up"/>
    <x v="0"/>
    <x v="0"/>
    <x v="0"/>
  </r>
  <r>
    <s v="T0362"/>
    <x v="36"/>
    <n v="1"/>
    <x v="0"/>
    <x v="1"/>
    <d v="2025-12-13T00:00:00"/>
    <n v="7809.31"/>
    <n v="4876.7728571428579"/>
    <s v="DEV5408"/>
    <x v="0"/>
    <x v="0"/>
    <x v="3"/>
    <s v="Canada"/>
    <s v="Comoros"/>
    <s v="Picked Up"/>
    <x v="1"/>
    <x v="0"/>
    <x v="0"/>
  </r>
  <r>
    <s v="T0380"/>
    <x v="36"/>
    <n v="1"/>
    <x v="0"/>
    <x v="0"/>
    <d v="2025-02-21T00:00:00"/>
    <n v="6706.77"/>
    <n v="4876.7728571428579"/>
    <s v="DEV4787"/>
    <x v="0"/>
    <x v="3"/>
    <x v="1"/>
    <s v="Comoros"/>
    <s v="Canada"/>
    <s v="Picked Up"/>
    <x v="1"/>
    <x v="1"/>
    <x v="0"/>
  </r>
  <r>
    <s v="T0436"/>
    <x v="36"/>
    <n v="1"/>
    <x v="0"/>
    <x v="0"/>
    <d v="2025-09-15T00:00:00"/>
    <n v="96.28"/>
    <n v="4876.7728571428579"/>
    <s v="DEV6570"/>
    <x v="1"/>
    <x v="3"/>
    <x v="5"/>
    <s v="France"/>
    <s v="Comoros"/>
    <s v="Delivered by Post"/>
    <x v="0"/>
    <x v="1"/>
    <x v="0"/>
  </r>
  <r>
    <s v="T0437"/>
    <x v="36"/>
    <n v="1"/>
    <x v="1"/>
    <x v="2"/>
    <d v="2025-12-15T00:00:00"/>
    <n v="4862.12"/>
    <n v="4876.7728571428579"/>
    <s v="DEV1448"/>
    <x v="0"/>
    <x v="0"/>
    <x v="1"/>
    <s v="Zimbabwe"/>
    <s v="Bhutan"/>
    <s v="Picked Up"/>
    <x v="0"/>
    <x v="0"/>
    <x v="0"/>
  </r>
  <r>
    <s v="T0473"/>
    <x v="36"/>
    <n v="1"/>
    <x v="1"/>
    <x v="0"/>
    <d v="2025-11-23T00:00:00"/>
    <n v="6271.98"/>
    <n v="4876.7728571428579"/>
    <s v="DEV6864"/>
    <x v="0"/>
    <x v="1"/>
    <x v="2"/>
    <s v="Norway"/>
    <s v="Norway"/>
    <s v="Delivered by Post"/>
    <x v="1"/>
    <x v="1"/>
    <x v="0"/>
  </r>
  <r>
    <s v="T0475"/>
    <x v="36"/>
    <n v="1"/>
    <x v="1"/>
    <x v="3"/>
    <d v="2025-08-20T00:00:00"/>
    <n v="5478.98"/>
    <n v="4876.7728571428579"/>
    <s v="DEV7505"/>
    <x v="1"/>
    <x v="0"/>
    <x v="1"/>
    <s v="Canada"/>
    <s v="Turkmenistan"/>
    <s v="Picked Up"/>
    <x v="1"/>
    <x v="0"/>
    <x v="0"/>
  </r>
  <r>
    <s v="T0613"/>
    <x v="36"/>
    <n v="1"/>
    <x v="0"/>
    <x v="3"/>
    <d v="2025-09-12T00:00:00"/>
    <n v="1022.37"/>
    <n v="4876.7728571428579"/>
    <s v="DEV6563"/>
    <x v="3"/>
    <x v="3"/>
    <x v="1"/>
    <s v="Bhutan"/>
    <s v="Romania"/>
    <s v="Delivered by Post"/>
    <x v="0"/>
    <x v="1"/>
    <x v="0"/>
  </r>
  <r>
    <s v="T0617"/>
    <x v="36"/>
    <n v="1"/>
    <x v="0"/>
    <x v="3"/>
    <d v="2025-08-25T00:00:00"/>
    <n v="7279.82"/>
    <n v="4876.7728571428579"/>
    <s v="DEV4938"/>
    <x v="3"/>
    <x v="3"/>
    <x v="4"/>
    <s v="Bhutan"/>
    <s v="New Zealand"/>
    <s v="Picked Up"/>
    <x v="1"/>
    <x v="1"/>
    <x v="0"/>
  </r>
  <r>
    <s v="T0729"/>
    <x v="36"/>
    <n v="1"/>
    <x v="1"/>
    <x v="3"/>
    <d v="2025-12-25T00:00:00"/>
    <n v="438.89"/>
    <n v="4876.7728571428579"/>
    <s v="DEV5873"/>
    <x v="0"/>
    <x v="2"/>
    <x v="4"/>
    <s v="Romania"/>
    <s v="Norway"/>
    <s v="Delivered by Post"/>
    <x v="0"/>
    <x v="1"/>
    <x v="0"/>
  </r>
  <r>
    <s v="T1090"/>
    <x v="36"/>
    <n v="1"/>
    <x v="1"/>
    <x v="0"/>
    <d v="2025-05-30T00:00:00"/>
    <n v="1848.34"/>
    <n v="4876.7728571428579"/>
    <s v="DEV1464"/>
    <x v="0"/>
    <x v="3"/>
    <x v="1"/>
    <s v="New Zealand"/>
    <s v="New Zealand"/>
    <s v="Picked Up"/>
    <x v="0"/>
    <x v="1"/>
    <x v="0"/>
  </r>
  <r>
    <s v="T1108"/>
    <x v="36"/>
    <n v="1"/>
    <x v="0"/>
    <x v="1"/>
    <d v="2025-08-16T00:00:00"/>
    <n v="1810.44"/>
    <n v="4876.7728571428579"/>
    <s v="DEV1635"/>
    <x v="2"/>
    <x v="0"/>
    <x v="1"/>
    <s v="France"/>
    <s v="Zimbabwe"/>
    <s v="Delivered by Post"/>
    <x v="0"/>
    <x v="0"/>
    <x v="0"/>
  </r>
  <r>
    <s v="T1116"/>
    <x v="36"/>
    <n v="1"/>
    <x v="1"/>
    <x v="1"/>
    <d v="2025-12-19T00:00:00"/>
    <n v="6422.19"/>
    <n v="4876.7728571428579"/>
    <s v="DEV5758"/>
    <x v="1"/>
    <x v="2"/>
    <x v="3"/>
    <s v="New Zealand"/>
    <s v="Norway"/>
    <s v="Delivered by Post"/>
    <x v="1"/>
    <x v="1"/>
    <x v="0"/>
  </r>
  <r>
    <s v="T1176"/>
    <x v="36"/>
    <n v="1"/>
    <x v="0"/>
    <x v="0"/>
    <d v="2025-06-08T00:00:00"/>
    <n v="8907.5499999999993"/>
    <n v="4876.7728571428579"/>
    <s v="DEV4545"/>
    <x v="3"/>
    <x v="3"/>
    <x v="0"/>
    <s v="Comoros"/>
    <s v="Bhutan"/>
    <s v="Delivered by Post"/>
    <x v="1"/>
    <x v="1"/>
    <x v="0"/>
  </r>
  <r>
    <s v="T1187"/>
    <x v="36"/>
    <n v="1"/>
    <x v="0"/>
    <x v="2"/>
    <d v="2025-02-11T00:00:00"/>
    <n v="1438.24"/>
    <n v="4876.7728571428579"/>
    <s v="DEV2833"/>
    <x v="2"/>
    <x v="0"/>
    <x v="5"/>
    <s v="Zimbabwe"/>
    <s v="Canada"/>
    <s v="Delivered by Post"/>
    <x v="0"/>
    <x v="0"/>
    <x v="0"/>
  </r>
  <r>
    <s v="T1280"/>
    <x v="36"/>
    <n v="1"/>
    <x v="0"/>
    <x v="1"/>
    <d v="2025-03-09T00:00:00"/>
    <n v="1884.36"/>
    <n v="4876.7728571428579"/>
    <s v="DEV1658"/>
    <x v="3"/>
    <x v="2"/>
    <x v="3"/>
    <s v="Canada"/>
    <s v="Zimbabwe"/>
    <s v="Delivered by Post"/>
    <x v="0"/>
    <x v="1"/>
    <x v="0"/>
  </r>
  <r>
    <s v="T1333"/>
    <x v="36"/>
    <n v="1"/>
    <x v="1"/>
    <x v="3"/>
    <d v="2025-10-21T00:00:00"/>
    <n v="5829.39"/>
    <n v="4876.7728571428579"/>
    <s v="DEV1258"/>
    <x v="0"/>
    <x v="3"/>
    <x v="5"/>
    <s v="Norway"/>
    <s v="Bhutan"/>
    <s v="Delivered by Post"/>
    <x v="1"/>
    <x v="1"/>
    <x v="0"/>
  </r>
  <r>
    <s v="T1336"/>
    <x v="36"/>
    <n v="1"/>
    <x v="1"/>
    <x v="0"/>
    <d v="2025-10-13T00:00:00"/>
    <n v="5620.5"/>
    <n v="4876.7728571428579"/>
    <s v="DEV3539"/>
    <x v="0"/>
    <x v="0"/>
    <x v="4"/>
    <s v="Bhutan"/>
    <s v="Canada"/>
    <s v="Delivered by Post"/>
    <x v="1"/>
    <x v="0"/>
    <x v="0"/>
  </r>
  <r>
    <s v="T1365"/>
    <x v="36"/>
    <n v="1"/>
    <x v="0"/>
    <x v="3"/>
    <d v="2025-10-05T00:00:00"/>
    <n v="431.24"/>
    <n v="4876.7728571428579"/>
    <s v="DEV6613"/>
    <x v="4"/>
    <x v="3"/>
    <x v="1"/>
    <s v="Norway"/>
    <s v="Turkmenistan"/>
    <s v="Delivered by Post"/>
    <x v="0"/>
    <x v="1"/>
    <x v="1"/>
  </r>
  <r>
    <s v="T1390"/>
    <x v="36"/>
    <n v="1"/>
    <x v="0"/>
    <x v="1"/>
    <d v="2025-08-17T00:00:00"/>
    <n v="8117.1"/>
    <n v="4876.7728571428579"/>
    <s v="DEV8189"/>
    <x v="1"/>
    <x v="2"/>
    <x v="5"/>
    <s v="Norway"/>
    <s v="Comoros"/>
    <s v="Picked Up"/>
    <x v="1"/>
    <x v="1"/>
    <x v="0"/>
  </r>
  <r>
    <s v="T1474"/>
    <x v="36"/>
    <n v="1"/>
    <x v="0"/>
    <x v="1"/>
    <d v="2025-01-12T00:00:00"/>
    <n v="4571.9799999999996"/>
    <n v="4876.7728571428579"/>
    <s v="DEV3174"/>
    <x v="0"/>
    <x v="3"/>
    <x v="4"/>
    <s v="Turkmenistan"/>
    <s v="Turkmenistan"/>
    <s v="Picked Up"/>
    <x v="0"/>
    <x v="1"/>
    <x v="0"/>
  </r>
  <r>
    <s v="T1483"/>
    <x v="36"/>
    <n v="1"/>
    <x v="0"/>
    <x v="2"/>
    <d v="2025-02-25T00:00:00"/>
    <n v="3749.42"/>
    <n v="4876.7728571428579"/>
    <s v="DEV2411"/>
    <x v="4"/>
    <x v="2"/>
    <x v="4"/>
    <s v="Zimbabwe"/>
    <s v="Canada"/>
    <s v="Delivered by Post"/>
    <x v="0"/>
    <x v="1"/>
    <x v="1"/>
  </r>
  <r>
    <s v="T1486"/>
    <x v="36"/>
    <n v="1"/>
    <x v="0"/>
    <x v="2"/>
    <d v="2025-06-26T00:00:00"/>
    <n v="5242.93"/>
    <n v="4876.7728571428579"/>
    <s v="DEV5212"/>
    <x v="4"/>
    <x v="1"/>
    <x v="2"/>
    <s v="Bhutan"/>
    <s v="Zimbabwe"/>
    <s v="Picked Up"/>
    <x v="1"/>
    <x v="0"/>
    <x v="1"/>
  </r>
  <r>
    <s v="T1492"/>
    <x v="36"/>
    <n v="1"/>
    <x v="0"/>
    <x v="3"/>
    <d v="2025-06-16T00:00:00"/>
    <n v="1868.58"/>
    <n v="4876.7728571428579"/>
    <s v="DEV1696"/>
    <x v="0"/>
    <x v="3"/>
    <x v="3"/>
    <s v="Canada"/>
    <s v="Zimbabwe"/>
    <s v="Picked Up"/>
    <x v="0"/>
    <x v="1"/>
    <x v="0"/>
  </r>
  <r>
    <s v="T1501"/>
    <x v="36"/>
    <n v="1"/>
    <x v="0"/>
    <x v="2"/>
    <d v="2025-10-20T00:00:00"/>
    <n v="9408.67"/>
    <n v="4876.7728571428579"/>
    <s v="DEV9970"/>
    <x v="1"/>
    <x v="0"/>
    <x v="5"/>
    <s v="Bhutan"/>
    <s v="Comoros"/>
    <s v="Delivered by Post"/>
    <x v="1"/>
    <x v="0"/>
    <x v="0"/>
  </r>
  <r>
    <s v="T1533"/>
    <x v="36"/>
    <n v="1"/>
    <x v="1"/>
    <x v="1"/>
    <d v="2025-02-27T00:00:00"/>
    <n v="3843.8"/>
    <n v="4876.7728571428579"/>
    <s v="DEV1221"/>
    <x v="0"/>
    <x v="3"/>
    <x v="0"/>
    <s v="Romania"/>
    <s v="New Zealand"/>
    <s v="Picked Up"/>
    <x v="0"/>
    <x v="1"/>
    <x v="0"/>
  </r>
  <r>
    <s v="T1562"/>
    <x v="36"/>
    <n v="1"/>
    <x v="1"/>
    <x v="2"/>
    <d v="2025-01-04T00:00:00"/>
    <n v="6418.83"/>
    <n v="4876.7728571428579"/>
    <s v="DEV1818"/>
    <x v="1"/>
    <x v="2"/>
    <x v="4"/>
    <s v="Turkmenistan"/>
    <s v="Comoros"/>
    <s v="Delivered by Post"/>
    <x v="1"/>
    <x v="1"/>
    <x v="0"/>
  </r>
  <r>
    <s v="T1569"/>
    <x v="36"/>
    <n v="1"/>
    <x v="0"/>
    <x v="3"/>
    <d v="2025-05-22T00:00:00"/>
    <n v="9283.6299999999992"/>
    <n v="4876.7728571428579"/>
    <s v="DEV8387"/>
    <x v="4"/>
    <x v="2"/>
    <x v="5"/>
    <s v="France"/>
    <s v="Bhutan"/>
    <s v="Delivered by Post"/>
    <x v="1"/>
    <x v="1"/>
    <x v="1"/>
  </r>
  <r>
    <s v="T1658"/>
    <x v="36"/>
    <n v="1"/>
    <x v="0"/>
    <x v="0"/>
    <d v="2025-11-17T00:00:00"/>
    <n v="2491.19"/>
    <n v="4876.7728571428579"/>
    <s v="DEV9921"/>
    <x v="4"/>
    <x v="1"/>
    <x v="2"/>
    <s v="New Zealand"/>
    <s v="France"/>
    <s v="Delivered by Post"/>
    <x v="0"/>
    <x v="0"/>
    <x v="1"/>
  </r>
  <r>
    <s v="T1746"/>
    <x v="36"/>
    <n v="1"/>
    <x v="0"/>
    <x v="0"/>
    <d v="2025-08-06T00:00:00"/>
    <n v="5556.92"/>
    <n v="4876.7728571428579"/>
    <s v="DEV1128"/>
    <x v="3"/>
    <x v="2"/>
    <x v="0"/>
    <s v="Canada"/>
    <s v="Norway"/>
    <s v="Delivered by Post"/>
    <x v="1"/>
    <x v="1"/>
    <x v="0"/>
  </r>
  <r>
    <s v="T1747"/>
    <x v="36"/>
    <n v="1"/>
    <x v="1"/>
    <x v="1"/>
    <d v="2025-12-14T00:00:00"/>
    <n v="7957.4"/>
    <n v="4876.7728571428579"/>
    <s v="DEV5401"/>
    <x v="0"/>
    <x v="0"/>
    <x v="2"/>
    <s v="Bhutan"/>
    <s v="Turkmenistan"/>
    <s v="Picked Up"/>
    <x v="1"/>
    <x v="0"/>
    <x v="0"/>
  </r>
  <r>
    <s v="T1807"/>
    <x v="36"/>
    <n v="1"/>
    <x v="1"/>
    <x v="0"/>
    <d v="2025-02-08T00:00:00"/>
    <n v="1879.31"/>
    <n v="4876.7728571428579"/>
    <s v="DEV9844"/>
    <x v="1"/>
    <x v="1"/>
    <x v="5"/>
    <s v="Zimbabwe"/>
    <s v="Bhutan"/>
    <s v="Picked Up"/>
    <x v="0"/>
    <x v="0"/>
    <x v="0"/>
  </r>
  <r>
    <s v="T1824"/>
    <x v="36"/>
    <n v="1"/>
    <x v="1"/>
    <x v="0"/>
    <d v="2025-11-15T00:00:00"/>
    <n v="9328.26"/>
    <n v="4876.7728571428579"/>
    <s v="DEV7564"/>
    <x v="3"/>
    <x v="0"/>
    <x v="3"/>
    <s v="New Zealand"/>
    <s v="Bhutan"/>
    <s v="Picked Up"/>
    <x v="1"/>
    <x v="0"/>
    <x v="0"/>
  </r>
  <r>
    <s v="T1856"/>
    <x v="36"/>
    <n v="1"/>
    <x v="1"/>
    <x v="3"/>
    <d v="2025-04-20T00:00:00"/>
    <n v="2690.22"/>
    <n v="4876.7728571428579"/>
    <s v="DEV6240"/>
    <x v="0"/>
    <x v="0"/>
    <x v="1"/>
    <s v="Comoros"/>
    <s v="Zimbabwe"/>
    <s v="Picked Up"/>
    <x v="0"/>
    <x v="0"/>
    <x v="0"/>
  </r>
  <r>
    <s v="T1903"/>
    <x v="36"/>
    <n v="1"/>
    <x v="1"/>
    <x v="0"/>
    <d v="2025-09-19T00:00:00"/>
    <n v="6488.05"/>
    <n v="4876.7728571428579"/>
    <s v="DEV1435"/>
    <x v="0"/>
    <x v="0"/>
    <x v="4"/>
    <s v="Bhutan"/>
    <s v="Canada"/>
    <s v="Picked Up"/>
    <x v="1"/>
    <x v="0"/>
    <x v="0"/>
  </r>
  <r>
    <s v="T2056"/>
    <x v="36"/>
    <n v="1"/>
    <x v="1"/>
    <x v="2"/>
    <d v="2025-09-03T00:00:00"/>
    <n v="5377.83"/>
    <n v="4876.7728571428579"/>
    <s v="DEV3495"/>
    <x v="0"/>
    <x v="3"/>
    <x v="5"/>
    <s v="Comoros"/>
    <s v="Bhutan"/>
    <s v="Delivered by Post"/>
    <x v="1"/>
    <x v="1"/>
    <x v="0"/>
  </r>
  <r>
    <s v="T2090"/>
    <x v="36"/>
    <n v="1"/>
    <x v="1"/>
    <x v="1"/>
    <d v="2025-12-14T00:00:00"/>
    <n v="9003.93"/>
    <n v="4876.7728571428579"/>
    <s v="DEV8129"/>
    <x v="0"/>
    <x v="0"/>
    <x v="2"/>
    <s v="New Zealand"/>
    <s v="Norway"/>
    <s v="Delivered by Post"/>
    <x v="1"/>
    <x v="0"/>
    <x v="0"/>
  </r>
  <r>
    <s v="T2122"/>
    <x v="36"/>
    <n v="1"/>
    <x v="0"/>
    <x v="1"/>
    <d v="2025-10-12T00:00:00"/>
    <n v="6002.43"/>
    <n v="4876.7728571428579"/>
    <s v="DEV6215"/>
    <x v="3"/>
    <x v="0"/>
    <x v="1"/>
    <s v="Bhutan"/>
    <s v="Romania"/>
    <s v="Picked Up"/>
    <x v="1"/>
    <x v="0"/>
    <x v="0"/>
  </r>
  <r>
    <s v="T2148"/>
    <x v="36"/>
    <n v="1"/>
    <x v="0"/>
    <x v="2"/>
    <d v="2025-04-11T00:00:00"/>
    <n v="2482.71"/>
    <n v="4876.7728571428579"/>
    <s v="DEV9391"/>
    <x v="4"/>
    <x v="2"/>
    <x v="2"/>
    <s v="Zimbabwe"/>
    <s v="Canada"/>
    <s v="Picked Up"/>
    <x v="0"/>
    <x v="1"/>
    <x v="1"/>
  </r>
  <r>
    <s v="T2246"/>
    <x v="36"/>
    <n v="1"/>
    <x v="1"/>
    <x v="2"/>
    <d v="2025-02-21T00:00:00"/>
    <n v="5802.98"/>
    <n v="4876.7728571428579"/>
    <s v="DEV9076"/>
    <x v="1"/>
    <x v="1"/>
    <x v="3"/>
    <s v="Canada"/>
    <s v="Romania"/>
    <s v="Picked Up"/>
    <x v="1"/>
    <x v="0"/>
    <x v="0"/>
  </r>
  <r>
    <s v="T2266"/>
    <x v="36"/>
    <n v="1"/>
    <x v="1"/>
    <x v="1"/>
    <d v="2025-12-25T00:00:00"/>
    <n v="5268.61"/>
    <n v="4876.7728571428579"/>
    <s v="DEV5122"/>
    <x v="3"/>
    <x v="3"/>
    <x v="5"/>
    <s v="New Zealand"/>
    <s v="Bhutan"/>
    <s v="Picked Up"/>
    <x v="1"/>
    <x v="1"/>
    <x v="0"/>
  </r>
  <r>
    <s v="T2267"/>
    <x v="36"/>
    <n v="1"/>
    <x v="1"/>
    <x v="3"/>
    <d v="2025-06-03T00:00:00"/>
    <n v="8183.47"/>
    <n v="4876.7728571428579"/>
    <s v="DEV7997"/>
    <x v="1"/>
    <x v="2"/>
    <x v="0"/>
    <s v="Norway"/>
    <s v="Turkmenistan"/>
    <s v="Picked Up"/>
    <x v="1"/>
    <x v="1"/>
    <x v="0"/>
  </r>
  <r>
    <s v="T2290"/>
    <x v="36"/>
    <n v="1"/>
    <x v="0"/>
    <x v="2"/>
    <d v="2025-06-03T00:00:00"/>
    <n v="427.46"/>
    <n v="4876.7728571428579"/>
    <s v="DEV7661"/>
    <x v="1"/>
    <x v="3"/>
    <x v="1"/>
    <s v="Norway"/>
    <s v="Comoros"/>
    <s v="Delivered by Post"/>
    <x v="0"/>
    <x v="1"/>
    <x v="0"/>
  </r>
  <r>
    <s v="T2424"/>
    <x v="36"/>
    <n v="1"/>
    <x v="0"/>
    <x v="1"/>
    <d v="2025-01-17T00:00:00"/>
    <n v="4761.88"/>
    <n v="4876.7728571428579"/>
    <s v="DEV1195"/>
    <x v="3"/>
    <x v="1"/>
    <x v="1"/>
    <s v="Comoros"/>
    <s v="France"/>
    <s v="Delivered by Post"/>
    <x v="0"/>
    <x v="0"/>
    <x v="0"/>
  </r>
  <r>
    <s v="T2469"/>
    <x v="36"/>
    <n v="1"/>
    <x v="0"/>
    <x v="3"/>
    <d v="2025-09-02T00:00:00"/>
    <n v="3204"/>
    <n v="4876.7728571428579"/>
    <s v="DEV5143"/>
    <x v="1"/>
    <x v="2"/>
    <x v="3"/>
    <s v="Romania"/>
    <s v="Norway"/>
    <s v="Delivered by Post"/>
    <x v="0"/>
    <x v="1"/>
    <x v="0"/>
  </r>
  <r>
    <s v="T2486"/>
    <x v="36"/>
    <n v="1"/>
    <x v="0"/>
    <x v="0"/>
    <d v="2025-01-17T00:00:00"/>
    <n v="8419.82"/>
    <n v="4876.7728571428579"/>
    <s v="DEV4856"/>
    <x v="0"/>
    <x v="3"/>
    <x v="4"/>
    <s v="New Zealand"/>
    <s v="Turkmenistan"/>
    <s v="Delivered by Post"/>
    <x v="1"/>
    <x v="1"/>
    <x v="0"/>
  </r>
  <r>
    <s v="T2533"/>
    <x v="36"/>
    <n v="1"/>
    <x v="1"/>
    <x v="3"/>
    <d v="2025-11-02T00:00:00"/>
    <n v="6782.81"/>
    <n v="4876.7728571428579"/>
    <s v="DEV1118"/>
    <x v="3"/>
    <x v="3"/>
    <x v="1"/>
    <s v="France"/>
    <s v="Bhutan"/>
    <s v="Delivered by Post"/>
    <x v="1"/>
    <x v="1"/>
    <x v="0"/>
  </r>
  <r>
    <s v="T2598"/>
    <x v="36"/>
    <n v="1"/>
    <x v="0"/>
    <x v="2"/>
    <d v="2025-04-10T00:00:00"/>
    <n v="7559.32"/>
    <n v="4876.7728571428579"/>
    <s v="DEV7453"/>
    <x v="4"/>
    <x v="1"/>
    <x v="0"/>
    <s v="Comoros"/>
    <s v="Bhutan"/>
    <s v="Delivered by Post"/>
    <x v="1"/>
    <x v="0"/>
    <x v="1"/>
  </r>
  <r>
    <s v="T2693"/>
    <x v="36"/>
    <n v="1"/>
    <x v="1"/>
    <x v="3"/>
    <d v="2025-08-11T00:00:00"/>
    <n v="3391.72"/>
    <n v="4876.7728571428579"/>
    <s v="DEV9042"/>
    <x v="0"/>
    <x v="2"/>
    <x v="3"/>
    <s v="New Zealand"/>
    <s v="New Zealand"/>
    <s v="Delivered by Post"/>
    <x v="0"/>
    <x v="1"/>
    <x v="0"/>
  </r>
  <r>
    <s v="T2721"/>
    <x v="36"/>
    <n v="1"/>
    <x v="1"/>
    <x v="1"/>
    <d v="2025-07-31T00:00:00"/>
    <n v="5831.75"/>
    <n v="4876.7728571428579"/>
    <s v="DEV3520"/>
    <x v="1"/>
    <x v="0"/>
    <x v="0"/>
    <s v="Canada"/>
    <s v="Zimbabwe"/>
    <s v="Delivered by Post"/>
    <x v="1"/>
    <x v="0"/>
    <x v="0"/>
  </r>
  <r>
    <s v="T2762"/>
    <x v="36"/>
    <n v="1"/>
    <x v="0"/>
    <x v="0"/>
    <d v="2025-03-02T00:00:00"/>
    <n v="5508.71"/>
    <n v="4876.7728571428579"/>
    <s v="DEV8588"/>
    <x v="0"/>
    <x v="0"/>
    <x v="0"/>
    <s v="Romania"/>
    <s v="Norway"/>
    <s v="Delivered by Post"/>
    <x v="1"/>
    <x v="0"/>
    <x v="0"/>
  </r>
  <r>
    <s v="T2791"/>
    <x v="36"/>
    <n v="1"/>
    <x v="1"/>
    <x v="1"/>
    <d v="2025-09-12T00:00:00"/>
    <n v="6681.51"/>
    <n v="4876.7728571428579"/>
    <s v="DEV6917"/>
    <x v="4"/>
    <x v="1"/>
    <x v="0"/>
    <s v="Zimbabwe"/>
    <s v="Canada"/>
    <s v="Delivered by Post"/>
    <x v="1"/>
    <x v="0"/>
    <x v="1"/>
  </r>
  <r>
    <s v="T2796"/>
    <x v="36"/>
    <n v="1"/>
    <x v="0"/>
    <x v="1"/>
    <d v="2025-02-08T00:00:00"/>
    <n v="4164.59"/>
    <n v="4876.7728571428579"/>
    <s v="DEV9455"/>
    <x v="0"/>
    <x v="3"/>
    <x v="2"/>
    <s v="Comoros"/>
    <s v="New Zealand"/>
    <s v="Delivered by Post"/>
    <x v="0"/>
    <x v="1"/>
    <x v="0"/>
  </r>
  <r>
    <s v="T2803"/>
    <x v="36"/>
    <n v="1"/>
    <x v="1"/>
    <x v="3"/>
    <d v="2025-08-17T00:00:00"/>
    <n v="5131.8900000000003"/>
    <n v="4876.7728571428579"/>
    <s v="DEV2234"/>
    <x v="1"/>
    <x v="0"/>
    <x v="4"/>
    <s v="Bhutan"/>
    <s v="Comoros"/>
    <s v="Picked Up"/>
    <x v="1"/>
    <x v="0"/>
    <x v="0"/>
  </r>
  <r>
    <s v="T2819"/>
    <x v="36"/>
    <n v="1"/>
    <x v="1"/>
    <x v="3"/>
    <d v="2025-08-14T00:00:00"/>
    <n v="890.96"/>
    <n v="4876.7728571428579"/>
    <s v="DEV7564"/>
    <x v="0"/>
    <x v="1"/>
    <x v="4"/>
    <s v="New Zealand"/>
    <s v="Comoros"/>
    <s v="Delivered by Post"/>
    <x v="0"/>
    <x v="0"/>
    <x v="0"/>
  </r>
  <r>
    <s v="T2833"/>
    <x v="36"/>
    <n v="1"/>
    <x v="1"/>
    <x v="2"/>
    <d v="2025-03-29T00:00:00"/>
    <n v="462.58"/>
    <n v="4876.7728571428579"/>
    <s v="DEV5434"/>
    <x v="0"/>
    <x v="2"/>
    <x v="0"/>
    <s v="Canada"/>
    <s v="Zimbabwe"/>
    <s v="Delivered by Post"/>
    <x v="0"/>
    <x v="1"/>
    <x v="0"/>
  </r>
  <r>
    <s v="T0085"/>
    <x v="37"/>
    <n v="1"/>
    <x v="0"/>
    <x v="3"/>
    <d v="2025-06-11T14:11:00"/>
    <n v="8124.48"/>
    <n v="4554.9073584905645"/>
    <s v="DEV3763"/>
    <x v="5"/>
    <x v="3"/>
    <x v="2"/>
    <s v="Belize"/>
    <s v="Azerbaijan"/>
    <s v="Picked Up"/>
    <x v="1"/>
    <x v="1"/>
    <x v="1"/>
  </r>
  <r>
    <s v="T0181"/>
    <x v="37"/>
    <n v="1"/>
    <x v="1"/>
    <x v="0"/>
    <d v="2025-09-08T00:00:00"/>
    <n v="7435.58"/>
    <n v="4554.9073584905645"/>
    <s v="DEV7686"/>
    <x v="4"/>
    <x v="0"/>
    <x v="3"/>
    <s v="New Zealand"/>
    <s v="Romania"/>
    <s v="Delivered by Post"/>
    <x v="1"/>
    <x v="0"/>
    <x v="1"/>
  </r>
  <r>
    <s v="T0232"/>
    <x v="37"/>
    <n v="1"/>
    <x v="1"/>
    <x v="0"/>
    <d v="2025-01-15T00:00:00"/>
    <n v="9418.99"/>
    <n v="4554.9073584905645"/>
    <s v="DEV1744"/>
    <x v="2"/>
    <x v="3"/>
    <x v="3"/>
    <s v="Romania"/>
    <s v="Bhutan"/>
    <s v="Picked Up"/>
    <x v="1"/>
    <x v="1"/>
    <x v="0"/>
  </r>
  <r>
    <s v="T0279"/>
    <x v="37"/>
    <n v="1"/>
    <x v="1"/>
    <x v="0"/>
    <d v="2025-06-03T00:00:00"/>
    <n v="1484.71"/>
    <n v="4554.9073584905645"/>
    <s v="DEV4939"/>
    <x v="2"/>
    <x v="1"/>
    <x v="3"/>
    <s v="Turkmenistan"/>
    <s v="New Zealand"/>
    <s v="Delivered by Post"/>
    <x v="0"/>
    <x v="0"/>
    <x v="0"/>
  </r>
  <r>
    <s v="T0296"/>
    <x v="37"/>
    <n v="1"/>
    <x v="0"/>
    <x v="1"/>
    <d v="2025-05-23T00:00:00"/>
    <n v="4324.05"/>
    <n v="4554.9073584905645"/>
    <s v="DEV2025"/>
    <x v="2"/>
    <x v="0"/>
    <x v="5"/>
    <s v="Norway"/>
    <s v="New Zealand"/>
    <s v="Delivered by Post"/>
    <x v="0"/>
    <x v="0"/>
    <x v="0"/>
  </r>
  <r>
    <s v="T0328"/>
    <x v="37"/>
    <n v="1"/>
    <x v="1"/>
    <x v="0"/>
    <d v="2025-10-31T00:00:00"/>
    <n v="1000.99"/>
    <n v="4554.9073584905645"/>
    <s v="DEV2020"/>
    <x v="0"/>
    <x v="2"/>
    <x v="0"/>
    <s v="France"/>
    <s v="France"/>
    <s v="Delivered by Post"/>
    <x v="0"/>
    <x v="1"/>
    <x v="0"/>
  </r>
  <r>
    <s v="T0341"/>
    <x v="37"/>
    <n v="1"/>
    <x v="0"/>
    <x v="3"/>
    <d v="2025-02-07T00:00:00"/>
    <n v="7061.73"/>
    <n v="4554.9073584905645"/>
    <s v="DEV7481"/>
    <x v="2"/>
    <x v="0"/>
    <x v="1"/>
    <s v="France"/>
    <s v="New Zealand"/>
    <s v="Picked Up"/>
    <x v="1"/>
    <x v="0"/>
    <x v="0"/>
  </r>
  <r>
    <s v="T0393"/>
    <x v="37"/>
    <n v="1"/>
    <x v="0"/>
    <x v="1"/>
    <d v="2025-03-07T00:00:00"/>
    <n v="4855.17"/>
    <n v="4554.9073584905645"/>
    <s v="DEV7347"/>
    <x v="2"/>
    <x v="3"/>
    <x v="5"/>
    <s v="Bhutan"/>
    <s v="Bhutan"/>
    <s v="Picked Up"/>
    <x v="1"/>
    <x v="1"/>
    <x v="0"/>
  </r>
  <r>
    <s v="T0396"/>
    <x v="37"/>
    <n v="1"/>
    <x v="1"/>
    <x v="3"/>
    <d v="2025-08-05T00:00:00"/>
    <n v="5727.85"/>
    <n v="4554.9073584905645"/>
    <s v="DEV9564"/>
    <x v="1"/>
    <x v="0"/>
    <x v="4"/>
    <s v="Norway"/>
    <s v="Canada"/>
    <s v="Picked Up"/>
    <x v="1"/>
    <x v="0"/>
    <x v="0"/>
  </r>
  <r>
    <s v="T0486"/>
    <x v="37"/>
    <n v="1"/>
    <x v="1"/>
    <x v="1"/>
    <d v="2025-01-31T00:00:00"/>
    <n v="9065.1"/>
    <n v="4554.9073584905645"/>
    <s v="DEV4288"/>
    <x v="2"/>
    <x v="3"/>
    <x v="2"/>
    <s v="Comoros"/>
    <s v="Canada"/>
    <s v="Picked Up"/>
    <x v="1"/>
    <x v="1"/>
    <x v="0"/>
  </r>
  <r>
    <s v="T0525"/>
    <x v="37"/>
    <n v="1"/>
    <x v="0"/>
    <x v="2"/>
    <d v="2025-04-01T00:00:00"/>
    <n v="5980.95"/>
    <n v="4554.9073584905645"/>
    <s v="DEV7648"/>
    <x v="1"/>
    <x v="0"/>
    <x v="3"/>
    <s v="Bhutan"/>
    <s v="New Zealand"/>
    <s v="Delivered by Post"/>
    <x v="1"/>
    <x v="0"/>
    <x v="0"/>
  </r>
  <r>
    <s v="T0567"/>
    <x v="37"/>
    <n v="1"/>
    <x v="0"/>
    <x v="2"/>
    <d v="2025-01-23T00:00:00"/>
    <n v="9465.2099999999991"/>
    <n v="4554.9073584905645"/>
    <s v="DEV8711"/>
    <x v="2"/>
    <x v="0"/>
    <x v="4"/>
    <s v="Turkmenistan"/>
    <s v="Bhutan"/>
    <s v="Delivered by Post"/>
    <x v="1"/>
    <x v="0"/>
    <x v="0"/>
  </r>
  <r>
    <s v="T0577"/>
    <x v="37"/>
    <n v="1"/>
    <x v="1"/>
    <x v="2"/>
    <d v="2025-06-05T00:00:00"/>
    <n v="6675.26"/>
    <n v="4554.9073584905645"/>
    <s v="DEV3161"/>
    <x v="4"/>
    <x v="2"/>
    <x v="1"/>
    <s v="Romania"/>
    <s v="Comoros"/>
    <s v="Delivered by Post"/>
    <x v="1"/>
    <x v="1"/>
    <x v="1"/>
  </r>
  <r>
    <s v="T0598"/>
    <x v="37"/>
    <n v="1"/>
    <x v="0"/>
    <x v="0"/>
    <d v="2025-02-20T00:00:00"/>
    <n v="3510.97"/>
    <n v="4554.9073584905645"/>
    <s v="DEV1229"/>
    <x v="2"/>
    <x v="2"/>
    <x v="3"/>
    <s v="Romania"/>
    <s v="France"/>
    <s v="Picked Up"/>
    <x v="0"/>
    <x v="1"/>
    <x v="0"/>
  </r>
  <r>
    <s v="T0610"/>
    <x v="37"/>
    <n v="1"/>
    <x v="1"/>
    <x v="0"/>
    <d v="2025-11-17T00:00:00"/>
    <n v="498.93"/>
    <n v="4554.9073584905645"/>
    <s v="DEV7235"/>
    <x v="1"/>
    <x v="1"/>
    <x v="1"/>
    <s v="New Zealand"/>
    <s v="Bhutan"/>
    <s v="Delivered by Post"/>
    <x v="0"/>
    <x v="0"/>
    <x v="0"/>
  </r>
  <r>
    <s v="T0717"/>
    <x v="37"/>
    <n v="1"/>
    <x v="1"/>
    <x v="2"/>
    <d v="2025-08-19T00:00:00"/>
    <n v="459.37"/>
    <n v="4554.9073584905645"/>
    <s v="DEV8086"/>
    <x v="0"/>
    <x v="3"/>
    <x v="4"/>
    <s v="New Zealand"/>
    <s v="France"/>
    <s v="Delivered by Post"/>
    <x v="0"/>
    <x v="1"/>
    <x v="0"/>
  </r>
  <r>
    <s v="T0783"/>
    <x v="37"/>
    <n v="1"/>
    <x v="1"/>
    <x v="0"/>
    <d v="2025-10-09T00:00:00"/>
    <n v="3622.7"/>
    <n v="4554.9073584905645"/>
    <s v="DEV5270"/>
    <x v="0"/>
    <x v="2"/>
    <x v="4"/>
    <s v="Comoros"/>
    <s v="Zimbabwe"/>
    <s v="Delivered by Post"/>
    <x v="0"/>
    <x v="1"/>
    <x v="0"/>
  </r>
  <r>
    <s v="T0870"/>
    <x v="37"/>
    <n v="1"/>
    <x v="0"/>
    <x v="1"/>
    <d v="2025-09-07T00:00:00"/>
    <n v="7941.87"/>
    <n v="4554.9073584905645"/>
    <s v="DEV8309"/>
    <x v="0"/>
    <x v="3"/>
    <x v="1"/>
    <s v="Zimbabwe"/>
    <s v="Bhutan"/>
    <s v="Delivered by Post"/>
    <x v="1"/>
    <x v="1"/>
    <x v="0"/>
  </r>
  <r>
    <s v="T0899"/>
    <x v="37"/>
    <n v="1"/>
    <x v="0"/>
    <x v="2"/>
    <d v="2025-06-30T00:00:00"/>
    <n v="1278.19"/>
    <n v="4554.9073584905645"/>
    <s v="DEV1010"/>
    <x v="1"/>
    <x v="3"/>
    <x v="0"/>
    <s v="New Zealand"/>
    <s v="France"/>
    <s v="Picked Up"/>
    <x v="0"/>
    <x v="1"/>
    <x v="0"/>
  </r>
  <r>
    <s v="T0981"/>
    <x v="37"/>
    <n v="1"/>
    <x v="1"/>
    <x v="3"/>
    <d v="2025-10-15T00:00:00"/>
    <n v="7306.76"/>
    <n v="4554.9073584905645"/>
    <s v="DEV4319"/>
    <x v="1"/>
    <x v="2"/>
    <x v="2"/>
    <s v="Romania"/>
    <s v="France"/>
    <s v="Picked Up"/>
    <x v="1"/>
    <x v="1"/>
    <x v="0"/>
  </r>
  <r>
    <s v="T1053"/>
    <x v="37"/>
    <n v="1"/>
    <x v="0"/>
    <x v="2"/>
    <d v="2025-05-06T00:00:00"/>
    <n v="3023.61"/>
    <n v="4554.9073584905645"/>
    <s v="DEV9955"/>
    <x v="4"/>
    <x v="3"/>
    <x v="3"/>
    <s v="Canada"/>
    <s v="Norway"/>
    <s v="Picked Up"/>
    <x v="0"/>
    <x v="1"/>
    <x v="1"/>
  </r>
  <r>
    <s v="T1172"/>
    <x v="37"/>
    <n v="1"/>
    <x v="1"/>
    <x v="0"/>
    <d v="2025-06-28T00:00:00"/>
    <n v="408.26"/>
    <n v="4554.9073584905645"/>
    <s v="DEV2320"/>
    <x v="2"/>
    <x v="3"/>
    <x v="5"/>
    <s v="Norway"/>
    <s v="Bhutan"/>
    <s v="Picked Up"/>
    <x v="0"/>
    <x v="1"/>
    <x v="0"/>
  </r>
  <r>
    <s v="T1185"/>
    <x v="37"/>
    <n v="1"/>
    <x v="1"/>
    <x v="3"/>
    <d v="2025-03-17T00:00:00"/>
    <n v="4047.7"/>
    <n v="4554.9073584905645"/>
    <s v="DEV9102"/>
    <x v="2"/>
    <x v="1"/>
    <x v="1"/>
    <s v="Bhutan"/>
    <s v="Zimbabwe"/>
    <s v="Delivered by Post"/>
    <x v="0"/>
    <x v="0"/>
    <x v="0"/>
  </r>
  <r>
    <s v="T1293"/>
    <x v="37"/>
    <n v="1"/>
    <x v="1"/>
    <x v="1"/>
    <d v="2025-02-17T00:00:00"/>
    <n v="4120.92"/>
    <n v="4554.9073584905645"/>
    <s v="DEV4878"/>
    <x v="2"/>
    <x v="0"/>
    <x v="2"/>
    <s v="France"/>
    <s v="Turkmenistan"/>
    <s v="Picked Up"/>
    <x v="0"/>
    <x v="0"/>
    <x v="0"/>
  </r>
  <r>
    <s v="T1344"/>
    <x v="37"/>
    <n v="1"/>
    <x v="0"/>
    <x v="0"/>
    <d v="2025-07-08T00:00:00"/>
    <n v="9496.77"/>
    <n v="4554.9073584905645"/>
    <s v="DEV5584"/>
    <x v="4"/>
    <x v="0"/>
    <x v="4"/>
    <s v="Comoros"/>
    <s v="Comoros"/>
    <s v="Delivered by Post"/>
    <x v="1"/>
    <x v="1"/>
    <x v="0"/>
  </r>
  <r>
    <s v="T1353"/>
    <x v="37"/>
    <n v="1"/>
    <x v="0"/>
    <x v="3"/>
    <d v="2025-09-23T00:00:00"/>
    <n v="5385.63"/>
    <n v="4554.9073584905645"/>
    <s v="DEV3811"/>
    <x v="2"/>
    <x v="3"/>
    <x v="3"/>
    <s v="Comoros"/>
    <s v="Comoros"/>
    <s v="Picked Up"/>
    <x v="1"/>
    <x v="1"/>
    <x v="0"/>
  </r>
  <r>
    <s v="T1368"/>
    <x v="37"/>
    <n v="1"/>
    <x v="1"/>
    <x v="3"/>
    <d v="2025-02-22T00:00:00"/>
    <n v="2255.44"/>
    <n v="4554.9073584905645"/>
    <s v="DEV9265"/>
    <x v="1"/>
    <x v="1"/>
    <x v="1"/>
    <s v="New Zealand"/>
    <s v="Canada"/>
    <s v="Delivered by Post"/>
    <x v="0"/>
    <x v="0"/>
    <x v="0"/>
  </r>
  <r>
    <s v="T1380"/>
    <x v="37"/>
    <n v="1"/>
    <x v="0"/>
    <x v="2"/>
    <d v="2025-12-20T00:00:00"/>
    <n v="6218.62"/>
    <n v="4554.9073584905645"/>
    <s v="DEV7931"/>
    <x v="0"/>
    <x v="1"/>
    <x v="3"/>
    <s v="France"/>
    <s v="Bhutan"/>
    <s v="Picked Up"/>
    <x v="1"/>
    <x v="0"/>
    <x v="0"/>
  </r>
  <r>
    <s v="T1408"/>
    <x v="37"/>
    <n v="1"/>
    <x v="1"/>
    <x v="3"/>
    <d v="2025-08-06T00:00:00"/>
    <n v="6786.83"/>
    <n v="4554.9073584905645"/>
    <s v="DEV5032"/>
    <x v="4"/>
    <x v="1"/>
    <x v="2"/>
    <s v="Norway"/>
    <s v="France"/>
    <s v="Delivered by Post"/>
    <x v="1"/>
    <x v="0"/>
    <x v="1"/>
  </r>
  <r>
    <s v="T1421"/>
    <x v="37"/>
    <n v="1"/>
    <x v="1"/>
    <x v="0"/>
    <d v="2025-02-04T00:00:00"/>
    <n v="5706.2"/>
    <n v="4554.9073584905645"/>
    <s v="DEV5327"/>
    <x v="3"/>
    <x v="1"/>
    <x v="3"/>
    <s v="Norway"/>
    <s v="Canada"/>
    <s v="Picked Up"/>
    <x v="1"/>
    <x v="0"/>
    <x v="0"/>
  </r>
  <r>
    <s v="T1508"/>
    <x v="37"/>
    <n v="1"/>
    <x v="1"/>
    <x v="1"/>
    <d v="2025-07-22T00:00:00"/>
    <n v="7382.62"/>
    <n v="4554.9073584905645"/>
    <s v="DEV4783"/>
    <x v="3"/>
    <x v="1"/>
    <x v="3"/>
    <s v="Norway"/>
    <s v="Canada"/>
    <s v="Picked Up"/>
    <x v="1"/>
    <x v="0"/>
    <x v="0"/>
  </r>
  <r>
    <s v="T1598"/>
    <x v="37"/>
    <n v="1"/>
    <x v="1"/>
    <x v="1"/>
    <d v="2025-01-22T00:00:00"/>
    <n v="2894.08"/>
    <n v="4554.9073584905645"/>
    <s v="DEV6205"/>
    <x v="4"/>
    <x v="1"/>
    <x v="0"/>
    <s v="Bhutan"/>
    <s v="Romania"/>
    <s v="Delivered by Post"/>
    <x v="0"/>
    <x v="0"/>
    <x v="1"/>
  </r>
  <r>
    <s v="T1639"/>
    <x v="37"/>
    <n v="1"/>
    <x v="1"/>
    <x v="1"/>
    <d v="2025-05-14T00:00:00"/>
    <n v="3037.79"/>
    <n v="4554.9073584905645"/>
    <s v="DEV4328"/>
    <x v="1"/>
    <x v="3"/>
    <x v="0"/>
    <s v="Comoros"/>
    <s v="Turkmenistan"/>
    <s v="Picked Up"/>
    <x v="0"/>
    <x v="1"/>
    <x v="0"/>
  </r>
  <r>
    <s v="T1692"/>
    <x v="37"/>
    <n v="1"/>
    <x v="0"/>
    <x v="0"/>
    <d v="2025-05-10T00:00:00"/>
    <n v="1156.74"/>
    <n v="4554.9073584905645"/>
    <s v="DEV7655"/>
    <x v="1"/>
    <x v="0"/>
    <x v="5"/>
    <s v="Zimbabwe"/>
    <s v="Bhutan"/>
    <s v="Picked Up"/>
    <x v="0"/>
    <x v="0"/>
    <x v="0"/>
  </r>
  <r>
    <s v="T1710"/>
    <x v="37"/>
    <n v="1"/>
    <x v="0"/>
    <x v="0"/>
    <d v="2025-07-31T00:00:00"/>
    <n v="647.89"/>
    <n v="4554.9073584905645"/>
    <s v="DEV9360"/>
    <x v="4"/>
    <x v="1"/>
    <x v="1"/>
    <s v="Norway"/>
    <s v="Norway"/>
    <s v="Picked Up"/>
    <x v="0"/>
    <x v="1"/>
    <x v="0"/>
  </r>
  <r>
    <s v="T1733"/>
    <x v="37"/>
    <n v="1"/>
    <x v="0"/>
    <x v="3"/>
    <d v="2025-07-05T00:00:00"/>
    <n v="3752.55"/>
    <n v="4554.9073584905645"/>
    <s v="DEV3535"/>
    <x v="0"/>
    <x v="0"/>
    <x v="3"/>
    <s v="Comoros"/>
    <s v="Norway"/>
    <s v="Picked Up"/>
    <x v="0"/>
    <x v="0"/>
    <x v="0"/>
  </r>
  <r>
    <s v="T1749"/>
    <x v="37"/>
    <n v="1"/>
    <x v="1"/>
    <x v="1"/>
    <d v="2025-05-10T00:00:00"/>
    <n v="2022.93"/>
    <n v="4554.9073584905645"/>
    <s v="DEV7172"/>
    <x v="2"/>
    <x v="2"/>
    <x v="2"/>
    <s v="Comoros"/>
    <s v="Norway"/>
    <s v="Delivered by Post"/>
    <x v="0"/>
    <x v="1"/>
    <x v="0"/>
  </r>
  <r>
    <s v="T1777"/>
    <x v="37"/>
    <n v="1"/>
    <x v="0"/>
    <x v="2"/>
    <d v="2025-01-11T00:00:00"/>
    <n v="2260.8200000000002"/>
    <n v="4554.9073584905645"/>
    <s v="DEV3352"/>
    <x v="0"/>
    <x v="1"/>
    <x v="3"/>
    <s v="Canada"/>
    <s v="New Zealand"/>
    <s v="Delivered by Post"/>
    <x v="0"/>
    <x v="0"/>
    <x v="0"/>
  </r>
  <r>
    <s v="T1816"/>
    <x v="37"/>
    <n v="1"/>
    <x v="1"/>
    <x v="2"/>
    <d v="2025-12-08T00:00:00"/>
    <n v="783.22"/>
    <n v="4554.9073584905645"/>
    <s v="DEV3210"/>
    <x v="1"/>
    <x v="3"/>
    <x v="0"/>
    <s v="Turkmenistan"/>
    <s v="Bhutan"/>
    <s v="Picked Up"/>
    <x v="0"/>
    <x v="1"/>
    <x v="0"/>
  </r>
  <r>
    <s v="T1947"/>
    <x v="37"/>
    <n v="1"/>
    <x v="1"/>
    <x v="0"/>
    <d v="2025-03-22T00:00:00"/>
    <n v="1549.81"/>
    <n v="4554.9073584905645"/>
    <s v="DEV8498"/>
    <x v="0"/>
    <x v="2"/>
    <x v="3"/>
    <s v="Turkmenistan"/>
    <s v="Romania"/>
    <s v="Delivered by Post"/>
    <x v="0"/>
    <x v="1"/>
    <x v="0"/>
  </r>
  <r>
    <s v="T2124"/>
    <x v="37"/>
    <n v="1"/>
    <x v="1"/>
    <x v="0"/>
    <d v="2025-10-15T00:00:00"/>
    <n v="5406.87"/>
    <n v="4554.9073584905645"/>
    <s v="DEV3880"/>
    <x v="1"/>
    <x v="1"/>
    <x v="4"/>
    <s v="Romania"/>
    <s v="New Zealand"/>
    <s v="Picked Up"/>
    <x v="1"/>
    <x v="0"/>
    <x v="0"/>
  </r>
  <r>
    <s v="T2174"/>
    <x v="37"/>
    <n v="1"/>
    <x v="0"/>
    <x v="3"/>
    <d v="2025-03-21T00:00:00"/>
    <n v="7368.28"/>
    <n v="4554.9073584905645"/>
    <s v="DEV4165"/>
    <x v="4"/>
    <x v="0"/>
    <x v="2"/>
    <s v="France"/>
    <s v="Bhutan"/>
    <s v="Picked Up"/>
    <x v="1"/>
    <x v="0"/>
    <x v="1"/>
  </r>
  <r>
    <s v="T2277"/>
    <x v="37"/>
    <n v="1"/>
    <x v="0"/>
    <x v="3"/>
    <d v="2025-10-02T00:00:00"/>
    <n v="3437.64"/>
    <n v="4554.9073584905645"/>
    <s v="DEV7094"/>
    <x v="4"/>
    <x v="0"/>
    <x v="2"/>
    <s v="Bhutan"/>
    <s v="Romania"/>
    <s v="Delivered by Post"/>
    <x v="0"/>
    <x v="0"/>
    <x v="1"/>
  </r>
  <r>
    <s v="T2299"/>
    <x v="37"/>
    <n v="1"/>
    <x v="1"/>
    <x v="0"/>
    <d v="2025-06-28T00:00:00"/>
    <n v="956.77"/>
    <n v="4554.9073584905645"/>
    <s v="DEV4657"/>
    <x v="4"/>
    <x v="3"/>
    <x v="2"/>
    <s v="Comoros"/>
    <s v="Zimbabwe"/>
    <s v="Delivered by Post"/>
    <x v="0"/>
    <x v="1"/>
    <x v="1"/>
  </r>
  <r>
    <s v="T2314"/>
    <x v="37"/>
    <n v="1"/>
    <x v="0"/>
    <x v="3"/>
    <d v="2025-05-25T00:00:00"/>
    <n v="7838.51"/>
    <n v="4554.9073584905645"/>
    <s v="DEV8872"/>
    <x v="3"/>
    <x v="0"/>
    <x v="2"/>
    <s v="Norway"/>
    <s v="France"/>
    <s v="Picked Up"/>
    <x v="1"/>
    <x v="0"/>
    <x v="0"/>
  </r>
  <r>
    <s v="T2473"/>
    <x v="37"/>
    <n v="1"/>
    <x v="0"/>
    <x v="0"/>
    <d v="2025-10-12T00:00:00"/>
    <n v="8600.01"/>
    <n v="4554.9073584905645"/>
    <s v="DEV9655"/>
    <x v="1"/>
    <x v="1"/>
    <x v="3"/>
    <s v="Bhutan"/>
    <s v="France"/>
    <s v="Delivered by Post"/>
    <x v="1"/>
    <x v="0"/>
    <x v="0"/>
  </r>
  <r>
    <s v="T2592"/>
    <x v="37"/>
    <n v="1"/>
    <x v="1"/>
    <x v="1"/>
    <d v="2025-09-04T00:00:00"/>
    <n v="8298.49"/>
    <n v="4554.9073584905645"/>
    <s v="DEV5285"/>
    <x v="0"/>
    <x v="2"/>
    <x v="4"/>
    <s v="France"/>
    <s v="Romania"/>
    <s v="Picked Up"/>
    <x v="1"/>
    <x v="1"/>
    <x v="0"/>
  </r>
  <r>
    <s v="T2608"/>
    <x v="37"/>
    <n v="1"/>
    <x v="1"/>
    <x v="0"/>
    <d v="2025-01-18T00:00:00"/>
    <n v="4268.8999999999996"/>
    <n v="4554.9073584905645"/>
    <s v="DEV6620"/>
    <x v="2"/>
    <x v="1"/>
    <x v="0"/>
    <s v="New Zealand"/>
    <s v="Turkmenistan"/>
    <s v="Delivered by Post"/>
    <x v="0"/>
    <x v="0"/>
    <x v="0"/>
  </r>
  <r>
    <s v="T2653"/>
    <x v="37"/>
    <n v="1"/>
    <x v="0"/>
    <x v="2"/>
    <d v="2025-09-23T00:00:00"/>
    <n v="473.52"/>
    <n v="4554.9073584905645"/>
    <s v="DEV2028"/>
    <x v="2"/>
    <x v="2"/>
    <x v="5"/>
    <s v="France"/>
    <s v="France"/>
    <s v="Delivered by Post"/>
    <x v="0"/>
    <x v="1"/>
    <x v="0"/>
  </r>
  <r>
    <s v="T2702"/>
    <x v="37"/>
    <n v="1"/>
    <x v="1"/>
    <x v="3"/>
    <d v="2025-03-04T00:00:00"/>
    <n v="8552.2099999999991"/>
    <n v="4554.9073584905645"/>
    <s v="DEV4780"/>
    <x v="2"/>
    <x v="2"/>
    <x v="0"/>
    <s v="Norway"/>
    <s v="Romania"/>
    <s v="Picked Up"/>
    <x v="1"/>
    <x v="1"/>
    <x v="0"/>
  </r>
  <r>
    <s v="T2753"/>
    <x v="37"/>
    <n v="1"/>
    <x v="1"/>
    <x v="0"/>
    <d v="2025-11-27T00:00:00"/>
    <n v="2566.48"/>
    <n v="4554.9073584905645"/>
    <s v="DEV8475"/>
    <x v="3"/>
    <x v="3"/>
    <x v="2"/>
    <s v="Turkmenistan"/>
    <s v="Turkmenistan"/>
    <s v="Picked Up"/>
    <x v="0"/>
    <x v="1"/>
    <x v="0"/>
  </r>
  <r>
    <s v="T2756"/>
    <x v="37"/>
    <n v="1"/>
    <x v="1"/>
    <x v="3"/>
    <d v="2025-01-16T00:00:00"/>
    <n v="1867.87"/>
    <n v="4554.9073584905645"/>
    <s v="DEV4733"/>
    <x v="2"/>
    <x v="3"/>
    <x v="4"/>
    <s v="Comoros"/>
    <s v="Canada"/>
    <s v="Picked Up"/>
    <x v="0"/>
    <x v="1"/>
    <x v="0"/>
  </r>
  <r>
    <s v="T2788"/>
    <x v="37"/>
    <n v="1"/>
    <x v="0"/>
    <x v="2"/>
    <d v="2025-08-04T00:00:00"/>
    <n v="3597.25"/>
    <n v="4554.9073584905645"/>
    <s v="DEV8889"/>
    <x v="4"/>
    <x v="2"/>
    <x v="0"/>
    <s v="Romania"/>
    <s v="New Zealand"/>
    <s v="Delivered by Post"/>
    <x v="0"/>
    <x v="1"/>
    <x v="1"/>
  </r>
  <r>
    <s v="T0023"/>
    <x v="38"/>
    <n v="1"/>
    <x v="2"/>
    <x v="0"/>
    <d v="2025-08-22T20:42:00"/>
    <n v="5163.93"/>
    <n v="5094.7099999999991"/>
    <s v="DEV2290"/>
    <x v="0"/>
    <x v="0"/>
    <x v="3"/>
    <s v="Haiti"/>
    <s v="Reunion"/>
    <s v="Picked Up"/>
    <x v="1"/>
    <x v="0"/>
    <x v="0"/>
  </r>
  <r>
    <s v="T0038"/>
    <x v="38"/>
    <n v="1"/>
    <x v="2"/>
    <x v="0"/>
    <d v="2025-03-12T21:11:00"/>
    <n v="6698.21"/>
    <n v="5094.7099999999991"/>
    <s v="DEV6446"/>
    <x v="1"/>
    <x v="3"/>
    <x v="5"/>
    <s v="Haiti"/>
    <s v="Greenland"/>
    <s v="Delivered by Post"/>
    <x v="1"/>
    <x v="1"/>
    <x v="0"/>
  </r>
  <r>
    <s v="T0188"/>
    <x v="38"/>
    <n v="1"/>
    <x v="1"/>
    <x v="0"/>
    <d v="2025-12-26T00:00:00"/>
    <n v="5329.04"/>
    <n v="5094.7099999999991"/>
    <s v="DEV4522"/>
    <x v="0"/>
    <x v="1"/>
    <x v="0"/>
    <s v="Bhutan"/>
    <s v="New Zealand"/>
    <s v="Delivered by Post"/>
    <x v="1"/>
    <x v="0"/>
    <x v="0"/>
  </r>
  <r>
    <s v="T0191"/>
    <x v="38"/>
    <n v="1"/>
    <x v="0"/>
    <x v="1"/>
    <d v="2025-12-03T00:00:00"/>
    <n v="3158.87"/>
    <n v="5094.7099999999991"/>
    <s v="DEV4674"/>
    <x v="1"/>
    <x v="3"/>
    <x v="5"/>
    <s v="New Zealand"/>
    <s v="Zimbabwe"/>
    <s v="Delivered by Post"/>
    <x v="0"/>
    <x v="1"/>
    <x v="0"/>
  </r>
  <r>
    <s v="T0240"/>
    <x v="38"/>
    <n v="1"/>
    <x v="0"/>
    <x v="0"/>
    <d v="2025-03-12T00:00:00"/>
    <n v="5115.7700000000004"/>
    <n v="5094.7099999999991"/>
    <s v="DEV6456"/>
    <x v="0"/>
    <x v="1"/>
    <x v="0"/>
    <s v="Turkmenistan"/>
    <s v="Norway"/>
    <s v="Delivered by Post"/>
    <x v="1"/>
    <x v="0"/>
    <x v="0"/>
  </r>
  <r>
    <s v="T0263"/>
    <x v="38"/>
    <n v="1"/>
    <x v="0"/>
    <x v="0"/>
    <d v="2025-07-25T00:00:00"/>
    <n v="6736.64"/>
    <n v="5094.7099999999991"/>
    <s v="DEV4839"/>
    <x v="2"/>
    <x v="2"/>
    <x v="2"/>
    <s v="Norway"/>
    <s v="Turkmenistan"/>
    <s v="Delivered by Post"/>
    <x v="1"/>
    <x v="1"/>
    <x v="0"/>
  </r>
  <r>
    <s v="T0340"/>
    <x v="38"/>
    <n v="1"/>
    <x v="0"/>
    <x v="3"/>
    <d v="2025-11-11T00:00:00"/>
    <n v="2227.15"/>
    <n v="5094.7099999999991"/>
    <s v="DEV3137"/>
    <x v="4"/>
    <x v="2"/>
    <x v="1"/>
    <s v="Canada"/>
    <s v="Canada"/>
    <s v="Picked Up"/>
    <x v="0"/>
    <x v="1"/>
    <x v="0"/>
  </r>
  <r>
    <s v="T0488"/>
    <x v="38"/>
    <n v="1"/>
    <x v="1"/>
    <x v="0"/>
    <d v="2025-01-21T00:00:00"/>
    <n v="5339.03"/>
    <n v="5094.7099999999991"/>
    <s v="DEV9673"/>
    <x v="4"/>
    <x v="3"/>
    <x v="4"/>
    <s v="Bhutan"/>
    <s v="Norway"/>
    <s v="Picked Up"/>
    <x v="1"/>
    <x v="1"/>
    <x v="1"/>
  </r>
  <r>
    <s v="T0491"/>
    <x v="38"/>
    <n v="1"/>
    <x v="0"/>
    <x v="1"/>
    <d v="2025-10-25T00:00:00"/>
    <n v="3326.38"/>
    <n v="5094.7099999999991"/>
    <s v="DEV4314"/>
    <x v="3"/>
    <x v="3"/>
    <x v="3"/>
    <s v="Turkmenistan"/>
    <s v="Norway"/>
    <s v="Delivered by Post"/>
    <x v="0"/>
    <x v="1"/>
    <x v="0"/>
  </r>
  <r>
    <s v="T0543"/>
    <x v="38"/>
    <n v="1"/>
    <x v="0"/>
    <x v="0"/>
    <d v="2025-02-14T00:00:00"/>
    <n v="6583.22"/>
    <n v="5094.7099999999991"/>
    <s v="DEV3128"/>
    <x v="0"/>
    <x v="2"/>
    <x v="2"/>
    <s v="Norway"/>
    <s v="France"/>
    <s v="Delivered by Post"/>
    <x v="1"/>
    <x v="1"/>
    <x v="0"/>
  </r>
  <r>
    <s v="T0606"/>
    <x v="38"/>
    <n v="1"/>
    <x v="0"/>
    <x v="0"/>
    <d v="2025-12-05T00:00:00"/>
    <n v="6808.08"/>
    <n v="5094.7099999999991"/>
    <s v="DEV9064"/>
    <x v="0"/>
    <x v="2"/>
    <x v="1"/>
    <s v="Comoros"/>
    <s v="Comoros"/>
    <s v="Delivered by Post"/>
    <x v="1"/>
    <x v="1"/>
    <x v="0"/>
  </r>
  <r>
    <s v="T0707"/>
    <x v="38"/>
    <n v="1"/>
    <x v="1"/>
    <x v="3"/>
    <d v="2025-08-03T00:00:00"/>
    <n v="6939.52"/>
    <n v="5094.7099999999991"/>
    <s v="DEV3658"/>
    <x v="1"/>
    <x v="1"/>
    <x v="2"/>
    <s v="Comoros"/>
    <s v="Romania"/>
    <s v="Picked Up"/>
    <x v="1"/>
    <x v="0"/>
    <x v="0"/>
  </r>
  <r>
    <s v="T0782"/>
    <x v="38"/>
    <n v="1"/>
    <x v="0"/>
    <x v="0"/>
    <d v="2025-05-02T00:00:00"/>
    <n v="5405.18"/>
    <n v="5094.7099999999991"/>
    <s v="DEV4081"/>
    <x v="3"/>
    <x v="3"/>
    <x v="0"/>
    <s v="Norway"/>
    <s v="Turkmenistan"/>
    <s v="Picked Up"/>
    <x v="1"/>
    <x v="1"/>
    <x v="0"/>
  </r>
  <r>
    <s v="T0854"/>
    <x v="38"/>
    <n v="1"/>
    <x v="0"/>
    <x v="0"/>
    <d v="2025-07-09T00:00:00"/>
    <n v="3806.69"/>
    <n v="5094.7099999999991"/>
    <s v="DEV1265"/>
    <x v="4"/>
    <x v="3"/>
    <x v="5"/>
    <s v="Zimbabwe"/>
    <s v="Comoros"/>
    <s v="Delivered by Post"/>
    <x v="0"/>
    <x v="1"/>
    <x v="1"/>
  </r>
  <r>
    <s v="T0888"/>
    <x v="38"/>
    <n v="1"/>
    <x v="1"/>
    <x v="0"/>
    <d v="2025-12-15T00:00:00"/>
    <n v="2795.46"/>
    <n v="5094.7099999999991"/>
    <s v="DEV5078"/>
    <x v="1"/>
    <x v="2"/>
    <x v="2"/>
    <s v="Canada"/>
    <s v="Canada"/>
    <s v="Delivered by Post"/>
    <x v="0"/>
    <x v="1"/>
    <x v="0"/>
  </r>
  <r>
    <s v="T0914"/>
    <x v="38"/>
    <n v="1"/>
    <x v="1"/>
    <x v="1"/>
    <d v="2025-12-24T00:00:00"/>
    <n v="6606.77"/>
    <n v="5094.7099999999991"/>
    <s v="DEV6703"/>
    <x v="2"/>
    <x v="1"/>
    <x v="2"/>
    <s v="Canada"/>
    <s v="Canada"/>
    <s v="Picked Up"/>
    <x v="1"/>
    <x v="1"/>
    <x v="0"/>
  </r>
  <r>
    <s v="T0940"/>
    <x v="38"/>
    <n v="1"/>
    <x v="1"/>
    <x v="0"/>
    <d v="2025-09-19T00:00:00"/>
    <n v="2385.23"/>
    <n v="5094.7099999999991"/>
    <s v="DEV4882"/>
    <x v="3"/>
    <x v="3"/>
    <x v="5"/>
    <s v="New Zealand"/>
    <s v="Bhutan"/>
    <s v="Picked Up"/>
    <x v="0"/>
    <x v="1"/>
    <x v="0"/>
  </r>
  <r>
    <s v="T0961"/>
    <x v="38"/>
    <n v="1"/>
    <x v="0"/>
    <x v="1"/>
    <d v="2025-02-27T00:00:00"/>
    <n v="3603.42"/>
    <n v="5094.7099999999991"/>
    <s v="DEV7874"/>
    <x v="0"/>
    <x v="3"/>
    <x v="0"/>
    <s v="Bhutan"/>
    <s v="Zimbabwe"/>
    <s v="Picked Up"/>
    <x v="0"/>
    <x v="1"/>
    <x v="0"/>
  </r>
  <r>
    <s v="T1012"/>
    <x v="38"/>
    <n v="1"/>
    <x v="1"/>
    <x v="3"/>
    <d v="2025-01-13T00:00:00"/>
    <n v="6879.56"/>
    <n v="5094.7099999999991"/>
    <s v="DEV5378"/>
    <x v="3"/>
    <x v="3"/>
    <x v="1"/>
    <s v="Bhutan"/>
    <s v="Canada"/>
    <s v="Delivered by Post"/>
    <x v="1"/>
    <x v="1"/>
    <x v="0"/>
  </r>
  <r>
    <s v="T1212"/>
    <x v="38"/>
    <n v="1"/>
    <x v="0"/>
    <x v="2"/>
    <d v="2025-07-11T00:00:00"/>
    <n v="7909.95"/>
    <n v="5094.7099999999991"/>
    <s v="DEV7416"/>
    <x v="0"/>
    <x v="3"/>
    <x v="5"/>
    <s v="Comoros"/>
    <s v="Turkmenistan"/>
    <s v="Delivered by Post"/>
    <x v="1"/>
    <x v="1"/>
    <x v="0"/>
  </r>
  <r>
    <s v="T1307"/>
    <x v="38"/>
    <n v="1"/>
    <x v="1"/>
    <x v="2"/>
    <d v="2025-09-25T00:00:00"/>
    <n v="6698.03"/>
    <n v="5094.7099999999991"/>
    <s v="DEV3467"/>
    <x v="3"/>
    <x v="3"/>
    <x v="5"/>
    <s v="Canada"/>
    <s v="New Zealand"/>
    <s v="Delivered by Post"/>
    <x v="1"/>
    <x v="1"/>
    <x v="0"/>
  </r>
  <r>
    <s v="T1323"/>
    <x v="38"/>
    <n v="1"/>
    <x v="1"/>
    <x v="3"/>
    <d v="2025-08-30T00:00:00"/>
    <n v="5262.5"/>
    <n v="5094.7099999999991"/>
    <s v="DEV9148"/>
    <x v="4"/>
    <x v="3"/>
    <x v="5"/>
    <s v="Zimbabwe"/>
    <s v="Bhutan"/>
    <s v="Picked Up"/>
    <x v="1"/>
    <x v="1"/>
    <x v="1"/>
  </r>
  <r>
    <s v="T1460"/>
    <x v="38"/>
    <n v="1"/>
    <x v="0"/>
    <x v="0"/>
    <d v="2025-11-25T00:00:00"/>
    <n v="6214.43"/>
    <n v="5094.7099999999991"/>
    <s v="DEV6251"/>
    <x v="3"/>
    <x v="0"/>
    <x v="0"/>
    <s v="Turkmenistan"/>
    <s v="Comoros"/>
    <s v="Delivered by Post"/>
    <x v="1"/>
    <x v="0"/>
    <x v="0"/>
  </r>
  <r>
    <s v="T1543"/>
    <x v="38"/>
    <n v="1"/>
    <x v="1"/>
    <x v="1"/>
    <d v="2025-06-26T00:00:00"/>
    <n v="6466.51"/>
    <n v="5094.7099999999991"/>
    <s v="DEV7119"/>
    <x v="2"/>
    <x v="3"/>
    <x v="3"/>
    <s v="Romania"/>
    <s v="Romania"/>
    <s v="Picked Up"/>
    <x v="1"/>
    <x v="1"/>
    <x v="0"/>
  </r>
  <r>
    <s v="T1616"/>
    <x v="38"/>
    <n v="1"/>
    <x v="1"/>
    <x v="0"/>
    <d v="2025-06-30T00:00:00"/>
    <n v="4473.72"/>
    <n v="5094.7099999999991"/>
    <s v="DEV7864"/>
    <x v="2"/>
    <x v="2"/>
    <x v="5"/>
    <s v="France"/>
    <s v="New Zealand"/>
    <s v="Delivered by Post"/>
    <x v="0"/>
    <x v="1"/>
    <x v="0"/>
  </r>
  <r>
    <s v="T1740"/>
    <x v="38"/>
    <n v="1"/>
    <x v="0"/>
    <x v="3"/>
    <d v="2025-09-22T00:00:00"/>
    <n v="568.58000000000004"/>
    <n v="5094.7099999999991"/>
    <s v="DEV7445"/>
    <x v="2"/>
    <x v="2"/>
    <x v="0"/>
    <s v="Canada"/>
    <s v="New Zealand"/>
    <s v="Delivered by Post"/>
    <x v="0"/>
    <x v="1"/>
    <x v="0"/>
  </r>
  <r>
    <s v="T1837"/>
    <x v="38"/>
    <n v="1"/>
    <x v="1"/>
    <x v="3"/>
    <d v="2025-12-21T00:00:00"/>
    <n v="6993.25"/>
    <n v="5094.7099999999991"/>
    <s v="DEV4385"/>
    <x v="3"/>
    <x v="2"/>
    <x v="1"/>
    <s v="Bhutan"/>
    <s v="Norway"/>
    <s v="Picked Up"/>
    <x v="1"/>
    <x v="1"/>
    <x v="0"/>
  </r>
  <r>
    <s v="T1841"/>
    <x v="38"/>
    <n v="1"/>
    <x v="1"/>
    <x v="1"/>
    <d v="2025-03-17T00:00:00"/>
    <n v="6579.17"/>
    <n v="5094.7099999999991"/>
    <s v="DEV6137"/>
    <x v="3"/>
    <x v="1"/>
    <x v="3"/>
    <s v="Canada"/>
    <s v="Comoros"/>
    <s v="Delivered by Post"/>
    <x v="1"/>
    <x v="0"/>
    <x v="0"/>
  </r>
  <r>
    <s v="T1860"/>
    <x v="38"/>
    <n v="1"/>
    <x v="0"/>
    <x v="1"/>
    <d v="2025-03-15T00:00:00"/>
    <n v="3630.81"/>
    <n v="5094.7099999999991"/>
    <s v="DEV8848"/>
    <x v="3"/>
    <x v="2"/>
    <x v="0"/>
    <s v="Bhutan"/>
    <s v="France"/>
    <s v="Delivered by Post"/>
    <x v="0"/>
    <x v="1"/>
    <x v="0"/>
  </r>
  <r>
    <s v="T1887"/>
    <x v="38"/>
    <n v="1"/>
    <x v="1"/>
    <x v="1"/>
    <d v="2025-05-20T00:00:00"/>
    <n v="4873.67"/>
    <n v="5094.7099999999991"/>
    <s v="DEV3504"/>
    <x v="2"/>
    <x v="3"/>
    <x v="2"/>
    <s v="Romania"/>
    <s v="New Zealand"/>
    <s v="Delivered by Post"/>
    <x v="0"/>
    <x v="1"/>
    <x v="0"/>
  </r>
  <r>
    <s v="T1893"/>
    <x v="38"/>
    <n v="1"/>
    <x v="1"/>
    <x v="3"/>
    <d v="2025-02-24T00:00:00"/>
    <n v="3234"/>
    <n v="5094.7099999999991"/>
    <s v="DEV7885"/>
    <x v="3"/>
    <x v="2"/>
    <x v="3"/>
    <s v="Romania"/>
    <s v="Norway"/>
    <s v="Delivered by Post"/>
    <x v="0"/>
    <x v="1"/>
    <x v="0"/>
  </r>
  <r>
    <s v="T1927"/>
    <x v="38"/>
    <n v="1"/>
    <x v="1"/>
    <x v="0"/>
    <d v="2025-04-02T00:00:00"/>
    <n v="497.56"/>
    <n v="5094.7099999999991"/>
    <s v="DEV6480"/>
    <x v="4"/>
    <x v="0"/>
    <x v="3"/>
    <s v="Romania"/>
    <s v="France"/>
    <s v="Delivered by Post"/>
    <x v="0"/>
    <x v="0"/>
    <x v="1"/>
  </r>
  <r>
    <s v="T1975"/>
    <x v="38"/>
    <n v="1"/>
    <x v="0"/>
    <x v="3"/>
    <d v="2025-02-17T00:00:00"/>
    <n v="5931"/>
    <n v="5094.7099999999991"/>
    <s v="DEV5390"/>
    <x v="0"/>
    <x v="0"/>
    <x v="0"/>
    <s v="New Zealand"/>
    <s v="Zimbabwe"/>
    <s v="Picked Up"/>
    <x v="1"/>
    <x v="0"/>
    <x v="0"/>
  </r>
  <r>
    <s v="T2029"/>
    <x v="38"/>
    <n v="1"/>
    <x v="0"/>
    <x v="0"/>
    <d v="2025-03-19T00:00:00"/>
    <n v="8696.6200000000008"/>
    <n v="5094.7099999999991"/>
    <s v="DEV6586"/>
    <x v="3"/>
    <x v="2"/>
    <x v="4"/>
    <s v="Norway"/>
    <s v="Comoros"/>
    <s v="Delivered by Post"/>
    <x v="1"/>
    <x v="1"/>
    <x v="0"/>
  </r>
  <r>
    <s v="T2051"/>
    <x v="38"/>
    <n v="1"/>
    <x v="0"/>
    <x v="0"/>
    <d v="2025-10-13T00:00:00"/>
    <n v="4506.25"/>
    <n v="5094.7099999999991"/>
    <s v="DEV3044"/>
    <x v="4"/>
    <x v="2"/>
    <x v="3"/>
    <s v="Bhutan"/>
    <s v="Romania"/>
    <s v="Delivered by Post"/>
    <x v="0"/>
    <x v="1"/>
    <x v="1"/>
  </r>
  <r>
    <s v="T2060"/>
    <x v="38"/>
    <n v="1"/>
    <x v="1"/>
    <x v="2"/>
    <d v="2025-06-28T00:00:00"/>
    <n v="7054.86"/>
    <n v="5094.7099999999991"/>
    <s v="DEV8586"/>
    <x v="1"/>
    <x v="2"/>
    <x v="3"/>
    <s v="Canada"/>
    <s v="Norway"/>
    <s v="Picked Up"/>
    <x v="1"/>
    <x v="1"/>
    <x v="0"/>
  </r>
  <r>
    <s v="T2093"/>
    <x v="38"/>
    <n v="1"/>
    <x v="1"/>
    <x v="0"/>
    <d v="2025-05-02T00:00:00"/>
    <n v="3196.27"/>
    <n v="5094.7099999999991"/>
    <s v="DEV1778"/>
    <x v="4"/>
    <x v="0"/>
    <x v="5"/>
    <s v="Romania"/>
    <s v="France"/>
    <s v="Delivered by Post"/>
    <x v="0"/>
    <x v="0"/>
    <x v="1"/>
  </r>
  <r>
    <s v="T2120"/>
    <x v="38"/>
    <n v="1"/>
    <x v="1"/>
    <x v="3"/>
    <d v="2025-02-24T00:00:00"/>
    <n v="6339.57"/>
    <n v="5094.7099999999991"/>
    <s v="DEV5461"/>
    <x v="1"/>
    <x v="2"/>
    <x v="1"/>
    <s v="Turkmenistan"/>
    <s v="Zimbabwe"/>
    <s v="Delivered by Post"/>
    <x v="1"/>
    <x v="1"/>
    <x v="0"/>
  </r>
  <r>
    <s v="T2123"/>
    <x v="38"/>
    <n v="1"/>
    <x v="1"/>
    <x v="2"/>
    <d v="2025-09-24T00:00:00"/>
    <n v="2461.5"/>
    <n v="5094.7099999999991"/>
    <s v="DEV6532"/>
    <x v="2"/>
    <x v="0"/>
    <x v="3"/>
    <s v="Bhutan"/>
    <s v="France"/>
    <s v="Delivered by Post"/>
    <x v="0"/>
    <x v="0"/>
    <x v="0"/>
  </r>
  <r>
    <s v="T2205"/>
    <x v="38"/>
    <n v="1"/>
    <x v="1"/>
    <x v="2"/>
    <d v="2025-08-16T00:00:00"/>
    <n v="6924.2"/>
    <n v="5094.7099999999991"/>
    <s v="DEV3515"/>
    <x v="2"/>
    <x v="3"/>
    <x v="3"/>
    <s v="Canada"/>
    <s v="Norway"/>
    <s v="Picked Up"/>
    <x v="1"/>
    <x v="1"/>
    <x v="0"/>
  </r>
  <r>
    <s v="T2255"/>
    <x v="38"/>
    <n v="1"/>
    <x v="1"/>
    <x v="3"/>
    <d v="2025-08-02T00:00:00"/>
    <n v="5099.33"/>
    <n v="5094.7099999999991"/>
    <s v="DEV8108"/>
    <x v="0"/>
    <x v="2"/>
    <x v="3"/>
    <s v="Bhutan"/>
    <s v="Zimbabwe"/>
    <s v="Picked Up"/>
    <x v="1"/>
    <x v="1"/>
    <x v="0"/>
  </r>
  <r>
    <s v="T2471"/>
    <x v="38"/>
    <n v="1"/>
    <x v="0"/>
    <x v="2"/>
    <d v="2025-08-07T00:00:00"/>
    <n v="7683.01"/>
    <n v="5094.7099999999991"/>
    <s v="DEV7815"/>
    <x v="1"/>
    <x v="2"/>
    <x v="4"/>
    <s v="Romania"/>
    <s v="France"/>
    <s v="Picked Up"/>
    <x v="1"/>
    <x v="1"/>
    <x v="0"/>
  </r>
  <r>
    <s v="T2600"/>
    <x v="38"/>
    <n v="1"/>
    <x v="0"/>
    <x v="3"/>
    <d v="2025-04-02T00:00:00"/>
    <n v="776.09"/>
    <n v="5094.7099999999991"/>
    <s v="DEV9050"/>
    <x v="3"/>
    <x v="2"/>
    <x v="0"/>
    <s v="Canada"/>
    <s v="Comoros"/>
    <s v="Delivered by Post"/>
    <x v="0"/>
    <x v="1"/>
    <x v="0"/>
  </r>
  <r>
    <s v="T2630"/>
    <x v="38"/>
    <n v="1"/>
    <x v="1"/>
    <x v="2"/>
    <d v="2025-04-11T00:00:00"/>
    <n v="9478.43"/>
    <n v="5094.7099999999991"/>
    <s v="DEV1349"/>
    <x v="2"/>
    <x v="2"/>
    <x v="0"/>
    <s v="New Zealand"/>
    <s v="Bhutan"/>
    <s v="Delivered by Post"/>
    <x v="1"/>
    <x v="1"/>
    <x v="0"/>
  </r>
  <r>
    <s v="T2640"/>
    <x v="38"/>
    <n v="1"/>
    <x v="0"/>
    <x v="3"/>
    <d v="2025-06-20T00:00:00"/>
    <n v="6992.8"/>
    <n v="5094.7099999999991"/>
    <s v="DEV9368"/>
    <x v="1"/>
    <x v="0"/>
    <x v="5"/>
    <s v="Norway"/>
    <s v="Norway"/>
    <s v="Delivered by Post"/>
    <x v="1"/>
    <x v="1"/>
    <x v="0"/>
  </r>
  <r>
    <s v="T2664"/>
    <x v="38"/>
    <n v="1"/>
    <x v="0"/>
    <x v="1"/>
    <d v="2025-08-28T00:00:00"/>
    <n v="2676.48"/>
    <n v="5094.7099999999991"/>
    <s v="DEV7023"/>
    <x v="0"/>
    <x v="0"/>
    <x v="1"/>
    <s v="Bhutan"/>
    <s v="New Zealand"/>
    <s v="Picked Up"/>
    <x v="0"/>
    <x v="0"/>
    <x v="0"/>
  </r>
  <r>
    <s v="T2795"/>
    <x v="38"/>
    <n v="1"/>
    <x v="0"/>
    <x v="2"/>
    <d v="2025-02-13T00:00:00"/>
    <n v="634.98"/>
    <n v="5094.7099999999991"/>
    <s v="DEV2986"/>
    <x v="2"/>
    <x v="3"/>
    <x v="1"/>
    <s v="Norway"/>
    <s v="Romania"/>
    <s v="Delivered by Post"/>
    <x v="0"/>
    <x v="1"/>
    <x v="0"/>
  </r>
  <r>
    <s v="T2823"/>
    <x v="38"/>
    <n v="1"/>
    <x v="0"/>
    <x v="2"/>
    <d v="2025-12-18T00:00:00"/>
    <n v="8277.35"/>
    <n v="5094.7099999999991"/>
    <s v="DEV1568"/>
    <x v="1"/>
    <x v="1"/>
    <x v="4"/>
    <s v="Norway"/>
    <s v="France"/>
    <s v="Delivered by Post"/>
    <x v="1"/>
    <x v="0"/>
    <x v="0"/>
  </r>
  <r>
    <s v="T2827"/>
    <x v="38"/>
    <n v="1"/>
    <x v="1"/>
    <x v="1"/>
    <d v="2025-06-12T00:00:00"/>
    <n v="4601.72"/>
    <n v="5094.7099999999991"/>
    <s v="DEV8423"/>
    <x v="2"/>
    <x v="2"/>
    <x v="3"/>
    <s v="Turkmenistan"/>
    <s v="Comoros"/>
    <s v="Picked Up"/>
    <x v="0"/>
    <x v="1"/>
    <x v="0"/>
  </r>
  <r>
    <s v="T0077"/>
    <x v="39"/>
    <n v="1"/>
    <x v="1"/>
    <x v="1"/>
    <d v="2025-04-14T11:09:00"/>
    <n v="8904.02"/>
    <n v="4681.1953999999978"/>
    <s v="DEV2274"/>
    <x v="3"/>
    <x v="1"/>
    <x v="1"/>
    <s v="Albania"/>
    <s v="Yemen"/>
    <s v="Picked Up"/>
    <x v="1"/>
    <x v="0"/>
    <x v="0"/>
  </r>
  <r>
    <s v="T0135"/>
    <x v="39"/>
    <n v="1"/>
    <x v="1"/>
    <x v="1"/>
    <d v="2025-12-23T00:00:00"/>
    <n v="8504.89"/>
    <n v="4681.1953999999978"/>
    <s v="DEV9099"/>
    <x v="0"/>
    <x v="2"/>
    <x v="0"/>
    <s v="Canada"/>
    <s v="Zimbabwe"/>
    <s v="Delivered by Post"/>
    <x v="1"/>
    <x v="1"/>
    <x v="0"/>
  </r>
  <r>
    <s v="T0163"/>
    <x v="39"/>
    <n v="1"/>
    <x v="0"/>
    <x v="1"/>
    <d v="2025-05-17T00:00:00"/>
    <n v="7576.61"/>
    <n v="4681.1953999999978"/>
    <s v="DEV3146"/>
    <x v="4"/>
    <x v="1"/>
    <x v="3"/>
    <s v="Comoros"/>
    <s v="Zimbabwe"/>
    <s v="Picked Up"/>
    <x v="1"/>
    <x v="0"/>
    <x v="1"/>
  </r>
  <r>
    <s v="T0223"/>
    <x v="39"/>
    <n v="1"/>
    <x v="0"/>
    <x v="0"/>
    <d v="2025-12-10T00:00:00"/>
    <n v="9981.6"/>
    <n v="4681.1953999999978"/>
    <s v="DEV7655"/>
    <x v="4"/>
    <x v="2"/>
    <x v="2"/>
    <s v="Norway"/>
    <s v="Comoros"/>
    <s v="Picked Up"/>
    <x v="1"/>
    <x v="1"/>
    <x v="1"/>
  </r>
  <r>
    <s v="T0241"/>
    <x v="39"/>
    <n v="1"/>
    <x v="1"/>
    <x v="3"/>
    <d v="2025-09-17T00:00:00"/>
    <n v="3219.37"/>
    <n v="4681.1953999999978"/>
    <s v="DEV9721"/>
    <x v="0"/>
    <x v="3"/>
    <x v="4"/>
    <s v="Canada"/>
    <s v="New Zealand"/>
    <s v="Delivered by Post"/>
    <x v="0"/>
    <x v="1"/>
    <x v="0"/>
  </r>
  <r>
    <s v="T0313"/>
    <x v="39"/>
    <n v="1"/>
    <x v="0"/>
    <x v="1"/>
    <d v="2025-07-30T00:00:00"/>
    <n v="6517.7"/>
    <n v="4681.1953999999978"/>
    <s v="DEV8248"/>
    <x v="3"/>
    <x v="0"/>
    <x v="2"/>
    <s v="Norway"/>
    <s v="Zimbabwe"/>
    <s v="Delivered by Post"/>
    <x v="1"/>
    <x v="0"/>
    <x v="0"/>
  </r>
  <r>
    <s v="T0378"/>
    <x v="39"/>
    <n v="1"/>
    <x v="0"/>
    <x v="0"/>
    <d v="2025-05-25T00:00:00"/>
    <n v="6076.06"/>
    <n v="4681.1953999999978"/>
    <s v="DEV2741"/>
    <x v="0"/>
    <x v="2"/>
    <x v="5"/>
    <s v="Romania"/>
    <s v="France"/>
    <s v="Picked Up"/>
    <x v="1"/>
    <x v="1"/>
    <x v="0"/>
  </r>
  <r>
    <s v="T0384"/>
    <x v="39"/>
    <n v="1"/>
    <x v="0"/>
    <x v="1"/>
    <d v="2025-09-05T00:00:00"/>
    <n v="3828.52"/>
    <n v="4681.1953999999978"/>
    <s v="DEV2850"/>
    <x v="0"/>
    <x v="1"/>
    <x v="2"/>
    <s v="Zimbabwe"/>
    <s v="France"/>
    <s v="Delivered by Post"/>
    <x v="0"/>
    <x v="0"/>
    <x v="0"/>
  </r>
  <r>
    <s v="T0434"/>
    <x v="39"/>
    <n v="1"/>
    <x v="0"/>
    <x v="0"/>
    <d v="2025-03-22T00:00:00"/>
    <n v="1736.35"/>
    <n v="4681.1953999999978"/>
    <s v="DEV5520"/>
    <x v="0"/>
    <x v="3"/>
    <x v="3"/>
    <s v="Bhutan"/>
    <s v="Bhutan"/>
    <s v="Picked Up"/>
    <x v="0"/>
    <x v="1"/>
    <x v="0"/>
  </r>
  <r>
    <s v="T0508"/>
    <x v="39"/>
    <n v="1"/>
    <x v="1"/>
    <x v="2"/>
    <d v="2025-04-03T00:00:00"/>
    <n v="5648.21"/>
    <n v="4681.1953999999978"/>
    <s v="DEV4812"/>
    <x v="4"/>
    <x v="2"/>
    <x v="2"/>
    <s v="Zimbabwe"/>
    <s v="Canada"/>
    <s v="Delivered by Post"/>
    <x v="1"/>
    <x v="1"/>
    <x v="1"/>
  </r>
  <r>
    <s v="T0867"/>
    <x v="39"/>
    <n v="1"/>
    <x v="1"/>
    <x v="0"/>
    <d v="2025-04-09T00:00:00"/>
    <n v="6019.93"/>
    <n v="4681.1953999999978"/>
    <s v="DEV1484"/>
    <x v="2"/>
    <x v="0"/>
    <x v="5"/>
    <s v="Turkmenistan"/>
    <s v="Norway"/>
    <s v="Picked Up"/>
    <x v="1"/>
    <x v="0"/>
    <x v="0"/>
  </r>
  <r>
    <s v="T0909"/>
    <x v="39"/>
    <n v="1"/>
    <x v="0"/>
    <x v="2"/>
    <d v="2025-03-16T00:00:00"/>
    <n v="6829.14"/>
    <n v="4681.1953999999978"/>
    <s v="DEV1354"/>
    <x v="3"/>
    <x v="2"/>
    <x v="3"/>
    <s v="Romania"/>
    <s v="Norway"/>
    <s v="Picked Up"/>
    <x v="1"/>
    <x v="1"/>
    <x v="0"/>
  </r>
  <r>
    <s v="T1022"/>
    <x v="39"/>
    <n v="1"/>
    <x v="1"/>
    <x v="2"/>
    <d v="2025-01-12T00:00:00"/>
    <n v="5870.12"/>
    <n v="4681.1953999999978"/>
    <s v="DEV9040"/>
    <x v="3"/>
    <x v="1"/>
    <x v="5"/>
    <s v="Norway"/>
    <s v="Bhutan"/>
    <s v="Picked Up"/>
    <x v="1"/>
    <x v="0"/>
    <x v="0"/>
  </r>
  <r>
    <s v="T1026"/>
    <x v="39"/>
    <n v="1"/>
    <x v="0"/>
    <x v="2"/>
    <d v="2025-01-12T00:00:00"/>
    <n v="2280.7199999999998"/>
    <n v="4681.1953999999978"/>
    <s v="DEV5095"/>
    <x v="3"/>
    <x v="1"/>
    <x v="3"/>
    <s v="Zimbabwe"/>
    <s v="New Zealand"/>
    <s v="Picked Up"/>
    <x v="0"/>
    <x v="0"/>
    <x v="0"/>
  </r>
  <r>
    <s v="T1067"/>
    <x v="39"/>
    <n v="1"/>
    <x v="0"/>
    <x v="1"/>
    <d v="2025-09-23T00:00:00"/>
    <n v="4178.0200000000004"/>
    <n v="4681.1953999999978"/>
    <s v="DEV3975"/>
    <x v="4"/>
    <x v="0"/>
    <x v="0"/>
    <s v="Canada"/>
    <s v="Comoros"/>
    <s v="Picked Up"/>
    <x v="0"/>
    <x v="0"/>
    <x v="1"/>
  </r>
  <r>
    <s v="T1100"/>
    <x v="39"/>
    <n v="1"/>
    <x v="0"/>
    <x v="1"/>
    <d v="2025-01-12T00:00:00"/>
    <n v="4406.82"/>
    <n v="4681.1953999999978"/>
    <s v="DEV8347"/>
    <x v="2"/>
    <x v="0"/>
    <x v="1"/>
    <s v="Comoros"/>
    <s v="Norway"/>
    <s v="Picked Up"/>
    <x v="0"/>
    <x v="0"/>
    <x v="0"/>
  </r>
  <r>
    <s v="T1103"/>
    <x v="39"/>
    <n v="1"/>
    <x v="0"/>
    <x v="1"/>
    <d v="2025-05-08T00:00:00"/>
    <n v="683.11"/>
    <n v="4681.1953999999978"/>
    <s v="DEV3938"/>
    <x v="3"/>
    <x v="0"/>
    <x v="3"/>
    <s v="Comoros"/>
    <s v="Zimbabwe"/>
    <s v="Delivered by Post"/>
    <x v="0"/>
    <x v="0"/>
    <x v="0"/>
  </r>
  <r>
    <s v="T1113"/>
    <x v="39"/>
    <n v="1"/>
    <x v="1"/>
    <x v="0"/>
    <d v="2025-09-28T00:00:00"/>
    <n v="3918.65"/>
    <n v="4681.1953999999978"/>
    <s v="DEV4081"/>
    <x v="1"/>
    <x v="3"/>
    <x v="5"/>
    <s v="Turkmenistan"/>
    <s v="Norway"/>
    <s v="Delivered by Post"/>
    <x v="0"/>
    <x v="1"/>
    <x v="0"/>
  </r>
  <r>
    <s v="T1142"/>
    <x v="39"/>
    <n v="1"/>
    <x v="1"/>
    <x v="2"/>
    <d v="2025-04-13T00:00:00"/>
    <n v="156.24"/>
    <n v="4681.1953999999978"/>
    <s v="DEV7226"/>
    <x v="0"/>
    <x v="0"/>
    <x v="3"/>
    <s v="France"/>
    <s v="Bhutan"/>
    <s v="Delivered by Post"/>
    <x v="0"/>
    <x v="0"/>
    <x v="0"/>
  </r>
  <r>
    <s v="T1146"/>
    <x v="39"/>
    <n v="1"/>
    <x v="0"/>
    <x v="0"/>
    <d v="2025-04-06T00:00:00"/>
    <n v="1263.69"/>
    <n v="4681.1953999999978"/>
    <s v="DEV2500"/>
    <x v="1"/>
    <x v="1"/>
    <x v="3"/>
    <s v="Romania"/>
    <s v="Romania"/>
    <s v="Picked Up"/>
    <x v="0"/>
    <x v="1"/>
    <x v="0"/>
  </r>
  <r>
    <s v="T1161"/>
    <x v="39"/>
    <n v="1"/>
    <x v="1"/>
    <x v="3"/>
    <d v="2025-02-04T00:00:00"/>
    <n v="3250.47"/>
    <n v="4681.1953999999978"/>
    <s v="DEV7382"/>
    <x v="3"/>
    <x v="3"/>
    <x v="3"/>
    <s v="Norway"/>
    <s v="New Zealand"/>
    <s v="Picked Up"/>
    <x v="0"/>
    <x v="1"/>
    <x v="0"/>
  </r>
  <r>
    <s v="T1178"/>
    <x v="39"/>
    <n v="1"/>
    <x v="1"/>
    <x v="0"/>
    <d v="2025-06-05T00:00:00"/>
    <n v="547.78"/>
    <n v="4681.1953999999978"/>
    <s v="DEV7249"/>
    <x v="2"/>
    <x v="2"/>
    <x v="2"/>
    <s v="Canada"/>
    <s v="New Zealand"/>
    <s v="Picked Up"/>
    <x v="0"/>
    <x v="1"/>
    <x v="0"/>
  </r>
  <r>
    <s v="T1245"/>
    <x v="39"/>
    <n v="1"/>
    <x v="0"/>
    <x v="3"/>
    <d v="2025-01-30T00:00:00"/>
    <n v="4837.68"/>
    <n v="4681.1953999999978"/>
    <s v="DEV7650"/>
    <x v="0"/>
    <x v="2"/>
    <x v="4"/>
    <s v="Comoros"/>
    <s v="Canada"/>
    <s v="Delivered by Post"/>
    <x v="1"/>
    <x v="1"/>
    <x v="0"/>
  </r>
  <r>
    <s v="T1250"/>
    <x v="39"/>
    <n v="1"/>
    <x v="1"/>
    <x v="1"/>
    <d v="2025-11-26T00:00:00"/>
    <n v="2880.23"/>
    <n v="4681.1953999999978"/>
    <s v="DEV9435"/>
    <x v="1"/>
    <x v="1"/>
    <x v="5"/>
    <s v="Romania"/>
    <s v="France"/>
    <s v="Picked Up"/>
    <x v="0"/>
    <x v="0"/>
    <x v="0"/>
  </r>
  <r>
    <s v="T1266"/>
    <x v="39"/>
    <n v="1"/>
    <x v="0"/>
    <x v="0"/>
    <d v="2025-03-25T00:00:00"/>
    <n v="8053.53"/>
    <n v="4681.1953999999978"/>
    <s v="DEV6604"/>
    <x v="3"/>
    <x v="2"/>
    <x v="4"/>
    <s v="New Zealand"/>
    <s v="Canada"/>
    <s v="Delivered by Post"/>
    <x v="1"/>
    <x v="1"/>
    <x v="0"/>
  </r>
  <r>
    <s v="T1279"/>
    <x v="39"/>
    <n v="1"/>
    <x v="1"/>
    <x v="3"/>
    <d v="2025-11-28T00:00:00"/>
    <n v="8568.59"/>
    <n v="4681.1953999999978"/>
    <s v="DEV9153"/>
    <x v="1"/>
    <x v="0"/>
    <x v="4"/>
    <s v="Romania"/>
    <s v="France"/>
    <s v="Picked Up"/>
    <x v="1"/>
    <x v="0"/>
    <x v="0"/>
  </r>
  <r>
    <s v="T1297"/>
    <x v="39"/>
    <n v="1"/>
    <x v="0"/>
    <x v="3"/>
    <d v="2025-11-18T00:00:00"/>
    <n v="1388.42"/>
    <n v="4681.1953999999978"/>
    <s v="DEV8074"/>
    <x v="3"/>
    <x v="0"/>
    <x v="0"/>
    <s v="Comoros"/>
    <s v="Bhutan"/>
    <s v="Picked Up"/>
    <x v="0"/>
    <x v="0"/>
    <x v="0"/>
  </r>
  <r>
    <s v="T1324"/>
    <x v="39"/>
    <n v="1"/>
    <x v="1"/>
    <x v="1"/>
    <d v="2025-01-30T00:00:00"/>
    <n v="6817.2"/>
    <n v="4681.1953999999978"/>
    <s v="DEV6099"/>
    <x v="2"/>
    <x v="0"/>
    <x v="2"/>
    <s v="Turkmenistan"/>
    <s v="France"/>
    <s v="Picked Up"/>
    <x v="1"/>
    <x v="0"/>
    <x v="0"/>
  </r>
  <r>
    <s v="T1399"/>
    <x v="39"/>
    <n v="1"/>
    <x v="1"/>
    <x v="2"/>
    <d v="2025-05-08T00:00:00"/>
    <n v="7230.62"/>
    <n v="4681.1953999999978"/>
    <s v="DEV4507"/>
    <x v="1"/>
    <x v="3"/>
    <x v="5"/>
    <s v="Romania"/>
    <s v="Bhutan"/>
    <s v="Delivered by Post"/>
    <x v="1"/>
    <x v="1"/>
    <x v="0"/>
  </r>
  <r>
    <s v="T1448"/>
    <x v="39"/>
    <n v="1"/>
    <x v="0"/>
    <x v="1"/>
    <d v="2025-05-24T00:00:00"/>
    <n v="719.96"/>
    <n v="4681.1953999999978"/>
    <s v="DEV2637"/>
    <x v="1"/>
    <x v="3"/>
    <x v="5"/>
    <s v="France"/>
    <s v="Turkmenistan"/>
    <s v="Delivered by Post"/>
    <x v="0"/>
    <x v="1"/>
    <x v="0"/>
  </r>
  <r>
    <s v="T1607"/>
    <x v="39"/>
    <n v="1"/>
    <x v="1"/>
    <x v="3"/>
    <d v="2025-10-22T00:00:00"/>
    <n v="4492.8100000000004"/>
    <n v="4681.1953999999978"/>
    <s v="DEV9631"/>
    <x v="1"/>
    <x v="2"/>
    <x v="5"/>
    <s v="Romania"/>
    <s v="Zimbabwe"/>
    <s v="Picked Up"/>
    <x v="0"/>
    <x v="1"/>
    <x v="0"/>
  </r>
  <r>
    <s v="T1652"/>
    <x v="39"/>
    <n v="1"/>
    <x v="0"/>
    <x v="3"/>
    <d v="2025-06-22T00:00:00"/>
    <n v="9861.41"/>
    <n v="4681.1953999999978"/>
    <s v="DEV1186"/>
    <x v="1"/>
    <x v="2"/>
    <x v="2"/>
    <s v="Comoros"/>
    <s v="Comoros"/>
    <s v="Picked Up"/>
    <x v="1"/>
    <x v="1"/>
    <x v="0"/>
  </r>
  <r>
    <s v="T1666"/>
    <x v="39"/>
    <n v="1"/>
    <x v="1"/>
    <x v="3"/>
    <d v="2025-02-27T00:00:00"/>
    <n v="5116.0200000000004"/>
    <n v="4681.1953999999978"/>
    <s v="DEV4885"/>
    <x v="4"/>
    <x v="1"/>
    <x v="0"/>
    <s v="Comoros"/>
    <s v="Zimbabwe"/>
    <s v="Delivered by Post"/>
    <x v="1"/>
    <x v="0"/>
    <x v="1"/>
  </r>
  <r>
    <s v="T1688"/>
    <x v="39"/>
    <n v="1"/>
    <x v="1"/>
    <x v="3"/>
    <d v="2025-01-23T00:00:00"/>
    <n v="8471.39"/>
    <n v="4681.1953999999978"/>
    <s v="DEV7613"/>
    <x v="2"/>
    <x v="2"/>
    <x v="4"/>
    <s v="Norway"/>
    <s v="Romania"/>
    <s v="Delivered by Post"/>
    <x v="1"/>
    <x v="1"/>
    <x v="0"/>
  </r>
  <r>
    <s v="T1888"/>
    <x v="39"/>
    <n v="1"/>
    <x v="1"/>
    <x v="0"/>
    <d v="2025-08-26T00:00:00"/>
    <n v="2739.5"/>
    <n v="4681.1953999999978"/>
    <s v="DEV6798"/>
    <x v="0"/>
    <x v="1"/>
    <x v="1"/>
    <s v="Turkmenistan"/>
    <s v="Canada"/>
    <s v="Delivered by Post"/>
    <x v="0"/>
    <x v="0"/>
    <x v="0"/>
  </r>
  <r>
    <s v="T2037"/>
    <x v="39"/>
    <n v="1"/>
    <x v="0"/>
    <x v="0"/>
    <d v="2025-10-24T00:00:00"/>
    <n v="2042.89"/>
    <n v="4681.1953999999978"/>
    <s v="DEV5233"/>
    <x v="3"/>
    <x v="0"/>
    <x v="4"/>
    <s v="Canada"/>
    <s v="New Zealand"/>
    <s v="Delivered by Post"/>
    <x v="0"/>
    <x v="0"/>
    <x v="0"/>
  </r>
  <r>
    <s v="T2130"/>
    <x v="39"/>
    <n v="1"/>
    <x v="1"/>
    <x v="2"/>
    <d v="2025-06-29T00:00:00"/>
    <n v="8036.93"/>
    <n v="4681.1953999999978"/>
    <s v="DEV9833"/>
    <x v="2"/>
    <x v="0"/>
    <x v="0"/>
    <s v="Comoros"/>
    <s v="Canada"/>
    <s v="Delivered by Post"/>
    <x v="1"/>
    <x v="0"/>
    <x v="0"/>
  </r>
  <r>
    <s v="T2142"/>
    <x v="39"/>
    <n v="1"/>
    <x v="0"/>
    <x v="1"/>
    <d v="2025-09-26T00:00:00"/>
    <n v="4431.13"/>
    <n v="4681.1953999999978"/>
    <s v="DEV8340"/>
    <x v="1"/>
    <x v="3"/>
    <x v="4"/>
    <s v="Comoros"/>
    <s v="New Zealand"/>
    <s v="Delivered by Post"/>
    <x v="0"/>
    <x v="1"/>
    <x v="0"/>
  </r>
  <r>
    <s v="T2178"/>
    <x v="39"/>
    <n v="1"/>
    <x v="1"/>
    <x v="1"/>
    <d v="2025-01-29T00:00:00"/>
    <n v="8583.99"/>
    <n v="4681.1953999999978"/>
    <s v="DEV6026"/>
    <x v="1"/>
    <x v="0"/>
    <x v="2"/>
    <s v="Bhutan"/>
    <s v="Zimbabwe"/>
    <s v="Delivered by Post"/>
    <x v="1"/>
    <x v="0"/>
    <x v="0"/>
  </r>
  <r>
    <s v="T2210"/>
    <x v="39"/>
    <n v="1"/>
    <x v="0"/>
    <x v="3"/>
    <d v="2025-12-06T00:00:00"/>
    <n v="5437.9"/>
    <n v="4681.1953999999978"/>
    <s v="DEV8796"/>
    <x v="4"/>
    <x v="1"/>
    <x v="4"/>
    <s v="Bhutan"/>
    <s v="New Zealand"/>
    <s v="Delivered by Post"/>
    <x v="1"/>
    <x v="0"/>
    <x v="1"/>
  </r>
  <r>
    <s v="T2270"/>
    <x v="39"/>
    <n v="1"/>
    <x v="0"/>
    <x v="0"/>
    <d v="2025-05-18T00:00:00"/>
    <n v="1418.02"/>
    <n v="4681.1953999999978"/>
    <s v="DEV7800"/>
    <x v="3"/>
    <x v="1"/>
    <x v="1"/>
    <s v="Canada"/>
    <s v="Zimbabwe"/>
    <s v="Delivered by Post"/>
    <x v="0"/>
    <x v="0"/>
    <x v="0"/>
  </r>
  <r>
    <s v="T2363"/>
    <x v="39"/>
    <n v="1"/>
    <x v="1"/>
    <x v="2"/>
    <d v="2025-04-27T00:00:00"/>
    <n v="3228.78"/>
    <n v="4681.1953999999978"/>
    <s v="DEV8460"/>
    <x v="2"/>
    <x v="2"/>
    <x v="5"/>
    <s v="New Zealand"/>
    <s v="Comoros"/>
    <s v="Delivered by Post"/>
    <x v="0"/>
    <x v="1"/>
    <x v="0"/>
  </r>
  <r>
    <s v="T2464"/>
    <x v="39"/>
    <n v="1"/>
    <x v="1"/>
    <x v="1"/>
    <d v="2025-12-06T00:00:00"/>
    <n v="3482.49"/>
    <n v="4681.1953999999978"/>
    <s v="DEV3349"/>
    <x v="1"/>
    <x v="1"/>
    <x v="3"/>
    <s v="Turkmenistan"/>
    <s v="Turkmenistan"/>
    <s v="Picked Up"/>
    <x v="0"/>
    <x v="1"/>
    <x v="0"/>
  </r>
  <r>
    <s v="T2476"/>
    <x v="39"/>
    <n v="1"/>
    <x v="1"/>
    <x v="3"/>
    <d v="2025-01-19T00:00:00"/>
    <n v="1195.76"/>
    <n v="4681.1953999999978"/>
    <s v="DEV1494"/>
    <x v="1"/>
    <x v="2"/>
    <x v="3"/>
    <s v="Romania"/>
    <s v="Norway"/>
    <s v="Picked Up"/>
    <x v="0"/>
    <x v="1"/>
    <x v="0"/>
  </r>
  <r>
    <s v="T2573"/>
    <x v="39"/>
    <n v="1"/>
    <x v="1"/>
    <x v="1"/>
    <d v="2025-05-05T00:00:00"/>
    <n v="9608.77"/>
    <n v="4681.1953999999978"/>
    <s v="DEV3078"/>
    <x v="1"/>
    <x v="0"/>
    <x v="5"/>
    <s v="Zimbabwe"/>
    <s v="Norway"/>
    <s v="Delivered by Post"/>
    <x v="1"/>
    <x v="0"/>
    <x v="0"/>
  </r>
  <r>
    <s v="T2611"/>
    <x v="39"/>
    <n v="1"/>
    <x v="1"/>
    <x v="2"/>
    <d v="2025-02-10T00:00:00"/>
    <n v="2629.87"/>
    <n v="4681.1953999999978"/>
    <s v="DEV6793"/>
    <x v="3"/>
    <x v="3"/>
    <x v="4"/>
    <s v="France"/>
    <s v="New Zealand"/>
    <s v="Picked Up"/>
    <x v="0"/>
    <x v="1"/>
    <x v="0"/>
  </r>
  <r>
    <s v="T2709"/>
    <x v="39"/>
    <n v="1"/>
    <x v="0"/>
    <x v="0"/>
    <d v="2025-01-01T00:00:00"/>
    <n v="1969.87"/>
    <n v="4681.1953999999978"/>
    <s v="DEV9594"/>
    <x v="1"/>
    <x v="1"/>
    <x v="5"/>
    <s v="Zimbabwe"/>
    <s v="Romania"/>
    <s v="Picked Up"/>
    <x v="0"/>
    <x v="0"/>
    <x v="0"/>
  </r>
  <r>
    <s v="T2713"/>
    <x v="39"/>
    <n v="1"/>
    <x v="0"/>
    <x v="3"/>
    <d v="2025-01-03T00:00:00"/>
    <n v="7106.49"/>
    <n v="4681.1953999999978"/>
    <s v="DEV2365"/>
    <x v="0"/>
    <x v="2"/>
    <x v="3"/>
    <s v="France"/>
    <s v="Romania"/>
    <s v="Delivered by Post"/>
    <x v="1"/>
    <x v="1"/>
    <x v="0"/>
  </r>
  <r>
    <s v="T2755"/>
    <x v="39"/>
    <n v="1"/>
    <x v="1"/>
    <x v="1"/>
    <d v="2025-12-05T00:00:00"/>
    <n v="1967.42"/>
    <n v="4681.1953999999978"/>
    <s v="DEV3297"/>
    <x v="1"/>
    <x v="3"/>
    <x v="1"/>
    <s v="France"/>
    <s v="Romania"/>
    <s v="Picked Up"/>
    <x v="0"/>
    <x v="1"/>
    <x v="0"/>
  </r>
  <r>
    <s v="T2797"/>
    <x v="39"/>
    <n v="1"/>
    <x v="0"/>
    <x v="0"/>
    <d v="2025-08-11T00:00:00"/>
    <n v="344.08"/>
    <n v="4681.1953999999978"/>
    <s v="DEV5636"/>
    <x v="1"/>
    <x v="1"/>
    <x v="1"/>
    <s v="Canada"/>
    <s v="Norway"/>
    <s v="Delivered by Post"/>
    <x v="0"/>
    <x v="0"/>
    <x v="0"/>
  </r>
  <r>
    <s v="T0001"/>
    <x v="40"/>
    <n v="1"/>
    <x v="1"/>
    <x v="0"/>
    <d v="2025-08-21T05:02:00"/>
    <n v="3908.34"/>
    <n v="4968.4877358490576"/>
    <s v="DEV3843"/>
    <x v="3"/>
    <x v="3"/>
    <x v="0"/>
    <s v="Gambia"/>
    <s v="Saint Lucia"/>
    <s v="Picked Up"/>
    <x v="0"/>
    <x v="1"/>
    <x v="0"/>
  </r>
  <r>
    <s v="T0101"/>
    <x v="40"/>
    <n v="1"/>
    <x v="0"/>
    <x v="1"/>
    <d v="2025-03-13T00:00:00"/>
    <n v="1157.74"/>
    <n v="4968.4877358490576"/>
    <s v="DEV2679"/>
    <x v="2"/>
    <x v="0"/>
    <x v="5"/>
    <s v="Bhutan"/>
    <s v="Canada"/>
    <s v="Picked Up"/>
    <x v="0"/>
    <x v="0"/>
    <x v="0"/>
  </r>
  <r>
    <s v="T0138"/>
    <x v="40"/>
    <n v="1"/>
    <x v="1"/>
    <x v="1"/>
    <d v="2025-05-20T00:00:00"/>
    <n v="2430.5"/>
    <n v="4968.4877358490576"/>
    <s v="DEV6238"/>
    <x v="2"/>
    <x v="0"/>
    <x v="0"/>
    <s v="Norway"/>
    <s v="Romania"/>
    <s v="Delivered by Post"/>
    <x v="0"/>
    <x v="0"/>
    <x v="0"/>
  </r>
  <r>
    <s v="T0164"/>
    <x v="40"/>
    <n v="1"/>
    <x v="0"/>
    <x v="3"/>
    <d v="2025-10-10T00:00:00"/>
    <n v="6108.27"/>
    <n v="4968.4877358490576"/>
    <s v="DEV7684"/>
    <x v="1"/>
    <x v="2"/>
    <x v="2"/>
    <s v="Comoros"/>
    <s v="Zimbabwe"/>
    <s v="Picked Up"/>
    <x v="1"/>
    <x v="1"/>
    <x v="0"/>
  </r>
  <r>
    <s v="T0176"/>
    <x v="40"/>
    <n v="1"/>
    <x v="1"/>
    <x v="0"/>
    <d v="2025-10-24T00:00:00"/>
    <n v="6481.09"/>
    <n v="4968.4877358490576"/>
    <s v="DEV3153"/>
    <x v="1"/>
    <x v="3"/>
    <x v="1"/>
    <s v="Bhutan"/>
    <s v="Norway"/>
    <s v="Picked Up"/>
    <x v="1"/>
    <x v="1"/>
    <x v="0"/>
  </r>
  <r>
    <s v="T0179"/>
    <x v="40"/>
    <n v="1"/>
    <x v="0"/>
    <x v="2"/>
    <d v="2025-01-13T00:00:00"/>
    <n v="9405.9"/>
    <n v="4968.4877358490576"/>
    <s v="DEV6374"/>
    <x v="2"/>
    <x v="2"/>
    <x v="3"/>
    <s v="Zimbabwe"/>
    <s v="Comoros"/>
    <s v="Delivered by Post"/>
    <x v="1"/>
    <x v="1"/>
    <x v="0"/>
  </r>
  <r>
    <s v="T0219"/>
    <x v="40"/>
    <n v="1"/>
    <x v="1"/>
    <x v="0"/>
    <d v="2025-05-31T00:00:00"/>
    <n v="1863.67"/>
    <n v="4968.4877358490576"/>
    <s v="DEV1717"/>
    <x v="3"/>
    <x v="0"/>
    <x v="1"/>
    <s v="France"/>
    <s v="Turkmenistan"/>
    <s v="Delivered by Post"/>
    <x v="0"/>
    <x v="0"/>
    <x v="0"/>
  </r>
  <r>
    <s v="T0281"/>
    <x v="40"/>
    <n v="1"/>
    <x v="1"/>
    <x v="1"/>
    <d v="2025-07-02T00:00:00"/>
    <n v="2769.6"/>
    <n v="4968.4877358490576"/>
    <s v="DEV7150"/>
    <x v="0"/>
    <x v="2"/>
    <x v="3"/>
    <s v="Bhutan"/>
    <s v="Zimbabwe"/>
    <s v="Delivered by Post"/>
    <x v="0"/>
    <x v="1"/>
    <x v="0"/>
  </r>
  <r>
    <s v="T0372"/>
    <x v="40"/>
    <n v="1"/>
    <x v="1"/>
    <x v="2"/>
    <d v="2025-01-03T00:00:00"/>
    <n v="4322.63"/>
    <n v="4968.4877358490576"/>
    <s v="DEV9745"/>
    <x v="3"/>
    <x v="3"/>
    <x v="2"/>
    <s v="New Zealand"/>
    <s v="Turkmenistan"/>
    <s v="Picked Up"/>
    <x v="0"/>
    <x v="1"/>
    <x v="0"/>
  </r>
  <r>
    <s v="T0423"/>
    <x v="40"/>
    <n v="1"/>
    <x v="0"/>
    <x v="0"/>
    <d v="2025-03-27T00:00:00"/>
    <n v="5150.8"/>
    <n v="4968.4877358490576"/>
    <s v="DEV3949"/>
    <x v="2"/>
    <x v="1"/>
    <x v="5"/>
    <s v="Canada"/>
    <s v="France"/>
    <s v="Picked Up"/>
    <x v="1"/>
    <x v="0"/>
    <x v="0"/>
  </r>
  <r>
    <s v="T0509"/>
    <x v="40"/>
    <n v="1"/>
    <x v="0"/>
    <x v="2"/>
    <d v="2025-07-31T00:00:00"/>
    <n v="7977.49"/>
    <n v="4968.4877358490576"/>
    <s v="DEV6468"/>
    <x v="4"/>
    <x v="2"/>
    <x v="2"/>
    <s v="Romania"/>
    <s v="France"/>
    <s v="Delivered by Post"/>
    <x v="1"/>
    <x v="1"/>
    <x v="1"/>
  </r>
  <r>
    <s v="T0535"/>
    <x v="40"/>
    <n v="1"/>
    <x v="0"/>
    <x v="3"/>
    <d v="2025-11-16T00:00:00"/>
    <n v="4757.95"/>
    <n v="4968.4877358490576"/>
    <s v="DEV5699"/>
    <x v="0"/>
    <x v="0"/>
    <x v="0"/>
    <s v="Turkmenistan"/>
    <s v="Zimbabwe"/>
    <s v="Delivered by Post"/>
    <x v="0"/>
    <x v="0"/>
    <x v="0"/>
  </r>
  <r>
    <s v="T0549"/>
    <x v="40"/>
    <n v="1"/>
    <x v="1"/>
    <x v="3"/>
    <d v="2025-02-11T00:00:00"/>
    <n v="9970.31"/>
    <n v="4968.4877358490576"/>
    <s v="DEV5750"/>
    <x v="3"/>
    <x v="2"/>
    <x v="5"/>
    <s v="Canada"/>
    <s v="Bhutan"/>
    <s v="Picked Up"/>
    <x v="1"/>
    <x v="1"/>
    <x v="0"/>
  </r>
  <r>
    <s v="T0614"/>
    <x v="40"/>
    <n v="1"/>
    <x v="0"/>
    <x v="3"/>
    <d v="2025-05-16T00:00:00"/>
    <n v="8480.9699999999993"/>
    <n v="4968.4877358490576"/>
    <s v="DEV5871"/>
    <x v="2"/>
    <x v="1"/>
    <x v="0"/>
    <s v="Zimbabwe"/>
    <s v="Zimbabwe"/>
    <s v="Delivered by Post"/>
    <x v="1"/>
    <x v="1"/>
    <x v="0"/>
  </r>
  <r>
    <s v="T0618"/>
    <x v="40"/>
    <n v="1"/>
    <x v="1"/>
    <x v="1"/>
    <d v="2025-05-12T00:00:00"/>
    <n v="2075.4"/>
    <n v="4968.4877358490576"/>
    <s v="DEV4868"/>
    <x v="0"/>
    <x v="2"/>
    <x v="2"/>
    <s v="Norway"/>
    <s v="Romania"/>
    <s v="Picked Up"/>
    <x v="0"/>
    <x v="1"/>
    <x v="0"/>
  </r>
  <r>
    <s v="T0671"/>
    <x v="40"/>
    <n v="1"/>
    <x v="0"/>
    <x v="2"/>
    <d v="2025-06-02T00:00:00"/>
    <n v="5099.62"/>
    <n v="4968.4877358490576"/>
    <s v="DEV1085"/>
    <x v="0"/>
    <x v="3"/>
    <x v="0"/>
    <s v="Turkmenistan"/>
    <s v="Romania"/>
    <s v="Delivered by Post"/>
    <x v="1"/>
    <x v="1"/>
    <x v="0"/>
  </r>
  <r>
    <s v="T0704"/>
    <x v="40"/>
    <n v="1"/>
    <x v="1"/>
    <x v="2"/>
    <d v="2025-04-06T00:00:00"/>
    <n v="5113.54"/>
    <n v="4968.4877358490576"/>
    <s v="DEV3255"/>
    <x v="1"/>
    <x v="0"/>
    <x v="0"/>
    <s v="France"/>
    <s v="Bhutan"/>
    <s v="Delivered by Post"/>
    <x v="1"/>
    <x v="0"/>
    <x v="0"/>
  </r>
  <r>
    <s v="T0708"/>
    <x v="40"/>
    <n v="1"/>
    <x v="0"/>
    <x v="1"/>
    <d v="2025-09-04T00:00:00"/>
    <n v="2269.1"/>
    <n v="4968.4877358490576"/>
    <s v="DEV6431"/>
    <x v="0"/>
    <x v="2"/>
    <x v="4"/>
    <s v="Norway"/>
    <s v="Canada"/>
    <s v="Delivered by Post"/>
    <x v="0"/>
    <x v="1"/>
    <x v="0"/>
  </r>
  <r>
    <s v="T0791"/>
    <x v="40"/>
    <n v="1"/>
    <x v="0"/>
    <x v="1"/>
    <d v="2025-10-22T00:00:00"/>
    <n v="840.77"/>
    <n v="4968.4877358490576"/>
    <s v="DEV2385"/>
    <x v="4"/>
    <x v="1"/>
    <x v="2"/>
    <s v="Bhutan"/>
    <s v="Turkmenistan"/>
    <s v="Picked Up"/>
    <x v="0"/>
    <x v="0"/>
    <x v="1"/>
  </r>
  <r>
    <s v="T0810"/>
    <x v="40"/>
    <n v="1"/>
    <x v="0"/>
    <x v="2"/>
    <d v="2025-08-03T00:00:00"/>
    <n v="7187.39"/>
    <n v="4968.4877358490576"/>
    <s v="DEV9255"/>
    <x v="1"/>
    <x v="2"/>
    <x v="5"/>
    <s v="France"/>
    <s v="Norway"/>
    <s v="Delivered by Post"/>
    <x v="1"/>
    <x v="1"/>
    <x v="0"/>
  </r>
  <r>
    <s v="T0917"/>
    <x v="40"/>
    <n v="1"/>
    <x v="1"/>
    <x v="2"/>
    <d v="2025-08-13T00:00:00"/>
    <n v="5759.11"/>
    <n v="4968.4877358490576"/>
    <s v="DEV5687"/>
    <x v="3"/>
    <x v="2"/>
    <x v="3"/>
    <s v="Norway"/>
    <s v="Bhutan"/>
    <s v="Picked Up"/>
    <x v="1"/>
    <x v="1"/>
    <x v="0"/>
  </r>
  <r>
    <s v="T1021"/>
    <x v="40"/>
    <n v="1"/>
    <x v="0"/>
    <x v="1"/>
    <d v="2025-09-29T00:00:00"/>
    <n v="4891.0600000000004"/>
    <n v="4968.4877358490576"/>
    <s v="DEV5981"/>
    <x v="4"/>
    <x v="3"/>
    <x v="4"/>
    <s v="Comoros"/>
    <s v="Canada"/>
    <s v="Picked Up"/>
    <x v="0"/>
    <x v="1"/>
    <x v="1"/>
  </r>
  <r>
    <s v="T1160"/>
    <x v="40"/>
    <n v="1"/>
    <x v="0"/>
    <x v="1"/>
    <d v="2025-09-08T00:00:00"/>
    <n v="5744.14"/>
    <n v="4968.4877358490576"/>
    <s v="DEV8696"/>
    <x v="1"/>
    <x v="3"/>
    <x v="5"/>
    <s v="Zimbabwe"/>
    <s v="Bhutan"/>
    <s v="Picked Up"/>
    <x v="1"/>
    <x v="1"/>
    <x v="0"/>
  </r>
  <r>
    <s v="T1357"/>
    <x v="40"/>
    <n v="1"/>
    <x v="0"/>
    <x v="2"/>
    <d v="2025-12-14T00:00:00"/>
    <n v="3525.57"/>
    <n v="4968.4877358490576"/>
    <s v="DEV6997"/>
    <x v="1"/>
    <x v="3"/>
    <x v="5"/>
    <s v="Comoros"/>
    <s v="Zimbabwe"/>
    <s v="Delivered by Post"/>
    <x v="0"/>
    <x v="1"/>
    <x v="0"/>
  </r>
  <r>
    <s v="T1370"/>
    <x v="40"/>
    <n v="1"/>
    <x v="0"/>
    <x v="0"/>
    <d v="2025-09-04T00:00:00"/>
    <n v="6250.64"/>
    <n v="4968.4877358490576"/>
    <s v="DEV8933"/>
    <x v="3"/>
    <x v="0"/>
    <x v="0"/>
    <s v="Turkmenistan"/>
    <s v="New Zealand"/>
    <s v="Picked Up"/>
    <x v="1"/>
    <x v="0"/>
    <x v="0"/>
  </r>
  <r>
    <s v="T1480"/>
    <x v="40"/>
    <n v="1"/>
    <x v="1"/>
    <x v="2"/>
    <d v="2025-05-21T00:00:00"/>
    <n v="4023.02"/>
    <n v="4968.4877358490576"/>
    <s v="DEV8526"/>
    <x v="3"/>
    <x v="2"/>
    <x v="0"/>
    <s v="France"/>
    <s v="Comoros"/>
    <s v="Picked Up"/>
    <x v="0"/>
    <x v="1"/>
    <x v="0"/>
  </r>
  <r>
    <s v="T1505"/>
    <x v="40"/>
    <n v="1"/>
    <x v="0"/>
    <x v="1"/>
    <d v="2025-04-24T00:00:00"/>
    <n v="1908.36"/>
    <n v="4968.4877358490576"/>
    <s v="DEV6423"/>
    <x v="1"/>
    <x v="0"/>
    <x v="2"/>
    <s v="Canada"/>
    <s v="Canada"/>
    <s v="Delivered by Post"/>
    <x v="0"/>
    <x v="1"/>
    <x v="0"/>
  </r>
  <r>
    <s v="T1527"/>
    <x v="40"/>
    <n v="1"/>
    <x v="0"/>
    <x v="2"/>
    <d v="2025-05-15T00:00:00"/>
    <n v="2439.02"/>
    <n v="4968.4877358490576"/>
    <s v="DEV4293"/>
    <x v="2"/>
    <x v="3"/>
    <x v="0"/>
    <s v="Norway"/>
    <s v="France"/>
    <s v="Delivered by Post"/>
    <x v="0"/>
    <x v="1"/>
    <x v="0"/>
  </r>
  <r>
    <s v="T1604"/>
    <x v="40"/>
    <n v="1"/>
    <x v="1"/>
    <x v="3"/>
    <d v="2025-07-18T00:00:00"/>
    <n v="5267.95"/>
    <n v="4968.4877358490576"/>
    <s v="DEV7581"/>
    <x v="4"/>
    <x v="1"/>
    <x v="3"/>
    <s v="France"/>
    <s v="Zimbabwe"/>
    <s v="Delivered by Post"/>
    <x v="1"/>
    <x v="0"/>
    <x v="1"/>
  </r>
  <r>
    <s v="T1635"/>
    <x v="40"/>
    <n v="1"/>
    <x v="1"/>
    <x v="3"/>
    <d v="2025-10-02T00:00:00"/>
    <n v="9700.61"/>
    <n v="4968.4877358490576"/>
    <s v="DEV9938"/>
    <x v="3"/>
    <x v="3"/>
    <x v="5"/>
    <s v="New Zealand"/>
    <s v="New Zealand"/>
    <s v="Delivered by Post"/>
    <x v="1"/>
    <x v="1"/>
    <x v="0"/>
  </r>
  <r>
    <s v="T1702"/>
    <x v="40"/>
    <n v="1"/>
    <x v="0"/>
    <x v="3"/>
    <d v="2025-12-07T00:00:00"/>
    <n v="9746.7999999999993"/>
    <n v="4968.4877358490576"/>
    <s v="DEV2874"/>
    <x v="1"/>
    <x v="0"/>
    <x v="4"/>
    <s v="Norway"/>
    <s v="Romania"/>
    <s v="Picked Up"/>
    <x v="1"/>
    <x v="0"/>
    <x v="0"/>
  </r>
  <r>
    <s v="T1706"/>
    <x v="40"/>
    <n v="1"/>
    <x v="0"/>
    <x v="0"/>
    <d v="2025-11-15T00:00:00"/>
    <n v="3033.47"/>
    <n v="4968.4877358490576"/>
    <s v="DEV6454"/>
    <x v="3"/>
    <x v="0"/>
    <x v="1"/>
    <s v="Comoros"/>
    <s v="Romania"/>
    <s v="Delivered by Post"/>
    <x v="0"/>
    <x v="0"/>
    <x v="0"/>
  </r>
  <r>
    <s v="T1712"/>
    <x v="40"/>
    <n v="1"/>
    <x v="1"/>
    <x v="1"/>
    <d v="2025-07-02T00:00:00"/>
    <n v="4356.6000000000004"/>
    <n v="4968.4877358490576"/>
    <s v="DEV3819"/>
    <x v="1"/>
    <x v="1"/>
    <x v="3"/>
    <s v="France"/>
    <s v="France"/>
    <s v="Picked Up"/>
    <x v="0"/>
    <x v="1"/>
    <x v="0"/>
  </r>
  <r>
    <s v="T1770"/>
    <x v="40"/>
    <n v="1"/>
    <x v="0"/>
    <x v="1"/>
    <d v="2025-06-14T00:00:00"/>
    <n v="5059.3900000000003"/>
    <n v="4968.4877358490576"/>
    <s v="DEV8163"/>
    <x v="0"/>
    <x v="2"/>
    <x v="4"/>
    <s v="Norway"/>
    <s v="Canada"/>
    <s v="Delivered by Post"/>
    <x v="1"/>
    <x v="1"/>
    <x v="0"/>
  </r>
  <r>
    <s v="T1809"/>
    <x v="40"/>
    <n v="1"/>
    <x v="1"/>
    <x v="1"/>
    <d v="2025-12-11T00:00:00"/>
    <n v="7586.23"/>
    <n v="4968.4877358490576"/>
    <s v="DEV5597"/>
    <x v="4"/>
    <x v="2"/>
    <x v="1"/>
    <s v="Bhutan"/>
    <s v="Norway"/>
    <s v="Delivered by Post"/>
    <x v="1"/>
    <x v="1"/>
    <x v="1"/>
  </r>
  <r>
    <s v="T1869"/>
    <x v="40"/>
    <n v="1"/>
    <x v="0"/>
    <x v="1"/>
    <d v="2025-09-11T00:00:00"/>
    <n v="4755.5200000000004"/>
    <n v="4968.4877358490576"/>
    <s v="DEV1303"/>
    <x v="0"/>
    <x v="1"/>
    <x v="1"/>
    <s v="Turkmenistan"/>
    <s v="Norway"/>
    <s v="Delivered by Post"/>
    <x v="0"/>
    <x v="0"/>
    <x v="0"/>
  </r>
  <r>
    <s v="T1933"/>
    <x v="40"/>
    <n v="1"/>
    <x v="1"/>
    <x v="0"/>
    <d v="2025-10-08T00:00:00"/>
    <n v="1083.6500000000001"/>
    <n v="4968.4877358490576"/>
    <s v="DEV2594"/>
    <x v="1"/>
    <x v="1"/>
    <x v="3"/>
    <s v="Turkmenistan"/>
    <s v="New Zealand"/>
    <s v="Delivered by Post"/>
    <x v="0"/>
    <x v="0"/>
    <x v="0"/>
  </r>
  <r>
    <s v="T1943"/>
    <x v="40"/>
    <n v="1"/>
    <x v="1"/>
    <x v="3"/>
    <d v="2025-04-01T00:00:00"/>
    <n v="9053.86"/>
    <n v="4968.4877358490576"/>
    <s v="DEV8731"/>
    <x v="3"/>
    <x v="3"/>
    <x v="4"/>
    <s v="Zimbabwe"/>
    <s v="New Zealand"/>
    <s v="Picked Up"/>
    <x v="1"/>
    <x v="1"/>
    <x v="0"/>
  </r>
  <r>
    <s v="T1977"/>
    <x v="40"/>
    <n v="1"/>
    <x v="1"/>
    <x v="0"/>
    <d v="2025-11-03T00:00:00"/>
    <n v="7017.08"/>
    <n v="4968.4877358490576"/>
    <s v="DEV9588"/>
    <x v="3"/>
    <x v="0"/>
    <x v="0"/>
    <s v="Turkmenistan"/>
    <s v="Canada"/>
    <s v="Picked Up"/>
    <x v="1"/>
    <x v="0"/>
    <x v="0"/>
  </r>
  <r>
    <s v="T1986"/>
    <x v="40"/>
    <n v="1"/>
    <x v="1"/>
    <x v="3"/>
    <d v="2025-08-24T00:00:00"/>
    <n v="6148.05"/>
    <n v="4968.4877358490576"/>
    <s v="DEV3954"/>
    <x v="4"/>
    <x v="0"/>
    <x v="5"/>
    <s v="France"/>
    <s v="Norway"/>
    <s v="Picked Up"/>
    <x v="1"/>
    <x v="0"/>
    <x v="1"/>
  </r>
  <r>
    <s v="T2242"/>
    <x v="40"/>
    <n v="1"/>
    <x v="1"/>
    <x v="1"/>
    <d v="2025-07-25T00:00:00"/>
    <n v="9018.2199999999993"/>
    <n v="4968.4877358490576"/>
    <s v="DEV3303"/>
    <x v="3"/>
    <x v="0"/>
    <x v="4"/>
    <s v="Canada"/>
    <s v="Turkmenistan"/>
    <s v="Delivered by Post"/>
    <x v="1"/>
    <x v="0"/>
    <x v="0"/>
  </r>
  <r>
    <s v="T2250"/>
    <x v="40"/>
    <n v="1"/>
    <x v="0"/>
    <x v="1"/>
    <d v="2025-04-26T00:00:00"/>
    <n v="7637.46"/>
    <n v="4968.4877358490576"/>
    <s v="DEV5328"/>
    <x v="2"/>
    <x v="1"/>
    <x v="3"/>
    <s v="Comoros"/>
    <s v="New Zealand"/>
    <s v="Delivered by Post"/>
    <x v="1"/>
    <x v="0"/>
    <x v="0"/>
  </r>
  <r>
    <s v="T2281"/>
    <x v="40"/>
    <n v="1"/>
    <x v="1"/>
    <x v="3"/>
    <d v="2025-11-15T00:00:00"/>
    <n v="3091.88"/>
    <n v="4968.4877358490576"/>
    <s v="DEV9501"/>
    <x v="0"/>
    <x v="2"/>
    <x v="5"/>
    <s v="Bhutan"/>
    <s v="New Zealand"/>
    <s v="Delivered by Post"/>
    <x v="0"/>
    <x v="1"/>
    <x v="0"/>
  </r>
  <r>
    <s v="T2312"/>
    <x v="40"/>
    <n v="1"/>
    <x v="0"/>
    <x v="0"/>
    <d v="2025-01-17T00:00:00"/>
    <n v="6575.42"/>
    <n v="4968.4877358490576"/>
    <s v="DEV6726"/>
    <x v="2"/>
    <x v="3"/>
    <x v="4"/>
    <s v="New Zealand"/>
    <s v="Romania"/>
    <s v="Picked Up"/>
    <x v="1"/>
    <x v="1"/>
    <x v="0"/>
  </r>
  <r>
    <s v="T2367"/>
    <x v="40"/>
    <n v="1"/>
    <x v="0"/>
    <x v="2"/>
    <d v="2025-04-25T00:00:00"/>
    <n v="2564.8200000000002"/>
    <n v="4968.4877358490576"/>
    <s v="DEV2812"/>
    <x v="1"/>
    <x v="1"/>
    <x v="3"/>
    <s v="Turkmenistan"/>
    <s v="Turkmenistan"/>
    <s v="Picked Up"/>
    <x v="0"/>
    <x v="1"/>
    <x v="0"/>
  </r>
  <r>
    <s v="T2373"/>
    <x v="40"/>
    <n v="1"/>
    <x v="1"/>
    <x v="1"/>
    <d v="2025-10-22T00:00:00"/>
    <n v="2782.85"/>
    <n v="4968.4877358490576"/>
    <s v="DEV8122"/>
    <x v="2"/>
    <x v="2"/>
    <x v="5"/>
    <s v="Canada"/>
    <s v="Zimbabwe"/>
    <s v="Delivered by Post"/>
    <x v="0"/>
    <x v="1"/>
    <x v="0"/>
  </r>
  <r>
    <s v="T2504"/>
    <x v="40"/>
    <n v="1"/>
    <x v="1"/>
    <x v="3"/>
    <d v="2025-07-27T00:00:00"/>
    <n v="2172.0100000000002"/>
    <n v="4968.4877358490576"/>
    <s v="DEV9059"/>
    <x v="2"/>
    <x v="0"/>
    <x v="3"/>
    <s v="Romania"/>
    <s v="Canada"/>
    <s v="Picked Up"/>
    <x v="0"/>
    <x v="0"/>
    <x v="0"/>
  </r>
  <r>
    <s v="T2572"/>
    <x v="40"/>
    <n v="1"/>
    <x v="0"/>
    <x v="3"/>
    <d v="2025-04-12T00:00:00"/>
    <n v="3631.81"/>
    <n v="4968.4877358490576"/>
    <s v="DEV4087"/>
    <x v="1"/>
    <x v="3"/>
    <x v="1"/>
    <s v="Bhutan"/>
    <s v="Canada"/>
    <s v="Delivered by Post"/>
    <x v="0"/>
    <x v="1"/>
    <x v="0"/>
  </r>
  <r>
    <s v="T2587"/>
    <x v="40"/>
    <n v="1"/>
    <x v="0"/>
    <x v="2"/>
    <d v="2025-09-20T00:00:00"/>
    <n v="734.75"/>
    <n v="4968.4877358490576"/>
    <s v="DEV1879"/>
    <x v="3"/>
    <x v="0"/>
    <x v="1"/>
    <s v="Norway"/>
    <s v="Comoros"/>
    <s v="Delivered by Post"/>
    <x v="0"/>
    <x v="0"/>
    <x v="0"/>
  </r>
  <r>
    <s v="T2617"/>
    <x v="40"/>
    <n v="1"/>
    <x v="1"/>
    <x v="2"/>
    <d v="2025-08-28T00:00:00"/>
    <n v="5835.19"/>
    <n v="4968.4877358490576"/>
    <s v="DEV7996"/>
    <x v="4"/>
    <x v="1"/>
    <x v="4"/>
    <s v="Canada"/>
    <s v="Romania"/>
    <s v="Picked Up"/>
    <x v="1"/>
    <x v="0"/>
    <x v="1"/>
  </r>
  <r>
    <s v="T2696"/>
    <x v="40"/>
    <n v="1"/>
    <x v="0"/>
    <x v="1"/>
    <d v="2025-02-27T00:00:00"/>
    <n v="4755.1899999999996"/>
    <n v="4968.4877358490576"/>
    <s v="DEV9136"/>
    <x v="4"/>
    <x v="1"/>
    <x v="1"/>
    <s v="Comoros"/>
    <s v="Comoros"/>
    <s v="Picked Up"/>
    <x v="0"/>
    <x v="1"/>
    <x v="0"/>
  </r>
  <r>
    <s v="T2741"/>
    <x v="40"/>
    <n v="1"/>
    <x v="0"/>
    <x v="2"/>
    <d v="2025-02-02T00:00:00"/>
    <n v="8264.09"/>
    <n v="4968.4877358490576"/>
    <s v="DEV4769"/>
    <x v="4"/>
    <x v="3"/>
    <x v="3"/>
    <s v="Comoros"/>
    <s v="New Zealand"/>
    <s v="Picked Up"/>
    <x v="1"/>
    <x v="1"/>
    <x v="1"/>
  </r>
  <r>
    <s v="T2847"/>
    <x v="40"/>
    <n v="1"/>
    <x v="1"/>
    <x v="2"/>
    <d v="2025-09-14T00:00:00"/>
    <n v="1544.95"/>
    <n v="4968.4877358490576"/>
    <s v="DEV6228"/>
    <x v="3"/>
    <x v="1"/>
    <x v="5"/>
    <s v="Canada"/>
    <s v="Turkmenistan"/>
    <s v="Delivered by Post"/>
    <x v="0"/>
    <x v="0"/>
    <x v="0"/>
  </r>
  <r>
    <s v="T0019"/>
    <x v="41"/>
    <n v="1"/>
    <x v="3"/>
    <x v="0"/>
    <d v="2025-01-22T21:20:00"/>
    <n v="6169.94"/>
    <n v="4990.9810526315787"/>
    <s v="DEV7613"/>
    <x v="4"/>
    <x v="1"/>
    <x v="5"/>
    <s v="Maldives"/>
    <s v="Burundi"/>
    <s v="Delivered by Post"/>
    <x v="1"/>
    <x v="0"/>
    <x v="1"/>
  </r>
  <r>
    <s v="T0058"/>
    <x v="41"/>
    <n v="1"/>
    <x v="3"/>
    <x v="3"/>
    <d v="2025-01-01T16:24:00"/>
    <n v="4789"/>
    <n v="4990.9810526315787"/>
    <s v="DEV4375"/>
    <x v="3"/>
    <x v="1"/>
    <x v="3"/>
    <s v="Maldives"/>
    <s v="Uzbekistan"/>
    <s v="Delivered by Post"/>
    <x v="0"/>
    <x v="0"/>
    <x v="0"/>
  </r>
  <r>
    <s v="T0088"/>
    <x v="41"/>
    <n v="1"/>
    <x v="0"/>
    <x v="3"/>
    <d v="2025-08-29T22:34:00"/>
    <n v="9551.16"/>
    <n v="4990.9810526315787"/>
    <s v="DEV8835"/>
    <x v="4"/>
    <x v="2"/>
    <x v="5"/>
    <s v="Maldives"/>
    <s v="Saint Barthelemy"/>
    <s v="Delivered by Post"/>
    <x v="1"/>
    <x v="1"/>
    <x v="1"/>
  </r>
  <r>
    <s v="T0150"/>
    <x v="41"/>
    <n v="1"/>
    <x v="0"/>
    <x v="0"/>
    <d v="2025-05-31T00:00:00"/>
    <n v="7132.83"/>
    <n v="4990.9810526315787"/>
    <s v="DEV7625"/>
    <x v="3"/>
    <x v="3"/>
    <x v="3"/>
    <s v="New Zealand"/>
    <s v="Comoros"/>
    <s v="Delivered by Post"/>
    <x v="1"/>
    <x v="1"/>
    <x v="0"/>
  </r>
  <r>
    <s v="T0180"/>
    <x v="41"/>
    <n v="1"/>
    <x v="0"/>
    <x v="3"/>
    <d v="2025-09-10T00:00:00"/>
    <n v="4112.54"/>
    <n v="4990.9810526315787"/>
    <s v="DEV2592"/>
    <x v="3"/>
    <x v="2"/>
    <x v="4"/>
    <s v="Comoros"/>
    <s v="New Zealand"/>
    <s v="Delivered by Post"/>
    <x v="0"/>
    <x v="1"/>
    <x v="0"/>
  </r>
  <r>
    <s v="T0363"/>
    <x v="41"/>
    <n v="1"/>
    <x v="0"/>
    <x v="3"/>
    <d v="2025-11-08T00:00:00"/>
    <n v="1773.35"/>
    <n v="4990.9810526315787"/>
    <s v="DEV5511"/>
    <x v="0"/>
    <x v="1"/>
    <x v="1"/>
    <s v="Comoros"/>
    <s v="France"/>
    <s v="Picked Up"/>
    <x v="0"/>
    <x v="0"/>
    <x v="0"/>
  </r>
  <r>
    <s v="T0389"/>
    <x v="41"/>
    <n v="1"/>
    <x v="1"/>
    <x v="0"/>
    <d v="2025-04-25T00:00:00"/>
    <n v="6731.17"/>
    <n v="4990.9810526315787"/>
    <s v="DEV6439"/>
    <x v="2"/>
    <x v="1"/>
    <x v="3"/>
    <s v="New Zealand"/>
    <s v="Comoros"/>
    <s v="Picked Up"/>
    <x v="1"/>
    <x v="0"/>
    <x v="0"/>
  </r>
  <r>
    <s v="T0526"/>
    <x v="41"/>
    <n v="1"/>
    <x v="0"/>
    <x v="0"/>
    <d v="2025-03-17T00:00:00"/>
    <n v="6618.64"/>
    <n v="4990.9810526315787"/>
    <s v="DEV3444"/>
    <x v="0"/>
    <x v="3"/>
    <x v="4"/>
    <s v="Comoros"/>
    <s v="Romania"/>
    <s v="Picked Up"/>
    <x v="1"/>
    <x v="1"/>
    <x v="0"/>
  </r>
  <r>
    <s v="T0581"/>
    <x v="41"/>
    <n v="1"/>
    <x v="1"/>
    <x v="1"/>
    <d v="2025-10-17T00:00:00"/>
    <n v="7069.24"/>
    <n v="4990.9810526315787"/>
    <s v="DEV8243"/>
    <x v="4"/>
    <x v="0"/>
    <x v="3"/>
    <s v="Comoros"/>
    <s v="Canada"/>
    <s v="Picked Up"/>
    <x v="1"/>
    <x v="0"/>
    <x v="1"/>
  </r>
  <r>
    <s v="T0703"/>
    <x v="41"/>
    <n v="1"/>
    <x v="1"/>
    <x v="3"/>
    <d v="2025-10-28T00:00:00"/>
    <n v="9378.9699999999993"/>
    <n v="4990.9810526315787"/>
    <s v="DEV2769"/>
    <x v="1"/>
    <x v="0"/>
    <x v="5"/>
    <s v="Zimbabwe"/>
    <s v="Romania"/>
    <s v="Picked Up"/>
    <x v="1"/>
    <x v="0"/>
    <x v="0"/>
  </r>
  <r>
    <s v="T0778"/>
    <x v="41"/>
    <n v="1"/>
    <x v="0"/>
    <x v="0"/>
    <d v="2025-06-16T00:00:00"/>
    <n v="7042.23"/>
    <n v="4990.9810526315787"/>
    <s v="DEV9806"/>
    <x v="3"/>
    <x v="1"/>
    <x v="3"/>
    <s v="Canada"/>
    <s v="Bhutan"/>
    <s v="Delivered by Post"/>
    <x v="1"/>
    <x v="0"/>
    <x v="0"/>
  </r>
  <r>
    <s v="T0833"/>
    <x v="41"/>
    <n v="1"/>
    <x v="0"/>
    <x v="0"/>
    <d v="2025-11-25T00:00:00"/>
    <n v="6967.71"/>
    <n v="4990.9810526315787"/>
    <s v="DEV3843"/>
    <x v="2"/>
    <x v="2"/>
    <x v="2"/>
    <s v="Bhutan"/>
    <s v="Bhutan"/>
    <s v="Delivered by Post"/>
    <x v="1"/>
    <x v="1"/>
    <x v="0"/>
  </r>
  <r>
    <s v="T0876"/>
    <x v="41"/>
    <n v="1"/>
    <x v="0"/>
    <x v="2"/>
    <d v="2025-05-26T00:00:00"/>
    <n v="7843.89"/>
    <n v="4990.9810526315787"/>
    <s v="DEV7599"/>
    <x v="1"/>
    <x v="0"/>
    <x v="1"/>
    <s v="Canada"/>
    <s v="Zimbabwe"/>
    <s v="Delivered by Post"/>
    <x v="1"/>
    <x v="0"/>
    <x v="0"/>
  </r>
  <r>
    <s v="T0941"/>
    <x v="41"/>
    <n v="1"/>
    <x v="0"/>
    <x v="3"/>
    <d v="2025-11-07T00:00:00"/>
    <n v="4293.43"/>
    <n v="4990.9810526315787"/>
    <s v="DEV6488"/>
    <x v="0"/>
    <x v="3"/>
    <x v="4"/>
    <s v="France"/>
    <s v="Canada"/>
    <s v="Picked Up"/>
    <x v="0"/>
    <x v="1"/>
    <x v="0"/>
  </r>
  <r>
    <s v="T0966"/>
    <x v="41"/>
    <n v="1"/>
    <x v="0"/>
    <x v="1"/>
    <d v="2025-10-02T00:00:00"/>
    <n v="539.69000000000005"/>
    <n v="4990.9810526315787"/>
    <s v="DEV4757"/>
    <x v="4"/>
    <x v="2"/>
    <x v="1"/>
    <s v="New Zealand"/>
    <s v="Bhutan"/>
    <s v="Picked Up"/>
    <x v="0"/>
    <x v="1"/>
    <x v="1"/>
  </r>
  <r>
    <s v="T0986"/>
    <x v="41"/>
    <n v="1"/>
    <x v="1"/>
    <x v="2"/>
    <d v="2025-12-10T00:00:00"/>
    <n v="3514.4"/>
    <n v="4990.9810526315787"/>
    <s v="DEV7948"/>
    <x v="3"/>
    <x v="2"/>
    <x v="4"/>
    <s v="New Zealand"/>
    <s v="Norway"/>
    <s v="Picked Up"/>
    <x v="0"/>
    <x v="1"/>
    <x v="0"/>
  </r>
  <r>
    <s v="T0988"/>
    <x v="41"/>
    <n v="1"/>
    <x v="1"/>
    <x v="3"/>
    <d v="2025-11-17T00:00:00"/>
    <n v="4813.41"/>
    <n v="4990.9810526315787"/>
    <s v="DEV1498"/>
    <x v="0"/>
    <x v="1"/>
    <x v="4"/>
    <s v="Norway"/>
    <s v="Comoros"/>
    <s v="Picked Up"/>
    <x v="0"/>
    <x v="0"/>
    <x v="0"/>
  </r>
  <r>
    <s v="T1049"/>
    <x v="41"/>
    <n v="1"/>
    <x v="1"/>
    <x v="0"/>
    <d v="2025-12-27T00:00:00"/>
    <n v="8063.44"/>
    <n v="4990.9810526315787"/>
    <s v="DEV4417"/>
    <x v="4"/>
    <x v="3"/>
    <x v="1"/>
    <s v="Canada"/>
    <s v="New Zealand"/>
    <s v="Delivered by Post"/>
    <x v="1"/>
    <x v="1"/>
    <x v="1"/>
  </r>
  <r>
    <s v="T1058"/>
    <x v="41"/>
    <n v="1"/>
    <x v="1"/>
    <x v="2"/>
    <d v="2025-09-28T00:00:00"/>
    <n v="3337.77"/>
    <n v="4990.9810526315787"/>
    <s v="DEV8084"/>
    <x v="1"/>
    <x v="1"/>
    <x v="5"/>
    <s v="France"/>
    <s v="Canada"/>
    <s v="Delivered by Post"/>
    <x v="0"/>
    <x v="0"/>
    <x v="0"/>
  </r>
  <r>
    <s v="T1141"/>
    <x v="41"/>
    <n v="1"/>
    <x v="1"/>
    <x v="2"/>
    <d v="2025-06-22T00:00:00"/>
    <n v="2426.1"/>
    <n v="4990.9810526315787"/>
    <s v="DEV5470"/>
    <x v="0"/>
    <x v="0"/>
    <x v="1"/>
    <s v="Turkmenistan"/>
    <s v="Canada"/>
    <s v="Picked Up"/>
    <x v="0"/>
    <x v="0"/>
    <x v="0"/>
  </r>
  <r>
    <s v="T1150"/>
    <x v="41"/>
    <n v="1"/>
    <x v="1"/>
    <x v="1"/>
    <d v="2025-02-03T00:00:00"/>
    <n v="8911.0300000000007"/>
    <n v="4990.9810526315787"/>
    <s v="DEV2028"/>
    <x v="0"/>
    <x v="3"/>
    <x v="3"/>
    <s v="Canada"/>
    <s v="Bhutan"/>
    <s v="Picked Up"/>
    <x v="1"/>
    <x v="1"/>
    <x v="0"/>
  </r>
  <r>
    <s v="T1163"/>
    <x v="41"/>
    <n v="1"/>
    <x v="0"/>
    <x v="3"/>
    <d v="2025-02-01T00:00:00"/>
    <n v="1922.54"/>
    <n v="4990.9810526315787"/>
    <s v="DEV4193"/>
    <x v="2"/>
    <x v="3"/>
    <x v="0"/>
    <s v="Bhutan"/>
    <s v="Bhutan"/>
    <s v="Picked Up"/>
    <x v="0"/>
    <x v="1"/>
    <x v="0"/>
  </r>
  <r>
    <s v="T1179"/>
    <x v="41"/>
    <n v="1"/>
    <x v="1"/>
    <x v="0"/>
    <d v="2025-05-24T00:00:00"/>
    <n v="1948.32"/>
    <n v="4990.9810526315787"/>
    <s v="DEV1366"/>
    <x v="4"/>
    <x v="0"/>
    <x v="2"/>
    <s v="France"/>
    <s v="Norway"/>
    <s v="Delivered by Post"/>
    <x v="0"/>
    <x v="0"/>
    <x v="1"/>
  </r>
  <r>
    <s v="T1208"/>
    <x v="41"/>
    <n v="1"/>
    <x v="1"/>
    <x v="3"/>
    <d v="2025-06-07T00:00:00"/>
    <n v="8077.77"/>
    <n v="4990.9810526315787"/>
    <s v="DEV9379"/>
    <x v="0"/>
    <x v="1"/>
    <x v="3"/>
    <s v="Turkmenistan"/>
    <s v="Norway"/>
    <s v="Delivered by Post"/>
    <x v="1"/>
    <x v="0"/>
    <x v="0"/>
  </r>
  <r>
    <s v="T1526"/>
    <x v="41"/>
    <n v="1"/>
    <x v="0"/>
    <x v="0"/>
    <d v="2025-12-14T00:00:00"/>
    <n v="5570.31"/>
    <n v="4990.9810526315787"/>
    <s v="DEV9408"/>
    <x v="1"/>
    <x v="1"/>
    <x v="5"/>
    <s v="Zimbabwe"/>
    <s v="Bhutan"/>
    <s v="Picked Up"/>
    <x v="1"/>
    <x v="0"/>
    <x v="0"/>
  </r>
  <r>
    <s v="T1560"/>
    <x v="41"/>
    <n v="1"/>
    <x v="0"/>
    <x v="3"/>
    <d v="2025-04-14T00:00:00"/>
    <n v="5469.73"/>
    <n v="4990.9810526315787"/>
    <s v="DEV2502"/>
    <x v="0"/>
    <x v="3"/>
    <x v="1"/>
    <s v="Romania"/>
    <s v="Canada"/>
    <s v="Delivered by Post"/>
    <x v="1"/>
    <x v="1"/>
    <x v="0"/>
  </r>
  <r>
    <s v="T1699"/>
    <x v="41"/>
    <n v="1"/>
    <x v="1"/>
    <x v="0"/>
    <d v="2025-03-18T00:00:00"/>
    <n v="2263.8000000000002"/>
    <n v="4990.9810526315787"/>
    <s v="DEV3305"/>
    <x v="1"/>
    <x v="3"/>
    <x v="5"/>
    <s v="Zimbabwe"/>
    <s v="Comoros"/>
    <s v="Delivered by Post"/>
    <x v="0"/>
    <x v="1"/>
    <x v="0"/>
  </r>
  <r>
    <s v="T1728"/>
    <x v="41"/>
    <n v="1"/>
    <x v="0"/>
    <x v="3"/>
    <d v="2025-04-19T00:00:00"/>
    <n v="5250.68"/>
    <n v="4990.9810526315787"/>
    <s v="DEV2843"/>
    <x v="2"/>
    <x v="2"/>
    <x v="5"/>
    <s v="Norway"/>
    <s v="France"/>
    <s v="Delivered by Post"/>
    <x v="1"/>
    <x v="1"/>
    <x v="0"/>
  </r>
  <r>
    <s v="T1834"/>
    <x v="41"/>
    <n v="1"/>
    <x v="0"/>
    <x v="3"/>
    <d v="2025-01-06T00:00:00"/>
    <n v="4944.37"/>
    <n v="4990.9810526315787"/>
    <s v="DEV5027"/>
    <x v="1"/>
    <x v="3"/>
    <x v="1"/>
    <s v="France"/>
    <s v="Zimbabwe"/>
    <s v="Delivered by Post"/>
    <x v="0"/>
    <x v="1"/>
    <x v="0"/>
  </r>
  <r>
    <s v="T1908"/>
    <x v="41"/>
    <n v="1"/>
    <x v="0"/>
    <x v="3"/>
    <d v="2025-12-30T00:00:00"/>
    <n v="981.46"/>
    <n v="4990.9810526315787"/>
    <s v="DEV5315"/>
    <x v="1"/>
    <x v="3"/>
    <x v="1"/>
    <s v="Turkmenistan"/>
    <s v="Turkmenistan"/>
    <s v="Picked Up"/>
    <x v="0"/>
    <x v="1"/>
    <x v="0"/>
  </r>
  <r>
    <s v="T1917"/>
    <x v="41"/>
    <n v="1"/>
    <x v="1"/>
    <x v="0"/>
    <d v="2025-08-06T00:00:00"/>
    <n v="869.19"/>
    <n v="4990.9810526315787"/>
    <s v="DEV8240"/>
    <x v="1"/>
    <x v="3"/>
    <x v="2"/>
    <s v="Norway"/>
    <s v="Norway"/>
    <s v="Picked Up"/>
    <x v="0"/>
    <x v="1"/>
    <x v="0"/>
  </r>
  <r>
    <s v="T1966"/>
    <x v="41"/>
    <n v="1"/>
    <x v="0"/>
    <x v="0"/>
    <d v="2025-12-30T00:00:00"/>
    <n v="1559.93"/>
    <n v="4990.9810526315787"/>
    <s v="DEV2350"/>
    <x v="4"/>
    <x v="2"/>
    <x v="1"/>
    <s v="Canada"/>
    <s v="Bhutan"/>
    <s v="Delivered by Post"/>
    <x v="0"/>
    <x v="1"/>
    <x v="1"/>
  </r>
  <r>
    <s v="T2033"/>
    <x v="41"/>
    <n v="1"/>
    <x v="0"/>
    <x v="0"/>
    <d v="2025-01-05T00:00:00"/>
    <n v="5064.3500000000004"/>
    <n v="4990.9810526315787"/>
    <s v="DEV2358"/>
    <x v="3"/>
    <x v="0"/>
    <x v="2"/>
    <s v="Norway"/>
    <s v="France"/>
    <s v="Picked Up"/>
    <x v="1"/>
    <x v="0"/>
    <x v="0"/>
  </r>
  <r>
    <s v="T2059"/>
    <x v="41"/>
    <n v="1"/>
    <x v="1"/>
    <x v="0"/>
    <d v="2025-01-29T00:00:00"/>
    <n v="1185.8"/>
    <n v="4990.9810526315787"/>
    <s v="DEV6915"/>
    <x v="1"/>
    <x v="0"/>
    <x v="3"/>
    <s v="Norway"/>
    <s v="France"/>
    <s v="Delivered by Post"/>
    <x v="0"/>
    <x v="0"/>
    <x v="0"/>
  </r>
  <r>
    <s v="T2066"/>
    <x v="41"/>
    <n v="1"/>
    <x v="0"/>
    <x v="3"/>
    <d v="2025-06-19T00:00:00"/>
    <n v="3074.09"/>
    <n v="4990.9810526315787"/>
    <s v="DEV2074"/>
    <x v="4"/>
    <x v="1"/>
    <x v="3"/>
    <s v="Bhutan"/>
    <s v="Turkmenistan"/>
    <s v="Delivered by Post"/>
    <x v="0"/>
    <x v="0"/>
    <x v="1"/>
  </r>
  <r>
    <s v="T2087"/>
    <x v="41"/>
    <n v="1"/>
    <x v="1"/>
    <x v="1"/>
    <d v="2025-02-13T00:00:00"/>
    <n v="3026.59"/>
    <n v="4990.9810526315787"/>
    <s v="DEV3568"/>
    <x v="2"/>
    <x v="1"/>
    <x v="4"/>
    <s v="Zimbabwe"/>
    <s v="Zimbabwe"/>
    <s v="Delivered by Post"/>
    <x v="0"/>
    <x v="1"/>
    <x v="0"/>
  </r>
  <r>
    <s v="T2098"/>
    <x v="41"/>
    <n v="1"/>
    <x v="0"/>
    <x v="2"/>
    <d v="2025-11-04T00:00:00"/>
    <n v="9387.19"/>
    <n v="4990.9810526315787"/>
    <s v="DEV8632"/>
    <x v="2"/>
    <x v="3"/>
    <x v="3"/>
    <s v="Comoros"/>
    <s v="Bhutan"/>
    <s v="Delivered by Post"/>
    <x v="1"/>
    <x v="1"/>
    <x v="0"/>
  </r>
  <r>
    <s v="T2132"/>
    <x v="41"/>
    <n v="1"/>
    <x v="1"/>
    <x v="1"/>
    <d v="2025-10-23T00:00:00"/>
    <n v="2036.36"/>
    <n v="4990.9810526315787"/>
    <s v="DEV3874"/>
    <x v="1"/>
    <x v="2"/>
    <x v="0"/>
    <s v="Comoros"/>
    <s v="Bhutan"/>
    <s v="Delivered by Post"/>
    <x v="0"/>
    <x v="1"/>
    <x v="0"/>
  </r>
  <r>
    <s v="T2179"/>
    <x v="41"/>
    <n v="1"/>
    <x v="0"/>
    <x v="0"/>
    <d v="2025-12-26T00:00:00"/>
    <n v="3836.33"/>
    <n v="4990.9810526315787"/>
    <s v="DEV9625"/>
    <x v="3"/>
    <x v="2"/>
    <x v="3"/>
    <s v="France"/>
    <s v="Norway"/>
    <s v="Picked Up"/>
    <x v="0"/>
    <x v="1"/>
    <x v="0"/>
  </r>
  <r>
    <s v="T2280"/>
    <x v="41"/>
    <n v="1"/>
    <x v="1"/>
    <x v="2"/>
    <d v="2025-05-01T00:00:00"/>
    <n v="5772.29"/>
    <n v="4990.9810526315787"/>
    <s v="DEV8114"/>
    <x v="0"/>
    <x v="1"/>
    <x v="0"/>
    <s v="France"/>
    <s v="France"/>
    <s v="Picked Up"/>
    <x v="1"/>
    <x v="1"/>
    <x v="0"/>
  </r>
  <r>
    <s v="T2283"/>
    <x v="41"/>
    <n v="1"/>
    <x v="1"/>
    <x v="0"/>
    <d v="2025-11-17T00:00:00"/>
    <n v="3003.45"/>
    <n v="4990.9810526315787"/>
    <s v="DEV1816"/>
    <x v="2"/>
    <x v="3"/>
    <x v="2"/>
    <s v="Zimbabwe"/>
    <s v="Bhutan"/>
    <s v="Delivered by Post"/>
    <x v="0"/>
    <x v="1"/>
    <x v="0"/>
  </r>
  <r>
    <s v="T2343"/>
    <x v="41"/>
    <n v="1"/>
    <x v="1"/>
    <x v="1"/>
    <d v="2025-10-18T00:00:00"/>
    <n v="8323.14"/>
    <n v="4990.9810526315787"/>
    <s v="DEV8005"/>
    <x v="3"/>
    <x v="3"/>
    <x v="5"/>
    <s v="Comoros"/>
    <s v="Norway"/>
    <s v="Picked Up"/>
    <x v="1"/>
    <x v="1"/>
    <x v="0"/>
  </r>
  <r>
    <s v="T2403"/>
    <x v="41"/>
    <n v="1"/>
    <x v="1"/>
    <x v="3"/>
    <d v="2025-05-26T00:00:00"/>
    <n v="7115.34"/>
    <n v="4990.9810526315787"/>
    <s v="DEV6778"/>
    <x v="3"/>
    <x v="0"/>
    <x v="1"/>
    <s v="New Zealand"/>
    <s v="New Zealand"/>
    <s v="Delivered by Post"/>
    <x v="1"/>
    <x v="1"/>
    <x v="0"/>
  </r>
  <r>
    <s v="T2411"/>
    <x v="41"/>
    <n v="1"/>
    <x v="0"/>
    <x v="2"/>
    <d v="2025-01-28T00:00:00"/>
    <n v="4659.8500000000004"/>
    <n v="4990.9810526315787"/>
    <s v="DEV5687"/>
    <x v="2"/>
    <x v="3"/>
    <x v="4"/>
    <s v="Turkmenistan"/>
    <s v="Turkmenistan"/>
    <s v="Delivered by Post"/>
    <x v="0"/>
    <x v="1"/>
    <x v="0"/>
  </r>
  <r>
    <s v="T2452"/>
    <x v="41"/>
    <n v="1"/>
    <x v="1"/>
    <x v="2"/>
    <d v="2025-11-26T00:00:00"/>
    <n v="1334.2"/>
    <n v="4990.9810526315787"/>
    <s v="DEV1598"/>
    <x v="1"/>
    <x v="3"/>
    <x v="1"/>
    <s v="Romania"/>
    <s v="New Zealand"/>
    <s v="Delivered by Post"/>
    <x v="0"/>
    <x v="1"/>
    <x v="0"/>
  </r>
  <r>
    <s v="T2463"/>
    <x v="41"/>
    <n v="1"/>
    <x v="0"/>
    <x v="0"/>
    <d v="2025-08-15T00:00:00"/>
    <n v="2437.91"/>
    <n v="4990.9810526315787"/>
    <s v="DEV5921"/>
    <x v="2"/>
    <x v="3"/>
    <x v="1"/>
    <s v="Zimbabwe"/>
    <s v="Turkmenistan"/>
    <s v="Picked Up"/>
    <x v="0"/>
    <x v="1"/>
    <x v="0"/>
  </r>
  <r>
    <s v="T2482"/>
    <x v="41"/>
    <n v="1"/>
    <x v="0"/>
    <x v="1"/>
    <d v="2025-04-21T00:00:00"/>
    <n v="533.13"/>
    <n v="4990.9810526315787"/>
    <s v="DEV4530"/>
    <x v="1"/>
    <x v="1"/>
    <x v="1"/>
    <s v="Turkmenistan"/>
    <s v="Comoros"/>
    <s v="Delivered by Post"/>
    <x v="0"/>
    <x v="0"/>
    <x v="0"/>
  </r>
  <r>
    <s v="T2500"/>
    <x v="41"/>
    <n v="1"/>
    <x v="1"/>
    <x v="2"/>
    <d v="2025-10-24T00:00:00"/>
    <n v="9928.61"/>
    <n v="4990.9810526315787"/>
    <s v="DEV5662"/>
    <x v="4"/>
    <x v="2"/>
    <x v="0"/>
    <s v="New Zealand"/>
    <s v="Zimbabwe"/>
    <s v="Delivered by Post"/>
    <x v="1"/>
    <x v="1"/>
    <x v="1"/>
  </r>
  <r>
    <s v="T2523"/>
    <x v="41"/>
    <n v="1"/>
    <x v="0"/>
    <x v="1"/>
    <d v="2025-08-17T00:00:00"/>
    <n v="2115.7800000000002"/>
    <n v="4990.9810526315787"/>
    <s v="DEV5376"/>
    <x v="3"/>
    <x v="2"/>
    <x v="0"/>
    <s v="Romania"/>
    <s v="Zimbabwe"/>
    <s v="Picked Up"/>
    <x v="0"/>
    <x v="1"/>
    <x v="0"/>
  </r>
  <r>
    <s v="T2639"/>
    <x v="41"/>
    <n v="1"/>
    <x v="1"/>
    <x v="0"/>
    <d v="2025-05-02T00:00:00"/>
    <n v="2590.31"/>
    <n v="4990.9810526315787"/>
    <s v="DEV1438"/>
    <x v="0"/>
    <x v="1"/>
    <x v="5"/>
    <s v="New Zealand"/>
    <s v="New Zealand"/>
    <s v="Delivered by Post"/>
    <x v="0"/>
    <x v="1"/>
    <x v="0"/>
  </r>
  <r>
    <s v="T2651"/>
    <x v="41"/>
    <n v="1"/>
    <x v="0"/>
    <x v="3"/>
    <d v="2025-07-10T00:00:00"/>
    <n v="6808.21"/>
    <n v="4990.9810526315787"/>
    <s v="DEV4226"/>
    <x v="2"/>
    <x v="0"/>
    <x v="2"/>
    <s v="Zimbabwe"/>
    <s v="New Zealand"/>
    <s v="Picked Up"/>
    <x v="1"/>
    <x v="0"/>
    <x v="0"/>
  </r>
  <r>
    <s v="T2687"/>
    <x v="41"/>
    <n v="1"/>
    <x v="1"/>
    <x v="3"/>
    <d v="2025-01-23T00:00:00"/>
    <n v="5020.7"/>
    <n v="4990.9810526315787"/>
    <s v="DEV6740"/>
    <x v="4"/>
    <x v="3"/>
    <x v="0"/>
    <s v="New Zealand"/>
    <s v="Romania"/>
    <s v="Delivered by Post"/>
    <x v="1"/>
    <x v="1"/>
    <x v="1"/>
  </r>
  <r>
    <s v="T2705"/>
    <x v="41"/>
    <n v="1"/>
    <x v="0"/>
    <x v="0"/>
    <d v="2025-12-20T00:00:00"/>
    <n v="3226.68"/>
    <n v="4990.9810526315787"/>
    <s v="DEV9109"/>
    <x v="4"/>
    <x v="0"/>
    <x v="5"/>
    <s v="Norway"/>
    <s v="Comoros"/>
    <s v="Picked Up"/>
    <x v="0"/>
    <x v="0"/>
    <x v="1"/>
  </r>
  <r>
    <s v="T2733"/>
    <x v="41"/>
    <n v="1"/>
    <x v="1"/>
    <x v="1"/>
    <d v="2025-02-10T00:00:00"/>
    <n v="8770.2199999999993"/>
    <n v="4990.9810526315787"/>
    <s v="DEV7016"/>
    <x v="2"/>
    <x v="2"/>
    <x v="2"/>
    <s v="Zimbabwe"/>
    <s v="Bhutan"/>
    <s v="Picked Up"/>
    <x v="1"/>
    <x v="1"/>
    <x v="0"/>
  </r>
  <r>
    <s v="T2759"/>
    <x v="41"/>
    <n v="1"/>
    <x v="0"/>
    <x v="0"/>
    <d v="2025-01-20T00:00:00"/>
    <n v="7172.28"/>
    <n v="4990.9810526315787"/>
    <s v="DEV3291"/>
    <x v="1"/>
    <x v="3"/>
    <x v="2"/>
    <s v="France"/>
    <s v="Comoros"/>
    <s v="Picked Up"/>
    <x v="1"/>
    <x v="1"/>
    <x v="0"/>
  </r>
  <r>
    <s v="T2771"/>
    <x v="41"/>
    <n v="1"/>
    <x v="1"/>
    <x v="1"/>
    <d v="2025-10-14T00:00:00"/>
    <n v="9864.01"/>
    <n v="4990.9810526315787"/>
    <s v="DEV3229"/>
    <x v="4"/>
    <x v="1"/>
    <x v="2"/>
    <s v="Zimbabwe"/>
    <s v="Bhutan"/>
    <s v="Picked Up"/>
    <x v="1"/>
    <x v="0"/>
    <x v="1"/>
  </r>
  <r>
    <s v="T2782"/>
    <x v="41"/>
    <n v="1"/>
    <x v="1"/>
    <x v="1"/>
    <d v="2025-12-12T00:00:00"/>
    <n v="8261.06"/>
    <n v="4990.9810526315787"/>
    <s v="DEV9331"/>
    <x v="2"/>
    <x v="3"/>
    <x v="1"/>
    <s v="Norway"/>
    <s v="Comoros"/>
    <s v="Delivered by Post"/>
    <x v="1"/>
    <x v="1"/>
    <x v="0"/>
  </r>
  <r>
    <s v="T0049"/>
    <x v="42"/>
    <n v="1"/>
    <x v="1"/>
    <x v="1"/>
    <d v="2025-02-03T04:26:00"/>
    <n v="6123.41"/>
    <n v="4676.4329411764738"/>
    <s v="DEV4824"/>
    <x v="5"/>
    <x v="1"/>
    <x v="3"/>
    <s v="Egypt"/>
    <s v="Jamaica"/>
    <s v="Picked Up"/>
    <x v="1"/>
    <x v="0"/>
    <x v="1"/>
  </r>
  <r>
    <s v="T0123"/>
    <x v="42"/>
    <n v="1"/>
    <x v="0"/>
    <x v="1"/>
    <d v="2025-05-16T00:00:00"/>
    <n v="8180.19"/>
    <n v="4676.4329411764738"/>
    <s v="DEV2753"/>
    <x v="2"/>
    <x v="2"/>
    <x v="1"/>
    <s v="France"/>
    <s v="Romania"/>
    <s v="Delivered by Post"/>
    <x v="1"/>
    <x v="1"/>
    <x v="0"/>
  </r>
  <r>
    <s v="T0175"/>
    <x v="42"/>
    <n v="1"/>
    <x v="0"/>
    <x v="2"/>
    <d v="2025-05-27T00:00:00"/>
    <n v="3988.27"/>
    <n v="4676.4329411764738"/>
    <s v="DEV6772"/>
    <x v="3"/>
    <x v="2"/>
    <x v="5"/>
    <s v="France"/>
    <s v="Norway"/>
    <s v="Picked Up"/>
    <x v="0"/>
    <x v="1"/>
    <x v="0"/>
  </r>
  <r>
    <s v="T0209"/>
    <x v="42"/>
    <n v="1"/>
    <x v="0"/>
    <x v="2"/>
    <d v="2025-03-20T00:00:00"/>
    <n v="3400.81"/>
    <n v="4676.4329411764738"/>
    <s v="DEV3962"/>
    <x v="2"/>
    <x v="2"/>
    <x v="3"/>
    <s v="Comoros"/>
    <s v="Canada"/>
    <s v="Delivered by Post"/>
    <x v="0"/>
    <x v="1"/>
    <x v="0"/>
  </r>
  <r>
    <s v="T0290"/>
    <x v="42"/>
    <n v="1"/>
    <x v="1"/>
    <x v="0"/>
    <d v="2025-08-18T00:00:00"/>
    <n v="1583.73"/>
    <n v="4676.4329411764738"/>
    <s v="DEV8851"/>
    <x v="2"/>
    <x v="1"/>
    <x v="5"/>
    <s v="Turkmenistan"/>
    <s v="Bhutan"/>
    <s v="Picked Up"/>
    <x v="0"/>
    <x v="0"/>
    <x v="0"/>
  </r>
  <r>
    <s v="T0366"/>
    <x v="42"/>
    <n v="1"/>
    <x v="0"/>
    <x v="2"/>
    <d v="2025-06-01T00:00:00"/>
    <n v="3229.88"/>
    <n v="4676.4329411764738"/>
    <s v="DEV7857"/>
    <x v="0"/>
    <x v="1"/>
    <x v="3"/>
    <s v="Canada"/>
    <s v="Romania"/>
    <s v="Delivered by Post"/>
    <x v="0"/>
    <x v="0"/>
    <x v="0"/>
  </r>
  <r>
    <s v="T0431"/>
    <x v="42"/>
    <n v="1"/>
    <x v="0"/>
    <x v="0"/>
    <d v="2025-04-20T00:00:00"/>
    <n v="1234.9000000000001"/>
    <n v="4676.4329411764738"/>
    <s v="DEV7562"/>
    <x v="4"/>
    <x v="0"/>
    <x v="0"/>
    <s v="Bhutan"/>
    <s v="Canada"/>
    <s v="Picked Up"/>
    <x v="0"/>
    <x v="0"/>
    <x v="1"/>
  </r>
  <r>
    <s v="T0538"/>
    <x v="42"/>
    <n v="1"/>
    <x v="0"/>
    <x v="3"/>
    <d v="2025-01-28T00:00:00"/>
    <n v="4429.84"/>
    <n v="4676.4329411764738"/>
    <s v="DEV5331"/>
    <x v="1"/>
    <x v="0"/>
    <x v="0"/>
    <s v="Comoros"/>
    <s v="Bhutan"/>
    <s v="Delivered by Post"/>
    <x v="0"/>
    <x v="0"/>
    <x v="0"/>
  </r>
  <r>
    <s v="T0691"/>
    <x v="42"/>
    <n v="1"/>
    <x v="1"/>
    <x v="3"/>
    <d v="2025-01-09T00:00:00"/>
    <n v="9831.07"/>
    <n v="4676.4329411764738"/>
    <s v="DEV3190"/>
    <x v="1"/>
    <x v="1"/>
    <x v="2"/>
    <s v="Canada"/>
    <s v="Norway"/>
    <s v="Delivered by Post"/>
    <x v="1"/>
    <x v="0"/>
    <x v="0"/>
  </r>
  <r>
    <s v="T0740"/>
    <x v="42"/>
    <n v="1"/>
    <x v="1"/>
    <x v="0"/>
    <d v="2025-02-04T00:00:00"/>
    <n v="8160.09"/>
    <n v="4676.4329411764738"/>
    <s v="DEV7735"/>
    <x v="4"/>
    <x v="1"/>
    <x v="2"/>
    <s v="Turkmenistan"/>
    <s v="Norway"/>
    <s v="Delivered by Post"/>
    <x v="1"/>
    <x v="0"/>
    <x v="1"/>
  </r>
  <r>
    <s v="T0764"/>
    <x v="42"/>
    <n v="1"/>
    <x v="0"/>
    <x v="0"/>
    <d v="2025-02-24T00:00:00"/>
    <n v="5429.65"/>
    <n v="4676.4329411764738"/>
    <s v="DEV1478"/>
    <x v="3"/>
    <x v="3"/>
    <x v="4"/>
    <s v="France"/>
    <s v="Romania"/>
    <s v="Delivered by Post"/>
    <x v="1"/>
    <x v="1"/>
    <x v="0"/>
  </r>
  <r>
    <s v="T0765"/>
    <x v="42"/>
    <n v="1"/>
    <x v="0"/>
    <x v="1"/>
    <d v="2025-10-01T00:00:00"/>
    <n v="4789.21"/>
    <n v="4676.4329411764738"/>
    <s v="DEV9060"/>
    <x v="1"/>
    <x v="3"/>
    <x v="0"/>
    <s v="Zimbabwe"/>
    <s v="New Zealand"/>
    <s v="Delivered by Post"/>
    <x v="1"/>
    <x v="1"/>
    <x v="0"/>
  </r>
  <r>
    <s v="T0789"/>
    <x v="42"/>
    <n v="1"/>
    <x v="1"/>
    <x v="0"/>
    <d v="2025-11-24T00:00:00"/>
    <n v="1307.3699999999999"/>
    <n v="4676.4329411764738"/>
    <s v="DEV5081"/>
    <x v="2"/>
    <x v="1"/>
    <x v="3"/>
    <s v="Comoros"/>
    <s v="Norway"/>
    <s v="Delivered by Post"/>
    <x v="0"/>
    <x v="0"/>
    <x v="0"/>
  </r>
  <r>
    <s v="T0825"/>
    <x v="42"/>
    <n v="1"/>
    <x v="1"/>
    <x v="3"/>
    <d v="2025-02-23T00:00:00"/>
    <n v="6887.25"/>
    <n v="4676.4329411764738"/>
    <s v="DEV9179"/>
    <x v="4"/>
    <x v="3"/>
    <x v="3"/>
    <s v="Zimbabwe"/>
    <s v="Canada"/>
    <s v="Picked Up"/>
    <x v="1"/>
    <x v="1"/>
    <x v="1"/>
  </r>
  <r>
    <s v="T0859"/>
    <x v="42"/>
    <n v="1"/>
    <x v="1"/>
    <x v="1"/>
    <d v="2025-01-03T00:00:00"/>
    <n v="2681.77"/>
    <n v="4676.4329411764738"/>
    <s v="DEV1535"/>
    <x v="1"/>
    <x v="0"/>
    <x v="0"/>
    <s v="New Zealand"/>
    <s v="Turkmenistan"/>
    <s v="Delivered by Post"/>
    <x v="0"/>
    <x v="0"/>
    <x v="0"/>
  </r>
  <r>
    <s v="T0894"/>
    <x v="42"/>
    <n v="1"/>
    <x v="0"/>
    <x v="3"/>
    <d v="2025-06-04T00:00:00"/>
    <n v="4890.6099999999997"/>
    <n v="4676.4329411764738"/>
    <s v="DEV6467"/>
    <x v="2"/>
    <x v="1"/>
    <x v="2"/>
    <s v="France"/>
    <s v="Turkmenistan"/>
    <s v="Picked Up"/>
    <x v="1"/>
    <x v="0"/>
    <x v="0"/>
  </r>
  <r>
    <s v="T0905"/>
    <x v="42"/>
    <n v="1"/>
    <x v="1"/>
    <x v="0"/>
    <d v="2025-02-13T00:00:00"/>
    <n v="109.23"/>
    <n v="4676.4329411764738"/>
    <s v="DEV5426"/>
    <x v="1"/>
    <x v="3"/>
    <x v="5"/>
    <s v="Zimbabwe"/>
    <s v="France"/>
    <s v="Delivered by Post"/>
    <x v="0"/>
    <x v="1"/>
    <x v="0"/>
  </r>
  <r>
    <s v="T0991"/>
    <x v="42"/>
    <n v="1"/>
    <x v="0"/>
    <x v="3"/>
    <d v="2025-02-12T00:00:00"/>
    <n v="6712.93"/>
    <n v="4676.4329411764738"/>
    <s v="DEV8264"/>
    <x v="1"/>
    <x v="3"/>
    <x v="5"/>
    <s v="Romania"/>
    <s v="Turkmenistan"/>
    <s v="Delivered by Post"/>
    <x v="1"/>
    <x v="1"/>
    <x v="0"/>
  </r>
  <r>
    <s v="T1032"/>
    <x v="42"/>
    <n v="1"/>
    <x v="1"/>
    <x v="1"/>
    <d v="2025-05-16T00:00:00"/>
    <n v="3431.35"/>
    <n v="4676.4329411764738"/>
    <s v="DEV6407"/>
    <x v="1"/>
    <x v="1"/>
    <x v="3"/>
    <s v="Comoros"/>
    <s v="Romania"/>
    <s v="Delivered by Post"/>
    <x v="0"/>
    <x v="0"/>
    <x v="0"/>
  </r>
  <r>
    <s v="T1061"/>
    <x v="42"/>
    <n v="1"/>
    <x v="1"/>
    <x v="3"/>
    <d v="2025-04-30T00:00:00"/>
    <n v="2127.63"/>
    <n v="4676.4329411764738"/>
    <s v="DEV6821"/>
    <x v="1"/>
    <x v="2"/>
    <x v="4"/>
    <s v="Zimbabwe"/>
    <s v="Bhutan"/>
    <s v="Picked Up"/>
    <x v="0"/>
    <x v="1"/>
    <x v="0"/>
  </r>
  <r>
    <s v="T1071"/>
    <x v="42"/>
    <n v="1"/>
    <x v="0"/>
    <x v="2"/>
    <d v="2025-09-10T00:00:00"/>
    <n v="5422.86"/>
    <n v="4676.4329411764738"/>
    <s v="DEV4215"/>
    <x v="3"/>
    <x v="2"/>
    <x v="5"/>
    <s v="Norway"/>
    <s v="Norway"/>
    <s v="Picked Up"/>
    <x v="1"/>
    <x v="1"/>
    <x v="0"/>
  </r>
  <r>
    <s v="T1072"/>
    <x v="42"/>
    <n v="1"/>
    <x v="1"/>
    <x v="3"/>
    <d v="2025-11-11T00:00:00"/>
    <n v="867.78"/>
    <n v="4676.4329411764738"/>
    <s v="DEV5092"/>
    <x v="3"/>
    <x v="3"/>
    <x v="0"/>
    <s v="France"/>
    <s v="New Zealand"/>
    <s v="Delivered by Post"/>
    <x v="0"/>
    <x v="1"/>
    <x v="0"/>
  </r>
  <r>
    <s v="T1073"/>
    <x v="42"/>
    <n v="1"/>
    <x v="1"/>
    <x v="1"/>
    <d v="2025-06-17T00:00:00"/>
    <n v="5928.31"/>
    <n v="4676.4329411764738"/>
    <s v="DEV7140"/>
    <x v="3"/>
    <x v="0"/>
    <x v="3"/>
    <s v="Bhutan"/>
    <s v="Canada"/>
    <s v="Picked Up"/>
    <x v="1"/>
    <x v="0"/>
    <x v="0"/>
  </r>
  <r>
    <s v="T1088"/>
    <x v="42"/>
    <n v="1"/>
    <x v="1"/>
    <x v="2"/>
    <d v="2025-11-07T00:00:00"/>
    <n v="2694.25"/>
    <n v="4676.4329411764738"/>
    <s v="DEV7268"/>
    <x v="1"/>
    <x v="0"/>
    <x v="5"/>
    <s v="Zimbabwe"/>
    <s v="Zimbabwe"/>
    <s v="Picked Up"/>
    <x v="0"/>
    <x v="1"/>
    <x v="0"/>
  </r>
  <r>
    <s v="T1111"/>
    <x v="42"/>
    <n v="1"/>
    <x v="0"/>
    <x v="0"/>
    <d v="2025-12-06T00:00:00"/>
    <n v="7090.99"/>
    <n v="4676.4329411764738"/>
    <s v="DEV6251"/>
    <x v="2"/>
    <x v="1"/>
    <x v="5"/>
    <s v="Romania"/>
    <s v="France"/>
    <s v="Delivered by Post"/>
    <x v="1"/>
    <x v="0"/>
    <x v="0"/>
  </r>
  <r>
    <s v="T1201"/>
    <x v="42"/>
    <n v="1"/>
    <x v="1"/>
    <x v="3"/>
    <d v="2025-09-02T00:00:00"/>
    <n v="2005.34"/>
    <n v="4676.4329411764738"/>
    <s v="DEV4039"/>
    <x v="2"/>
    <x v="1"/>
    <x v="2"/>
    <s v="Turkmenistan"/>
    <s v="Canada"/>
    <s v="Picked Up"/>
    <x v="0"/>
    <x v="0"/>
    <x v="0"/>
  </r>
  <r>
    <s v="T1206"/>
    <x v="42"/>
    <n v="1"/>
    <x v="1"/>
    <x v="1"/>
    <d v="2025-03-07T00:00:00"/>
    <n v="7278.63"/>
    <n v="4676.4329411764738"/>
    <s v="DEV9348"/>
    <x v="0"/>
    <x v="2"/>
    <x v="0"/>
    <s v="Turkmenistan"/>
    <s v="France"/>
    <s v="Delivered by Post"/>
    <x v="1"/>
    <x v="1"/>
    <x v="0"/>
  </r>
  <r>
    <s v="T1219"/>
    <x v="42"/>
    <n v="1"/>
    <x v="1"/>
    <x v="2"/>
    <d v="2025-04-20T00:00:00"/>
    <n v="3119.52"/>
    <n v="4676.4329411764738"/>
    <s v="DEV2644"/>
    <x v="1"/>
    <x v="1"/>
    <x v="3"/>
    <s v="Comoros"/>
    <s v="Comoros"/>
    <s v="Picked Up"/>
    <x v="0"/>
    <x v="1"/>
    <x v="0"/>
  </r>
  <r>
    <s v="T1263"/>
    <x v="42"/>
    <n v="1"/>
    <x v="0"/>
    <x v="2"/>
    <d v="2025-04-15T00:00:00"/>
    <n v="2958.55"/>
    <n v="4676.4329411764738"/>
    <s v="DEV3685"/>
    <x v="4"/>
    <x v="0"/>
    <x v="1"/>
    <s v="France"/>
    <s v="Turkmenistan"/>
    <s v="Picked Up"/>
    <x v="0"/>
    <x v="0"/>
    <x v="1"/>
  </r>
  <r>
    <s v="T1275"/>
    <x v="42"/>
    <n v="1"/>
    <x v="0"/>
    <x v="0"/>
    <d v="2025-02-18T00:00:00"/>
    <n v="3366"/>
    <n v="4676.4329411764738"/>
    <s v="DEV1065"/>
    <x v="1"/>
    <x v="1"/>
    <x v="2"/>
    <s v="Comoros"/>
    <s v="New Zealand"/>
    <s v="Delivered by Post"/>
    <x v="0"/>
    <x v="0"/>
    <x v="0"/>
  </r>
  <r>
    <s v="T1599"/>
    <x v="42"/>
    <n v="1"/>
    <x v="1"/>
    <x v="1"/>
    <d v="2025-11-15T00:00:00"/>
    <n v="7216.01"/>
    <n v="4676.4329411764738"/>
    <s v="DEV5860"/>
    <x v="3"/>
    <x v="0"/>
    <x v="4"/>
    <s v="Bhutan"/>
    <s v="Zimbabwe"/>
    <s v="Delivered by Post"/>
    <x v="1"/>
    <x v="0"/>
    <x v="0"/>
  </r>
  <r>
    <s v="T1600"/>
    <x v="42"/>
    <n v="1"/>
    <x v="1"/>
    <x v="0"/>
    <d v="2025-04-10T00:00:00"/>
    <n v="2629.13"/>
    <n v="4676.4329411764738"/>
    <s v="DEV2752"/>
    <x v="3"/>
    <x v="0"/>
    <x v="2"/>
    <s v="France"/>
    <s v="Turkmenistan"/>
    <s v="Picked Up"/>
    <x v="0"/>
    <x v="0"/>
    <x v="0"/>
  </r>
  <r>
    <s v="T1647"/>
    <x v="42"/>
    <n v="1"/>
    <x v="0"/>
    <x v="3"/>
    <d v="2025-07-19T00:00:00"/>
    <n v="5244.57"/>
    <n v="4676.4329411764738"/>
    <s v="DEV9431"/>
    <x v="2"/>
    <x v="3"/>
    <x v="5"/>
    <s v="Comoros"/>
    <s v="New Zealand"/>
    <s v="Delivered by Post"/>
    <x v="1"/>
    <x v="1"/>
    <x v="0"/>
  </r>
  <r>
    <s v="T1659"/>
    <x v="42"/>
    <n v="1"/>
    <x v="1"/>
    <x v="2"/>
    <d v="2025-05-03T00:00:00"/>
    <n v="2500.79"/>
    <n v="4676.4329411764738"/>
    <s v="DEV8984"/>
    <x v="2"/>
    <x v="2"/>
    <x v="1"/>
    <s v="New Zealand"/>
    <s v="Zimbabwe"/>
    <s v="Picked Up"/>
    <x v="0"/>
    <x v="1"/>
    <x v="0"/>
  </r>
  <r>
    <s v="T1766"/>
    <x v="42"/>
    <n v="1"/>
    <x v="1"/>
    <x v="2"/>
    <d v="2025-10-30T00:00:00"/>
    <n v="8421.1"/>
    <n v="4676.4329411764738"/>
    <s v="DEV3288"/>
    <x v="4"/>
    <x v="1"/>
    <x v="5"/>
    <s v="Norway"/>
    <s v="New Zealand"/>
    <s v="Delivered by Post"/>
    <x v="1"/>
    <x v="0"/>
    <x v="1"/>
  </r>
  <r>
    <s v="T1823"/>
    <x v="42"/>
    <n v="1"/>
    <x v="0"/>
    <x v="3"/>
    <d v="2025-01-06T00:00:00"/>
    <n v="3868.26"/>
    <n v="4676.4329411764738"/>
    <s v="DEV3479"/>
    <x v="1"/>
    <x v="2"/>
    <x v="0"/>
    <s v="New Zealand"/>
    <s v="Romania"/>
    <s v="Picked Up"/>
    <x v="0"/>
    <x v="1"/>
    <x v="0"/>
  </r>
  <r>
    <s v="T1864"/>
    <x v="42"/>
    <n v="1"/>
    <x v="0"/>
    <x v="0"/>
    <d v="2025-12-11T00:00:00"/>
    <n v="752.49"/>
    <n v="4676.4329411764738"/>
    <s v="DEV6429"/>
    <x v="4"/>
    <x v="0"/>
    <x v="1"/>
    <s v="France"/>
    <s v="New Zealand"/>
    <s v="Picked Up"/>
    <x v="0"/>
    <x v="0"/>
    <x v="1"/>
  </r>
  <r>
    <s v="T1905"/>
    <x v="42"/>
    <n v="1"/>
    <x v="0"/>
    <x v="1"/>
    <d v="2026-01-01T00:00:00"/>
    <n v="3072.69"/>
    <n v="4676.4329411764738"/>
    <s v="DEV1724"/>
    <x v="0"/>
    <x v="1"/>
    <x v="1"/>
    <s v="Comoros"/>
    <s v="Turkmenistan"/>
    <s v="Delivered by Post"/>
    <x v="0"/>
    <x v="0"/>
    <x v="0"/>
  </r>
  <r>
    <s v="T1907"/>
    <x v="42"/>
    <n v="1"/>
    <x v="1"/>
    <x v="3"/>
    <d v="2025-06-24T00:00:00"/>
    <n v="8993.0400000000009"/>
    <n v="4676.4329411764738"/>
    <s v="DEV1699"/>
    <x v="4"/>
    <x v="1"/>
    <x v="3"/>
    <s v="Canada"/>
    <s v="New Zealand"/>
    <s v="Picked Up"/>
    <x v="1"/>
    <x v="0"/>
    <x v="1"/>
  </r>
  <r>
    <s v="T1939"/>
    <x v="42"/>
    <n v="1"/>
    <x v="0"/>
    <x v="0"/>
    <d v="2025-02-18T00:00:00"/>
    <n v="1802.2"/>
    <n v="4676.4329411764738"/>
    <s v="DEV1759"/>
    <x v="1"/>
    <x v="0"/>
    <x v="0"/>
    <s v="France"/>
    <s v="Turkmenistan"/>
    <s v="Delivered by Post"/>
    <x v="0"/>
    <x v="0"/>
    <x v="0"/>
  </r>
  <r>
    <s v="T1954"/>
    <x v="42"/>
    <n v="1"/>
    <x v="1"/>
    <x v="3"/>
    <d v="2025-10-18T00:00:00"/>
    <n v="1142.8800000000001"/>
    <n v="4676.4329411764738"/>
    <s v="DEV2448"/>
    <x v="2"/>
    <x v="1"/>
    <x v="4"/>
    <s v="Canada"/>
    <s v="Bhutan"/>
    <s v="Picked Up"/>
    <x v="0"/>
    <x v="0"/>
    <x v="0"/>
  </r>
  <r>
    <s v="T1963"/>
    <x v="42"/>
    <n v="1"/>
    <x v="0"/>
    <x v="3"/>
    <d v="2025-02-17T00:00:00"/>
    <n v="8680.9500000000007"/>
    <n v="4676.4329411764738"/>
    <s v="DEV3171"/>
    <x v="2"/>
    <x v="1"/>
    <x v="3"/>
    <s v="France"/>
    <s v="New Zealand"/>
    <s v="Picked Up"/>
    <x v="1"/>
    <x v="0"/>
    <x v="0"/>
  </r>
  <r>
    <s v="T1967"/>
    <x v="42"/>
    <n v="1"/>
    <x v="1"/>
    <x v="3"/>
    <d v="2025-06-22T00:00:00"/>
    <n v="1896.18"/>
    <n v="4676.4329411764738"/>
    <s v="DEV6294"/>
    <x v="3"/>
    <x v="1"/>
    <x v="3"/>
    <s v="France"/>
    <s v="Zimbabwe"/>
    <s v="Picked Up"/>
    <x v="0"/>
    <x v="0"/>
    <x v="0"/>
  </r>
  <r>
    <s v="T1981"/>
    <x v="42"/>
    <n v="1"/>
    <x v="1"/>
    <x v="3"/>
    <d v="2025-05-03T00:00:00"/>
    <n v="6224.62"/>
    <n v="4676.4329411764738"/>
    <s v="DEV7594"/>
    <x v="2"/>
    <x v="0"/>
    <x v="1"/>
    <s v="New Zealand"/>
    <s v="Turkmenistan"/>
    <s v="Delivered by Post"/>
    <x v="1"/>
    <x v="0"/>
    <x v="0"/>
  </r>
  <r>
    <s v="T1999"/>
    <x v="42"/>
    <n v="1"/>
    <x v="1"/>
    <x v="2"/>
    <d v="2025-06-24T00:00:00"/>
    <n v="4541.03"/>
    <n v="4676.4329411764738"/>
    <s v="DEV6645"/>
    <x v="3"/>
    <x v="1"/>
    <x v="3"/>
    <s v="Bhutan"/>
    <s v="Zimbabwe"/>
    <s v="Picked Up"/>
    <x v="0"/>
    <x v="0"/>
    <x v="0"/>
  </r>
  <r>
    <s v="T2012"/>
    <x v="42"/>
    <n v="1"/>
    <x v="0"/>
    <x v="1"/>
    <d v="2025-05-30T00:00:00"/>
    <n v="3743.92"/>
    <n v="4676.4329411764738"/>
    <s v="DEV8560"/>
    <x v="2"/>
    <x v="0"/>
    <x v="1"/>
    <s v="New Zealand"/>
    <s v="Comoros"/>
    <s v="Delivered by Post"/>
    <x v="0"/>
    <x v="0"/>
    <x v="0"/>
  </r>
  <r>
    <s v="T2024"/>
    <x v="42"/>
    <n v="1"/>
    <x v="0"/>
    <x v="2"/>
    <d v="2025-12-26T00:00:00"/>
    <n v="1071.94"/>
    <n v="4676.4329411764738"/>
    <s v="DEV8142"/>
    <x v="1"/>
    <x v="0"/>
    <x v="1"/>
    <s v="Turkmenistan"/>
    <s v="Bhutan"/>
    <s v="Delivered by Post"/>
    <x v="0"/>
    <x v="0"/>
    <x v="0"/>
  </r>
  <r>
    <s v="T2044"/>
    <x v="42"/>
    <n v="1"/>
    <x v="1"/>
    <x v="0"/>
    <d v="2025-06-13T00:00:00"/>
    <n v="543.80999999999995"/>
    <n v="4676.4329411764738"/>
    <s v="DEV1394"/>
    <x v="2"/>
    <x v="3"/>
    <x v="1"/>
    <s v="Romania"/>
    <s v="Norway"/>
    <s v="Delivered by Post"/>
    <x v="0"/>
    <x v="1"/>
    <x v="0"/>
  </r>
  <r>
    <s v="T2144"/>
    <x v="42"/>
    <n v="1"/>
    <x v="0"/>
    <x v="1"/>
    <d v="2025-05-26T00:00:00"/>
    <n v="2960.69"/>
    <n v="4676.4329411764738"/>
    <s v="DEV4399"/>
    <x v="4"/>
    <x v="1"/>
    <x v="5"/>
    <s v="Turkmenistan"/>
    <s v="New Zealand"/>
    <s v="Picked Up"/>
    <x v="0"/>
    <x v="0"/>
    <x v="1"/>
  </r>
  <r>
    <s v="T2189"/>
    <x v="42"/>
    <n v="1"/>
    <x v="0"/>
    <x v="0"/>
    <d v="2025-04-20T00:00:00"/>
    <n v="7544.7"/>
    <n v="4676.4329411764738"/>
    <s v="DEV1273"/>
    <x v="3"/>
    <x v="3"/>
    <x v="2"/>
    <s v="France"/>
    <s v="Turkmenistan"/>
    <s v="Delivered by Post"/>
    <x v="1"/>
    <x v="1"/>
    <x v="0"/>
  </r>
  <r>
    <s v="T2238"/>
    <x v="42"/>
    <n v="1"/>
    <x v="1"/>
    <x v="2"/>
    <d v="2025-05-12T00:00:00"/>
    <n v="1660.26"/>
    <n v="4676.4329411764738"/>
    <s v="DEV8035"/>
    <x v="0"/>
    <x v="3"/>
    <x v="2"/>
    <s v="Zimbabwe"/>
    <s v="Bhutan"/>
    <s v="Picked Up"/>
    <x v="0"/>
    <x v="1"/>
    <x v="0"/>
  </r>
  <r>
    <s v="T2303"/>
    <x v="42"/>
    <n v="1"/>
    <x v="1"/>
    <x v="0"/>
    <d v="2025-06-06T00:00:00"/>
    <n v="6538.7"/>
    <n v="4676.4329411764738"/>
    <s v="DEV4535"/>
    <x v="0"/>
    <x v="0"/>
    <x v="5"/>
    <s v="Canada"/>
    <s v="Canada"/>
    <s v="Picked Up"/>
    <x v="1"/>
    <x v="1"/>
    <x v="0"/>
  </r>
  <r>
    <s v="T2316"/>
    <x v="42"/>
    <n v="1"/>
    <x v="0"/>
    <x v="2"/>
    <d v="2025-07-25T00:00:00"/>
    <n v="5657.67"/>
    <n v="4676.4329411764738"/>
    <s v="DEV8507"/>
    <x v="3"/>
    <x v="1"/>
    <x v="0"/>
    <s v="France"/>
    <s v="Bhutan"/>
    <s v="Picked Up"/>
    <x v="1"/>
    <x v="0"/>
    <x v="0"/>
  </r>
  <r>
    <s v="T2332"/>
    <x v="42"/>
    <n v="1"/>
    <x v="0"/>
    <x v="2"/>
    <d v="2025-05-18T00:00:00"/>
    <n v="9768.33"/>
    <n v="4676.4329411764738"/>
    <s v="DEV4645"/>
    <x v="3"/>
    <x v="1"/>
    <x v="1"/>
    <s v="France"/>
    <s v="Turkmenistan"/>
    <s v="Delivered by Post"/>
    <x v="1"/>
    <x v="0"/>
    <x v="0"/>
  </r>
  <r>
    <s v="T2341"/>
    <x v="42"/>
    <n v="1"/>
    <x v="1"/>
    <x v="3"/>
    <d v="2025-03-24T00:00:00"/>
    <n v="5668.21"/>
    <n v="4676.4329411764738"/>
    <s v="DEV2784"/>
    <x v="0"/>
    <x v="0"/>
    <x v="0"/>
    <s v="Romania"/>
    <s v="New Zealand"/>
    <s v="Picked Up"/>
    <x v="1"/>
    <x v="0"/>
    <x v="0"/>
  </r>
  <r>
    <s v="T2352"/>
    <x v="42"/>
    <n v="1"/>
    <x v="0"/>
    <x v="2"/>
    <d v="2025-09-02T00:00:00"/>
    <n v="9716.56"/>
    <n v="4676.4329411764738"/>
    <s v="DEV4221"/>
    <x v="3"/>
    <x v="0"/>
    <x v="2"/>
    <s v="France"/>
    <s v="France"/>
    <s v="Picked Up"/>
    <x v="1"/>
    <x v="1"/>
    <x v="0"/>
  </r>
  <r>
    <s v="T2357"/>
    <x v="42"/>
    <n v="1"/>
    <x v="0"/>
    <x v="2"/>
    <d v="2025-08-21T00:00:00"/>
    <n v="1837.86"/>
    <n v="4676.4329411764738"/>
    <s v="DEV3864"/>
    <x v="0"/>
    <x v="2"/>
    <x v="4"/>
    <s v="France"/>
    <s v="New Zealand"/>
    <s v="Picked Up"/>
    <x v="0"/>
    <x v="1"/>
    <x v="0"/>
  </r>
  <r>
    <s v="T2396"/>
    <x v="42"/>
    <n v="1"/>
    <x v="1"/>
    <x v="1"/>
    <d v="2025-07-18T00:00:00"/>
    <n v="304.13"/>
    <n v="4676.4329411764738"/>
    <s v="DEV3567"/>
    <x v="3"/>
    <x v="2"/>
    <x v="0"/>
    <s v="Turkmenistan"/>
    <s v="New Zealand"/>
    <s v="Delivered by Post"/>
    <x v="0"/>
    <x v="1"/>
    <x v="0"/>
  </r>
  <r>
    <s v="T2433"/>
    <x v="42"/>
    <n v="1"/>
    <x v="1"/>
    <x v="0"/>
    <d v="2025-01-21T00:00:00"/>
    <n v="4566.8999999999996"/>
    <n v="4676.4329411764738"/>
    <s v="DEV3421"/>
    <x v="0"/>
    <x v="3"/>
    <x v="0"/>
    <s v="New Zealand"/>
    <s v="Comoros"/>
    <s v="Picked Up"/>
    <x v="0"/>
    <x v="1"/>
    <x v="0"/>
  </r>
  <r>
    <s v="T2446"/>
    <x v="42"/>
    <n v="1"/>
    <x v="1"/>
    <x v="0"/>
    <d v="2025-06-11T00:00:00"/>
    <n v="5256.95"/>
    <n v="4676.4329411764738"/>
    <s v="DEV5464"/>
    <x v="0"/>
    <x v="3"/>
    <x v="0"/>
    <s v="Turkmenistan"/>
    <s v="Turkmenistan"/>
    <s v="Picked Up"/>
    <x v="1"/>
    <x v="1"/>
    <x v="0"/>
  </r>
  <r>
    <s v="T2451"/>
    <x v="42"/>
    <n v="1"/>
    <x v="1"/>
    <x v="3"/>
    <d v="2025-11-22T00:00:00"/>
    <n v="5392.59"/>
    <n v="4676.4329411764738"/>
    <s v="DEV7033"/>
    <x v="0"/>
    <x v="2"/>
    <x v="1"/>
    <s v="Bhutan"/>
    <s v="Norway"/>
    <s v="Picked Up"/>
    <x v="1"/>
    <x v="1"/>
    <x v="0"/>
  </r>
  <r>
    <s v="T2462"/>
    <x v="42"/>
    <n v="1"/>
    <x v="1"/>
    <x v="3"/>
    <d v="2025-09-11T00:00:00"/>
    <n v="6228.9"/>
    <n v="4676.4329411764738"/>
    <s v="DEV6623"/>
    <x v="2"/>
    <x v="3"/>
    <x v="1"/>
    <s v="Canada"/>
    <s v="New Zealand"/>
    <s v="Delivered by Post"/>
    <x v="1"/>
    <x v="1"/>
    <x v="0"/>
  </r>
  <r>
    <s v="T2633"/>
    <x v="42"/>
    <n v="1"/>
    <x v="0"/>
    <x v="2"/>
    <d v="2025-09-22T00:00:00"/>
    <n v="9476.34"/>
    <n v="4676.4329411764738"/>
    <s v="DEV1908"/>
    <x v="4"/>
    <x v="0"/>
    <x v="3"/>
    <s v="Canada"/>
    <s v="Romania"/>
    <s v="Picked Up"/>
    <x v="1"/>
    <x v="0"/>
    <x v="1"/>
  </r>
  <r>
    <s v="T2660"/>
    <x v="42"/>
    <n v="1"/>
    <x v="0"/>
    <x v="1"/>
    <d v="2025-05-05T00:00:00"/>
    <n v="9864.2099999999991"/>
    <n v="4676.4329411764738"/>
    <s v="DEV3234"/>
    <x v="4"/>
    <x v="1"/>
    <x v="5"/>
    <s v="Comoros"/>
    <s v="Norway"/>
    <s v="Picked Up"/>
    <x v="1"/>
    <x v="0"/>
    <x v="1"/>
  </r>
  <r>
    <s v="T2717"/>
    <x v="42"/>
    <n v="1"/>
    <x v="1"/>
    <x v="3"/>
    <d v="2025-03-04T00:00:00"/>
    <n v="8308.51"/>
    <n v="4676.4329411764738"/>
    <s v="DEV4577"/>
    <x v="3"/>
    <x v="1"/>
    <x v="4"/>
    <s v="New Zealand"/>
    <s v="Canada"/>
    <s v="Picked Up"/>
    <x v="1"/>
    <x v="0"/>
    <x v="0"/>
  </r>
  <r>
    <s v="T2764"/>
    <x v="42"/>
    <n v="1"/>
    <x v="0"/>
    <x v="1"/>
    <d v="2025-11-24T00:00:00"/>
    <n v="8926.81"/>
    <n v="4676.4329411764738"/>
    <s v="DEV5272"/>
    <x v="3"/>
    <x v="0"/>
    <x v="4"/>
    <s v="Comoros"/>
    <s v="Turkmenistan"/>
    <s v="Picked Up"/>
    <x v="1"/>
    <x v="0"/>
    <x v="0"/>
  </r>
  <r>
    <s v="T2828"/>
    <x v="42"/>
    <n v="1"/>
    <x v="1"/>
    <x v="2"/>
    <d v="2025-11-13T00:00:00"/>
    <n v="2453.2800000000002"/>
    <n v="4676.4329411764738"/>
    <s v="DEV5054"/>
    <x v="3"/>
    <x v="3"/>
    <x v="3"/>
    <s v="Turkmenistan"/>
    <s v="Bhutan"/>
    <s v="Delivered by Post"/>
    <x v="0"/>
    <x v="1"/>
    <x v="0"/>
  </r>
  <r>
    <s v="T2849"/>
    <x v="42"/>
    <n v="1"/>
    <x v="0"/>
    <x v="3"/>
    <d v="2025-09-21T00:00:00"/>
    <n v="4258.8100000000004"/>
    <n v="4676.4329411764738"/>
    <s v="DEV7948"/>
    <x v="0"/>
    <x v="1"/>
    <x v="1"/>
    <s v="France"/>
    <s v="Bhutan"/>
    <s v="Delivered by Post"/>
    <x v="0"/>
    <x v="0"/>
    <x v="0"/>
  </r>
  <r>
    <s v="T0031"/>
    <x v="43"/>
    <n v="1"/>
    <x v="2"/>
    <x v="0"/>
    <d v="2025-07-11T05:04:00"/>
    <n v="9882.01"/>
    <n v="5144.2722807017544"/>
    <s v="DEV2677"/>
    <x v="2"/>
    <x v="2"/>
    <x v="5"/>
    <s v="Antigua and Barbuda"/>
    <s v="Bhutan"/>
    <s v="Picked Up"/>
    <x v="1"/>
    <x v="1"/>
    <x v="0"/>
  </r>
  <r>
    <s v="T0076"/>
    <x v="43"/>
    <n v="1"/>
    <x v="2"/>
    <x v="3"/>
    <d v="2025-02-22T02:41:00"/>
    <n v="390.63"/>
    <n v="5144.2722807017544"/>
    <s v="DEV7550"/>
    <x v="4"/>
    <x v="1"/>
    <x v="2"/>
    <s v="Antigua and Barbuda"/>
    <s v="Cocos (Keeling) Islands"/>
    <s v="Delivered by Post"/>
    <x v="0"/>
    <x v="0"/>
    <x v="1"/>
  </r>
  <r>
    <s v="T0242"/>
    <x v="43"/>
    <n v="1"/>
    <x v="1"/>
    <x v="0"/>
    <d v="2025-11-02T00:00:00"/>
    <n v="1140.57"/>
    <n v="5144.2722807017544"/>
    <s v="DEV5350"/>
    <x v="2"/>
    <x v="2"/>
    <x v="3"/>
    <s v="Canada"/>
    <s v="Comoros"/>
    <s v="Picked Up"/>
    <x v="0"/>
    <x v="1"/>
    <x v="0"/>
  </r>
  <r>
    <s v="T0285"/>
    <x v="43"/>
    <n v="1"/>
    <x v="1"/>
    <x v="3"/>
    <d v="2025-09-10T00:00:00"/>
    <n v="3838.28"/>
    <n v="5144.2722807017544"/>
    <s v="DEV2036"/>
    <x v="3"/>
    <x v="1"/>
    <x v="1"/>
    <s v="Bhutan"/>
    <s v="France"/>
    <s v="Delivered by Post"/>
    <x v="0"/>
    <x v="0"/>
    <x v="0"/>
  </r>
  <r>
    <s v="T0289"/>
    <x v="43"/>
    <n v="1"/>
    <x v="1"/>
    <x v="1"/>
    <d v="2025-08-13T00:00:00"/>
    <n v="7687.8"/>
    <n v="5144.2722807017544"/>
    <s v="DEV2133"/>
    <x v="0"/>
    <x v="1"/>
    <x v="0"/>
    <s v="France"/>
    <s v="Romania"/>
    <s v="Delivered by Post"/>
    <x v="1"/>
    <x v="0"/>
    <x v="0"/>
  </r>
  <r>
    <s v="T0298"/>
    <x v="43"/>
    <n v="1"/>
    <x v="0"/>
    <x v="1"/>
    <d v="2025-06-10T00:00:00"/>
    <n v="7074.58"/>
    <n v="5144.2722807017544"/>
    <s v="DEV4908"/>
    <x v="4"/>
    <x v="0"/>
    <x v="0"/>
    <s v="New Zealand"/>
    <s v="Norway"/>
    <s v="Delivered by Post"/>
    <x v="1"/>
    <x v="0"/>
    <x v="1"/>
  </r>
  <r>
    <s v="T0438"/>
    <x v="43"/>
    <n v="1"/>
    <x v="1"/>
    <x v="3"/>
    <d v="2025-09-22T00:00:00"/>
    <n v="7026.7"/>
    <n v="5144.2722807017544"/>
    <s v="DEV1159"/>
    <x v="4"/>
    <x v="2"/>
    <x v="1"/>
    <s v="Zimbabwe"/>
    <s v="Bhutan"/>
    <s v="Delivered by Post"/>
    <x v="1"/>
    <x v="1"/>
    <x v="1"/>
  </r>
  <r>
    <s v="T0527"/>
    <x v="43"/>
    <n v="1"/>
    <x v="1"/>
    <x v="2"/>
    <d v="2025-06-26T00:00:00"/>
    <n v="8780.3799999999992"/>
    <n v="5144.2722807017544"/>
    <s v="DEV1133"/>
    <x v="2"/>
    <x v="1"/>
    <x v="0"/>
    <s v="France"/>
    <s v="Canada"/>
    <s v="Delivered by Post"/>
    <x v="1"/>
    <x v="0"/>
    <x v="0"/>
  </r>
  <r>
    <s v="T0582"/>
    <x v="43"/>
    <n v="1"/>
    <x v="1"/>
    <x v="1"/>
    <d v="2025-08-17T00:00:00"/>
    <n v="5532.05"/>
    <n v="5144.2722807017544"/>
    <s v="DEV2515"/>
    <x v="4"/>
    <x v="0"/>
    <x v="5"/>
    <s v="Romania"/>
    <s v="Turkmenistan"/>
    <s v="Picked Up"/>
    <x v="1"/>
    <x v="0"/>
    <x v="1"/>
  </r>
  <r>
    <s v="T0634"/>
    <x v="43"/>
    <n v="1"/>
    <x v="1"/>
    <x v="3"/>
    <d v="2025-02-07T00:00:00"/>
    <n v="2161.5700000000002"/>
    <n v="5144.2722807017544"/>
    <s v="DEV1962"/>
    <x v="1"/>
    <x v="3"/>
    <x v="0"/>
    <s v="Comoros"/>
    <s v="New Zealand"/>
    <s v="Picked Up"/>
    <x v="0"/>
    <x v="1"/>
    <x v="0"/>
  </r>
  <r>
    <s v="T0647"/>
    <x v="43"/>
    <n v="1"/>
    <x v="0"/>
    <x v="2"/>
    <d v="2025-09-27T00:00:00"/>
    <n v="2281.09"/>
    <n v="5144.2722807017544"/>
    <s v="DEV9596"/>
    <x v="1"/>
    <x v="3"/>
    <x v="4"/>
    <s v="Bhutan"/>
    <s v="Zimbabwe"/>
    <s v="Delivered by Post"/>
    <x v="0"/>
    <x v="1"/>
    <x v="0"/>
  </r>
  <r>
    <s v="T0674"/>
    <x v="43"/>
    <n v="1"/>
    <x v="1"/>
    <x v="3"/>
    <d v="2025-10-27T00:00:00"/>
    <n v="5286.24"/>
    <n v="5144.2722807017544"/>
    <s v="DEV7937"/>
    <x v="0"/>
    <x v="1"/>
    <x v="3"/>
    <s v="Bhutan"/>
    <s v="Norway"/>
    <s v="Picked Up"/>
    <x v="1"/>
    <x v="0"/>
    <x v="0"/>
  </r>
  <r>
    <s v="T0689"/>
    <x v="43"/>
    <n v="1"/>
    <x v="0"/>
    <x v="3"/>
    <d v="2025-01-24T00:00:00"/>
    <n v="3832.53"/>
    <n v="5144.2722807017544"/>
    <s v="DEV9750"/>
    <x v="2"/>
    <x v="0"/>
    <x v="1"/>
    <s v="Zimbabwe"/>
    <s v="Bhutan"/>
    <s v="Picked Up"/>
    <x v="0"/>
    <x v="0"/>
    <x v="0"/>
  </r>
  <r>
    <s v="T0694"/>
    <x v="43"/>
    <n v="1"/>
    <x v="0"/>
    <x v="3"/>
    <d v="2025-04-24T00:00:00"/>
    <n v="9217.92"/>
    <n v="5144.2722807017544"/>
    <s v="DEV9090"/>
    <x v="4"/>
    <x v="0"/>
    <x v="1"/>
    <s v="Comoros"/>
    <s v="Romania"/>
    <s v="Picked Up"/>
    <x v="1"/>
    <x v="0"/>
    <x v="1"/>
  </r>
  <r>
    <s v="T0711"/>
    <x v="43"/>
    <n v="1"/>
    <x v="0"/>
    <x v="3"/>
    <d v="2025-04-18T00:00:00"/>
    <n v="1415.57"/>
    <n v="5144.2722807017544"/>
    <s v="DEV8474"/>
    <x v="3"/>
    <x v="3"/>
    <x v="1"/>
    <s v="Norway"/>
    <s v="Turkmenistan"/>
    <s v="Delivered by Post"/>
    <x v="0"/>
    <x v="1"/>
    <x v="0"/>
  </r>
  <r>
    <s v="T0723"/>
    <x v="43"/>
    <n v="1"/>
    <x v="1"/>
    <x v="3"/>
    <d v="2025-10-28T00:00:00"/>
    <n v="7538.63"/>
    <n v="5144.2722807017544"/>
    <s v="DEV1527"/>
    <x v="3"/>
    <x v="2"/>
    <x v="1"/>
    <s v="Bhutan"/>
    <s v="Bhutan"/>
    <s v="Picked Up"/>
    <x v="1"/>
    <x v="1"/>
    <x v="0"/>
  </r>
  <r>
    <s v="T0745"/>
    <x v="43"/>
    <n v="1"/>
    <x v="1"/>
    <x v="3"/>
    <d v="2025-04-04T00:00:00"/>
    <n v="6977.97"/>
    <n v="5144.2722807017544"/>
    <s v="DEV1099"/>
    <x v="1"/>
    <x v="1"/>
    <x v="2"/>
    <s v="Romania"/>
    <s v="Canada"/>
    <s v="Picked Up"/>
    <x v="1"/>
    <x v="0"/>
    <x v="0"/>
  </r>
  <r>
    <s v="T0774"/>
    <x v="43"/>
    <n v="1"/>
    <x v="1"/>
    <x v="2"/>
    <d v="2025-12-14T00:00:00"/>
    <n v="7865.72"/>
    <n v="5144.2722807017544"/>
    <s v="DEV1922"/>
    <x v="1"/>
    <x v="3"/>
    <x v="4"/>
    <s v="Norway"/>
    <s v="Canada"/>
    <s v="Picked Up"/>
    <x v="1"/>
    <x v="1"/>
    <x v="0"/>
  </r>
  <r>
    <s v="T0784"/>
    <x v="43"/>
    <n v="1"/>
    <x v="0"/>
    <x v="0"/>
    <d v="2025-11-19T00:00:00"/>
    <n v="4282.17"/>
    <n v="5144.2722807017544"/>
    <s v="DEV5413"/>
    <x v="3"/>
    <x v="3"/>
    <x v="5"/>
    <s v="Turkmenistan"/>
    <s v="Norway"/>
    <s v="Delivered by Post"/>
    <x v="0"/>
    <x v="1"/>
    <x v="0"/>
  </r>
  <r>
    <s v="T0898"/>
    <x v="43"/>
    <n v="1"/>
    <x v="0"/>
    <x v="3"/>
    <d v="2025-09-07T00:00:00"/>
    <n v="1544.77"/>
    <n v="5144.2722807017544"/>
    <s v="DEV2058"/>
    <x v="4"/>
    <x v="0"/>
    <x v="4"/>
    <s v="Canada"/>
    <s v="Romania"/>
    <s v="Delivered by Post"/>
    <x v="0"/>
    <x v="0"/>
    <x v="1"/>
  </r>
  <r>
    <s v="T0939"/>
    <x v="43"/>
    <n v="1"/>
    <x v="1"/>
    <x v="0"/>
    <d v="2025-10-11T00:00:00"/>
    <n v="5091.8599999999997"/>
    <n v="5144.2722807017544"/>
    <s v="DEV4734"/>
    <x v="1"/>
    <x v="3"/>
    <x v="1"/>
    <s v="Canada"/>
    <s v="New Zealand"/>
    <s v="Picked Up"/>
    <x v="0"/>
    <x v="1"/>
    <x v="0"/>
  </r>
  <r>
    <s v="T1009"/>
    <x v="43"/>
    <n v="1"/>
    <x v="1"/>
    <x v="2"/>
    <d v="2025-01-28T00:00:00"/>
    <n v="4574.1899999999996"/>
    <n v="5144.2722807017544"/>
    <s v="DEV7962"/>
    <x v="4"/>
    <x v="0"/>
    <x v="5"/>
    <s v="Comoros"/>
    <s v="Turkmenistan"/>
    <s v="Delivered by Post"/>
    <x v="0"/>
    <x v="0"/>
    <x v="1"/>
  </r>
  <r>
    <s v="T1055"/>
    <x v="43"/>
    <n v="1"/>
    <x v="0"/>
    <x v="1"/>
    <d v="2025-03-03T00:00:00"/>
    <n v="9715.81"/>
    <n v="5144.2722807017544"/>
    <s v="DEV7730"/>
    <x v="0"/>
    <x v="1"/>
    <x v="4"/>
    <s v="Canada"/>
    <s v="Turkmenistan"/>
    <s v="Picked Up"/>
    <x v="1"/>
    <x v="0"/>
    <x v="0"/>
  </r>
  <r>
    <s v="T1101"/>
    <x v="43"/>
    <n v="1"/>
    <x v="1"/>
    <x v="3"/>
    <d v="2025-01-15T00:00:00"/>
    <n v="3576.4"/>
    <n v="5144.2722807017544"/>
    <s v="DEV9041"/>
    <x v="0"/>
    <x v="2"/>
    <x v="4"/>
    <s v="Romania"/>
    <s v="Comoros"/>
    <s v="Delivered by Post"/>
    <x v="0"/>
    <x v="1"/>
    <x v="0"/>
  </r>
  <r>
    <s v="T1109"/>
    <x v="43"/>
    <n v="1"/>
    <x v="0"/>
    <x v="2"/>
    <d v="2025-04-09T00:00:00"/>
    <n v="1845.15"/>
    <n v="5144.2722807017544"/>
    <s v="DEV3543"/>
    <x v="2"/>
    <x v="3"/>
    <x v="4"/>
    <s v="Turkmenistan"/>
    <s v="Bhutan"/>
    <s v="Delivered by Post"/>
    <x v="0"/>
    <x v="1"/>
    <x v="0"/>
  </r>
  <r>
    <s v="T1151"/>
    <x v="43"/>
    <n v="1"/>
    <x v="0"/>
    <x v="0"/>
    <d v="2025-06-13T00:00:00"/>
    <n v="7656.12"/>
    <n v="5144.2722807017544"/>
    <s v="DEV6922"/>
    <x v="2"/>
    <x v="0"/>
    <x v="5"/>
    <s v="France"/>
    <s v="New Zealand"/>
    <s v="Delivered by Post"/>
    <x v="1"/>
    <x v="0"/>
    <x v="0"/>
  </r>
  <r>
    <s v="T1197"/>
    <x v="43"/>
    <n v="1"/>
    <x v="0"/>
    <x v="2"/>
    <d v="2025-09-06T00:00:00"/>
    <n v="1590.22"/>
    <n v="5144.2722807017544"/>
    <s v="DEV1093"/>
    <x v="0"/>
    <x v="2"/>
    <x v="4"/>
    <s v="Canada"/>
    <s v="France"/>
    <s v="Picked Up"/>
    <x v="0"/>
    <x v="1"/>
    <x v="0"/>
  </r>
  <r>
    <s v="T1364"/>
    <x v="43"/>
    <n v="1"/>
    <x v="0"/>
    <x v="1"/>
    <d v="2025-07-08T00:00:00"/>
    <n v="5267.65"/>
    <n v="5144.2722807017544"/>
    <s v="DEV5412"/>
    <x v="1"/>
    <x v="3"/>
    <x v="4"/>
    <s v="Bhutan"/>
    <s v="New Zealand"/>
    <s v="Delivered by Post"/>
    <x v="1"/>
    <x v="1"/>
    <x v="0"/>
  </r>
  <r>
    <s v="T1456"/>
    <x v="43"/>
    <n v="1"/>
    <x v="1"/>
    <x v="3"/>
    <d v="2026-01-01T00:00:00"/>
    <n v="1738.67"/>
    <n v="5144.2722807017544"/>
    <s v="DEV9894"/>
    <x v="1"/>
    <x v="0"/>
    <x v="5"/>
    <s v="Bhutan"/>
    <s v="Romania"/>
    <s v="Picked Up"/>
    <x v="0"/>
    <x v="0"/>
    <x v="0"/>
  </r>
  <r>
    <s v="T1485"/>
    <x v="43"/>
    <n v="1"/>
    <x v="1"/>
    <x v="0"/>
    <d v="2025-09-16T00:00:00"/>
    <n v="196.32"/>
    <n v="5144.2722807017544"/>
    <s v="DEV6116"/>
    <x v="2"/>
    <x v="3"/>
    <x v="3"/>
    <s v="France"/>
    <s v="Romania"/>
    <s v="Picked Up"/>
    <x v="0"/>
    <x v="1"/>
    <x v="0"/>
  </r>
  <r>
    <s v="T1494"/>
    <x v="43"/>
    <n v="1"/>
    <x v="0"/>
    <x v="2"/>
    <d v="2025-11-14T00:00:00"/>
    <n v="7041.84"/>
    <n v="5144.2722807017544"/>
    <s v="DEV4830"/>
    <x v="4"/>
    <x v="3"/>
    <x v="3"/>
    <s v="Zimbabwe"/>
    <s v="Norway"/>
    <s v="Picked Up"/>
    <x v="1"/>
    <x v="1"/>
    <x v="1"/>
  </r>
  <r>
    <s v="T1506"/>
    <x v="43"/>
    <n v="1"/>
    <x v="1"/>
    <x v="3"/>
    <d v="2025-05-05T00:00:00"/>
    <n v="511.63"/>
    <n v="5144.2722807017544"/>
    <s v="DEV3481"/>
    <x v="1"/>
    <x v="0"/>
    <x v="4"/>
    <s v="Bhutan"/>
    <s v="Comoros"/>
    <s v="Picked Up"/>
    <x v="0"/>
    <x v="0"/>
    <x v="0"/>
  </r>
  <r>
    <s v="T1801"/>
    <x v="43"/>
    <n v="1"/>
    <x v="0"/>
    <x v="0"/>
    <d v="2025-05-25T00:00:00"/>
    <n v="9896.19"/>
    <n v="5144.2722807017544"/>
    <s v="DEV7857"/>
    <x v="0"/>
    <x v="0"/>
    <x v="4"/>
    <s v="Norway"/>
    <s v="Zimbabwe"/>
    <s v="Delivered by Post"/>
    <x v="1"/>
    <x v="0"/>
    <x v="0"/>
  </r>
  <r>
    <s v="T1898"/>
    <x v="43"/>
    <n v="1"/>
    <x v="1"/>
    <x v="3"/>
    <d v="2025-05-20T00:00:00"/>
    <n v="8283.8700000000008"/>
    <n v="5144.2722807017544"/>
    <s v="DEV9882"/>
    <x v="0"/>
    <x v="0"/>
    <x v="3"/>
    <s v="Turkmenistan"/>
    <s v="France"/>
    <s v="Delivered by Post"/>
    <x v="1"/>
    <x v="0"/>
    <x v="0"/>
  </r>
  <r>
    <s v="T1928"/>
    <x v="43"/>
    <n v="1"/>
    <x v="1"/>
    <x v="1"/>
    <d v="2025-04-03T00:00:00"/>
    <n v="2595.39"/>
    <n v="5144.2722807017544"/>
    <s v="DEV9780"/>
    <x v="3"/>
    <x v="0"/>
    <x v="1"/>
    <s v="Comoros"/>
    <s v="Romania"/>
    <s v="Picked Up"/>
    <x v="0"/>
    <x v="0"/>
    <x v="0"/>
  </r>
  <r>
    <s v="T1957"/>
    <x v="43"/>
    <n v="1"/>
    <x v="1"/>
    <x v="0"/>
    <d v="2025-10-16T00:00:00"/>
    <n v="2772.64"/>
    <n v="5144.2722807017544"/>
    <s v="DEV5346"/>
    <x v="1"/>
    <x v="0"/>
    <x v="2"/>
    <s v="Bhutan"/>
    <s v="Comoros"/>
    <s v="Picked Up"/>
    <x v="0"/>
    <x v="0"/>
    <x v="0"/>
  </r>
  <r>
    <s v="T1990"/>
    <x v="43"/>
    <n v="1"/>
    <x v="0"/>
    <x v="0"/>
    <d v="2025-06-14T00:00:00"/>
    <n v="6017.85"/>
    <n v="5144.2722807017544"/>
    <s v="DEV9811"/>
    <x v="3"/>
    <x v="1"/>
    <x v="0"/>
    <s v="Canada"/>
    <s v="France"/>
    <s v="Picked Up"/>
    <x v="1"/>
    <x v="0"/>
    <x v="0"/>
  </r>
  <r>
    <s v="T2094"/>
    <x v="43"/>
    <n v="1"/>
    <x v="1"/>
    <x v="0"/>
    <d v="2025-10-02T00:00:00"/>
    <n v="6913.25"/>
    <n v="5144.2722807017544"/>
    <s v="DEV3395"/>
    <x v="3"/>
    <x v="1"/>
    <x v="5"/>
    <s v="Turkmenistan"/>
    <s v="Zimbabwe"/>
    <s v="Picked Up"/>
    <x v="1"/>
    <x v="0"/>
    <x v="0"/>
  </r>
  <r>
    <s v="T2112"/>
    <x v="43"/>
    <n v="1"/>
    <x v="1"/>
    <x v="2"/>
    <d v="2025-05-26T00:00:00"/>
    <n v="4509.59"/>
    <n v="5144.2722807017544"/>
    <s v="DEV8353"/>
    <x v="2"/>
    <x v="0"/>
    <x v="1"/>
    <s v="Norway"/>
    <s v="Norway"/>
    <s v="Picked Up"/>
    <x v="0"/>
    <x v="1"/>
    <x v="0"/>
  </r>
  <r>
    <s v="T2161"/>
    <x v="43"/>
    <n v="1"/>
    <x v="1"/>
    <x v="3"/>
    <d v="2025-07-25T00:00:00"/>
    <n v="8872.98"/>
    <n v="5144.2722807017544"/>
    <s v="DEV2253"/>
    <x v="4"/>
    <x v="3"/>
    <x v="4"/>
    <s v="Comoros"/>
    <s v="Bhutan"/>
    <s v="Picked Up"/>
    <x v="1"/>
    <x v="1"/>
    <x v="1"/>
  </r>
  <r>
    <s v="T2184"/>
    <x v="43"/>
    <n v="1"/>
    <x v="0"/>
    <x v="1"/>
    <d v="2025-11-20T00:00:00"/>
    <n v="9958.7000000000007"/>
    <n v="5144.2722807017544"/>
    <s v="DEV7544"/>
    <x v="1"/>
    <x v="1"/>
    <x v="2"/>
    <s v="France"/>
    <s v="Turkmenistan"/>
    <s v="Picked Up"/>
    <x v="1"/>
    <x v="0"/>
    <x v="0"/>
  </r>
  <r>
    <s v="T2395"/>
    <x v="43"/>
    <n v="1"/>
    <x v="0"/>
    <x v="0"/>
    <d v="2025-08-15T00:00:00"/>
    <n v="437.49"/>
    <n v="5144.2722807017544"/>
    <s v="DEV2603"/>
    <x v="0"/>
    <x v="1"/>
    <x v="4"/>
    <s v="Zimbabwe"/>
    <s v="Romania"/>
    <s v="Delivered by Post"/>
    <x v="0"/>
    <x v="0"/>
    <x v="0"/>
  </r>
  <r>
    <s v="T2423"/>
    <x v="43"/>
    <n v="1"/>
    <x v="1"/>
    <x v="3"/>
    <d v="2025-01-15T00:00:00"/>
    <n v="4716.37"/>
    <n v="5144.2722807017544"/>
    <s v="DEV3893"/>
    <x v="1"/>
    <x v="3"/>
    <x v="2"/>
    <s v="Norway"/>
    <s v="New Zealand"/>
    <s v="Delivered by Post"/>
    <x v="0"/>
    <x v="1"/>
    <x v="0"/>
  </r>
  <r>
    <s v="T2425"/>
    <x v="43"/>
    <n v="1"/>
    <x v="1"/>
    <x v="1"/>
    <d v="2025-11-03T00:00:00"/>
    <n v="6943.55"/>
    <n v="5144.2722807017544"/>
    <s v="DEV6264"/>
    <x v="2"/>
    <x v="1"/>
    <x v="3"/>
    <s v="France"/>
    <s v="France"/>
    <s v="Picked Up"/>
    <x v="1"/>
    <x v="1"/>
    <x v="0"/>
  </r>
  <r>
    <s v="T2496"/>
    <x v="43"/>
    <n v="1"/>
    <x v="0"/>
    <x v="0"/>
    <d v="2025-04-07T00:00:00"/>
    <n v="9191.2800000000007"/>
    <n v="5144.2722807017544"/>
    <s v="DEV5253"/>
    <x v="1"/>
    <x v="2"/>
    <x v="1"/>
    <s v="Turkmenistan"/>
    <s v="France"/>
    <s v="Delivered by Post"/>
    <x v="1"/>
    <x v="1"/>
    <x v="0"/>
  </r>
  <r>
    <s v="T2512"/>
    <x v="43"/>
    <n v="1"/>
    <x v="0"/>
    <x v="2"/>
    <d v="2025-01-24T00:00:00"/>
    <n v="9930.59"/>
    <n v="5144.2722807017544"/>
    <s v="DEV8985"/>
    <x v="2"/>
    <x v="0"/>
    <x v="5"/>
    <s v="Turkmenistan"/>
    <s v="Bhutan"/>
    <s v="Delivered by Post"/>
    <x v="1"/>
    <x v="0"/>
    <x v="0"/>
  </r>
  <r>
    <s v="T2514"/>
    <x v="43"/>
    <n v="1"/>
    <x v="1"/>
    <x v="2"/>
    <d v="2025-07-29T00:00:00"/>
    <n v="6967.68"/>
    <n v="5144.2722807017544"/>
    <s v="DEV3883"/>
    <x v="2"/>
    <x v="1"/>
    <x v="1"/>
    <s v="Canada"/>
    <s v="Comoros"/>
    <s v="Delivered by Post"/>
    <x v="1"/>
    <x v="0"/>
    <x v="0"/>
  </r>
  <r>
    <s v="T2515"/>
    <x v="43"/>
    <n v="1"/>
    <x v="1"/>
    <x v="3"/>
    <d v="2025-08-15T00:00:00"/>
    <n v="8641.65"/>
    <n v="5144.2722807017544"/>
    <s v="DEV7997"/>
    <x v="0"/>
    <x v="1"/>
    <x v="1"/>
    <s v="France"/>
    <s v="Zimbabwe"/>
    <s v="Picked Up"/>
    <x v="1"/>
    <x v="0"/>
    <x v="0"/>
  </r>
  <r>
    <s v="T2522"/>
    <x v="43"/>
    <n v="1"/>
    <x v="0"/>
    <x v="0"/>
    <d v="2025-01-19T00:00:00"/>
    <n v="1808.3"/>
    <n v="5144.2722807017544"/>
    <s v="DEV4758"/>
    <x v="0"/>
    <x v="0"/>
    <x v="2"/>
    <s v="Turkmenistan"/>
    <s v="France"/>
    <s v="Picked Up"/>
    <x v="0"/>
    <x v="0"/>
    <x v="0"/>
  </r>
  <r>
    <s v="T2657"/>
    <x v="43"/>
    <n v="1"/>
    <x v="1"/>
    <x v="3"/>
    <d v="2025-11-09T00:00:00"/>
    <n v="6945.91"/>
    <n v="5144.2722807017544"/>
    <s v="DEV3765"/>
    <x v="4"/>
    <x v="1"/>
    <x v="5"/>
    <s v="Comoros"/>
    <s v="Zimbabwe"/>
    <s v="Delivered by Post"/>
    <x v="1"/>
    <x v="0"/>
    <x v="1"/>
  </r>
  <r>
    <s v="T2734"/>
    <x v="43"/>
    <n v="1"/>
    <x v="0"/>
    <x v="3"/>
    <d v="2025-12-29T00:00:00"/>
    <n v="854.71"/>
    <n v="5144.2722807017544"/>
    <s v="DEV1934"/>
    <x v="4"/>
    <x v="0"/>
    <x v="4"/>
    <s v="Canada"/>
    <s v="Comoros"/>
    <s v="Delivered by Post"/>
    <x v="0"/>
    <x v="0"/>
    <x v="1"/>
  </r>
  <r>
    <s v="T2739"/>
    <x v="43"/>
    <n v="1"/>
    <x v="1"/>
    <x v="1"/>
    <d v="2025-07-25T00:00:00"/>
    <n v="2342.41"/>
    <n v="5144.2722807017544"/>
    <s v="DEV1160"/>
    <x v="4"/>
    <x v="0"/>
    <x v="1"/>
    <s v="Zimbabwe"/>
    <s v="Comoros"/>
    <s v="Picked Up"/>
    <x v="0"/>
    <x v="0"/>
    <x v="1"/>
  </r>
  <r>
    <s v="T2772"/>
    <x v="43"/>
    <n v="1"/>
    <x v="1"/>
    <x v="3"/>
    <d v="2025-03-14T00:00:00"/>
    <n v="3161.07"/>
    <n v="5144.2722807017544"/>
    <s v="DEV2397"/>
    <x v="2"/>
    <x v="3"/>
    <x v="1"/>
    <s v="New Zealand"/>
    <s v="Romania"/>
    <s v="Delivered by Post"/>
    <x v="0"/>
    <x v="1"/>
    <x v="0"/>
  </r>
  <r>
    <s v="T2816"/>
    <x v="43"/>
    <n v="1"/>
    <x v="0"/>
    <x v="1"/>
    <d v="2025-04-15T00:00:00"/>
    <n v="5740.94"/>
    <n v="5144.2722807017544"/>
    <s v="DEV4584"/>
    <x v="2"/>
    <x v="2"/>
    <x v="2"/>
    <s v="New Zealand"/>
    <s v="Canada"/>
    <s v="Picked Up"/>
    <x v="1"/>
    <x v="1"/>
    <x v="0"/>
  </r>
  <r>
    <s v="T2832"/>
    <x v="43"/>
    <n v="1"/>
    <x v="0"/>
    <x v="0"/>
    <d v="2025-04-07T00:00:00"/>
    <n v="7876.93"/>
    <n v="5144.2722807017544"/>
    <s v="DEV8441"/>
    <x v="3"/>
    <x v="0"/>
    <x v="0"/>
    <s v="Zimbabwe"/>
    <s v="New Zealand"/>
    <s v="Picked Up"/>
    <x v="1"/>
    <x v="0"/>
    <x v="0"/>
  </r>
  <r>
    <s v="T2836"/>
    <x v="43"/>
    <n v="1"/>
    <x v="0"/>
    <x v="3"/>
    <d v="2025-09-28T00:00:00"/>
    <n v="2772.86"/>
    <n v="5144.2722807017544"/>
    <s v="DEV4106"/>
    <x v="4"/>
    <x v="0"/>
    <x v="4"/>
    <s v="France"/>
    <s v="New Zealand"/>
    <s v="Picked Up"/>
    <x v="0"/>
    <x v="0"/>
    <x v="1"/>
  </r>
  <r>
    <s v="T2841"/>
    <x v="43"/>
    <n v="1"/>
    <x v="0"/>
    <x v="3"/>
    <d v="2025-04-02T00:00:00"/>
    <n v="2508.2800000000002"/>
    <n v="5144.2722807017544"/>
    <s v="DEV1835"/>
    <x v="3"/>
    <x v="0"/>
    <x v="1"/>
    <s v="Canada"/>
    <s v="Zimbabwe"/>
    <s v="Picked Up"/>
    <x v="0"/>
    <x v="0"/>
    <x v="0"/>
  </r>
  <r>
    <s v="T0103"/>
    <x v="44"/>
    <n v="1"/>
    <x v="0"/>
    <x v="3"/>
    <d v="2025-02-22T00:00:00"/>
    <n v="4255.01"/>
    <n v="5437.4650909090906"/>
    <s v="DEV7224"/>
    <x v="1"/>
    <x v="3"/>
    <x v="1"/>
    <s v="France"/>
    <s v="Canada"/>
    <s v="Delivered by Post"/>
    <x v="0"/>
    <x v="1"/>
    <x v="0"/>
  </r>
  <r>
    <s v="T0106"/>
    <x v="44"/>
    <n v="1"/>
    <x v="0"/>
    <x v="1"/>
    <d v="2025-03-25T00:00:00"/>
    <n v="9369.7099999999991"/>
    <n v="5437.4650909090906"/>
    <s v="DEV7216"/>
    <x v="4"/>
    <x v="2"/>
    <x v="3"/>
    <s v="New Zealand"/>
    <s v="Canada"/>
    <s v="Picked Up"/>
    <x v="1"/>
    <x v="1"/>
    <x v="1"/>
  </r>
  <r>
    <s v="T0132"/>
    <x v="44"/>
    <n v="1"/>
    <x v="1"/>
    <x v="2"/>
    <d v="2025-12-13T00:00:00"/>
    <n v="2991.77"/>
    <n v="5437.4650909090906"/>
    <s v="DEV3851"/>
    <x v="2"/>
    <x v="3"/>
    <x v="4"/>
    <s v="Turkmenistan"/>
    <s v="Canada"/>
    <s v="Delivered by Post"/>
    <x v="0"/>
    <x v="1"/>
    <x v="0"/>
  </r>
  <r>
    <s v="T0139"/>
    <x v="44"/>
    <n v="1"/>
    <x v="1"/>
    <x v="2"/>
    <d v="2025-06-19T00:00:00"/>
    <n v="1570.41"/>
    <n v="5437.4650909090906"/>
    <s v="DEV8633"/>
    <x v="0"/>
    <x v="0"/>
    <x v="0"/>
    <s v="Bhutan"/>
    <s v="Bhutan"/>
    <s v="Picked Up"/>
    <x v="0"/>
    <x v="1"/>
    <x v="0"/>
  </r>
  <r>
    <s v="T0174"/>
    <x v="44"/>
    <n v="1"/>
    <x v="0"/>
    <x v="2"/>
    <d v="2025-09-05T00:00:00"/>
    <n v="2538.48"/>
    <n v="5437.4650909090906"/>
    <s v="DEV4886"/>
    <x v="0"/>
    <x v="3"/>
    <x v="5"/>
    <s v="France"/>
    <s v="France"/>
    <s v="Picked Up"/>
    <x v="0"/>
    <x v="1"/>
    <x v="0"/>
  </r>
  <r>
    <s v="T0269"/>
    <x v="44"/>
    <n v="1"/>
    <x v="0"/>
    <x v="3"/>
    <d v="2025-05-25T00:00:00"/>
    <n v="6063.8"/>
    <n v="5437.4650909090906"/>
    <s v="DEV8639"/>
    <x v="2"/>
    <x v="3"/>
    <x v="1"/>
    <s v="France"/>
    <s v="New Zealand"/>
    <s v="Delivered by Post"/>
    <x v="1"/>
    <x v="1"/>
    <x v="0"/>
  </r>
  <r>
    <s v="T0278"/>
    <x v="44"/>
    <n v="1"/>
    <x v="0"/>
    <x v="0"/>
    <d v="2025-12-17T00:00:00"/>
    <n v="8881.17"/>
    <n v="5437.4650909090906"/>
    <s v="DEV9897"/>
    <x v="2"/>
    <x v="0"/>
    <x v="0"/>
    <s v="New Zealand"/>
    <s v="Canada"/>
    <s v="Picked Up"/>
    <x v="1"/>
    <x v="0"/>
    <x v="0"/>
  </r>
  <r>
    <s v="T0377"/>
    <x v="44"/>
    <n v="1"/>
    <x v="0"/>
    <x v="3"/>
    <d v="2025-08-31T00:00:00"/>
    <n v="1202.1099999999999"/>
    <n v="5437.4650909090906"/>
    <s v="DEV3508"/>
    <x v="3"/>
    <x v="0"/>
    <x v="1"/>
    <s v="Bhutan"/>
    <s v="Zimbabwe"/>
    <s v="Delivered by Post"/>
    <x v="0"/>
    <x v="0"/>
    <x v="0"/>
  </r>
  <r>
    <s v="T0383"/>
    <x v="44"/>
    <n v="1"/>
    <x v="0"/>
    <x v="0"/>
    <d v="2025-03-09T00:00:00"/>
    <n v="8514.18"/>
    <n v="5437.4650909090906"/>
    <s v="DEV1960"/>
    <x v="3"/>
    <x v="0"/>
    <x v="4"/>
    <s v="Comoros"/>
    <s v="Comoros"/>
    <s v="Picked Up"/>
    <x v="1"/>
    <x v="1"/>
    <x v="0"/>
  </r>
  <r>
    <s v="T0413"/>
    <x v="44"/>
    <n v="1"/>
    <x v="1"/>
    <x v="3"/>
    <d v="2025-08-08T00:00:00"/>
    <n v="5862.49"/>
    <n v="5437.4650909090906"/>
    <s v="DEV1079"/>
    <x v="4"/>
    <x v="2"/>
    <x v="0"/>
    <s v="Bhutan"/>
    <s v="France"/>
    <s v="Delivered by Post"/>
    <x v="1"/>
    <x v="1"/>
    <x v="1"/>
  </r>
  <r>
    <s v="T0429"/>
    <x v="44"/>
    <n v="1"/>
    <x v="0"/>
    <x v="1"/>
    <d v="2025-08-07T00:00:00"/>
    <n v="8052.66"/>
    <n v="5437.4650909090906"/>
    <s v="DEV5155"/>
    <x v="4"/>
    <x v="1"/>
    <x v="5"/>
    <s v="New Zealand"/>
    <s v="France"/>
    <s v="Delivered by Post"/>
    <x v="1"/>
    <x v="0"/>
    <x v="1"/>
  </r>
  <r>
    <s v="T0455"/>
    <x v="44"/>
    <n v="1"/>
    <x v="1"/>
    <x v="3"/>
    <d v="2025-01-05T00:00:00"/>
    <n v="9224.7800000000007"/>
    <n v="5437.4650909090906"/>
    <s v="DEV5799"/>
    <x v="2"/>
    <x v="2"/>
    <x v="2"/>
    <s v="Turkmenistan"/>
    <s v="New Zealand"/>
    <s v="Picked Up"/>
    <x v="1"/>
    <x v="1"/>
    <x v="0"/>
  </r>
  <r>
    <s v="T0458"/>
    <x v="44"/>
    <n v="1"/>
    <x v="0"/>
    <x v="1"/>
    <d v="2025-01-26T00:00:00"/>
    <n v="6246.4"/>
    <n v="5437.4650909090906"/>
    <s v="DEV1362"/>
    <x v="3"/>
    <x v="0"/>
    <x v="1"/>
    <s v="France"/>
    <s v="Norway"/>
    <s v="Delivered by Post"/>
    <x v="1"/>
    <x v="0"/>
    <x v="0"/>
  </r>
  <r>
    <s v="T0507"/>
    <x v="44"/>
    <n v="1"/>
    <x v="0"/>
    <x v="2"/>
    <d v="2025-12-19T00:00:00"/>
    <n v="2130.06"/>
    <n v="5437.4650909090906"/>
    <s v="DEV5705"/>
    <x v="0"/>
    <x v="3"/>
    <x v="1"/>
    <s v="Turkmenistan"/>
    <s v="New Zealand"/>
    <s v="Picked Up"/>
    <x v="0"/>
    <x v="1"/>
    <x v="0"/>
  </r>
  <r>
    <s v="T0568"/>
    <x v="44"/>
    <n v="1"/>
    <x v="0"/>
    <x v="0"/>
    <d v="2025-10-13T00:00:00"/>
    <n v="8221.85"/>
    <n v="5437.4650909090906"/>
    <s v="DEV7662"/>
    <x v="3"/>
    <x v="2"/>
    <x v="1"/>
    <s v="France"/>
    <s v="Romania"/>
    <s v="Picked Up"/>
    <x v="1"/>
    <x v="1"/>
    <x v="0"/>
  </r>
  <r>
    <s v="T0652"/>
    <x v="44"/>
    <n v="1"/>
    <x v="1"/>
    <x v="3"/>
    <d v="2025-11-13T00:00:00"/>
    <n v="4080.66"/>
    <n v="5437.4650909090906"/>
    <s v="DEV6910"/>
    <x v="0"/>
    <x v="3"/>
    <x v="2"/>
    <s v="Norway"/>
    <s v="Norway"/>
    <s v="Picked Up"/>
    <x v="0"/>
    <x v="1"/>
    <x v="0"/>
  </r>
  <r>
    <s v="T0731"/>
    <x v="44"/>
    <n v="1"/>
    <x v="1"/>
    <x v="2"/>
    <d v="2025-10-11T00:00:00"/>
    <n v="7279.05"/>
    <n v="5437.4650909090906"/>
    <s v="DEV7041"/>
    <x v="1"/>
    <x v="0"/>
    <x v="5"/>
    <s v="New Zealand"/>
    <s v="Bhutan"/>
    <s v="Delivered by Post"/>
    <x v="1"/>
    <x v="0"/>
    <x v="0"/>
  </r>
  <r>
    <s v="T0736"/>
    <x v="44"/>
    <n v="1"/>
    <x v="0"/>
    <x v="2"/>
    <d v="2025-12-20T00:00:00"/>
    <n v="525.16999999999996"/>
    <n v="5437.4650909090906"/>
    <s v="DEV8274"/>
    <x v="1"/>
    <x v="0"/>
    <x v="2"/>
    <s v="Bhutan"/>
    <s v="Romania"/>
    <s v="Picked Up"/>
    <x v="0"/>
    <x v="0"/>
    <x v="0"/>
  </r>
  <r>
    <s v="T0755"/>
    <x v="44"/>
    <n v="1"/>
    <x v="1"/>
    <x v="0"/>
    <d v="2025-02-19T00:00:00"/>
    <n v="3115.6"/>
    <n v="5437.4650909090906"/>
    <s v="DEV7845"/>
    <x v="2"/>
    <x v="1"/>
    <x v="3"/>
    <s v="France"/>
    <s v="Bhutan"/>
    <s v="Picked Up"/>
    <x v="0"/>
    <x v="0"/>
    <x v="0"/>
  </r>
  <r>
    <s v="T0878"/>
    <x v="44"/>
    <n v="1"/>
    <x v="0"/>
    <x v="3"/>
    <d v="2025-11-13T00:00:00"/>
    <n v="9840.4699999999993"/>
    <n v="5437.4650909090906"/>
    <s v="DEV1479"/>
    <x v="3"/>
    <x v="0"/>
    <x v="2"/>
    <s v="Norway"/>
    <s v="Zimbabwe"/>
    <s v="Delivered by Post"/>
    <x v="1"/>
    <x v="0"/>
    <x v="0"/>
  </r>
  <r>
    <s v="T0879"/>
    <x v="44"/>
    <n v="1"/>
    <x v="0"/>
    <x v="1"/>
    <d v="2025-07-08T00:00:00"/>
    <n v="7256.32"/>
    <n v="5437.4650909090906"/>
    <s v="DEV1080"/>
    <x v="1"/>
    <x v="3"/>
    <x v="2"/>
    <s v="Zimbabwe"/>
    <s v="Canada"/>
    <s v="Delivered by Post"/>
    <x v="1"/>
    <x v="1"/>
    <x v="0"/>
  </r>
  <r>
    <s v="T0906"/>
    <x v="44"/>
    <n v="1"/>
    <x v="0"/>
    <x v="1"/>
    <d v="2025-09-22T00:00:00"/>
    <n v="3346.51"/>
    <n v="5437.4650909090906"/>
    <s v="DEV9115"/>
    <x v="3"/>
    <x v="2"/>
    <x v="3"/>
    <s v="Norway"/>
    <s v="France"/>
    <s v="Delivered by Post"/>
    <x v="0"/>
    <x v="1"/>
    <x v="0"/>
  </r>
  <r>
    <s v="T0960"/>
    <x v="44"/>
    <n v="1"/>
    <x v="0"/>
    <x v="3"/>
    <d v="2025-09-05T00:00:00"/>
    <n v="2667.58"/>
    <n v="5437.4650909090906"/>
    <s v="DEV3950"/>
    <x v="4"/>
    <x v="2"/>
    <x v="1"/>
    <s v="Comoros"/>
    <s v="Comoros"/>
    <s v="Delivered by Post"/>
    <x v="0"/>
    <x v="1"/>
    <x v="0"/>
  </r>
  <r>
    <s v="T1040"/>
    <x v="44"/>
    <n v="1"/>
    <x v="1"/>
    <x v="3"/>
    <d v="2025-02-16T00:00:00"/>
    <n v="7187.93"/>
    <n v="5437.4650909090906"/>
    <s v="DEV4113"/>
    <x v="1"/>
    <x v="2"/>
    <x v="5"/>
    <s v="France"/>
    <s v="Canada"/>
    <s v="Picked Up"/>
    <x v="1"/>
    <x v="1"/>
    <x v="0"/>
  </r>
  <r>
    <s v="T1054"/>
    <x v="44"/>
    <n v="1"/>
    <x v="1"/>
    <x v="2"/>
    <d v="2025-04-20T00:00:00"/>
    <n v="7128.46"/>
    <n v="5437.4650909090906"/>
    <s v="DEV6263"/>
    <x v="0"/>
    <x v="2"/>
    <x v="4"/>
    <s v="New Zealand"/>
    <s v="New Zealand"/>
    <s v="Picked Up"/>
    <x v="1"/>
    <x v="1"/>
    <x v="0"/>
  </r>
  <r>
    <s v="T1137"/>
    <x v="44"/>
    <n v="1"/>
    <x v="0"/>
    <x v="0"/>
    <d v="2025-12-06T00:00:00"/>
    <n v="9833.8700000000008"/>
    <n v="5437.4650909090906"/>
    <s v="DEV8289"/>
    <x v="1"/>
    <x v="0"/>
    <x v="0"/>
    <s v="Bhutan"/>
    <s v="Comoros"/>
    <s v="Delivered by Post"/>
    <x v="1"/>
    <x v="0"/>
    <x v="0"/>
  </r>
  <r>
    <s v="T1299"/>
    <x v="44"/>
    <n v="1"/>
    <x v="1"/>
    <x v="2"/>
    <d v="2025-03-22T00:00:00"/>
    <n v="8135.37"/>
    <n v="5437.4650909090906"/>
    <s v="DEV9730"/>
    <x v="2"/>
    <x v="2"/>
    <x v="4"/>
    <s v="Bhutan"/>
    <s v="Norway"/>
    <s v="Delivered by Post"/>
    <x v="1"/>
    <x v="1"/>
    <x v="0"/>
  </r>
  <r>
    <s v="T1374"/>
    <x v="44"/>
    <n v="1"/>
    <x v="0"/>
    <x v="1"/>
    <d v="2025-09-02T00:00:00"/>
    <n v="5937.76"/>
    <n v="5437.4650909090906"/>
    <s v="DEV5451"/>
    <x v="4"/>
    <x v="2"/>
    <x v="0"/>
    <s v="Turkmenistan"/>
    <s v="Turkmenistan"/>
    <s v="Delivered by Post"/>
    <x v="1"/>
    <x v="1"/>
    <x v="0"/>
  </r>
  <r>
    <s v="T1437"/>
    <x v="44"/>
    <n v="1"/>
    <x v="0"/>
    <x v="0"/>
    <d v="2025-07-25T00:00:00"/>
    <n v="2623.98"/>
    <n v="5437.4650909090906"/>
    <s v="DEV3383"/>
    <x v="1"/>
    <x v="3"/>
    <x v="2"/>
    <s v="Comoros"/>
    <s v="France"/>
    <s v="Delivered by Post"/>
    <x v="0"/>
    <x v="1"/>
    <x v="0"/>
  </r>
  <r>
    <s v="T1439"/>
    <x v="44"/>
    <n v="1"/>
    <x v="1"/>
    <x v="3"/>
    <d v="2025-09-17T00:00:00"/>
    <n v="9753.7999999999993"/>
    <n v="5437.4650909090906"/>
    <s v="DEV6117"/>
    <x v="1"/>
    <x v="3"/>
    <x v="1"/>
    <s v="France"/>
    <s v="New Zealand"/>
    <s v="Picked Up"/>
    <x v="1"/>
    <x v="1"/>
    <x v="0"/>
  </r>
  <r>
    <s v="T1545"/>
    <x v="44"/>
    <n v="1"/>
    <x v="0"/>
    <x v="3"/>
    <d v="2025-04-26T00:00:00"/>
    <n v="6950.25"/>
    <n v="5437.4650909090906"/>
    <s v="DEV4713"/>
    <x v="0"/>
    <x v="1"/>
    <x v="2"/>
    <s v="Turkmenistan"/>
    <s v="New Zealand"/>
    <s v="Picked Up"/>
    <x v="1"/>
    <x v="0"/>
    <x v="0"/>
  </r>
  <r>
    <s v="T1656"/>
    <x v="44"/>
    <n v="1"/>
    <x v="0"/>
    <x v="0"/>
    <d v="2025-01-22T00:00:00"/>
    <n v="5334.63"/>
    <n v="5437.4650909090906"/>
    <s v="DEV6369"/>
    <x v="1"/>
    <x v="2"/>
    <x v="1"/>
    <s v="Romania"/>
    <s v="Comoros"/>
    <s v="Picked Up"/>
    <x v="0"/>
    <x v="1"/>
    <x v="0"/>
  </r>
  <r>
    <s v="T1700"/>
    <x v="44"/>
    <n v="1"/>
    <x v="0"/>
    <x v="3"/>
    <d v="2025-11-23T00:00:00"/>
    <n v="3281.38"/>
    <n v="5437.4650909090906"/>
    <s v="DEV7743"/>
    <x v="4"/>
    <x v="2"/>
    <x v="0"/>
    <s v="New Zealand"/>
    <s v="Comoros"/>
    <s v="Picked Up"/>
    <x v="0"/>
    <x v="1"/>
    <x v="1"/>
  </r>
  <r>
    <s v="T1758"/>
    <x v="44"/>
    <n v="1"/>
    <x v="0"/>
    <x v="1"/>
    <d v="2025-03-25T00:00:00"/>
    <n v="7844.51"/>
    <n v="5437.4650909090906"/>
    <s v="DEV5035"/>
    <x v="0"/>
    <x v="2"/>
    <x v="5"/>
    <s v="Bhutan"/>
    <s v="Norway"/>
    <s v="Picked Up"/>
    <x v="1"/>
    <x v="1"/>
    <x v="0"/>
  </r>
  <r>
    <s v="T1765"/>
    <x v="44"/>
    <n v="1"/>
    <x v="0"/>
    <x v="3"/>
    <d v="2025-02-18T00:00:00"/>
    <n v="2341.1999999999998"/>
    <n v="5437.4650909090906"/>
    <s v="DEV4438"/>
    <x v="3"/>
    <x v="0"/>
    <x v="5"/>
    <s v="Zimbabwe"/>
    <s v="France"/>
    <s v="Picked Up"/>
    <x v="0"/>
    <x v="0"/>
    <x v="0"/>
  </r>
  <r>
    <s v="T1814"/>
    <x v="44"/>
    <n v="1"/>
    <x v="0"/>
    <x v="0"/>
    <d v="2025-06-30T00:00:00"/>
    <n v="2756.17"/>
    <n v="5437.4650909090906"/>
    <s v="DEV8401"/>
    <x v="0"/>
    <x v="2"/>
    <x v="5"/>
    <s v="New Zealand"/>
    <s v="France"/>
    <s v="Delivered by Post"/>
    <x v="0"/>
    <x v="1"/>
    <x v="0"/>
  </r>
  <r>
    <s v="T1875"/>
    <x v="44"/>
    <n v="1"/>
    <x v="1"/>
    <x v="1"/>
    <d v="2025-03-12T00:00:00"/>
    <n v="778.68"/>
    <n v="5437.4650909090906"/>
    <s v="DEV9700"/>
    <x v="4"/>
    <x v="1"/>
    <x v="1"/>
    <s v="Norway"/>
    <s v="Norway"/>
    <s v="Delivered by Post"/>
    <x v="0"/>
    <x v="1"/>
    <x v="0"/>
  </r>
  <r>
    <s v="T1919"/>
    <x v="44"/>
    <n v="1"/>
    <x v="0"/>
    <x v="1"/>
    <d v="2025-10-30T00:00:00"/>
    <n v="4894.1899999999996"/>
    <n v="5437.4650909090906"/>
    <s v="DEV3054"/>
    <x v="2"/>
    <x v="1"/>
    <x v="1"/>
    <s v="Romania"/>
    <s v="Romania"/>
    <s v="Picked Up"/>
    <x v="0"/>
    <x v="1"/>
    <x v="0"/>
  </r>
  <r>
    <s v="T1950"/>
    <x v="44"/>
    <n v="1"/>
    <x v="0"/>
    <x v="2"/>
    <d v="2025-04-17T00:00:00"/>
    <n v="4645.95"/>
    <n v="5437.4650909090906"/>
    <s v="DEV3143"/>
    <x v="0"/>
    <x v="0"/>
    <x v="4"/>
    <s v="Norway"/>
    <s v="Canada"/>
    <s v="Picked Up"/>
    <x v="0"/>
    <x v="0"/>
    <x v="0"/>
  </r>
  <r>
    <s v="T2064"/>
    <x v="44"/>
    <n v="1"/>
    <x v="0"/>
    <x v="2"/>
    <d v="2025-11-22T00:00:00"/>
    <n v="8059.06"/>
    <n v="5437.4650909090906"/>
    <s v="DEV1407"/>
    <x v="4"/>
    <x v="1"/>
    <x v="3"/>
    <s v="Zimbabwe"/>
    <s v="France"/>
    <s v="Delivered by Post"/>
    <x v="1"/>
    <x v="0"/>
    <x v="1"/>
  </r>
  <r>
    <s v="T2109"/>
    <x v="44"/>
    <n v="1"/>
    <x v="0"/>
    <x v="1"/>
    <d v="2025-12-28T00:00:00"/>
    <n v="8437.25"/>
    <n v="5437.4650909090906"/>
    <s v="DEV2861"/>
    <x v="3"/>
    <x v="1"/>
    <x v="2"/>
    <s v="Bhutan"/>
    <s v="New Zealand"/>
    <s v="Picked Up"/>
    <x v="1"/>
    <x v="0"/>
    <x v="0"/>
  </r>
  <r>
    <s v="T2227"/>
    <x v="44"/>
    <n v="1"/>
    <x v="0"/>
    <x v="0"/>
    <d v="2025-12-07T00:00:00"/>
    <n v="2716.9"/>
    <n v="5437.4650909090906"/>
    <s v="DEV8475"/>
    <x v="3"/>
    <x v="3"/>
    <x v="3"/>
    <s v="Bhutan"/>
    <s v="New Zealand"/>
    <s v="Picked Up"/>
    <x v="0"/>
    <x v="1"/>
    <x v="0"/>
  </r>
  <r>
    <s v="T2231"/>
    <x v="44"/>
    <n v="1"/>
    <x v="1"/>
    <x v="3"/>
    <d v="2025-05-27T00:00:00"/>
    <n v="2186.96"/>
    <n v="5437.4650909090906"/>
    <s v="DEV2792"/>
    <x v="2"/>
    <x v="0"/>
    <x v="3"/>
    <s v="Turkmenistan"/>
    <s v="New Zealand"/>
    <s v="Picked Up"/>
    <x v="0"/>
    <x v="0"/>
    <x v="0"/>
  </r>
  <r>
    <s v="T2300"/>
    <x v="44"/>
    <n v="1"/>
    <x v="1"/>
    <x v="2"/>
    <d v="2025-03-04T00:00:00"/>
    <n v="4997.26"/>
    <n v="5437.4650909090906"/>
    <s v="DEV8081"/>
    <x v="3"/>
    <x v="2"/>
    <x v="5"/>
    <s v="Norway"/>
    <s v="France"/>
    <s v="Delivered by Post"/>
    <x v="0"/>
    <x v="1"/>
    <x v="0"/>
  </r>
  <r>
    <s v="T2345"/>
    <x v="44"/>
    <n v="1"/>
    <x v="0"/>
    <x v="3"/>
    <d v="2025-10-23T00:00:00"/>
    <n v="828.5"/>
    <n v="5437.4650909090906"/>
    <s v="DEV3037"/>
    <x v="0"/>
    <x v="1"/>
    <x v="4"/>
    <s v="Canada"/>
    <s v="Bhutan"/>
    <s v="Picked Up"/>
    <x v="0"/>
    <x v="0"/>
    <x v="0"/>
  </r>
  <r>
    <s v="T2383"/>
    <x v="44"/>
    <n v="1"/>
    <x v="1"/>
    <x v="3"/>
    <d v="2025-11-02T00:00:00"/>
    <n v="3318.34"/>
    <n v="5437.4650909090906"/>
    <s v="DEV1740"/>
    <x v="4"/>
    <x v="3"/>
    <x v="5"/>
    <s v="Bhutan"/>
    <s v="Comoros"/>
    <s v="Delivered by Post"/>
    <x v="0"/>
    <x v="1"/>
    <x v="1"/>
  </r>
  <r>
    <s v="T2406"/>
    <x v="44"/>
    <n v="1"/>
    <x v="1"/>
    <x v="1"/>
    <d v="2025-08-06T00:00:00"/>
    <n v="7431.21"/>
    <n v="5437.4650909090906"/>
    <s v="DEV1284"/>
    <x v="3"/>
    <x v="2"/>
    <x v="0"/>
    <s v="Canada"/>
    <s v="Comoros"/>
    <s v="Delivered by Post"/>
    <x v="1"/>
    <x v="1"/>
    <x v="0"/>
  </r>
  <r>
    <s v="T2439"/>
    <x v="44"/>
    <n v="1"/>
    <x v="0"/>
    <x v="0"/>
    <d v="2025-02-26T00:00:00"/>
    <n v="5835.2"/>
    <n v="5437.4650909090906"/>
    <s v="DEV5567"/>
    <x v="2"/>
    <x v="3"/>
    <x v="1"/>
    <s v="Comoros"/>
    <s v="Romania"/>
    <s v="Delivered by Post"/>
    <x v="1"/>
    <x v="1"/>
    <x v="0"/>
  </r>
  <r>
    <s v="T2447"/>
    <x v="44"/>
    <n v="1"/>
    <x v="1"/>
    <x v="0"/>
    <d v="2025-06-18T00:00:00"/>
    <n v="8414.9500000000007"/>
    <n v="5437.4650909090906"/>
    <s v="DEV1728"/>
    <x v="3"/>
    <x v="0"/>
    <x v="3"/>
    <s v="Romania"/>
    <s v="Norway"/>
    <s v="Delivered by Post"/>
    <x v="1"/>
    <x v="0"/>
    <x v="0"/>
  </r>
  <r>
    <s v="T2499"/>
    <x v="44"/>
    <n v="1"/>
    <x v="1"/>
    <x v="1"/>
    <d v="2025-09-01T00:00:00"/>
    <n v="6996.73"/>
    <n v="5437.4650909090906"/>
    <s v="DEV3761"/>
    <x v="2"/>
    <x v="0"/>
    <x v="2"/>
    <s v="Zimbabwe"/>
    <s v="Bhutan"/>
    <s v="Picked Up"/>
    <x v="1"/>
    <x v="0"/>
    <x v="0"/>
  </r>
  <r>
    <s v="T2597"/>
    <x v="44"/>
    <n v="1"/>
    <x v="1"/>
    <x v="3"/>
    <d v="2025-10-10T00:00:00"/>
    <n v="4137.16"/>
    <n v="5437.4650909090906"/>
    <s v="DEV7099"/>
    <x v="2"/>
    <x v="3"/>
    <x v="0"/>
    <s v="Zimbabwe"/>
    <s v="Romania"/>
    <s v="Delivered by Post"/>
    <x v="0"/>
    <x v="1"/>
    <x v="0"/>
  </r>
  <r>
    <s v="T2694"/>
    <x v="44"/>
    <n v="1"/>
    <x v="0"/>
    <x v="1"/>
    <d v="2025-01-19T00:00:00"/>
    <n v="7991.66"/>
    <n v="5437.4650909090906"/>
    <s v="DEV2968"/>
    <x v="3"/>
    <x v="3"/>
    <x v="4"/>
    <s v="Romania"/>
    <s v="Comoros"/>
    <s v="Delivered by Post"/>
    <x v="1"/>
    <x v="1"/>
    <x v="0"/>
  </r>
  <r>
    <s v="T2723"/>
    <x v="44"/>
    <n v="1"/>
    <x v="0"/>
    <x v="1"/>
    <d v="2025-12-05T00:00:00"/>
    <n v="5447.5"/>
    <n v="5437.4650909090906"/>
    <s v="DEV8488"/>
    <x v="4"/>
    <x v="0"/>
    <x v="4"/>
    <s v="France"/>
    <s v="France"/>
    <s v="Picked Up"/>
    <x v="1"/>
    <x v="1"/>
    <x v="0"/>
  </r>
  <r>
    <s v="T2729"/>
    <x v="44"/>
    <n v="1"/>
    <x v="0"/>
    <x v="0"/>
    <d v="2025-07-09T00:00:00"/>
    <n v="565"/>
    <n v="5437.4650909090906"/>
    <s v="DEV1305"/>
    <x v="2"/>
    <x v="1"/>
    <x v="0"/>
    <s v="France"/>
    <s v="Comoros"/>
    <s v="Picked Up"/>
    <x v="0"/>
    <x v="0"/>
    <x v="0"/>
  </r>
  <r>
    <s v="T2807"/>
    <x v="44"/>
    <n v="1"/>
    <x v="0"/>
    <x v="1"/>
    <d v="2025-12-09T00:00:00"/>
    <n v="9032.5300000000007"/>
    <n v="5437.4650909090906"/>
    <s v="DEV3605"/>
    <x v="0"/>
    <x v="2"/>
    <x v="1"/>
    <s v="Comoros"/>
    <s v="Zimbabwe"/>
    <s v="Picked Up"/>
    <x v="1"/>
    <x v="1"/>
    <x v="0"/>
  </r>
  <r>
    <s v="T0086"/>
    <x v="45"/>
    <n v="1"/>
    <x v="0"/>
    <x v="1"/>
    <d v="2025-02-23T01:56:00"/>
    <n v="3662.63"/>
    <n v="5123.7795999999989"/>
    <s v="DEV8023"/>
    <x v="4"/>
    <x v="3"/>
    <x v="5"/>
    <s v="Gibraltar"/>
    <s v="Spain"/>
    <s v="Delivered by Post"/>
    <x v="0"/>
    <x v="1"/>
    <x v="1"/>
  </r>
  <r>
    <s v="T0212"/>
    <x v="45"/>
    <n v="1"/>
    <x v="1"/>
    <x v="0"/>
    <d v="2025-03-24T00:00:00"/>
    <n v="8466.6299999999992"/>
    <n v="5123.7795999999989"/>
    <s v="DEV8361"/>
    <x v="2"/>
    <x v="2"/>
    <x v="4"/>
    <s v="Zimbabwe"/>
    <s v="Romania"/>
    <s v="Delivered by Post"/>
    <x v="1"/>
    <x v="1"/>
    <x v="0"/>
  </r>
  <r>
    <s v="T0227"/>
    <x v="45"/>
    <n v="1"/>
    <x v="1"/>
    <x v="3"/>
    <d v="2025-12-30T00:00:00"/>
    <n v="4478.8599999999997"/>
    <n v="5123.7795999999989"/>
    <s v="DEV9882"/>
    <x v="4"/>
    <x v="3"/>
    <x v="0"/>
    <s v="Norway"/>
    <s v="New Zealand"/>
    <s v="Picked Up"/>
    <x v="0"/>
    <x v="1"/>
    <x v="1"/>
  </r>
  <r>
    <s v="T0231"/>
    <x v="45"/>
    <n v="1"/>
    <x v="1"/>
    <x v="0"/>
    <d v="2025-05-09T00:00:00"/>
    <n v="2293.4299999999998"/>
    <n v="5123.7795999999989"/>
    <s v="DEV5496"/>
    <x v="3"/>
    <x v="3"/>
    <x v="5"/>
    <s v="Turkmenistan"/>
    <s v="Zimbabwe"/>
    <s v="Picked Up"/>
    <x v="0"/>
    <x v="1"/>
    <x v="0"/>
  </r>
  <r>
    <s v="T0331"/>
    <x v="45"/>
    <n v="1"/>
    <x v="1"/>
    <x v="1"/>
    <d v="2025-02-16T00:00:00"/>
    <n v="6983.94"/>
    <n v="5123.7795999999989"/>
    <s v="DEV5066"/>
    <x v="4"/>
    <x v="1"/>
    <x v="5"/>
    <s v="Canada"/>
    <s v="France"/>
    <s v="Delivered by Post"/>
    <x v="1"/>
    <x v="0"/>
    <x v="1"/>
  </r>
  <r>
    <s v="T0339"/>
    <x v="45"/>
    <n v="1"/>
    <x v="0"/>
    <x v="1"/>
    <d v="2025-09-10T00:00:00"/>
    <n v="7020.58"/>
    <n v="5123.7795999999989"/>
    <s v="DEV6063"/>
    <x v="3"/>
    <x v="1"/>
    <x v="2"/>
    <s v="Zimbabwe"/>
    <s v="Canada"/>
    <s v="Picked Up"/>
    <x v="1"/>
    <x v="0"/>
    <x v="0"/>
  </r>
  <r>
    <s v="T0392"/>
    <x v="45"/>
    <n v="1"/>
    <x v="0"/>
    <x v="0"/>
    <d v="2025-08-19T00:00:00"/>
    <n v="3412.44"/>
    <n v="5123.7795999999989"/>
    <s v="DEV9260"/>
    <x v="3"/>
    <x v="1"/>
    <x v="2"/>
    <s v="Turkmenistan"/>
    <s v="Canada"/>
    <s v="Delivered by Post"/>
    <x v="0"/>
    <x v="0"/>
    <x v="0"/>
  </r>
  <r>
    <s v="T0433"/>
    <x v="45"/>
    <n v="1"/>
    <x v="0"/>
    <x v="2"/>
    <d v="2025-08-13T00:00:00"/>
    <n v="9637.1200000000008"/>
    <n v="5123.7795999999989"/>
    <s v="DEV4304"/>
    <x v="2"/>
    <x v="3"/>
    <x v="0"/>
    <s v="Canada"/>
    <s v="Turkmenistan"/>
    <s v="Picked Up"/>
    <x v="1"/>
    <x v="1"/>
    <x v="0"/>
  </r>
  <r>
    <s v="T0624"/>
    <x v="45"/>
    <n v="1"/>
    <x v="0"/>
    <x v="0"/>
    <d v="2025-12-20T00:00:00"/>
    <n v="3709.01"/>
    <n v="5123.7795999999989"/>
    <s v="DEV4926"/>
    <x v="4"/>
    <x v="1"/>
    <x v="1"/>
    <s v="New Zealand"/>
    <s v="Zimbabwe"/>
    <s v="Picked Up"/>
    <x v="0"/>
    <x v="0"/>
    <x v="1"/>
  </r>
  <r>
    <s v="T0682"/>
    <x v="45"/>
    <n v="1"/>
    <x v="0"/>
    <x v="3"/>
    <d v="2025-07-25T00:00:00"/>
    <n v="8397.23"/>
    <n v="5123.7795999999989"/>
    <s v="DEV1737"/>
    <x v="0"/>
    <x v="0"/>
    <x v="1"/>
    <s v="Bhutan"/>
    <s v="Norway"/>
    <s v="Delivered by Post"/>
    <x v="1"/>
    <x v="0"/>
    <x v="0"/>
  </r>
  <r>
    <s v="T0712"/>
    <x v="45"/>
    <n v="1"/>
    <x v="0"/>
    <x v="1"/>
    <d v="2025-04-09T00:00:00"/>
    <n v="700.51"/>
    <n v="5123.7795999999989"/>
    <s v="DEV7196"/>
    <x v="4"/>
    <x v="3"/>
    <x v="5"/>
    <s v="Bhutan"/>
    <s v="Romania"/>
    <s v="Picked Up"/>
    <x v="0"/>
    <x v="1"/>
    <x v="1"/>
  </r>
  <r>
    <s v="T0715"/>
    <x v="45"/>
    <n v="1"/>
    <x v="1"/>
    <x v="0"/>
    <d v="2025-04-17T00:00:00"/>
    <n v="9559.73"/>
    <n v="5123.7795999999989"/>
    <s v="DEV4325"/>
    <x v="0"/>
    <x v="2"/>
    <x v="4"/>
    <s v="Romania"/>
    <s v="France"/>
    <s v="Delivered by Post"/>
    <x v="1"/>
    <x v="1"/>
    <x v="0"/>
  </r>
  <r>
    <s v="T0734"/>
    <x v="45"/>
    <n v="1"/>
    <x v="1"/>
    <x v="1"/>
    <d v="2025-03-29T00:00:00"/>
    <n v="9502.68"/>
    <n v="5123.7795999999989"/>
    <s v="DEV2646"/>
    <x v="3"/>
    <x v="3"/>
    <x v="2"/>
    <s v="Turkmenistan"/>
    <s v="Bhutan"/>
    <s v="Picked Up"/>
    <x v="1"/>
    <x v="1"/>
    <x v="0"/>
  </r>
  <r>
    <s v="T0766"/>
    <x v="45"/>
    <n v="1"/>
    <x v="1"/>
    <x v="1"/>
    <d v="2025-04-25T00:00:00"/>
    <n v="7442.53"/>
    <n v="5123.7795999999989"/>
    <s v="DEV2895"/>
    <x v="4"/>
    <x v="0"/>
    <x v="2"/>
    <s v="Zimbabwe"/>
    <s v="New Zealand"/>
    <s v="Picked Up"/>
    <x v="1"/>
    <x v="0"/>
    <x v="1"/>
  </r>
  <r>
    <s v="T0770"/>
    <x v="45"/>
    <n v="1"/>
    <x v="0"/>
    <x v="2"/>
    <d v="2025-05-30T00:00:00"/>
    <n v="5761.02"/>
    <n v="5123.7795999999989"/>
    <s v="DEV7171"/>
    <x v="1"/>
    <x v="3"/>
    <x v="0"/>
    <s v="Romania"/>
    <s v="Romania"/>
    <s v="Picked Up"/>
    <x v="1"/>
    <x v="1"/>
    <x v="0"/>
  </r>
  <r>
    <s v="T0799"/>
    <x v="45"/>
    <n v="1"/>
    <x v="0"/>
    <x v="1"/>
    <d v="2025-07-22T00:00:00"/>
    <n v="2024.72"/>
    <n v="5123.7795999999989"/>
    <s v="DEV6426"/>
    <x v="1"/>
    <x v="2"/>
    <x v="3"/>
    <s v="Romania"/>
    <s v="Comoros"/>
    <s v="Delivered by Post"/>
    <x v="0"/>
    <x v="1"/>
    <x v="0"/>
  </r>
  <r>
    <s v="T0803"/>
    <x v="45"/>
    <n v="1"/>
    <x v="0"/>
    <x v="1"/>
    <d v="2025-10-30T00:00:00"/>
    <n v="7838.03"/>
    <n v="5123.7795999999989"/>
    <s v="DEV3436"/>
    <x v="3"/>
    <x v="0"/>
    <x v="0"/>
    <s v="Bhutan"/>
    <s v="Canada"/>
    <s v="Delivered by Post"/>
    <x v="1"/>
    <x v="0"/>
    <x v="0"/>
  </r>
  <r>
    <s v="T0821"/>
    <x v="45"/>
    <n v="1"/>
    <x v="1"/>
    <x v="1"/>
    <d v="2025-06-07T00:00:00"/>
    <n v="895.4"/>
    <n v="5123.7795999999989"/>
    <s v="DEV8846"/>
    <x v="3"/>
    <x v="2"/>
    <x v="2"/>
    <s v="Turkmenistan"/>
    <s v="France"/>
    <s v="Picked Up"/>
    <x v="0"/>
    <x v="1"/>
    <x v="0"/>
  </r>
  <r>
    <s v="T0869"/>
    <x v="45"/>
    <n v="1"/>
    <x v="1"/>
    <x v="2"/>
    <d v="2025-09-20T00:00:00"/>
    <n v="5537.4"/>
    <n v="5123.7795999999989"/>
    <s v="DEV4163"/>
    <x v="4"/>
    <x v="2"/>
    <x v="0"/>
    <s v="France"/>
    <s v="Bhutan"/>
    <s v="Picked Up"/>
    <x v="1"/>
    <x v="1"/>
    <x v="1"/>
  </r>
  <r>
    <s v="T1030"/>
    <x v="45"/>
    <n v="1"/>
    <x v="0"/>
    <x v="2"/>
    <d v="2025-09-04T00:00:00"/>
    <n v="5396.55"/>
    <n v="5123.7795999999989"/>
    <s v="DEV1979"/>
    <x v="4"/>
    <x v="1"/>
    <x v="3"/>
    <s v="Canada"/>
    <s v="New Zealand"/>
    <s v="Delivered by Post"/>
    <x v="1"/>
    <x v="0"/>
    <x v="1"/>
  </r>
  <r>
    <s v="T1031"/>
    <x v="45"/>
    <n v="1"/>
    <x v="1"/>
    <x v="2"/>
    <d v="2025-03-05T00:00:00"/>
    <n v="9277.5300000000007"/>
    <n v="5123.7795999999989"/>
    <s v="DEV3391"/>
    <x v="4"/>
    <x v="0"/>
    <x v="3"/>
    <s v="Norway"/>
    <s v="New Zealand"/>
    <s v="Delivered by Post"/>
    <x v="1"/>
    <x v="0"/>
    <x v="1"/>
  </r>
  <r>
    <s v="T1095"/>
    <x v="45"/>
    <n v="1"/>
    <x v="0"/>
    <x v="2"/>
    <d v="2025-02-23T00:00:00"/>
    <n v="3434.63"/>
    <n v="5123.7795999999989"/>
    <s v="DEV5815"/>
    <x v="2"/>
    <x v="0"/>
    <x v="1"/>
    <s v="Romania"/>
    <s v="Comoros"/>
    <s v="Picked Up"/>
    <x v="0"/>
    <x v="0"/>
    <x v="0"/>
  </r>
  <r>
    <s v="T1098"/>
    <x v="45"/>
    <n v="1"/>
    <x v="1"/>
    <x v="2"/>
    <d v="2025-07-09T00:00:00"/>
    <n v="7978.13"/>
    <n v="5123.7795999999989"/>
    <s v="DEV4845"/>
    <x v="4"/>
    <x v="3"/>
    <x v="2"/>
    <s v="Norway"/>
    <s v="New Zealand"/>
    <s v="Picked Up"/>
    <x v="1"/>
    <x v="1"/>
    <x v="1"/>
  </r>
  <r>
    <s v="T1129"/>
    <x v="45"/>
    <n v="1"/>
    <x v="1"/>
    <x v="1"/>
    <d v="2025-11-17T00:00:00"/>
    <n v="8804.06"/>
    <n v="5123.7795999999989"/>
    <s v="DEV4409"/>
    <x v="0"/>
    <x v="1"/>
    <x v="4"/>
    <s v="Comoros"/>
    <s v="Comoros"/>
    <s v="Delivered by Post"/>
    <x v="1"/>
    <x v="1"/>
    <x v="0"/>
  </r>
  <r>
    <s v="T1147"/>
    <x v="45"/>
    <n v="1"/>
    <x v="0"/>
    <x v="2"/>
    <d v="2025-04-12T00:00:00"/>
    <n v="840.15"/>
    <n v="5123.7795999999989"/>
    <s v="DEV9115"/>
    <x v="2"/>
    <x v="2"/>
    <x v="4"/>
    <s v="France"/>
    <s v="Canada"/>
    <s v="Delivered by Post"/>
    <x v="0"/>
    <x v="1"/>
    <x v="0"/>
  </r>
  <r>
    <s v="T1529"/>
    <x v="45"/>
    <n v="1"/>
    <x v="1"/>
    <x v="2"/>
    <d v="2025-01-15T00:00:00"/>
    <n v="8352.82"/>
    <n v="5123.7795999999989"/>
    <s v="DEV5375"/>
    <x v="4"/>
    <x v="1"/>
    <x v="3"/>
    <s v="Bhutan"/>
    <s v="France"/>
    <s v="Delivered by Post"/>
    <x v="1"/>
    <x v="0"/>
    <x v="1"/>
  </r>
  <r>
    <s v="T1601"/>
    <x v="45"/>
    <n v="1"/>
    <x v="0"/>
    <x v="1"/>
    <d v="2025-03-19T00:00:00"/>
    <n v="8562.61"/>
    <n v="5123.7795999999989"/>
    <s v="DEV3832"/>
    <x v="1"/>
    <x v="3"/>
    <x v="3"/>
    <s v="France"/>
    <s v="Turkmenistan"/>
    <s v="Picked Up"/>
    <x v="1"/>
    <x v="1"/>
    <x v="0"/>
  </r>
  <r>
    <s v="T1602"/>
    <x v="45"/>
    <n v="1"/>
    <x v="1"/>
    <x v="2"/>
    <d v="2025-10-02T00:00:00"/>
    <n v="3756.27"/>
    <n v="5123.7795999999989"/>
    <s v="DEV7577"/>
    <x v="4"/>
    <x v="0"/>
    <x v="2"/>
    <s v="Zimbabwe"/>
    <s v="Turkmenistan"/>
    <s v="Delivered by Post"/>
    <x v="0"/>
    <x v="0"/>
    <x v="1"/>
  </r>
  <r>
    <s v="T1698"/>
    <x v="45"/>
    <n v="1"/>
    <x v="0"/>
    <x v="3"/>
    <d v="2025-11-26T00:00:00"/>
    <n v="584"/>
    <n v="5123.7795999999989"/>
    <s v="DEV1262"/>
    <x v="3"/>
    <x v="0"/>
    <x v="3"/>
    <s v="Turkmenistan"/>
    <s v="Norway"/>
    <s v="Picked Up"/>
    <x v="0"/>
    <x v="0"/>
    <x v="0"/>
  </r>
  <r>
    <s v="T1717"/>
    <x v="45"/>
    <n v="1"/>
    <x v="1"/>
    <x v="0"/>
    <d v="2025-01-30T00:00:00"/>
    <n v="7313.31"/>
    <n v="5123.7795999999989"/>
    <s v="DEV3673"/>
    <x v="1"/>
    <x v="2"/>
    <x v="2"/>
    <s v="Comoros"/>
    <s v="Turkmenistan"/>
    <s v="Picked Up"/>
    <x v="1"/>
    <x v="1"/>
    <x v="0"/>
  </r>
  <r>
    <s v="T1781"/>
    <x v="45"/>
    <n v="1"/>
    <x v="1"/>
    <x v="0"/>
    <d v="2025-04-11T00:00:00"/>
    <n v="1036.46"/>
    <n v="5123.7795999999989"/>
    <s v="DEV3927"/>
    <x v="0"/>
    <x v="1"/>
    <x v="3"/>
    <s v="Bhutan"/>
    <s v="Turkmenistan"/>
    <s v="Delivered by Post"/>
    <x v="0"/>
    <x v="0"/>
    <x v="0"/>
  </r>
  <r>
    <s v="T1793"/>
    <x v="45"/>
    <n v="1"/>
    <x v="1"/>
    <x v="1"/>
    <d v="2025-04-19T00:00:00"/>
    <n v="2517.39"/>
    <n v="5123.7795999999989"/>
    <s v="DEV7493"/>
    <x v="0"/>
    <x v="1"/>
    <x v="3"/>
    <s v="Romania"/>
    <s v="Canada"/>
    <s v="Delivered by Post"/>
    <x v="0"/>
    <x v="0"/>
    <x v="0"/>
  </r>
  <r>
    <s v="T1812"/>
    <x v="45"/>
    <n v="1"/>
    <x v="1"/>
    <x v="0"/>
    <d v="2025-03-09T00:00:00"/>
    <n v="635.04999999999995"/>
    <n v="5123.7795999999989"/>
    <s v="DEV4969"/>
    <x v="0"/>
    <x v="3"/>
    <x v="0"/>
    <s v="France"/>
    <s v="Canada"/>
    <s v="Delivered by Post"/>
    <x v="0"/>
    <x v="1"/>
    <x v="0"/>
  </r>
  <r>
    <s v="T1851"/>
    <x v="45"/>
    <n v="1"/>
    <x v="1"/>
    <x v="1"/>
    <d v="2025-05-26T00:00:00"/>
    <n v="5502.84"/>
    <n v="5123.7795999999989"/>
    <s v="DEV6409"/>
    <x v="0"/>
    <x v="1"/>
    <x v="0"/>
    <s v="Norway"/>
    <s v="New Zealand"/>
    <s v="Picked Up"/>
    <x v="1"/>
    <x v="0"/>
    <x v="0"/>
  </r>
  <r>
    <s v="T1890"/>
    <x v="45"/>
    <n v="1"/>
    <x v="0"/>
    <x v="1"/>
    <d v="2025-02-16T00:00:00"/>
    <n v="6189.06"/>
    <n v="5123.7795999999989"/>
    <s v="DEV9690"/>
    <x v="2"/>
    <x v="2"/>
    <x v="1"/>
    <s v="Turkmenistan"/>
    <s v="France"/>
    <s v="Picked Up"/>
    <x v="1"/>
    <x v="1"/>
    <x v="0"/>
  </r>
  <r>
    <s v="T1914"/>
    <x v="45"/>
    <n v="1"/>
    <x v="0"/>
    <x v="3"/>
    <d v="2025-10-14T00:00:00"/>
    <n v="425.57"/>
    <n v="5123.7795999999989"/>
    <s v="DEV5985"/>
    <x v="3"/>
    <x v="2"/>
    <x v="0"/>
    <s v="Norway"/>
    <s v="France"/>
    <s v="Picked Up"/>
    <x v="0"/>
    <x v="1"/>
    <x v="0"/>
  </r>
  <r>
    <s v="T2150"/>
    <x v="45"/>
    <n v="1"/>
    <x v="1"/>
    <x v="2"/>
    <d v="2025-01-25T00:00:00"/>
    <n v="4922.7700000000004"/>
    <n v="5123.7795999999989"/>
    <s v="DEV7345"/>
    <x v="4"/>
    <x v="1"/>
    <x v="0"/>
    <s v="Canada"/>
    <s v="Romania"/>
    <s v="Delivered by Post"/>
    <x v="0"/>
    <x v="0"/>
    <x v="1"/>
  </r>
  <r>
    <s v="T2163"/>
    <x v="45"/>
    <n v="1"/>
    <x v="0"/>
    <x v="3"/>
    <d v="2025-07-26T00:00:00"/>
    <n v="6160.4"/>
    <n v="5123.7795999999989"/>
    <s v="DEV7142"/>
    <x v="1"/>
    <x v="0"/>
    <x v="1"/>
    <s v="Norway"/>
    <s v="Romania"/>
    <s v="Picked Up"/>
    <x v="1"/>
    <x v="0"/>
    <x v="0"/>
  </r>
  <r>
    <s v="T2171"/>
    <x v="45"/>
    <n v="1"/>
    <x v="0"/>
    <x v="1"/>
    <d v="2025-10-11T00:00:00"/>
    <n v="8867.6200000000008"/>
    <n v="5123.7795999999989"/>
    <s v="DEV6411"/>
    <x v="4"/>
    <x v="0"/>
    <x v="4"/>
    <s v="Comoros"/>
    <s v="New Zealand"/>
    <s v="Picked Up"/>
    <x v="1"/>
    <x v="0"/>
    <x v="1"/>
  </r>
  <r>
    <s v="T2186"/>
    <x v="45"/>
    <n v="1"/>
    <x v="0"/>
    <x v="3"/>
    <d v="2025-08-12T00:00:00"/>
    <n v="5816.74"/>
    <n v="5123.7795999999989"/>
    <s v="DEV5253"/>
    <x v="3"/>
    <x v="0"/>
    <x v="2"/>
    <s v="Bhutan"/>
    <s v="New Zealand"/>
    <s v="Delivered by Post"/>
    <x v="1"/>
    <x v="0"/>
    <x v="0"/>
  </r>
  <r>
    <s v="T2374"/>
    <x v="45"/>
    <n v="1"/>
    <x v="1"/>
    <x v="2"/>
    <d v="2025-10-13T00:00:00"/>
    <n v="3994.13"/>
    <n v="5123.7795999999989"/>
    <s v="DEV6006"/>
    <x v="1"/>
    <x v="2"/>
    <x v="0"/>
    <s v="Canada"/>
    <s v="France"/>
    <s v="Delivered by Post"/>
    <x v="0"/>
    <x v="1"/>
    <x v="0"/>
  </r>
  <r>
    <s v="T2453"/>
    <x v="45"/>
    <n v="1"/>
    <x v="0"/>
    <x v="2"/>
    <d v="2025-04-23T00:00:00"/>
    <n v="5860.91"/>
    <n v="5123.7795999999989"/>
    <s v="DEV3073"/>
    <x v="3"/>
    <x v="3"/>
    <x v="4"/>
    <s v="Canada"/>
    <s v="France"/>
    <s v="Picked Up"/>
    <x v="1"/>
    <x v="1"/>
    <x v="0"/>
  </r>
  <r>
    <s v="T2501"/>
    <x v="45"/>
    <n v="1"/>
    <x v="0"/>
    <x v="2"/>
    <d v="2025-05-23T00:00:00"/>
    <n v="2167.94"/>
    <n v="5123.7795999999989"/>
    <s v="DEV9427"/>
    <x v="2"/>
    <x v="1"/>
    <x v="3"/>
    <s v="Zimbabwe"/>
    <s v="Canada"/>
    <s v="Picked Up"/>
    <x v="0"/>
    <x v="0"/>
    <x v="0"/>
  </r>
  <r>
    <s v="T2526"/>
    <x v="45"/>
    <n v="1"/>
    <x v="0"/>
    <x v="0"/>
    <d v="2025-07-08T00:00:00"/>
    <n v="3597.6"/>
    <n v="5123.7795999999989"/>
    <s v="DEV9837"/>
    <x v="3"/>
    <x v="1"/>
    <x v="5"/>
    <s v="Norway"/>
    <s v="Bhutan"/>
    <s v="Delivered by Post"/>
    <x v="0"/>
    <x v="0"/>
    <x v="0"/>
  </r>
  <r>
    <s v="T2581"/>
    <x v="45"/>
    <n v="1"/>
    <x v="1"/>
    <x v="3"/>
    <d v="2025-06-14T00:00:00"/>
    <n v="490.39"/>
    <n v="5123.7795999999989"/>
    <s v="DEV9201"/>
    <x v="0"/>
    <x v="0"/>
    <x v="3"/>
    <s v="Norway"/>
    <s v="Canada"/>
    <s v="Delivered by Post"/>
    <x v="0"/>
    <x v="0"/>
    <x v="0"/>
  </r>
  <r>
    <s v="T2612"/>
    <x v="45"/>
    <n v="1"/>
    <x v="1"/>
    <x v="1"/>
    <d v="2025-08-15T00:00:00"/>
    <n v="6403.33"/>
    <n v="5123.7795999999989"/>
    <s v="DEV3779"/>
    <x v="2"/>
    <x v="0"/>
    <x v="5"/>
    <s v="France"/>
    <s v="Turkmenistan"/>
    <s v="Delivered by Post"/>
    <x v="1"/>
    <x v="0"/>
    <x v="0"/>
  </r>
  <r>
    <s v="T2635"/>
    <x v="45"/>
    <n v="1"/>
    <x v="0"/>
    <x v="0"/>
    <d v="2025-07-11T00:00:00"/>
    <n v="3328.61"/>
    <n v="5123.7795999999989"/>
    <s v="DEV9778"/>
    <x v="3"/>
    <x v="1"/>
    <x v="0"/>
    <s v="Romania"/>
    <s v="Turkmenistan"/>
    <s v="Picked Up"/>
    <x v="0"/>
    <x v="0"/>
    <x v="0"/>
  </r>
  <r>
    <s v="T2681"/>
    <x v="45"/>
    <n v="1"/>
    <x v="1"/>
    <x v="0"/>
    <d v="2025-01-26T00:00:00"/>
    <n v="3082.58"/>
    <n v="5123.7795999999989"/>
    <s v="DEV4626"/>
    <x v="3"/>
    <x v="3"/>
    <x v="4"/>
    <s v="New Zealand"/>
    <s v="Romania"/>
    <s v="Picked Up"/>
    <x v="0"/>
    <x v="1"/>
    <x v="0"/>
  </r>
  <r>
    <s v="T2728"/>
    <x v="45"/>
    <n v="1"/>
    <x v="0"/>
    <x v="2"/>
    <d v="2025-09-07T00:00:00"/>
    <n v="3981.63"/>
    <n v="5123.7795999999989"/>
    <s v="DEV2229"/>
    <x v="1"/>
    <x v="1"/>
    <x v="3"/>
    <s v="New Zealand"/>
    <s v="Norway"/>
    <s v="Delivered by Post"/>
    <x v="0"/>
    <x v="0"/>
    <x v="0"/>
  </r>
  <r>
    <s v="T2736"/>
    <x v="45"/>
    <n v="1"/>
    <x v="0"/>
    <x v="1"/>
    <d v="2025-10-07T00:00:00"/>
    <n v="9584.01"/>
    <n v="5123.7795999999989"/>
    <s v="DEV6330"/>
    <x v="2"/>
    <x v="3"/>
    <x v="2"/>
    <s v="France"/>
    <s v="Turkmenistan"/>
    <s v="Delivered by Post"/>
    <x v="1"/>
    <x v="1"/>
    <x v="0"/>
  </r>
  <r>
    <s v="T0091"/>
    <x v="46"/>
    <n v="1"/>
    <x v="2"/>
    <x v="1"/>
    <d v="2025-09-05T15:36:00"/>
    <n v="7026.6"/>
    <n v="5150.6247169811322"/>
    <s v="DEV1053"/>
    <x v="0"/>
    <x v="2"/>
    <x v="4"/>
    <s v="Oman"/>
    <s v="Czech Republic"/>
    <s v="Picked Up"/>
    <x v="1"/>
    <x v="1"/>
    <x v="0"/>
  </r>
  <r>
    <s v="T0115"/>
    <x v="46"/>
    <n v="1"/>
    <x v="1"/>
    <x v="1"/>
    <d v="2025-08-31T00:00:00"/>
    <n v="9358.3700000000008"/>
    <n v="5150.6247169811322"/>
    <s v="DEV4119"/>
    <x v="1"/>
    <x v="0"/>
    <x v="3"/>
    <s v="Bhutan"/>
    <s v="New Zealand"/>
    <s v="Delivered by Post"/>
    <x v="1"/>
    <x v="0"/>
    <x v="0"/>
  </r>
  <r>
    <s v="T0130"/>
    <x v="46"/>
    <n v="1"/>
    <x v="0"/>
    <x v="2"/>
    <d v="2025-10-23T00:00:00"/>
    <n v="7874.96"/>
    <n v="5150.6247169811322"/>
    <s v="DEV5173"/>
    <x v="1"/>
    <x v="1"/>
    <x v="2"/>
    <s v="Turkmenistan"/>
    <s v="Turkmenistan"/>
    <s v="Picked Up"/>
    <x v="1"/>
    <x v="1"/>
    <x v="0"/>
  </r>
  <r>
    <s v="T0194"/>
    <x v="46"/>
    <n v="1"/>
    <x v="0"/>
    <x v="0"/>
    <d v="2025-03-21T00:00:00"/>
    <n v="3277.61"/>
    <n v="5150.6247169811322"/>
    <s v="DEV1815"/>
    <x v="1"/>
    <x v="3"/>
    <x v="4"/>
    <s v="Bhutan"/>
    <s v="Comoros"/>
    <s v="Delivered by Post"/>
    <x v="0"/>
    <x v="1"/>
    <x v="0"/>
  </r>
  <r>
    <s v="T0367"/>
    <x v="46"/>
    <n v="1"/>
    <x v="1"/>
    <x v="3"/>
    <d v="2025-09-17T00:00:00"/>
    <n v="7148.02"/>
    <n v="5150.6247169811322"/>
    <s v="DEV3785"/>
    <x v="2"/>
    <x v="2"/>
    <x v="1"/>
    <s v="Zimbabwe"/>
    <s v="Comoros"/>
    <s v="Picked Up"/>
    <x v="1"/>
    <x v="1"/>
    <x v="0"/>
  </r>
  <r>
    <s v="T0422"/>
    <x v="46"/>
    <n v="1"/>
    <x v="1"/>
    <x v="1"/>
    <d v="2025-10-30T00:00:00"/>
    <n v="1177.72"/>
    <n v="5150.6247169811322"/>
    <s v="DEV7732"/>
    <x v="1"/>
    <x v="2"/>
    <x v="2"/>
    <s v="Norway"/>
    <s v="Norway"/>
    <s v="Picked Up"/>
    <x v="0"/>
    <x v="1"/>
    <x v="0"/>
  </r>
  <r>
    <s v="T0425"/>
    <x v="46"/>
    <n v="1"/>
    <x v="0"/>
    <x v="1"/>
    <d v="2025-07-13T00:00:00"/>
    <n v="6871.63"/>
    <n v="5150.6247169811322"/>
    <s v="DEV3166"/>
    <x v="1"/>
    <x v="0"/>
    <x v="0"/>
    <s v="Turkmenistan"/>
    <s v="Turkmenistan"/>
    <s v="Delivered by Post"/>
    <x v="1"/>
    <x v="1"/>
    <x v="0"/>
  </r>
  <r>
    <s v="T0459"/>
    <x v="46"/>
    <n v="1"/>
    <x v="0"/>
    <x v="2"/>
    <d v="2025-04-22T00:00:00"/>
    <n v="131.63"/>
    <n v="5150.6247169811322"/>
    <s v="DEV7885"/>
    <x v="4"/>
    <x v="1"/>
    <x v="1"/>
    <s v="Comoros"/>
    <s v="Canada"/>
    <s v="Delivered by Post"/>
    <x v="0"/>
    <x v="0"/>
    <x v="1"/>
  </r>
  <r>
    <s v="T0472"/>
    <x v="46"/>
    <n v="1"/>
    <x v="0"/>
    <x v="0"/>
    <d v="2025-02-21T00:00:00"/>
    <n v="750.36"/>
    <n v="5150.6247169811322"/>
    <s v="DEV4784"/>
    <x v="2"/>
    <x v="1"/>
    <x v="0"/>
    <s v="Romania"/>
    <s v="Turkmenistan"/>
    <s v="Picked Up"/>
    <x v="0"/>
    <x v="0"/>
    <x v="0"/>
  </r>
  <r>
    <s v="T0698"/>
    <x v="46"/>
    <n v="1"/>
    <x v="1"/>
    <x v="2"/>
    <d v="2025-06-11T00:00:00"/>
    <n v="2284.25"/>
    <n v="5150.6247169811322"/>
    <s v="DEV7420"/>
    <x v="3"/>
    <x v="3"/>
    <x v="2"/>
    <s v="Canada"/>
    <s v="Romania"/>
    <s v="Delivered by Post"/>
    <x v="0"/>
    <x v="1"/>
    <x v="0"/>
  </r>
  <r>
    <s v="T0763"/>
    <x v="46"/>
    <n v="1"/>
    <x v="0"/>
    <x v="0"/>
    <d v="2025-03-07T00:00:00"/>
    <n v="3879.34"/>
    <n v="5150.6247169811322"/>
    <s v="DEV2426"/>
    <x v="4"/>
    <x v="1"/>
    <x v="0"/>
    <s v="Comoros"/>
    <s v="Zimbabwe"/>
    <s v="Delivered by Post"/>
    <x v="0"/>
    <x v="0"/>
    <x v="1"/>
  </r>
  <r>
    <s v="T0816"/>
    <x v="46"/>
    <n v="1"/>
    <x v="0"/>
    <x v="0"/>
    <d v="2025-12-19T00:00:00"/>
    <n v="9654.01"/>
    <n v="5150.6247169811322"/>
    <s v="DEV5216"/>
    <x v="2"/>
    <x v="2"/>
    <x v="4"/>
    <s v="Romania"/>
    <s v="New Zealand"/>
    <s v="Delivered by Post"/>
    <x v="1"/>
    <x v="1"/>
    <x v="0"/>
  </r>
  <r>
    <s v="T0852"/>
    <x v="46"/>
    <n v="1"/>
    <x v="1"/>
    <x v="3"/>
    <d v="2025-01-08T00:00:00"/>
    <n v="6696.23"/>
    <n v="5150.6247169811322"/>
    <s v="DEV8514"/>
    <x v="3"/>
    <x v="1"/>
    <x v="1"/>
    <s v="Zimbabwe"/>
    <s v="Bhutan"/>
    <s v="Delivered by Post"/>
    <x v="1"/>
    <x v="0"/>
    <x v="0"/>
  </r>
  <r>
    <s v="T0861"/>
    <x v="46"/>
    <n v="1"/>
    <x v="0"/>
    <x v="2"/>
    <d v="2025-04-29T00:00:00"/>
    <n v="1778.49"/>
    <n v="5150.6247169811322"/>
    <s v="DEV3069"/>
    <x v="2"/>
    <x v="0"/>
    <x v="3"/>
    <s v="Bhutan"/>
    <s v="France"/>
    <s v="Picked Up"/>
    <x v="0"/>
    <x v="0"/>
    <x v="0"/>
  </r>
  <r>
    <s v="T0907"/>
    <x v="46"/>
    <n v="1"/>
    <x v="1"/>
    <x v="1"/>
    <d v="2025-02-28T00:00:00"/>
    <n v="9892.1299999999992"/>
    <n v="5150.6247169811322"/>
    <s v="DEV1000"/>
    <x v="3"/>
    <x v="0"/>
    <x v="5"/>
    <s v="Zimbabwe"/>
    <s v="Romania"/>
    <s v="Picked Up"/>
    <x v="1"/>
    <x v="0"/>
    <x v="0"/>
  </r>
  <r>
    <s v="T0912"/>
    <x v="46"/>
    <n v="1"/>
    <x v="0"/>
    <x v="3"/>
    <d v="2025-09-14T00:00:00"/>
    <n v="4610.58"/>
    <n v="5150.6247169811322"/>
    <s v="DEV4453"/>
    <x v="4"/>
    <x v="1"/>
    <x v="5"/>
    <s v="Zimbabwe"/>
    <s v="Norway"/>
    <s v="Picked Up"/>
    <x v="0"/>
    <x v="0"/>
    <x v="1"/>
  </r>
  <r>
    <s v="T0945"/>
    <x v="46"/>
    <n v="1"/>
    <x v="0"/>
    <x v="3"/>
    <d v="2025-10-14T00:00:00"/>
    <n v="9578.2000000000007"/>
    <n v="5150.6247169811322"/>
    <s v="DEV2252"/>
    <x v="4"/>
    <x v="1"/>
    <x v="5"/>
    <s v="Romania"/>
    <s v="Comoros"/>
    <s v="Delivered by Post"/>
    <x v="1"/>
    <x v="0"/>
    <x v="1"/>
  </r>
  <r>
    <s v="T0994"/>
    <x v="46"/>
    <n v="1"/>
    <x v="0"/>
    <x v="1"/>
    <d v="2025-06-08T00:00:00"/>
    <n v="9435.2099999999991"/>
    <n v="5150.6247169811322"/>
    <s v="DEV7214"/>
    <x v="4"/>
    <x v="2"/>
    <x v="1"/>
    <s v="Norway"/>
    <s v="New Zealand"/>
    <s v="Delivered by Post"/>
    <x v="1"/>
    <x v="1"/>
    <x v="1"/>
  </r>
  <r>
    <s v="T1000"/>
    <x v="46"/>
    <n v="1"/>
    <x v="1"/>
    <x v="3"/>
    <d v="2025-11-04T00:00:00"/>
    <n v="4023.37"/>
    <n v="5150.6247169811322"/>
    <s v="DEV8906"/>
    <x v="0"/>
    <x v="3"/>
    <x v="2"/>
    <s v="Romania"/>
    <s v="Turkmenistan"/>
    <s v="Picked Up"/>
    <x v="0"/>
    <x v="1"/>
    <x v="0"/>
  </r>
  <r>
    <s v="T1014"/>
    <x v="46"/>
    <n v="1"/>
    <x v="1"/>
    <x v="3"/>
    <d v="2025-08-23T00:00:00"/>
    <n v="1489.21"/>
    <n v="5150.6247169811322"/>
    <s v="DEV4999"/>
    <x v="2"/>
    <x v="1"/>
    <x v="2"/>
    <s v="Zimbabwe"/>
    <s v="New Zealand"/>
    <s v="Delivered by Post"/>
    <x v="0"/>
    <x v="0"/>
    <x v="0"/>
  </r>
  <r>
    <s v="T1051"/>
    <x v="46"/>
    <n v="1"/>
    <x v="1"/>
    <x v="0"/>
    <d v="2025-12-04T00:00:00"/>
    <n v="4822.84"/>
    <n v="5150.6247169811322"/>
    <s v="DEV8979"/>
    <x v="3"/>
    <x v="3"/>
    <x v="5"/>
    <s v="Bhutan"/>
    <s v="Canada"/>
    <s v="Picked Up"/>
    <x v="0"/>
    <x v="1"/>
    <x v="0"/>
  </r>
  <r>
    <s v="T1086"/>
    <x v="46"/>
    <n v="1"/>
    <x v="1"/>
    <x v="1"/>
    <d v="2025-12-07T00:00:00"/>
    <n v="6052.99"/>
    <n v="5150.6247169811322"/>
    <s v="DEV8085"/>
    <x v="0"/>
    <x v="0"/>
    <x v="3"/>
    <s v="Zimbabwe"/>
    <s v="France"/>
    <s v="Delivered by Post"/>
    <x v="1"/>
    <x v="0"/>
    <x v="0"/>
  </r>
  <r>
    <s v="T1277"/>
    <x v="46"/>
    <n v="1"/>
    <x v="0"/>
    <x v="2"/>
    <d v="2025-01-03T00:00:00"/>
    <n v="7096.21"/>
    <n v="5150.6247169811322"/>
    <s v="DEV9568"/>
    <x v="4"/>
    <x v="2"/>
    <x v="4"/>
    <s v="Turkmenistan"/>
    <s v="Romania"/>
    <s v="Picked Up"/>
    <x v="1"/>
    <x v="1"/>
    <x v="1"/>
  </r>
  <r>
    <s v="T1304"/>
    <x v="46"/>
    <n v="1"/>
    <x v="1"/>
    <x v="2"/>
    <d v="2025-03-26T00:00:00"/>
    <n v="6356.85"/>
    <n v="5150.6247169811322"/>
    <s v="DEV5527"/>
    <x v="4"/>
    <x v="0"/>
    <x v="2"/>
    <s v="Canada"/>
    <s v="Canada"/>
    <s v="Picked Up"/>
    <x v="1"/>
    <x v="1"/>
    <x v="0"/>
  </r>
  <r>
    <s v="T1305"/>
    <x v="46"/>
    <n v="1"/>
    <x v="0"/>
    <x v="0"/>
    <d v="2025-12-19T00:00:00"/>
    <n v="351.96"/>
    <n v="5150.6247169811322"/>
    <s v="DEV8877"/>
    <x v="1"/>
    <x v="1"/>
    <x v="5"/>
    <s v="New Zealand"/>
    <s v="Canada"/>
    <s v="Picked Up"/>
    <x v="0"/>
    <x v="0"/>
    <x v="0"/>
  </r>
  <r>
    <s v="T1306"/>
    <x v="46"/>
    <n v="1"/>
    <x v="1"/>
    <x v="0"/>
    <d v="2025-09-16T00:00:00"/>
    <n v="1540.26"/>
    <n v="5150.6247169811322"/>
    <s v="DEV5749"/>
    <x v="4"/>
    <x v="3"/>
    <x v="0"/>
    <s v="Zimbabwe"/>
    <s v="Turkmenistan"/>
    <s v="Picked Up"/>
    <x v="0"/>
    <x v="1"/>
    <x v="1"/>
  </r>
  <r>
    <s v="T1360"/>
    <x v="46"/>
    <n v="1"/>
    <x v="1"/>
    <x v="1"/>
    <d v="2025-06-02T00:00:00"/>
    <n v="6002.32"/>
    <n v="5150.6247169811322"/>
    <s v="DEV6533"/>
    <x v="2"/>
    <x v="0"/>
    <x v="3"/>
    <s v="Zimbabwe"/>
    <s v="France"/>
    <s v="Delivered by Post"/>
    <x v="1"/>
    <x v="0"/>
    <x v="0"/>
  </r>
  <r>
    <s v="T1389"/>
    <x v="46"/>
    <n v="1"/>
    <x v="1"/>
    <x v="1"/>
    <d v="2025-03-24T00:00:00"/>
    <n v="6463.83"/>
    <n v="5150.6247169811322"/>
    <s v="DEV5748"/>
    <x v="3"/>
    <x v="0"/>
    <x v="5"/>
    <s v="New Zealand"/>
    <s v="France"/>
    <s v="Delivered by Post"/>
    <x v="1"/>
    <x v="0"/>
    <x v="0"/>
  </r>
  <r>
    <s v="T1605"/>
    <x v="46"/>
    <n v="1"/>
    <x v="0"/>
    <x v="0"/>
    <d v="2025-11-09T00:00:00"/>
    <n v="1336.55"/>
    <n v="5150.6247169811322"/>
    <s v="DEV8145"/>
    <x v="3"/>
    <x v="2"/>
    <x v="2"/>
    <s v="Romania"/>
    <s v="Norway"/>
    <s v="Picked Up"/>
    <x v="0"/>
    <x v="1"/>
    <x v="0"/>
  </r>
  <r>
    <s v="T1626"/>
    <x v="46"/>
    <n v="1"/>
    <x v="0"/>
    <x v="3"/>
    <d v="2025-11-27T00:00:00"/>
    <n v="3934.25"/>
    <n v="5150.6247169811322"/>
    <s v="DEV1283"/>
    <x v="4"/>
    <x v="1"/>
    <x v="1"/>
    <s v="Zimbabwe"/>
    <s v="Turkmenistan"/>
    <s v="Delivered by Post"/>
    <x v="0"/>
    <x v="0"/>
    <x v="1"/>
  </r>
  <r>
    <s v="T1695"/>
    <x v="46"/>
    <n v="1"/>
    <x v="0"/>
    <x v="0"/>
    <d v="2025-09-25T00:00:00"/>
    <n v="8358.57"/>
    <n v="5150.6247169811322"/>
    <s v="DEV6215"/>
    <x v="1"/>
    <x v="3"/>
    <x v="3"/>
    <s v="France"/>
    <s v="New Zealand"/>
    <s v="Picked Up"/>
    <x v="1"/>
    <x v="1"/>
    <x v="0"/>
  </r>
  <r>
    <s v="T1716"/>
    <x v="46"/>
    <n v="1"/>
    <x v="0"/>
    <x v="2"/>
    <d v="2025-01-27T00:00:00"/>
    <n v="1905.56"/>
    <n v="5150.6247169811322"/>
    <s v="DEV9648"/>
    <x v="0"/>
    <x v="0"/>
    <x v="0"/>
    <s v="Comoros"/>
    <s v="Norway"/>
    <s v="Picked Up"/>
    <x v="0"/>
    <x v="0"/>
    <x v="0"/>
  </r>
  <r>
    <s v="T1734"/>
    <x v="46"/>
    <n v="1"/>
    <x v="1"/>
    <x v="2"/>
    <d v="2025-07-09T00:00:00"/>
    <n v="3864.36"/>
    <n v="5150.6247169811322"/>
    <s v="DEV7927"/>
    <x v="0"/>
    <x v="1"/>
    <x v="0"/>
    <s v="Canada"/>
    <s v="New Zealand"/>
    <s v="Picked Up"/>
    <x v="0"/>
    <x v="0"/>
    <x v="0"/>
  </r>
  <r>
    <s v="T1744"/>
    <x v="46"/>
    <n v="1"/>
    <x v="0"/>
    <x v="1"/>
    <d v="2025-11-26T00:00:00"/>
    <n v="2102.11"/>
    <n v="5150.6247169811322"/>
    <s v="DEV8899"/>
    <x v="1"/>
    <x v="0"/>
    <x v="2"/>
    <s v="Comoros"/>
    <s v="New Zealand"/>
    <s v="Delivered by Post"/>
    <x v="0"/>
    <x v="0"/>
    <x v="0"/>
  </r>
  <r>
    <s v="T1803"/>
    <x v="46"/>
    <n v="1"/>
    <x v="0"/>
    <x v="2"/>
    <d v="2025-11-21T00:00:00"/>
    <n v="5410.83"/>
    <n v="5150.6247169811322"/>
    <s v="DEV5441"/>
    <x v="3"/>
    <x v="0"/>
    <x v="1"/>
    <s v="Turkmenistan"/>
    <s v="Canada"/>
    <s v="Picked Up"/>
    <x v="1"/>
    <x v="0"/>
    <x v="0"/>
  </r>
  <r>
    <s v="T1833"/>
    <x v="46"/>
    <n v="1"/>
    <x v="1"/>
    <x v="3"/>
    <d v="2025-05-19T00:00:00"/>
    <n v="7379.23"/>
    <n v="5150.6247169811322"/>
    <s v="DEV7429"/>
    <x v="4"/>
    <x v="2"/>
    <x v="5"/>
    <s v="Zimbabwe"/>
    <s v="Bhutan"/>
    <s v="Picked Up"/>
    <x v="1"/>
    <x v="1"/>
    <x v="1"/>
  </r>
  <r>
    <s v="T1946"/>
    <x v="46"/>
    <n v="1"/>
    <x v="0"/>
    <x v="2"/>
    <d v="2025-03-07T00:00:00"/>
    <n v="3211.92"/>
    <n v="5150.6247169811322"/>
    <s v="DEV6555"/>
    <x v="3"/>
    <x v="2"/>
    <x v="1"/>
    <s v="Romania"/>
    <s v="Bhutan"/>
    <s v="Delivered by Post"/>
    <x v="0"/>
    <x v="1"/>
    <x v="0"/>
  </r>
  <r>
    <s v="T1956"/>
    <x v="46"/>
    <n v="1"/>
    <x v="0"/>
    <x v="1"/>
    <d v="2025-04-26T00:00:00"/>
    <n v="5871.76"/>
    <n v="5150.6247169811322"/>
    <s v="DEV5459"/>
    <x v="4"/>
    <x v="2"/>
    <x v="4"/>
    <s v="Bhutan"/>
    <s v="Comoros"/>
    <s v="Picked Up"/>
    <x v="1"/>
    <x v="1"/>
    <x v="1"/>
  </r>
  <r>
    <s v="T1988"/>
    <x v="46"/>
    <n v="1"/>
    <x v="1"/>
    <x v="0"/>
    <d v="2025-06-17T00:00:00"/>
    <n v="3343.39"/>
    <n v="5150.6247169811322"/>
    <s v="DEV6538"/>
    <x v="4"/>
    <x v="1"/>
    <x v="1"/>
    <s v="Canada"/>
    <s v="Bhutan"/>
    <s v="Picked Up"/>
    <x v="0"/>
    <x v="0"/>
    <x v="1"/>
  </r>
  <r>
    <s v="T2075"/>
    <x v="46"/>
    <n v="1"/>
    <x v="0"/>
    <x v="1"/>
    <d v="2025-12-03T00:00:00"/>
    <n v="7262.59"/>
    <n v="5150.6247169811322"/>
    <s v="DEV1478"/>
    <x v="4"/>
    <x v="2"/>
    <x v="4"/>
    <s v="New Zealand"/>
    <s v="Norway"/>
    <s v="Delivered by Post"/>
    <x v="1"/>
    <x v="1"/>
    <x v="1"/>
  </r>
  <r>
    <s v="T2190"/>
    <x v="46"/>
    <n v="1"/>
    <x v="1"/>
    <x v="3"/>
    <d v="2025-02-07T00:00:00"/>
    <n v="2496.62"/>
    <n v="5150.6247169811322"/>
    <s v="DEV2999"/>
    <x v="4"/>
    <x v="1"/>
    <x v="5"/>
    <s v="Canada"/>
    <s v="New Zealand"/>
    <s v="Picked Up"/>
    <x v="0"/>
    <x v="0"/>
    <x v="1"/>
  </r>
  <r>
    <s v="T2269"/>
    <x v="46"/>
    <n v="1"/>
    <x v="0"/>
    <x v="2"/>
    <d v="2025-07-04T00:00:00"/>
    <n v="7047.92"/>
    <n v="5150.6247169811322"/>
    <s v="DEV7005"/>
    <x v="4"/>
    <x v="0"/>
    <x v="4"/>
    <s v="France"/>
    <s v="Turkmenistan"/>
    <s v="Delivered by Post"/>
    <x v="1"/>
    <x v="0"/>
    <x v="1"/>
  </r>
  <r>
    <s v="T2292"/>
    <x v="46"/>
    <n v="1"/>
    <x v="1"/>
    <x v="2"/>
    <d v="2025-07-06T00:00:00"/>
    <n v="7068.03"/>
    <n v="5150.6247169811322"/>
    <s v="DEV4680"/>
    <x v="2"/>
    <x v="2"/>
    <x v="1"/>
    <s v="Romania"/>
    <s v="Bhutan"/>
    <s v="Picked Up"/>
    <x v="1"/>
    <x v="1"/>
    <x v="0"/>
  </r>
  <r>
    <s v="T2349"/>
    <x v="46"/>
    <n v="1"/>
    <x v="0"/>
    <x v="3"/>
    <d v="2025-06-14T00:00:00"/>
    <n v="5433.01"/>
    <n v="5150.6247169811322"/>
    <s v="DEV1897"/>
    <x v="4"/>
    <x v="0"/>
    <x v="5"/>
    <s v="Norway"/>
    <s v="Bhutan"/>
    <s v="Picked Up"/>
    <x v="1"/>
    <x v="0"/>
    <x v="1"/>
  </r>
  <r>
    <s v="T2366"/>
    <x v="46"/>
    <n v="1"/>
    <x v="0"/>
    <x v="0"/>
    <d v="2025-10-06T00:00:00"/>
    <n v="8509.1200000000008"/>
    <n v="5150.6247169811322"/>
    <s v="DEV6922"/>
    <x v="0"/>
    <x v="2"/>
    <x v="2"/>
    <s v="Turkmenistan"/>
    <s v="Norway"/>
    <s v="Picked Up"/>
    <x v="1"/>
    <x v="1"/>
    <x v="0"/>
  </r>
  <r>
    <s v="T2409"/>
    <x v="46"/>
    <n v="1"/>
    <x v="0"/>
    <x v="1"/>
    <d v="2025-10-29T00:00:00"/>
    <n v="785.16"/>
    <n v="5150.6247169811322"/>
    <s v="DEV2188"/>
    <x v="2"/>
    <x v="2"/>
    <x v="5"/>
    <s v="Bhutan"/>
    <s v="Norway"/>
    <s v="Picked Up"/>
    <x v="0"/>
    <x v="1"/>
    <x v="0"/>
  </r>
  <r>
    <s v="T2422"/>
    <x v="46"/>
    <n v="1"/>
    <x v="0"/>
    <x v="3"/>
    <d v="2025-07-31T00:00:00"/>
    <n v="4454.21"/>
    <n v="5150.6247169811322"/>
    <s v="DEV1879"/>
    <x v="4"/>
    <x v="0"/>
    <x v="2"/>
    <s v="Canada"/>
    <s v="Canada"/>
    <s v="Picked Up"/>
    <x v="0"/>
    <x v="1"/>
    <x v="0"/>
  </r>
  <r>
    <s v="T2440"/>
    <x v="46"/>
    <n v="1"/>
    <x v="0"/>
    <x v="0"/>
    <d v="2025-07-04T00:00:00"/>
    <n v="7893.82"/>
    <n v="5150.6247169811322"/>
    <s v="DEV7587"/>
    <x v="3"/>
    <x v="2"/>
    <x v="3"/>
    <s v="Romania"/>
    <s v="Canada"/>
    <s v="Delivered by Post"/>
    <x v="1"/>
    <x v="1"/>
    <x v="0"/>
  </r>
  <r>
    <s v="T2536"/>
    <x v="46"/>
    <n v="1"/>
    <x v="0"/>
    <x v="3"/>
    <d v="2025-09-16T00:00:00"/>
    <n v="7059.54"/>
    <n v="5150.6247169811322"/>
    <s v="DEV5389"/>
    <x v="2"/>
    <x v="2"/>
    <x v="5"/>
    <s v="Zimbabwe"/>
    <s v="Bhutan"/>
    <s v="Delivered by Post"/>
    <x v="1"/>
    <x v="1"/>
    <x v="0"/>
  </r>
  <r>
    <s v="T2616"/>
    <x v="46"/>
    <n v="1"/>
    <x v="1"/>
    <x v="0"/>
    <d v="2025-06-10T00:00:00"/>
    <n v="8805.1200000000008"/>
    <n v="5150.6247169811322"/>
    <s v="DEV1751"/>
    <x v="3"/>
    <x v="1"/>
    <x v="1"/>
    <s v="Turkmenistan"/>
    <s v="Romania"/>
    <s v="Delivered by Post"/>
    <x v="1"/>
    <x v="0"/>
    <x v="0"/>
  </r>
  <r>
    <s v="T2695"/>
    <x v="46"/>
    <n v="1"/>
    <x v="0"/>
    <x v="3"/>
    <d v="2025-01-23T00:00:00"/>
    <n v="5329.94"/>
    <n v="5150.6247169811322"/>
    <s v="DEV9126"/>
    <x v="4"/>
    <x v="0"/>
    <x v="4"/>
    <s v="Comoros"/>
    <s v="France"/>
    <s v="Delivered by Post"/>
    <x v="1"/>
    <x v="0"/>
    <x v="1"/>
  </r>
  <r>
    <s v="T2758"/>
    <x v="46"/>
    <n v="1"/>
    <x v="1"/>
    <x v="3"/>
    <d v="2025-05-25T00:00:00"/>
    <n v="3398.93"/>
    <n v="5150.6247169811322"/>
    <s v="DEV8375"/>
    <x v="2"/>
    <x v="1"/>
    <x v="4"/>
    <s v="Comoros"/>
    <s v="Turkmenistan"/>
    <s v="Picked Up"/>
    <x v="0"/>
    <x v="0"/>
    <x v="0"/>
  </r>
  <r>
    <s v="T2784"/>
    <x v="46"/>
    <n v="1"/>
    <x v="1"/>
    <x v="1"/>
    <d v="2025-02-25T00:00:00"/>
    <n v="5095.3900000000003"/>
    <n v="5150.6247169811322"/>
    <s v="DEV5716"/>
    <x v="3"/>
    <x v="1"/>
    <x v="3"/>
    <s v="Zimbabwe"/>
    <s v="Turkmenistan"/>
    <s v="Picked Up"/>
    <x v="0"/>
    <x v="0"/>
    <x v="0"/>
  </r>
  <r>
    <s v="T0035"/>
    <x v="47"/>
    <n v="1"/>
    <x v="3"/>
    <x v="3"/>
    <d v="2025-07-07T20:50:00"/>
    <n v="6536.1"/>
    <n v="4514.0678260869581"/>
    <s v="DEV8284"/>
    <x v="5"/>
    <x v="3"/>
    <x v="2"/>
    <s v="Faroe Islands"/>
    <s v="Senegal"/>
    <s v="Picked Up"/>
    <x v="1"/>
    <x v="1"/>
    <x v="1"/>
  </r>
  <r>
    <s v="T0051"/>
    <x v="47"/>
    <n v="1"/>
    <x v="1"/>
    <x v="0"/>
    <d v="2025-08-08T13:44:00"/>
    <n v="3662.42"/>
    <n v="4514.0678260869581"/>
    <s v="DEV1013"/>
    <x v="4"/>
    <x v="1"/>
    <x v="5"/>
    <s v="Faroe Islands"/>
    <s v="Ghana"/>
    <s v="Picked Up"/>
    <x v="0"/>
    <x v="0"/>
    <x v="1"/>
  </r>
  <r>
    <s v="T0087"/>
    <x v="47"/>
    <n v="1"/>
    <x v="2"/>
    <x v="1"/>
    <d v="2025-08-10T12:29:00"/>
    <n v="5177.59"/>
    <n v="4514.0678260869581"/>
    <s v="DEV5713"/>
    <x v="4"/>
    <x v="0"/>
    <x v="0"/>
    <s v="Faroe Islands"/>
    <s v="Montserrat"/>
    <s v="Picked Up"/>
    <x v="1"/>
    <x v="0"/>
    <x v="1"/>
  </r>
  <r>
    <s v="T0152"/>
    <x v="47"/>
    <n v="1"/>
    <x v="0"/>
    <x v="1"/>
    <d v="2025-04-21T00:00:00"/>
    <n v="5381.85"/>
    <n v="4514.0678260869581"/>
    <s v="DEV8933"/>
    <x v="4"/>
    <x v="3"/>
    <x v="2"/>
    <s v="Romania"/>
    <s v="France"/>
    <s v="Picked Up"/>
    <x v="1"/>
    <x v="1"/>
    <x v="1"/>
  </r>
  <r>
    <s v="T0168"/>
    <x v="47"/>
    <n v="1"/>
    <x v="1"/>
    <x v="2"/>
    <d v="2025-12-06T00:00:00"/>
    <n v="4756.1099999999997"/>
    <n v="4514.0678260869581"/>
    <s v="DEV3492"/>
    <x v="0"/>
    <x v="0"/>
    <x v="0"/>
    <s v="Turkmenistan"/>
    <s v="New Zealand"/>
    <s v="Picked Up"/>
    <x v="1"/>
    <x v="0"/>
    <x v="0"/>
  </r>
  <r>
    <s v="T0288"/>
    <x v="47"/>
    <n v="1"/>
    <x v="0"/>
    <x v="3"/>
    <d v="2025-07-12T00:00:00"/>
    <n v="6964.83"/>
    <n v="4514.0678260869581"/>
    <s v="DEV7437"/>
    <x v="4"/>
    <x v="0"/>
    <x v="5"/>
    <s v="Romania"/>
    <s v="Turkmenistan"/>
    <s v="Picked Up"/>
    <x v="1"/>
    <x v="0"/>
    <x v="1"/>
  </r>
  <r>
    <s v="T0368"/>
    <x v="47"/>
    <n v="1"/>
    <x v="0"/>
    <x v="3"/>
    <d v="2025-12-02T00:00:00"/>
    <n v="2623.59"/>
    <n v="4514.0678260869581"/>
    <s v="DEV4641"/>
    <x v="4"/>
    <x v="2"/>
    <x v="3"/>
    <s v="France"/>
    <s v="Bhutan"/>
    <s v="Delivered by Post"/>
    <x v="0"/>
    <x v="1"/>
    <x v="1"/>
  </r>
  <r>
    <s v="T0398"/>
    <x v="47"/>
    <n v="1"/>
    <x v="1"/>
    <x v="0"/>
    <d v="2025-07-15T00:00:00"/>
    <n v="6488.84"/>
    <n v="4514.0678260869581"/>
    <s v="DEV7825"/>
    <x v="4"/>
    <x v="0"/>
    <x v="2"/>
    <s v="France"/>
    <s v="Romania"/>
    <s v="Delivered by Post"/>
    <x v="1"/>
    <x v="0"/>
    <x v="1"/>
  </r>
  <r>
    <s v="T0406"/>
    <x v="47"/>
    <n v="1"/>
    <x v="1"/>
    <x v="0"/>
    <d v="2025-02-14T00:00:00"/>
    <n v="6876.13"/>
    <n v="4514.0678260869581"/>
    <s v="DEV1889"/>
    <x v="3"/>
    <x v="3"/>
    <x v="5"/>
    <s v="Zimbabwe"/>
    <s v="Romania"/>
    <s v="Delivered by Post"/>
    <x v="1"/>
    <x v="1"/>
    <x v="0"/>
  </r>
  <r>
    <s v="T0447"/>
    <x v="47"/>
    <n v="1"/>
    <x v="1"/>
    <x v="3"/>
    <d v="2025-01-11T00:00:00"/>
    <n v="3379.83"/>
    <n v="4514.0678260869581"/>
    <s v="DEV2986"/>
    <x v="4"/>
    <x v="2"/>
    <x v="5"/>
    <s v="Turkmenistan"/>
    <s v="Norway"/>
    <s v="Delivered by Post"/>
    <x v="0"/>
    <x v="1"/>
    <x v="1"/>
  </r>
  <r>
    <s v="T0563"/>
    <x v="47"/>
    <n v="1"/>
    <x v="0"/>
    <x v="0"/>
    <d v="2025-08-30T00:00:00"/>
    <n v="4155.32"/>
    <n v="4514.0678260869581"/>
    <s v="DEV8936"/>
    <x v="1"/>
    <x v="1"/>
    <x v="0"/>
    <s v="Romania"/>
    <s v="Comoros"/>
    <s v="Picked Up"/>
    <x v="0"/>
    <x v="0"/>
    <x v="0"/>
  </r>
  <r>
    <s v="T0696"/>
    <x v="47"/>
    <n v="1"/>
    <x v="0"/>
    <x v="3"/>
    <d v="2025-04-09T00:00:00"/>
    <n v="697.24"/>
    <n v="4514.0678260869581"/>
    <s v="DEV1378"/>
    <x v="2"/>
    <x v="3"/>
    <x v="3"/>
    <s v="Turkmenistan"/>
    <s v="Comoros"/>
    <s v="Picked Up"/>
    <x v="0"/>
    <x v="1"/>
    <x v="0"/>
  </r>
  <r>
    <s v="T0767"/>
    <x v="47"/>
    <n v="1"/>
    <x v="0"/>
    <x v="3"/>
    <d v="2025-07-14T00:00:00"/>
    <n v="9422.98"/>
    <n v="4514.0678260869581"/>
    <s v="DEV1027"/>
    <x v="4"/>
    <x v="0"/>
    <x v="5"/>
    <s v="Turkmenistan"/>
    <s v="Romania"/>
    <s v="Delivered by Post"/>
    <x v="1"/>
    <x v="0"/>
    <x v="1"/>
  </r>
  <r>
    <s v="T0793"/>
    <x v="47"/>
    <n v="1"/>
    <x v="0"/>
    <x v="2"/>
    <d v="2025-03-28T00:00:00"/>
    <n v="6628.68"/>
    <n v="4514.0678260869581"/>
    <s v="DEV9577"/>
    <x v="3"/>
    <x v="2"/>
    <x v="2"/>
    <s v="New Zealand"/>
    <s v="Norway"/>
    <s v="Delivered by Post"/>
    <x v="1"/>
    <x v="1"/>
    <x v="0"/>
  </r>
  <r>
    <s v="T0839"/>
    <x v="47"/>
    <n v="1"/>
    <x v="0"/>
    <x v="0"/>
    <d v="2025-10-28T00:00:00"/>
    <n v="5060.6099999999997"/>
    <n v="4514.0678260869581"/>
    <s v="DEV8814"/>
    <x v="2"/>
    <x v="0"/>
    <x v="1"/>
    <s v="Norway"/>
    <s v="Norway"/>
    <s v="Delivered by Post"/>
    <x v="1"/>
    <x v="1"/>
    <x v="0"/>
  </r>
  <r>
    <s v="T1016"/>
    <x v="47"/>
    <n v="1"/>
    <x v="0"/>
    <x v="2"/>
    <d v="2025-03-01T00:00:00"/>
    <n v="2605.7399999999998"/>
    <n v="4514.0678260869581"/>
    <s v="DEV5275"/>
    <x v="4"/>
    <x v="2"/>
    <x v="3"/>
    <s v="Canada"/>
    <s v="New Zealand"/>
    <s v="Delivered by Post"/>
    <x v="0"/>
    <x v="1"/>
    <x v="1"/>
  </r>
  <r>
    <s v="T1027"/>
    <x v="47"/>
    <n v="1"/>
    <x v="1"/>
    <x v="1"/>
    <d v="2025-03-24T00:00:00"/>
    <n v="6033.36"/>
    <n v="4514.0678260869581"/>
    <s v="DEV7046"/>
    <x v="3"/>
    <x v="2"/>
    <x v="4"/>
    <s v="Romania"/>
    <s v="New Zealand"/>
    <s v="Picked Up"/>
    <x v="1"/>
    <x v="1"/>
    <x v="0"/>
  </r>
  <r>
    <s v="T1114"/>
    <x v="47"/>
    <n v="1"/>
    <x v="1"/>
    <x v="2"/>
    <d v="2025-04-07T00:00:00"/>
    <n v="527.16"/>
    <n v="4514.0678260869581"/>
    <s v="DEV9810"/>
    <x v="1"/>
    <x v="1"/>
    <x v="3"/>
    <s v="Turkmenistan"/>
    <s v="Turkmenistan"/>
    <s v="Picked Up"/>
    <x v="0"/>
    <x v="1"/>
    <x v="0"/>
  </r>
  <r>
    <s v="T1189"/>
    <x v="47"/>
    <n v="1"/>
    <x v="0"/>
    <x v="1"/>
    <d v="2025-11-24T00:00:00"/>
    <n v="4109.58"/>
    <n v="4514.0678260869581"/>
    <s v="DEV8432"/>
    <x v="3"/>
    <x v="2"/>
    <x v="3"/>
    <s v="Canada"/>
    <s v="Turkmenistan"/>
    <s v="Picked Up"/>
    <x v="0"/>
    <x v="1"/>
    <x v="0"/>
  </r>
  <r>
    <s v="T1220"/>
    <x v="47"/>
    <n v="1"/>
    <x v="1"/>
    <x v="0"/>
    <d v="2025-10-05T00:00:00"/>
    <n v="8886.7800000000007"/>
    <n v="4514.0678260869581"/>
    <s v="DEV4360"/>
    <x v="0"/>
    <x v="1"/>
    <x v="5"/>
    <s v="New Zealand"/>
    <s v="New Zealand"/>
    <s v="Picked Up"/>
    <x v="1"/>
    <x v="1"/>
    <x v="0"/>
  </r>
  <r>
    <s v="T1269"/>
    <x v="47"/>
    <n v="1"/>
    <x v="1"/>
    <x v="0"/>
    <d v="2025-03-10T00:00:00"/>
    <n v="8383.32"/>
    <n v="4514.0678260869581"/>
    <s v="DEV9528"/>
    <x v="2"/>
    <x v="0"/>
    <x v="5"/>
    <s v="Norway"/>
    <s v="Comoros"/>
    <s v="Delivered by Post"/>
    <x v="1"/>
    <x v="0"/>
    <x v="0"/>
  </r>
  <r>
    <s v="T1327"/>
    <x v="47"/>
    <n v="1"/>
    <x v="0"/>
    <x v="3"/>
    <d v="2025-05-02T00:00:00"/>
    <n v="476.39"/>
    <n v="4514.0678260869581"/>
    <s v="DEV7479"/>
    <x v="0"/>
    <x v="1"/>
    <x v="3"/>
    <s v="Canada"/>
    <s v="Turkmenistan"/>
    <s v="Picked Up"/>
    <x v="0"/>
    <x v="0"/>
    <x v="0"/>
  </r>
  <r>
    <s v="T1346"/>
    <x v="47"/>
    <n v="1"/>
    <x v="1"/>
    <x v="2"/>
    <d v="2025-01-25T00:00:00"/>
    <n v="8730.86"/>
    <n v="4514.0678260869581"/>
    <s v="DEV2094"/>
    <x v="4"/>
    <x v="0"/>
    <x v="4"/>
    <s v="Turkmenistan"/>
    <s v="Turkmenistan"/>
    <s v="Delivered by Post"/>
    <x v="1"/>
    <x v="1"/>
    <x v="0"/>
  </r>
  <r>
    <s v="T1355"/>
    <x v="47"/>
    <n v="1"/>
    <x v="1"/>
    <x v="2"/>
    <d v="2025-12-15T00:00:00"/>
    <n v="278.04000000000002"/>
    <n v="4514.0678260869581"/>
    <s v="DEV8431"/>
    <x v="0"/>
    <x v="0"/>
    <x v="4"/>
    <s v="Comoros"/>
    <s v="Romania"/>
    <s v="Delivered by Post"/>
    <x v="0"/>
    <x v="0"/>
    <x v="0"/>
  </r>
  <r>
    <s v="T1381"/>
    <x v="47"/>
    <n v="1"/>
    <x v="0"/>
    <x v="3"/>
    <d v="2025-05-28T00:00:00"/>
    <n v="113.34"/>
    <n v="4514.0678260869581"/>
    <s v="DEV2140"/>
    <x v="2"/>
    <x v="2"/>
    <x v="0"/>
    <s v="Turkmenistan"/>
    <s v="Zimbabwe"/>
    <s v="Picked Up"/>
    <x v="0"/>
    <x v="1"/>
    <x v="0"/>
  </r>
  <r>
    <s v="T1705"/>
    <x v="47"/>
    <n v="1"/>
    <x v="0"/>
    <x v="3"/>
    <d v="2025-06-09T00:00:00"/>
    <n v="4322.3599999999997"/>
    <n v="4514.0678260869581"/>
    <s v="DEV1753"/>
    <x v="4"/>
    <x v="2"/>
    <x v="0"/>
    <s v="Comoros"/>
    <s v="Bhutan"/>
    <s v="Picked Up"/>
    <x v="0"/>
    <x v="1"/>
    <x v="1"/>
  </r>
  <r>
    <s v="T1776"/>
    <x v="47"/>
    <n v="1"/>
    <x v="0"/>
    <x v="3"/>
    <d v="2025-04-13T00:00:00"/>
    <n v="7614.57"/>
    <n v="4514.0678260869581"/>
    <s v="DEV3910"/>
    <x v="3"/>
    <x v="2"/>
    <x v="1"/>
    <s v="Comoros"/>
    <s v="Zimbabwe"/>
    <s v="Picked Up"/>
    <x v="1"/>
    <x v="1"/>
    <x v="0"/>
  </r>
  <r>
    <s v="T1789"/>
    <x v="47"/>
    <n v="1"/>
    <x v="1"/>
    <x v="3"/>
    <d v="2025-04-19T00:00:00"/>
    <n v="983.94"/>
    <n v="4514.0678260869581"/>
    <s v="DEV1839"/>
    <x v="0"/>
    <x v="1"/>
    <x v="2"/>
    <s v="Turkmenistan"/>
    <s v="Comoros"/>
    <s v="Delivered by Post"/>
    <x v="0"/>
    <x v="0"/>
    <x v="0"/>
  </r>
  <r>
    <s v="T1843"/>
    <x v="47"/>
    <n v="1"/>
    <x v="1"/>
    <x v="1"/>
    <d v="2025-10-23T00:00:00"/>
    <n v="780.62"/>
    <n v="4514.0678260869581"/>
    <s v="DEV7901"/>
    <x v="0"/>
    <x v="1"/>
    <x v="4"/>
    <s v="Norway"/>
    <s v="Bhutan"/>
    <s v="Picked Up"/>
    <x v="0"/>
    <x v="0"/>
    <x v="0"/>
  </r>
  <r>
    <s v="T1872"/>
    <x v="47"/>
    <n v="1"/>
    <x v="1"/>
    <x v="0"/>
    <d v="2025-05-12T00:00:00"/>
    <n v="5764.44"/>
    <n v="4514.0678260869581"/>
    <s v="DEV9291"/>
    <x v="0"/>
    <x v="0"/>
    <x v="5"/>
    <s v="New Zealand"/>
    <s v="New Zealand"/>
    <s v="Picked Up"/>
    <x v="1"/>
    <x v="1"/>
    <x v="0"/>
  </r>
  <r>
    <s v="T1926"/>
    <x v="47"/>
    <n v="1"/>
    <x v="1"/>
    <x v="3"/>
    <d v="2025-10-26T00:00:00"/>
    <n v="9050.73"/>
    <n v="4514.0678260869581"/>
    <s v="DEV3993"/>
    <x v="0"/>
    <x v="1"/>
    <x v="4"/>
    <s v="France"/>
    <s v="Zimbabwe"/>
    <s v="Delivered by Post"/>
    <x v="1"/>
    <x v="0"/>
    <x v="0"/>
  </r>
  <r>
    <s v="T1987"/>
    <x v="47"/>
    <n v="1"/>
    <x v="0"/>
    <x v="3"/>
    <d v="2025-09-20T00:00:00"/>
    <n v="1451.34"/>
    <n v="4514.0678260869581"/>
    <s v="DEV1522"/>
    <x v="4"/>
    <x v="0"/>
    <x v="4"/>
    <s v="Norway"/>
    <s v="France"/>
    <s v="Picked Up"/>
    <x v="0"/>
    <x v="0"/>
    <x v="1"/>
  </r>
  <r>
    <s v="T2011"/>
    <x v="47"/>
    <n v="1"/>
    <x v="1"/>
    <x v="1"/>
    <d v="2025-05-12T00:00:00"/>
    <n v="3229.79"/>
    <n v="4514.0678260869581"/>
    <s v="DEV5412"/>
    <x v="3"/>
    <x v="0"/>
    <x v="0"/>
    <s v="Zimbabwe"/>
    <s v="France"/>
    <s v="Delivered by Post"/>
    <x v="0"/>
    <x v="0"/>
    <x v="0"/>
  </r>
  <r>
    <s v="T2072"/>
    <x v="47"/>
    <n v="1"/>
    <x v="1"/>
    <x v="3"/>
    <d v="2025-11-22T00:00:00"/>
    <n v="4925.72"/>
    <n v="4514.0678260869581"/>
    <s v="DEV1078"/>
    <x v="3"/>
    <x v="0"/>
    <x v="2"/>
    <s v="Bhutan"/>
    <s v="Norway"/>
    <s v="Delivered by Post"/>
    <x v="1"/>
    <x v="0"/>
    <x v="0"/>
  </r>
  <r>
    <s v="T2155"/>
    <x v="47"/>
    <n v="1"/>
    <x v="0"/>
    <x v="1"/>
    <d v="2025-09-01T00:00:00"/>
    <n v="4623.97"/>
    <n v="4514.0678260869581"/>
    <s v="DEV8630"/>
    <x v="0"/>
    <x v="1"/>
    <x v="1"/>
    <s v="Canada"/>
    <s v="France"/>
    <s v="Picked Up"/>
    <x v="1"/>
    <x v="0"/>
    <x v="0"/>
  </r>
  <r>
    <s v="T2183"/>
    <x v="47"/>
    <n v="1"/>
    <x v="1"/>
    <x v="0"/>
    <d v="2025-03-16T00:00:00"/>
    <n v="1331.74"/>
    <n v="4514.0678260869581"/>
    <s v="DEV6728"/>
    <x v="1"/>
    <x v="3"/>
    <x v="1"/>
    <s v="Norway"/>
    <s v="Canada"/>
    <s v="Delivered by Post"/>
    <x v="0"/>
    <x v="1"/>
    <x v="0"/>
  </r>
  <r>
    <s v="T2204"/>
    <x v="47"/>
    <n v="1"/>
    <x v="0"/>
    <x v="2"/>
    <d v="2025-03-11T00:00:00"/>
    <n v="8255.7199999999993"/>
    <n v="4514.0678260869581"/>
    <s v="DEV6451"/>
    <x v="3"/>
    <x v="1"/>
    <x v="3"/>
    <s v="France"/>
    <s v="Zimbabwe"/>
    <s v="Picked Up"/>
    <x v="1"/>
    <x v="0"/>
    <x v="0"/>
  </r>
  <r>
    <s v="T2222"/>
    <x v="47"/>
    <n v="1"/>
    <x v="1"/>
    <x v="0"/>
    <d v="2025-09-08T00:00:00"/>
    <n v="400.9"/>
    <n v="4514.0678260869581"/>
    <s v="DEV8085"/>
    <x v="2"/>
    <x v="2"/>
    <x v="5"/>
    <s v="New Zealand"/>
    <s v="New Zealand"/>
    <s v="Picked Up"/>
    <x v="0"/>
    <x v="1"/>
    <x v="0"/>
  </r>
  <r>
    <s v="T2344"/>
    <x v="47"/>
    <n v="1"/>
    <x v="1"/>
    <x v="3"/>
    <d v="2025-12-05T00:00:00"/>
    <n v="8127.28"/>
    <n v="4514.0678260869581"/>
    <s v="DEV3513"/>
    <x v="0"/>
    <x v="1"/>
    <x v="5"/>
    <s v="Comoros"/>
    <s v="Zimbabwe"/>
    <s v="Delivered by Post"/>
    <x v="1"/>
    <x v="0"/>
    <x v="0"/>
  </r>
  <r>
    <s v="T2389"/>
    <x v="47"/>
    <n v="1"/>
    <x v="1"/>
    <x v="1"/>
    <d v="2025-09-20T00:00:00"/>
    <n v="5432.98"/>
    <n v="4514.0678260869581"/>
    <s v="DEV9390"/>
    <x v="0"/>
    <x v="0"/>
    <x v="5"/>
    <s v="France"/>
    <s v="Romania"/>
    <s v="Delivered by Post"/>
    <x v="1"/>
    <x v="0"/>
    <x v="0"/>
  </r>
  <r>
    <s v="T2538"/>
    <x v="47"/>
    <n v="1"/>
    <x v="1"/>
    <x v="1"/>
    <d v="2025-12-07T00:00:00"/>
    <n v="1584.81"/>
    <n v="4514.0678260869581"/>
    <s v="DEV9422"/>
    <x v="4"/>
    <x v="3"/>
    <x v="3"/>
    <s v="France"/>
    <s v="Zimbabwe"/>
    <s v="Delivered by Post"/>
    <x v="0"/>
    <x v="1"/>
    <x v="1"/>
  </r>
  <r>
    <s v="T2615"/>
    <x v="47"/>
    <n v="1"/>
    <x v="1"/>
    <x v="0"/>
    <d v="2025-09-01T00:00:00"/>
    <n v="5272.37"/>
    <n v="4514.0678260869581"/>
    <s v="DEV8513"/>
    <x v="3"/>
    <x v="0"/>
    <x v="1"/>
    <s v="Zimbabwe"/>
    <s v="New Zealand"/>
    <s v="Picked Up"/>
    <x v="1"/>
    <x v="0"/>
    <x v="0"/>
  </r>
  <r>
    <s v="T2669"/>
    <x v="47"/>
    <n v="1"/>
    <x v="1"/>
    <x v="1"/>
    <d v="2025-03-06T00:00:00"/>
    <n v="8243.57"/>
    <n v="4514.0678260869581"/>
    <s v="DEV2335"/>
    <x v="2"/>
    <x v="3"/>
    <x v="1"/>
    <s v="Comoros"/>
    <s v="France"/>
    <s v="Delivered by Post"/>
    <x v="1"/>
    <x v="1"/>
    <x v="0"/>
  </r>
  <r>
    <s v="T2676"/>
    <x v="47"/>
    <n v="1"/>
    <x v="1"/>
    <x v="0"/>
    <d v="2025-01-04T00:00:00"/>
    <n v="621.55999999999995"/>
    <n v="4514.0678260869581"/>
    <s v="DEV6836"/>
    <x v="0"/>
    <x v="1"/>
    <x v="2"/>
    <s v="Bhutan"/>
    <s v="Canada"/>
    <s v="Delivered by Post"/>
    <x v="0"/>
    <x v="0"/>
    <x v="0"/>
  </r>
  <r>
    <s v="T2737"/>
    <x v="47"/>
    <n v="1"/>
    <x v="0"/>
    <x v="3"/>
    <d v="2025-10-26T00:00:00"/>
    <n v="3622.01"/>
    <n v="4514.0678260869581"/>
    <s v="DEV6515"/>
    <x v="1"/>
    <x v="2"/>
    <x v="0"/>
    <s v="Canada"/>
    <s v="New Zealand"/>
    <s v="Picked Up"/>
    <x v="0"/>
    <x v="1"/>
    <x v="0"/>
  </r>
  <r>
    <s v="T2770"/>
    <x v="47"/>
    <n v="1"/>
    <x v="0"/>
    <x v="0"/>
    <d v="2025-07-04T00:00:00"/>
    <n v="4050.01"/>
    <n v="4514.0678260869581"/>
    <s v="DEV3892"/>
    <x v="1"/>
    <x v="3"/>
    <x v="1"/>
    <s v="Norway"/>
    <s v="Bhutan"/>
    <s v="Delivered by Post"/>
    <x v="0"/>
    <x v="1"/>
    <x v="0"/>
  </r>
  <r>
    <s v="T0057"/>
    <x v="48"/>
    <n v="1"/>
    <x v="0"/>
    <x v="0"/>
    <d v="2025-04-27T21:11:00"/>
    <n v="7022.36"/>
    <n v="5426.7346031746029"/>
    <s v="DEV6117"/>
    <x v="1"/>
    <x v="0"/>
    <x v="3"/>
    <s v="Macedonia"/>
    <s v="Kiribati"/>
    <s v="Delivered by Post"/>
    <x v="1"/>
    <x v="0"/>
    <x v="0"/>
  </r>
  <r>
    <s v="T0083"/>
    <x v="48"/>
    <n v="1"/>
    <x v="2"/>
    <x v="0"/>
    <d v="2025-08-22T14:31:00"/>
    <n v="4687.1000000000004"/>
    <n v="5426.7346031746029"/>
    <s v="DEV7468"/>
    <x v="3"/>
    <x v="1"/>
    <x v="2"/>
    <s v="Macedonia"/>
    <s v="Puerto Rico"/>
    <s v="Picked Up"/>
    <x v="0"/>
    <x v="0"/>
    <x v="0"/>
  </r>
  <r>
    <s v="T0137"/>
    <x v="48"/>
    <n v="1"/>
    <x v="1"/>
    <x v="2"/>
    <d v="2025-03-23T00:00:00"/>
    <n v="8919.69"/>
    <n v="5426.7346031746029"/>
    <s v="DEV8777"/>
    <x v="0"/>
    <x v="3"/>
    <x v="0"/>
    <s v="France"/>
    <s v="Turkmenistan"/>
    <s v="Delivered by Post"/>
    <x v="1"/>
    <x v="1"/>
    <x v="0"/>
  </r>
  <r>
    <s v="T0140"/>
    <x v="48"/>
    <n v="1"/>
    <x v="1"/>
    <x v="3"/>
    <d v="2025-07-19T00:00:00"/>
    <n v="5778.12"/>
    <n v="5426.7346031746029"/>
    <s v="DEV9818"/>
    <x v="2"/>
    <x v="2"/>
    <x v="4"/>
    <s v="Romania"/>
    <s v="France"/>
    <s v="Delivered by Post"/>
    <x v="1"/>
    <x v="1"/>
    <x v="0"/>
  </r>
  <r>
    <s v="T0148"/>
    <x v="48"/>
    <n v="1"/>
    <x v="1"/>
    <x v="3"/>
    <d v="2025-01-15T00:00:00"/>
    <n v="4673.8500000000004"/>
    <n v="5426.7346031746029"/>
    <s v="DEV6325"/>
    <x v="3"/>
    <x v="1"/>
    <x v="0"/>
    <s v="New Zealand"/>
    <s v="France"/>
    <s v="Delivered by Post"/>
    <x v="0"/>
    <x v="0"/>
    <x v="0"/>
  </r>
  <r>
    <s v="T0178"/>
    <x v="48"/>
    <n v="1"/>
    <x v="1"/>
    <x v="3"/>
    <d v="2025-02-16T00:00:00"/>
    <n v="9666.68"/>
    <n v="5426.7346031746029"/>
    <s v="DEV1228"/>
    <x v="4"/>
    <x v="0"/>
    <x v="4"/>
    <s v="New Zealand"/>
    <s v="France"/>
    <s v="Delivered by Post"/>
    <x v="1"/>
    <x v="0"/>
    <x v="1"/>
  </r>
  <r>
    <s v="T0201"/>
    <x v="48"/>
    <n v="1"/>
    <x v="1"/>
    <x v="2"/>
    <d v="2025-10-16T00:00:00"/>
    <n v="7603.57"/>
    <n v="5426.7346031746029"/>
    <s v="DEV8354"/>
    <x v="2"/>
    <x v="3"/>
    <x v="3"/>
    <s v="New Zealand"/>
    <s v="Norway"/>
    <s v="Delivered by Post"/>
    <x v="1"/>
    <x v="1"/>
    <x v="0"/>
  </r>
  <r>
    <s v="T0250"/>
    <x v="48"/>
    <n v="1"/>
    <x v="0"/>
    <x v="0"/>
    <d v="2025-11-30T00:00:00"/>
    <n v="9640.94"/>
    <n v="5426.7346031746029"/>
    <s v="DEV4804"/>
    <x v="2"/>
    <x v="0"/>
    <x v="0"/>
    <s v="Bhutan"/>
    <s v="Norway"/>
    <s v="Picked Up"/>
    <x v="1"/>
    <x v="0"/>
    <x v="0"/>
  </r>
  <r>
    <s v="T0280"/>
    <x v="48"/>
    <n v="1"/>
    <x v="0"/>
    <x v="3"/>
    <d v="2025-01-28T00:00:00"/>
    <n v="7410.46"/>
    <n v="5426.7346031746029"/>
    <s v="DEV8161"/>
    <x v="3"/>
    <x v="0"/>
    <x v="1"/>
    <s v="Bhutan"/>
    <s v="New Zealand"/>
    <s v="Picked Up"/>
    <x v="1"/>
    <x v="0"/>
    <x v="0"/>
  </r>
  <r>
    <s v="T0352"/>
    <x v="48"/>
    <n v="1"/>
    <x v="1"/>
    <x v="2"/>
    <d v="2025-10-29T00:00:00"/>
    <n v="6979.89"/>
    <n v="5426.7346031746029"/>
    <s v="DEV1999"/>
    <x v="0"/>
    <x v="1"/>
    <x v="5"/>
    <s v="Comoros"/>
    <s v="Romania"/>
    <s v="Delivered by Post"/>
    <x v="1"/>
    <x v="0"/>
    <x v="0"/>
  </r>
  <r>
    <s v="T0430"/>
    <x v="48"/>
    <n v="1"/>
    <x v="1"/>
    <x v="1"/>
    <d v="2025-07-09T00:00:00"/>
    <n v="2076.75"/>
    <n v="5426.7346031746029"/>
    <s v="DEV8925"/>
    <x v="4"/>
    <x v="3"/>
    <x v="5"/>
    <s v="New Zealand"/>
    <s v="Bhutan"/>
    <s v="Picked Up"/>
    <x v="0"/>
    <x v="1"/>
    <x v="1"/>
  </r>
  <r>
    <s v="T0599"/>
    <x v="48"/>
    <n v="1"/>
    <x v="0"/>
    <x v="1"/>
    <d v="2025-09-16T00:00:00"/>
    <n v="5394.41"/>
    <n v="5426.7346031746029"/>
    <s v="DEV8777"/>
    <x v="4"/>
    <x v="2"/>
    <x v="4"/>
    <s v="Zimbabwe"/>
    <s v="Norway"/>
    <s v="Delivered by Post"/>
    <x v="0"/>
    <x v="1"/>
    <x v="1"/>
  </r>
  <r>
    <s v="T0670"/>
    <x v="48"/>
    <n v="1"/>
    <x v="1"/>
    <x v="1"/>
    <d v="2025-06-05T00:00:00"/>
    <n v="6375.07"/>
    <n v="5426.7346031746029"/>
    <s v="DEV7926"/>
    <x v="2"/>
    <x v="0"/>
    <x v="3"/>
    <s v="Canada"/>
    <s v="New Zealand"/>
    <s v="Delivered by Post"/>
    <x v="1"/>
    <x v="0"/>
    <x v="0"/>
  </r>
  <r>
    <s v="T0679"/>
    <x v="48"/>
    <n v="1"/>
    <x v="1"/>
    <x v="2"/>
    <d v="2025-03-18T00:00:00"/>
    <n v="1428.3"/>
    <n v="5426.7346031746029"/>
    <s v="DEV6328"/>
    <x v="1"/>
    <x v="1"/>
    <x v="4"/>
    <s v="Romania"/>
    <s v="Bhutan"/>
    <s v="Delivered by Post"/>
    <x v="0"/>
    <x v="0"/>
    <x v="0"/>
  </r>
  <r>
    <s v="T0687"/>
    <x v="48"/>
    <n v="1"/>
    <x v="1"/>
    <x v="2"/>
    <d v="2025-08-17T00:00:00"/>
    <n v="5569.34"/>
    <n v="5426.7346031746029"/>
    <s v="DEV9199"/>
    <x v="3"/>
    <x v="2"/>
    <x v="1"/>
    <s v="Turkmenistan"/>
    <s v="Norway"/>
    <s v="Picked Up"/>
    <x v="1"/>
    <x v="1"/>
    <x v="0"/>
  </r>
  <r>
    <s v="T0713"/>
    <x v="48"/>
    <n v="1"/>
    <x v="1"/>
    <x v="1"/>
    <d v="2025-06-17T00:00:00"/>
    <n v="6179.48"/>
    <n v="5426.7346031746029"/>
    <s v="DEV1872"/>
    <x v="4"/>
    <x v="2"/>
    <x v="5"/>
    <s v="Comoros"/>
    <s v="Romania"/>
    <s v="Picked Up"/>
    <x v="1"/>
    <x v="1"/>
    <x v="1"/>
  </r>
  <r>
    <s v="T0757"/>
    <x v="48"/>
    <n v="1"/>
    <x v="1"/>
    <x v="2"/>
    <d v="2025-11-17T00:00:00"/>
    <n v="1959.25"/>
    <n v="5426.7346031746029"/>
    <s v="DEV2789"/>
    <x v="3"/>
    <x v="0"/>
    <x v="1"/>
    <s v="Zimbabwe"/>
    <s v="Bhutan"/>
    <s v="Picked Up"/>
    <x v="0"/>
    <x v="0"/>
    <x v="0"/>
  </r>
  <r>
    <s v="T0772"/>
    <x v="48"/>
    <n v="1"/>
    <x v="1"/>
    <x v="3"/>
    <d v="2025-12-23T00:00:00"/>
    <n v="3944.06"/>
    <n v="5426.7346031746029"/>
    <s v="DEV9978"/>
    <x v="0"/>
    <x v="0"/>
    <x v="0"/>
    <s v="New Zealand"/>
    <s v="Canada"/>
    <s v="Delivered by Post"/>
    <x v="0"/>
    <x v="0"/>
    <x v="0"/>
  </r>
  <r>
    <s v="T0881"/>
    <x v="48"/>
    <n v="1"/>
    <x v="1"/>
    <x v="2"/>
    <d v="2025-12-09T00:00:00"/>
    <n v="5862.1"/>
    <n v="5426.7346031746029"/>
    <s v="DEV9548"/>
    <x v="2"/>
    <x v="2"/>
    <x v="5"/>
    <s v="Comoros"/>
    <s v="Comoros"/>
    <s v="Delivered by Post"/>
    <x v="1"/>
    <x v="1"/>
    <x v="0"/>
  </r>
  <r>
    <s v="T0884"/>
    <x v="48"/>
    <n v="1"/>
    <x v="0"/>
    <x v="0"/>
    <d v="2025-03-08T00:00:00"/>
    <n v="9446.59"/>
    <n v="5426.7346031746029"/>
    <s v="DEV6957"/>
    <x v="0"/>
    <x v="1"/>
    <x v="5"/>
    <s v="Turkmenistan"/>
    <s v="Romania"/>
    <s v="Delivered by Post"/>
    <x v="1"/>
    <x v="0"/>
    <x v="0"/>
  </r>
  <r>
    <s v="T0923"/>
    <x v="48"/>
    <n v="1"/>
    <x v="1"/>
    <x v="0"/>
    <d v="2025-05-01T00:00:00"/>
    <n v="640.95000000000005"/>
    <n v="5426.7346031746029"/>
    <s v="DEV2194"/>
    <x v="2"/>
    <x v="0"/>
    <x v="1"/>
    <s v="Zimbabwe"/>
    <s v="Bhutan"/>
    <s v="Picked Up"/>
    <x v="0"/>
    <x v="0"/>
    <x v="0"/>
  </r>
  <r>
    <s v="T0934"/>
    <x v="48"/>
    <n v="1"/>
    <x v="1"/>
    <x v="2"/>
    <d v="2025-01-30T00:00:00"/>
    <n v="322.08"/>
    <n v="5426.7346031746029"/>
    <s v="DEV7358"/>
    <x v="4"/>
    <x v="1"/>
    <x v="4"/>
    <s v="Turkmenistan"/>
    <s v="France"/>
    <s v="Picked Up"/>
    <x v="0"/>
    <x v="0"/>
    <x v="1"/>
  </r>
  <r>
    <s v="T0948"/>
    <x v="48"/>
    <n v="1"/>
    <x v="0"/>
    <x v="1"/>
    <d v="2025-01-18T00:00:00"/>
    <n v="5568.06"/>
    <n v="5426.7346031746029"/>
    <s v="DEV1392"/>
    <x v="3"/>
    <x v="0"/>
    <x v="0"/>
    <s v="Turkmenistan"/>
    <s v="Turkmenistan"/>
    <s v="Delivered by Post"/>
    <x v="1"/>
    <x v="1"/>
    <x v="0"/>
  </r>
  <r>
    <s v="T0972"/>
    <x v="48"/>
    <n v="1"/>
    <x v="0"/>
    <x v="0"/>
    <d v="2025-07-23T00:00:00"/>
    <n v="5488.49"/>
    <n v="5426.7346031746029"/>
    <s v="DEV8325"/>
    <x v="4"/>
    <x v="1"/>
    <x v="5"/>
    <s v="Zimbabwe"/>
    <s v="France"/>
    <s v="Delivered by Post"/>
    <x v="1"/>
    <x v="0"/>
    <x v="1"/>
  </r>
  <r>
    <s v="T1082"/>
    <x v="48"/>
    <n v="1"/>
    <x v="0"/>
    <x v="2"/>
    <d v="2025-03-23T00:00:00"/>
    <n v="9722.35"/>
    <n v="5426.7346031746029"/>
    <s v="DEV7865"/>
    <x v="0"/>
    <x v="2"/>
    <x v="0"/>
    <s v="New Zealand"/>
    <s v="Zimbabwe"/>
    <s v="Picked Up"/>
    <x v="1"/>
    <x v="1"/>
    <x v="0"/>
  </r>
  <r>
    <s v="T1089"/>
    <x v="48"/>
    <n v="1"/>
    <x v="1"/>
    <x v="2"/>
    <d v="2025-01-21T00:00:00"/>
    <n v="2424.21"/>
    <n v="5426.7346031746029"/>
    <s v="DEV8212"/>
    <x v="0"/>
    <x v="0"/>
    <x v="4"/>
    <s v="Bhutan"/>
    <s v="Canada"/>
    <s v="Picked Up"/>
    <x v="0"/>
    <x v="0"/>
    <x v="0"/>
  </r>
  <r>
    <s v="T1106"/>
    <x v="48"/>
    <n v="1"/>
    <x v="0"/>
    <x v="0"/>
    <d v="2025-12-16T00:00:00"/>
    <n v="985.58"/>
    <n v="5426.7346031746029"/>
    <s v="DEV2564"/>
    <x v="3"/>
    <x v="0"/>
    <x v="5"/>
    <s v="Canada"/>
    <s v="Canada"/>
    <s v="Delivered by Post"/>
    <x v="0"/>
    <x v="1"/>
    <x v="0"/>
  </r>
  <r>
    <s v="T1225"/>
    <x v="48"/>
    <n v="1"/>
    <x v="0"/>
    <x v="0"/>
    <d v="2025-11-12T00:00:00"/>
    <n v="2324.37"/>
    <n v="5426.7346031746029"/>
    <s v="DEV1820"/>
    <x v="4"/>
    <x v="0"/>
    <x v="5"/>
    <s v="France"/>
    <s v="Comoros"/>
    <s v="Picked Up"/>
    <x v="0"/>
    <x v="0"/>
    <x v="1"/>
  </r>
  <r>
    <s v="T1274"/>
    <x v="48"/>
    <n v="1"/>
    <x v="0"/>
    <x v="3"/>
    <d v="2025-10-10T00:00:00"/>
    <n v="5524.57"/>
    <n v="5426.7346031746029"/>
    <s v="DEV5874"/>
    <x v="1"/>
    <x v="1"/>
    <x v="2"/>
    <s v="France"/>
    <s v="Bhutan"/>
    <s v="Picked Up"/>
    <x v="1"/>
    <x v="0"/>
    <x v="0"/>
  </r>
  <r>
    <s v="T1349"/>
    <x v="48"/>
    <n v="1"/>
    <x v="1"/>
    <x v="1"/>
    <d v="2025-08-28T00:00:00"/>
    <n v="4247.8999999999996"/>
    <n v="5426.7346031746029"/>
    <s v="DEV9947"/>
    <x v="2"/>
    <x v="3"/>
    <x v="4"/>
    <s v="Zimbabwe"/>
    <s v="Romania"/>
    <s v="Picked Up"/>
    <x v="0"/>
    <x v="1"/>
    <x v="0"/>
  </r>
  <r>
    <s v="T1354"/>
    <x v="48"/>
    <n v="1"/>
    <x v="0"/>
    <x v="0"/>
    <d v="2025-09-21T00:00:00"/>
    <n v="4288.8999999999996"/>
    <n v="5426.7346031746029"/>
    <s v="DEV9904"/>
    <x v="4"/>
    <x v="1"/>
    <x v="2"/>
    <s v="New Zealand"/>
    <s v="Romania"/>
    <s v="Delivered by Post"/>
    <x v="0"/>
    <x v="0"/>
    <x v="1"/>
  </r>
  <r>
    <s v="T1393"/>
    <x v="48"/>
    <n v="1"/>
    <x v="1"/>
    <x v="2"/>
    <d v="2025-06-28T00:00:00"/>
    <n v="5564.39"/>
    <n v="5426.7346031746029"/>
    <s v="DEV4450"/>
    <x v="4"/>
    <x v="3"/>
    <x v="0"/>
    <s v="Romania"/>
    <s v="Turkmenistan"/>
    <s v="Delivered by Post"/>
    <x v="1"/>
    <x v="1"/>
    <x v="1"/>
  </r>
  <r>
    <s v="T1452"/>
    <x v="48"/>
    <n v="1"/>
    <x v="1"/>
    <x v="1"/>
    <d v="2025-07-08T00:00:00"/>
    <n v="5346.28"/>
    <n v="5426.7346031746029"/>
    <s v="DEV9422"/>
    <x v="3"/>
    <x v="3"/>
    <x v="0"/>
    <s v="Zimbabwe"/>
    <s v="Turkmenistan"/>
    <s v="Picked Up"/>
    <x v="0"/>
    <x v="1"/>
    <x v="0"/>
  </r>
  <r>
    <s v="T1497"/>
    <x v="48"/>
    <n v="1"/>
    <x v="0"/>
    <x v="2"/>
    <d v="2025-11-01T00:00:00"/>
    <n v="4457.28"/>
    <n v="5426.7346031746029"/>
    <s v="DEV1811"/>
    <x v="4"/>
    <x v="3"/>
    <x v="3"/>
    <s v="Canada"/>
    <s v="Romania"/>
    <s v="Picked Up"/>
    <x v="0"/>
    <x v="1"/>
    <x v="1"/>
  </r>
  <r>
    <s v="T1513"/>
    <x v="48"/>
    <n v="1"/>
    <x v="0"/>
    <x v="2"/>
    <d v="2025-10-01T00:00:00"/>
    <n v="9924.5300000000007"/>
    <n v="5426.7346031746029"/>
    <s v="DEV4538"/>
    <x v="1"/>
    <x v="1"/>
    <x v="5"/>
    <s v="Norway"/>
    <s v="Turkmenistan"/>
    <s v="Delivered by Post"/>
    <x v="1"/>
    <x v="0"/>
    <x v="0"/>
  </r>
  <r>
    <s v="T1654"/>
    <x v="48"/>
    <n v="1"/>
    <x v="0"/>
    <x v="3"/>
    <d v="2025-04-10T00:00:00"/>
    <n v="7233.03"/>
    <n v="5426.7346031746029"/>
    <s v="DEV7464"/>
    <x v="1"/>
    <x v="0"/>
    <x v="2"/>
    <s v="Romania"/>
    <s v="Zimbabwe"/>
    <s v="Picked Up"/>
    <x v="1"/>
    <x v="0"/>
    <x v="0"/>
  </r>
  <r>
    <s v="T1696"/>
    <x v="48"/>
    <n v="1"/>
    <x v="0"/>
    <x v="0"/>
    <d v="2025-04-07T00:00:00"/>
    <n v="5754.64"/>
    <n v="5426.7346031746029"/>
    <s v="DEV5256"/>
    <x v="1"/>
    <x v="0"/>
    <x v="1"/>
    <s v="Romania"/>
    <s v="New Zealand"/>
    <s v="Picked Up"/>
    <x v="1"/>
    <x v="0"/>
    <x v="0"/>
  </r>
  <r>
    <s v="T1719"/>
    <x v="48"/>
    <n v="1"/>
    <x v="0"/>
    <x v="2"/>
    <d v="2025-03-21T00:00:00"/>
    <n v="6539.7"/>
    <n v="5426.7346031746029"/>
    <s v="DEV1834"/>
    <x v="2"/>
    <x v="3"/>
    <x v="2"/>
    <s v="France"/>
    <s v="Comoros"/>
    <s v="Delivered by Post"/>
    <x v="1"/>
    <x v="1"/>
    <x v="0"/>
  </r>
  <r>
    <s v="T1760"/>
    <x v="48"/>
    <n v="1"/>
    <x v="0"/>
    <x v="0"/>
    <d v="2025-03-02T00:00:00"/>
    <n v="6004.52"/>
    <n v="5426.7346031746029"/>
    <s v="DEV4976"/>
    <x v="0"/>
    <x v="1"/>
    <x v="0"/>
    <s v="Zimbabwe"/>
    <s v="Comoros"/>
    <s v="Delivered by Post"/>
    <x v="1"/>
    <x v="0"/>
    <x v="0"/>
  </r>
  <r>
    <s v="T1786"/>
    <x v="48"/>
    <n v="1"/>
    <x v="0"/>
    <x v="3"/>
    <d v="2025-12-19T00:00:00"/>
    <n v="1411.31"/>
    <n v="5426.7346031746029"/>
    <s v="DEV3833"/>
    <x v="3"/>
    <x v="1"/>
    <x v="3"/>
    <s v="France"/>
    <s v="Zimbabwe"/>
    <s v="Picked Up"/>
    <x v="0"/>
    <x v="0"/>
    <x v="0"/>
  </r>
  <r>
    <s v="T1798"/>
    <x v="48"/>
    <n v="1"/>
    <x v="0"/>
    <x v="2"/>
    <d v="2025-04-09T00:00:00"/>
    <n v="743.79"/>
    <n v="5426.7346031746029"/>
    <s v="DEV3905"/>
    <x v="2"/>
    <x v="0"/>
    <x v="3"/>
    <s v="Turkmenistan"/>
    <s v="Norway"/>
    <s v="Delivered by Post"/>
    <x v="0"/>
    <x v="0"/>
    <x v="0"/>
  </r>
  <r>
    <s v="T1857"/>
    <x v="48"/>
    <n v="1"/>
    <x v="1"/>
    <x v="2"/>
    <d v="2025-06-03T00:00:00"/>
    <n v="6447.71"/>
    <n v="5426.7346031746029"/>
    <s v="DEV7629"/>
    <x v="2"/>
    <x v="2"/>
    <x v="4"/>
    <s v="New Zealand"/>
    <s v="Bhutan"/>
    <s v="Picked Up"/>
    <x v="1"/>
    <x v="1"/>
    <x v="0"/>
  </r>
  <r>
    <s v="T2103"/>
    <x v="48"/>
    <n v="1"/>
    <x v="1"/>
    <x v="2"/>
    <d v="2025-02-24T00:00:00"/>
    <n v="1456.6"/>
    <n v="5426.7346031746029"/>
    <s v="DEV7581"/>
    <x v="0"/>
    <x v="1"/>
    <x v="5"/>
    <s v="Romania"/>
    <s v="Canada"/>
    <s v="Delivered by Post"/>
    <x v="0"/>
    <x v="0"/>
    <x v="0"/>
  </r>
  <r>
    <s v="T2138"/>
    <x v="48"/>
    <n v="1"/>
    <x v="1"/>
    <x v="3"/>
    <d v="2025-09-03T00:00:00"/>
    <n v="8533.02"/>
    <n v="5426.7346031746029"/>
    <s v="DEV1135"/>
    <x v="3"/>
    <x v="1"/>
    <x v="5"/>
    <s v="Bhutan"/>
    <s v="France"/>
    <s v="Delivered by Post"/>
    <x v="1"/>
    <x v="0"/>
    <x v="0"/>
  </r>
  <r>
    <s v="T2149"/>
    <x v="48"/>
    <n v="1"/>
    <x v="1"/>
    <x v="3"/>
    <d v="2025-02-13T00:00:00"/>
    <n v="1455.96"/>
    <n v="5426.7346031746029"/>
    <s v="DEV4414"/>
    <x v="1"/>
    <x v="3"/>
    <x v="3"/>
    <s v="Turkmenistan"/>
    <s v="New Zealand"/>
    <s v="Picked Up"/>
    <x v="0"/>
    <x v="1"/>
    <x v="0"/>
  </r>
  <r>
    <s v="T2157"/>
    <x v="48"/>
    <n v="1"/>
    <x v="0"/>
    <x v="0"/>
    <d v="2025-11-15T00:00:00"/>
    <n v="4738.29"/>
    <n v="5426.7346031746029"/>
    <s v="DEV1953"/>
    <x v="1"/>
    <x v="0"/>
    <x v="5"/>
    <s v="France"/>
    <s v="Canada"/>
    <s v="Delivered by Post"/>
    <x v="0"/>
    <x v="0"/>
    <x v="0"/>
  </r>
  <r>
    <s v="T2182"/>
    <x v="48"/>
    <n v="1"/>
    <x v="0"/>
    <x v="1"/>
    <d v="2025-03-22T00:00:00"/>
    <n v="1370.06"/>
    <n v="5426.7346031746029"/>
    <s v="DEV1499"/>
    <x v="1"/>
    <x v="1"/>
    <x v="1"/>
    <s v="Turkmenistan"/>
    <s v="New Zealand"/>
    <s v="Delivered by Post"/>
    <x v="0"/>
    <x v="0"/>
    <x v="0"/>
  </r>
  <r>
    <s v="T2257"/>
    <x v="48"/>
    <n v="1"/>
    <x v="1"/>
    <x v="1"/>
    <d v="2025-07-12T00:00:00"/>
    <n v="6559.83"/>
    <n v="5426.7346031746029"/>
    <s v="DEV9142"/>
    <x v="0"/>
    <x v="2"/>
    <x v="3"/>
    <s v="Comoros"/>
    <s v="Zimbabwe"/>
    <s v="Picked Up"/>
    <x v="1"/>
    <x v="1"/>
    <x v="0"/>
  </r>
  <r>
    <s v="T2286"/>
    <x v="48"/>
    <n v="1"/>
    <x v="1"/>
    <x v="3"/>
    <d v="2025-02-03T00:00:00"/>
    <n v="4628.1400000000003"/>
    <n v="5426.7346031746029"/>
    <s v="DEV9050"/>
    <x v="4"/>
    <x v="1"/>
    <x v="5"/>
    <s v="Canada"/>
    <s v="Canada"/>
    <s v="Picked Up"/>
    <x v="0"/>
    <x v="1"/>
    <x v="0"/>
  </r>
  <r>
    <s v="T2288"/>
    <x v="48"/>
    <n v="1"/>
    <x v="1"/>
    <x v="2"/>
    <d v="2025-12-22T00:00:00"/>
    <n v="6491.44"/>
    <n v="5426.7346031746029"/>
    <s v="DEV8809"/>
    <x v="1"/>
    <x v="3"/>
    <x v="0"/>
    <s v="Canada"/>
    <s v="Norway"/>
    <s v="Picked Up"/>
    <x v="1"/>
    <x v="1"/>
    <x v="0"/>
  </r>
  <r>
    <s v="T2364"/>
    <x v="48"/>
    <n v="1"/>
    <x v="0"/>
    <x v="3"/>
    <d v="2025-08-20T00:00:00"/>
    <n v="3495.25"/>
    <n v="5426.7346031746029"/>
    <s v="DEV2398"/>
    <x v="1"/>
    <x v="0"/>
    <x v="4"/>
    <s v="Romania"/>
    <s v="Bhutan"/>
    <s v="Delivered by Post"/>
    <x v="0"/>
    <x v="0"/>
    <x v="0"/>
  </r>
  <r>
    <s v="T2370"/>
    <x v="48"/>
    <n v="1"/>
    <x v="1"/>
    <x v="0"/>
    <d v="2025-03-22T00:00:00"/>
    <n v="8885.83"/>
    <n v="5426.7346031746029"/>
    <s v="DEV6361"/>
    <x v="4"/>
    <x v="3"/>
    <x v="2"/>
    <s v="Canada"/>
    <s v="Canada"/>
    <s v="Delivered by Post"/>
    <x v="1"/>
    <x v="1"/>
    <x v="0"/>
  </r>
  <r>
    <s v="T2431"/>
    <x v="48"/>
    <n v="1"/>
    <x v="1"/>
    <x v="0"/>
    <d v="2025-02-19T00:00:00"/>
    <n v="2472.69"/>
    <n v="5426.7346031746029"/>
    <s v="DEV2483"/>
    <x v="1"/>
    <x v="3"/>
    <x v="3"/>
    <s v="Zimbabwe"/>
    <s v="Turkmenistan"/>
    <s v="Delivered by Post"/>
    <x v="0"/>
    <x v="1"/>
    <x v="0"/>
  </r>
  <r>
    <s v="T2477"/>
    <x v="48"/>
    <n v="1"/>
    <x v="1"/>
    <x v="3"/>
    <d v="2025-08-09T00:00:00"/>
    <n v="8879.17"/>
    <n v="5426.7346031746029"/>
    <s v="DEV9078"/>
    <x v="1"/>
    <x v="3"/>
    <x v="5"/>
    <s v="Comoros"/>
    <s v="Bhutan"/>
    <s v="Delivered by Post"/>
    <x v="1"/>
    <x v="1"/>
    <x v="0"/>
  </r>
  <r>
    <s v="T2510"/>
    <x v="48"/>
    <n v="1"/>
    <x v="0"/>
    <x v="2"/>
    <d v="2025-12-07T00:00:00"/>
    <n v="1701.67"/>
    <n v="5426.7346031746029"/>
    <s v="DEV7749"/>
    <x v="1"/>
    <x v="2"/>
    <x v="5"/>
    <s v="Bhutan"/>
    <s v="New Zealand"/>
    <s v="Picked Up"/>
    <x v="0"/>
    <x v="1"/>
    <x v="0"/>
  </r>
  <r>
    <s v="T2513"/>
    <x v="48"/>
    <n v="1"/>
    <x v="0"/>
    <x v="0"/>
    <d v="2025-09-13T00:00:00"/>
    <n v="8085.45"/>
    <n v="5426.7346031746029"/>
    <s v="DEV1575"/>
    <x v="2"/>
    <x v="2"/>
    <x v="1"/>
    <s v="Turkmenistan"/>
    <s v="France"/>
    <s v="Picked Up"/>
    <x v="1"/>
    <x v="1"/>
    <x v="0"/>
  </r>
  <r>
    <s v="T2517"/>
    <x v="48"/>
    <n v="1"/>
    <x v="0"/>
    <x v="2"/>
    <d v="2025-11-10T00:00:00"/>
    <n v="1534.2"/>
    <n v="5426.7346031746029"/>
    <s v="DEV1955"/>
    <x v="3"/>
    <x v="2"/>
    <x v="3"/>
    <s v="Bhutan"/>
    <s v="France"/>
    <s v="Delivered by Post"/>
    <x v="0"/>
    <x v="1"/>
    <x v="0"/>
  </r>
  <r>
    <s v="T2554"/>
    <x v="48"/>
    <n v="1"/>
    <x v="1"/>
    <x v="0"/>
    <d v="2025-09-09T00:00:00"/>
    <n v="8364"/>
    <n v="5426.7346031746029"/>
    <s v="DEV2661"/>
    <x v="2"/>
    <x v="1"/>
    <x v="2"/>
    <s v="Norway"/>
    <s v="Romania"/>
    <s v="Picked Up"/>
    <x v="1"/>
    <x v="0"/>
    <x v="0"/>
  </r>
  <r>
    <s v="T2710"/>
    <x v="48"/>
    <n v="1"/>
    <x v="0"/>
    <x v="3"/>
    <d v="2025-08-18T00:00:00"/>
    <n v="8482.85"/>
    <n v="5426.7346031746029"/>
    <s v="DEV4442"/>
    <x v="2"/>
    <x v="3"/>
    <x v="5"/>
    <s v="Zimbabwe"/>
    <s v="Zimbabwe"/>
    <s v="Picked Up"/>
    <x v="1"/>
    <x v="1"/>
    <x v="0"/>
  </r>
  <r>
    <s v="T2731"/>
    <x v="48"/>
    <n v="1"/>
    <x v="0"/>
    <x v="3"/>
    <d v="2025-12-25T00:00:00"/>
    <n v="7252.98"/>
    <n v="5426.7346031746029"/>
    <s v="DEV4596"/>
    <x v="2"/>
    <x v="0"/>
    <x v="5"/>
    <s v="Norway"/>
    <s v="Turkmenistan"/>
    <s v="Picked Up"/>
    <x v="1"/>
    <x v="0"/>
    <x v="0"/>
  </r>
  <r>
    <s v="T2750"/>
    <x v="48"/>
    <n v="1"/>
    <x v="0"/>
    <x v="0"/>
    <d v="2025-09-08T00:00:00"/>
    <n v="8613.2199999999993"/>
    <n v="5426.7346031746029"/>
    <s v="DEV2257"/>
    <x v="2"/>
    <x v="1"/>
    <x v="3"/>
    <s v="Turkmenistan"/>
    <s v="Comoros"/>
    <s v="Delivered by Post"/>
    <x v="1"/>
    <x v="0"/>
    <x v="0"/>
  </r>
  <r>
    <s v="T2773"/>
    <x v="48"/>
    <n v="1"/>
    <x v="0"/>
    <x v="2"/>
    <d v="2025-09-29T00:00:00"/>
    <n v="7751.09"/>
    <n v="5426.7346031746029"/>
    <s v="DEV7041"/>
    <x v="1"/>
    <x v="0"/>
    <x v="1"/>
    <s v="France"/>
    <s v="Canada"/>
    <s v="Picked Up"/>
    <x v="1"/>
    <x v="0"/>
    <x v="0"/>
  </r>
  <r>
    <s v="T2837"/>
    <x v="48"/>
    <n v="1"/>
    <x v="0"/>
    <x v="1"/>
    <d v="2025-09-21T00:00:00"/>
    <n v="9549.89"/>
    <n v="5426.7346031746029"/>
    <s v="DEV8628"/>
    <x v="1"/>
    <x v="2"/>
    <x v="1"/>
    <s v="France"/>
    <s v="Canada"/>
    <s v="Delivered by Post"/>
    <x v="1"/>
    <x v="1"/>
    <x v="0"/>
  </r>
  <r>
    <s v="T0015"/>
    <x v="49"/>
    <n v="1"/>
    <x v="0"/>
    <x v="4"/>
    <d v="2025-03-14T13:54:00"/>
    <n v="1870.93"/>
    <n v="4687.2401666666674"/>
    <s v="DEV8343"/>
    <x v="1"/>
    <x v="0"/>
    <x v="0"/>
    <s v="Chad"/>
    <s v="Spain"/>
    <s v="Picked Up"/>
    <x v="0"/>
    <x v="0"/>
    <x v="0"/>
  </r>
  <r>
    <s v="T0053"/>
    <x v="49"/>
    <n v="1"/>
    <x v="0"/>
    <x v="4"/>
    <d v="2025-02-03T22:30:00"/>
    <n v="834.81"/>
    <n v="4687.2401666666674"/>
    <s v="DEV8319"/>
    <x v="1"/>
    <x v="0"/>
    <x v="4"/>
    <s v="Chad"/>
    <s v="Montserrat"/>
    <s v="Picked Up"/>
    <x v="0"/>
    <x v="0"/>
    <x v="0"/>
  </r>
  <r>
    <s v="T0069"/>
    <x v="49"/>
    <n v="1"/>
    <x v="2"/>
    <x v="1"/>
    <d v="2025-02-06T13:09:00"/>
    <n v="6507.37"/>
    <n v="4687.2401666666674"/>
    <s v="DEV8717"/>
    <x v="4"/>
    <x v="2"/>
    <x v="4"/>
    <s v="Chad"/>
    <s v="Rwanda"/>
    <s v="Delivered by Post"/>
    <x v="1"/>
    <x v="1"/>
    <x v="1"/>
  </r>
  <r>
    <s v="T0105"/>
    <x v="49"/>
    <n v="1"/>
    <x v="0"/>
    <x v="0"/>
    <d v="2025-07-14T00:00:00"/>
    <n v="2929.41"/>
    <n v="4687.2401666666674"/>
    <s v="DEV8428"/>
    <x v="4"/>
    <x v="2"/>
    <x v="1"/>
    <s v="New Zealand"/>
    <s v="Romania"/>
    <s v="Delivered by Post"/>
    <x v="0"/>
    <x v="1"/>
    <x v="1"/>
  </r>
  <r>
    <s v="T0110"/>
    <x v="49"/>
    <n v="1"/>
    <x v="1"/>
    <x v="1"/>
    <d v="2025-08-21T00:00:00"/>
    <n v="6427.57"/>
    <n v="4687.2401666666674"/>
    <s v="DEV5315"/>
    <x v="2"/>
    <x v="2"/>
    <x v="5"/>
    <s v="Zimbabwe"/>
    <s v="France"/>
    <s v="Picked Up"/>
    <x v="1"/>
    <x v="1"/>
    <x v="0"/>
  </r>
  <r>
    <s v="T0129"/>
    <x v="49"/>
    <n v="1"/>
    <x v="1"/>
    <x v="3"/>
    <d v="2025-01-15T00:00:00"/>
    <n v="2827.29"/>
    <n v="4687.2401666666674"/>
    <s v="DEV5279"/>
    <x v="3"/>
    <x v="3"/>
    <x v="2"/>
    <s v="Zimbabwe"/>
    <s v="Bhutan"/>
    <s v="Delivered by Post"/>
    <x v="0"/>
    <x v="1"/>
    <x v="0"/>
  </r>
  <r>
    <s v="T0428"/>
    <x v="49"/>
    <n v="1"/>
    <x v="1"/>
    <x v="2"/>
    <d v="2025-05-12T00:00:00"/>
    <n v="2363.5"/>
    <n v="4687.2401666666674"/>
    <s v="DEV1089"/>
    <x v="1"/>
    <x v="0"/>
    <x v="5"/>
    <s v="Canada"/>
    <s v="Bhutan"/>
    <s v="Picked Up"/>
    <x v="0"/>
    <x v="0"/>
    <x v="0"/>
  </r>
  <r>
    <s v="T0468"/>
    <x v="49"/>
    <n v="1"/>
    <x v="0"/>
    <x v="0"/>
    <d v="2025-11-14T00:00:00"/>
    <n v="6398.36"/>
    <n v="4687.2401666666674"/>
    <s v="DEV4912"/>
    <x v="4"/>
    <x v="0"/>
    <x v="3"/>
    <s v="Turkmenistan"/>
    <s v="Bhutan"/>
    <s v="Picked Up"/>
    <x v="1"/>
    <x v="0"/>
    <x v="1"/>
  </r>
  <r>
    <s v="T0492"/>
    <x v="49"/>
    <n v="1"/>
    <x v="0"/>
    <x v="3"/>
    <d v="2025-02-04T00:00:00"/>
    <n v="1494.27"/>
    <n v="4687.2401666666674"/>
    <s v="DEV9732"/>
    <x v="1"/>
    <x v="2"/>
    <x v="1"/>
    <s v="Norway"/>
    <s v="Canada"/>
    <s v="Delivered by Post"/>
    <x v="0"/>
    <x v="1"/>
    <x v="0"/>
  </r>
  <r>
    <s v="T0498"/>
    <x v="49"/>
    <n v="1"/>
    <x v="1"/>
    <x v="3"/>
    <d v="2025-11-10T00:00:00"/>
    <n v="8284.83"/>
    <n v="4687.2401666666674"/>
    <s v="DEV9470"/>
    <x v="3"/>
    <x v="1"/>
    <x v="3"/>
    <s v="Comoros"/>
    <s v="Zimbabwe"/>
    <s v="Picked Up"/>
    <x v="1"/>
    <x v="0"/>
    <x v="0"/>
  </r>
  <r>
    <s v="T0583"/>
    <x v="49"/>
    <n v="1"/>
    <x v="1"/>
    <x v="0"/>
    <d v="2025-09-20T00:00:00"/>
    <n v="2815.38"/>
    <n v="4687.2401666666674"/>
    <s v="DEV4185"/>
    <x v="0"/>
    <x v="3"/>
    <x v="5"/>
    <s v="Turkmenistan"/>
    <s v="Canada"/>
    <s v="Delivered by Post"/>
    <x v="0"/>
    <x v="1"/>
    <x v="0"/>
  </r>
  <r>
    <s v="T0596"/>
    <x v="49"/>
    <n v="1"/>
    <x v="0"/>
    <x v="0"/>
    <d v="2025-01-17T00:00:00"/>
    <n v="4868.34"/>
    <n v="4687.2401666666674"/>
    <s v="DEV9412"/>
    <x v="2"/>
    <x v="0"/>
    <x v="4"/>
    <s v="Zimbabwe"/>
    <s v="France"/>
    <s v="Picked Up"/>
    <x v="1"/>
    <x v="0"/>
    <x v="0"/>
  </r>
  <r>
    <s v="T0622"/>
    <x v="49"/>
    <n v="1"/>
    <x v="1"/>
    <x v="1"/>
    <d v="2025-08-05T00:00:00"/>
    <n v="8076.54"/>
    <n v="4687.2401666666674"/>
    <s v="DEV3363"/>
    <x v="1"/>
    <x v="2"/>
    <x v="0"/>
    <s v="France"/>
    <s v="Comoros"/>
    <s v="Delivered by Post"/>
    <x v="1"/>
    <x v="1"/>
    <x v="0"/>
  </r>
  <r>
    <s v="T0662"/>
    <x v="49"/>
    <n v="1"/>
    <x v="1"/>
    <x v="1"/>
    <d v="2025-12-20T00:00:00"/>
    <n v="514.42999999999995"/>
    <n v="4687.2401666666674"/>
    <s v="DEV2706"/>
    <x v="1"/>
    <x v="1"/>
    <x v="4"/>
    <s v="Zimbabwe"/>
    <s v="Zimbabwe"/>
    <s v="Picked Up"/>
    <x v="0"/>
    <x v="1"/>
    <x v="0"/>
  </r>
  <r>
    <s v="T0771"/>
    <x v="49"/>
    <n v="1"/>
    <x v="1"/>
    <x v="3"/>
    <d v="2025-12-04T00:00:00"/>
    <n v="1831.25"/>
    <n v="4687.2401666666674"/>
    <s v="DEV1353"/>
    <x v="2"/>
    <x v="1"/>
    <x v="1"/>
    <s v="Bhutan"/>
    <s v="Comoros"/>
    <s v="Delivered by Post"/>
    <x v="0"/>
    <x v="0"/>
    <x v="0"/>
  </r>
  <r>
    <s v="T0776"/>
    <x v="49"/>
    <n v="1"/>
    <x v="0"/>
    <x v="2"/>
    <d v="2025-11-29T00:00:00"/>
    <n v="6933.36"/>
    <n v="4687.2401666666674"/>
    <s v="DEV5509"/>
    <x v="0"/>
    <x v="3"/>
    <x v="2"/>
    <s v="Zimbabwe"/>
    <s v="Zimbabwe"/>
    <s v="Picked Up"/>
    <x v="1"/>
    <x v="1"/>
    <x v="0"/>
  </r>
  <r>
    <s v="T0826"/>
    <x v="49"/>
    <n v="1"/>
    <x v="1"/>
    <x v="2"/>
    <d v="2025-09-02T00:00:00"/>
    <n v="6575.75"/>
    <n v="4687.2401666666674"/>
    <s v="DEV2854"/>
    <x v="2"/>
    <x v="1"/>
    <x v="3"/>
    <s v="France"/>
    <s v="Norway"/>
    <s v="Picked Up"/>
    <x v="1"/>
    <x v="0"/>
    <x v="0"/>
  </r>
  <r>
    <s v="T0847"/>
    <x v="49"/>
    <n v="1"/>
    <x v="0"/>
    <x v="3"/>
    <d v="2025-06-25T00:00:00"/>
    <n v="4359.49"/>
    <n v="4687.2401666666674"/>
    <s v="DEV8967"/>
    <x v="3"/>
    <x v="1"/>
    <x v="2"/>
    <s v="France"/>
    <s v="Comoros"/>
    <s v="Picked Up"/>
    <x v="0"/>
    <x v="0"/>
    <x v="0"/>
  </r>
  <r>
    <s v="T0904"/>
    <x v="49"/>
    <n v="1"/>
    <x v="1"/>
    <x v="1"/>
    <d v="2025-10-25T00:00:00"/>
    <n v="4238.1400000000003"/>
    <n v="4687.2401666666674"/>
    <s v="DEV7113"/>
    <x v="3"/>
    <x v="3"/>
    <x v="2"/>
    <s v="Bhutan"/>
    <s v="Norway"/>
    <s v="Delivered by Post"/>
    <x v="0"/>
    <x v="1"/>
    <x v="0"/>
  </r>
  <r>
    <s v="T0938"/>
    <x v="49"/>
    <n v="1"/>
    <x v="1"/>
    <x v="1"/>
    <d v="2025-04-27T00:00:00"/>
    <n v="7878.02"/>
    <n v="4687.2401666666674"/>
    <s v="DEV3858"/>
    <x v="3"/>
    <x v="0"/>
    <x v="0"/>
    <s v="Zimbabwe"/>
    <s v="Canada"/>
    <s v="Picked Up"/>
    <x v="1"/>
    <x v="0"/>
    <x v="0"/>
  </r>
  <r>
    <s v="T0965"/>
    <x v="49"/>
    <n v="1"/>
    <x v="1"/>
    <x v="1"/>
    <d v="2025-11-06T00:00:00"/>
    <n v="6271.6"/>
    <n v="4687.2401666666674"/>
    <s v="DEV1326"/>
    <x v="1"/>
    <x v="1"/>
    <x v="2"/>
    <s v="New Zealand"/>
    <s v="New Zealand"/>
    <s v="Picked Up"/>
    <x v="1"/>
    <x v="1"/>
    <x v="0"/>
  </r>
  <r>
    <s v="T0996"/>
    <x v="49"/>
    <n v="1"/>
    <x v="0"/>
    <x v="0"/>
    <d v="2025-10-27T00:00:00"/>
    <n v="6436.17"/>
    <n v="4687.2401666666674"/>
    <s v="DEV3551"/>
    <x v="2"/>
    <x v="2"/>
    <x v="3"/>
    <s v="Bhutan"/>
    <s v="New Zealand"/>
    <s v="Delivered by Post"/>
    <x v="1"/>
    <x v="1"/>
    <x v="0"/>
  </r>
  <r>
    <s v="T1010"/>
    <x v="49"/>
    <n v="1"/>
    <x v="1"/>
    <x v="0"/>
    <d v="2025-04-02T00:00:00"/>
    <n v="4761.8"/>
    <n v="4687.2401666666674"/>
    <s v="DEV9711"/>
    <x v="0"/>
    <x v="0"/>
    <x v="0"/>
    <s v="Canada"/>
    <s v="New Zealand"/>
    <s v="Delivered by Post"/>
    <x v="1"/>
    <x v="0"/>
    <x v="0"/>
  </r>
  <r>
    <s v="T1207"/>
    <x v="49"/>
    <n v="1"/>
    <x v="1"/>
    <x v="0"/>
    <d v="2025-10-15T00:00:00"/>
    <n v="796.8"/>
    <n v="4687.2401666666674"/>
    <s v="DEV3384"/>
    <x v="1"/>
    <x v="3"/>
    <x v="1"/>
    <s v="Bhutan"/>
    <s v="France"/>
    <s v="Delivered by Post"/>
    <x v="0"/>
    <x v="1"/>
    <x v="0"/>
  </r>
  <r>
    <s v="T1211"/>
    <x v="49"/>
    <n v="1"/>
    <x v="1"/>
    <x v="3"/>
    <d v="2025-04-15T00:00:00"/>
    <n v="6898.91"/>
    <n v="4687.2401666666674"/>
    <s v="DEV9521"/>
    <x v="3"/>
    <x v="0"/>
    <x v="3"/>
    <s v="France"/>
    <s v="Romania"/>
    <s v="Picked Up"/>
    <x v="1"/>
    <x v="0"/>
    <x v="0"/>
  </r>
  <r>
    <s v="T1228"/>
    <x v="49"/>
    <n v="1"/>
    <x v="0"/>
    <x v="1"/>
    <d v="2025-10-01T00:00:00"/>
    <n v="4652.24"/>
    <n v="4687.2401666666674"/>
    <s v="DEV5024"/>
    <x v="1"/>
    <x v="3"/>
    <x v="0"/>
    <s v="France"/>
    <s v="Turkmenistan"/>
    <s v="Picked Up"/>
    <x v="0"/>
    <x v="1"/>
    <x v="0"/>
  </r>
  <r>
    <s v="T1285"/>
    <x v="49"/>
    <n v="1"/>
    <x v="0"/>
    <x v="2"/>
    <d v="2025-06-28T00:00:00"/>
    <n v="186.99"/>
    <n v="4687.2401666666674"/>
    <s v="DEV4675"/>
    <x v="0"/>
    <x v="2"/>
    <x v="3"/>
    <s v="France"/>
    <s v="Comoros"/>
    <s v="Delivered by Post"/>
    <x v="0"/>
    <x v="1"/>
    <x v="0"/>
  </r>
  <r>
    <s v="T1334"/>
    <x v="49"/>
    <n v="1"/>
    <x v="1"/>
    <x v="2"/>
    <d v="2025-02-15T00:00:00"/>
    <n v="6263.61"/>
    <n v="4687.2401666666674"/>
    <s v="DEV5842"/>
    <x v="3"/>
    <x v="3"/>
    <x v="5"/>
    <s v="Bhutan"/>
    <s v="Romania"/>
    <s v="Picked Up"/>
    <x v="1"/>
    <x v="1"/>
    <x v="0"/>
  </r>
  <r>
    <s v="T1446"/>
    <x v="49"/>
    <n v="1"/>
    <x v="0"/>
    <x v="0"/>
    <d v="2025-07-23T00:00:00"/>
    <n v="4216.3999999999996"/>
    <n v="4687.2401666666674"/>
    <s v="DEV6472"/>
    <x v="2"/>
    <x v="3"/>
    <x v="0"/>
    <s v="Canada"/>
    <s v="Canada"/>
    <s v="Delivered by Post"/>
    <x v="0"/>
    <x v="1"/>
    <x v="0"/>
  </r>
  <r>
    <s v="T1553"/>
    <x v="49"/>
    <n v="1"/>
    <x v="0"/>
    <x v="3"/>
    <d v="2025-12-06T00:00:00"/>
    <n v="3884.4"/>
    <n v="4687.2401666666674"/>
    <s v="DEV4755"/>
    <x v="2"/>
    <x v="1"/>
    <x v="3"/>
    <s v="New Zealand"/>
    <s v="Bhutan"/>
    <s v="Picked Up"/>
    <x v="0"/>
    <x v="0"/>
    <x v="0"/>
  </r>
  <r>
    <s v="T1627"/>
    <x v="49"/>
    <n v="1"/>
    <x v="1"/>
    <x v="2"/>
    <d v="2025-08-18T00:00:00"/>
    <n v="5675.07"/>
    <n v="4687.2401666666674"/>
    <s v="DEV1848"/>
    <x v="2"/>
    <x v="1"/>
    <x v="3"/>
    <s v="Canada"/>
    <s v="Zimbabwe"/>
    <s v="Delivered by Post"/>
    <x v="1"/>
    <x v="0"/>
    <x v="0"/>
  </r>
  <r>
    <s v="T1631"/>
    <x v="49"/>
    <n v="1"/>
    <x v="0"/>
    <x v="0"/>
    <d v="2025-11-08T00:00:00"/>
    <n v="1823.69"/>
    <n v="4687.2401666666674"/>
    <s v="DEV6435"/>
    <x v="3"/>
    <x v="2"/>
    <x v="3"/>
    <s v="France"/>
    <s v="Comoros"/>
    <s v="Picked Up"/>
    <x v="0"/>
    <x v="1"/>
    <x v="0"/>
  </r>
  <r>
    <s v="T1661"/>
    <x v="49"/>
    <n v="1"/>
    <x v="1"/>
    <x v="1"/>
    <d v="2025-06-01T00:00:00"/>
    <n v="6519.06"/>
    <n v="4687.2401666666674"/>
    <s v="DEV9539"/>
    <x v="1"/>
    <x v="1"/>
    <x v="1"/>
    <s v="France"/>
    <s v="Zimbabwe"/>
    <s v="Delivered by Post"/>
    <x v="1"/>
    <x v="0"/>
    <x v="0"/>
  </r>
  <r>
    <s v="T1713"/>
    <x v="49"/>
    <n v="1"/>
    <x v="1"/>
    <x v="1"/>
    <d v="2025-10-07T00:00:00"/>
    <n v="1281.06"/>
    <n v="4687.2401666666674"/>
    <s v="DEV2315"/>
    <x v="2"/>
    <x v="2"/>
    <x v="4"/>
    <s v="Romania"/>
    <s v="Canada"/>
    <s v="Delivered by Post"/>
    <x v="0"/>
    <x v="1"/>
    <x v="0"/>
  </r>
  <r>
    <s v="T1741"/>
    <x v="49"/>
    <n v="1"/>
    <x v="0"/>
    <x v="1"/>
    <d v="2025-08-31T00:00:00"/>
    <n v="2391.4"/>
    <n v="4687.2401666666674"/>
    <s v="DEV7850"/>
    <x v="1"/>
    <x v="3"/>
    <x v="5"/>
    <s v="Comoros"/>
    <s v="Bhutan"/>
    <s v="Delivered by Post"/>
    <x v="0"/>
    <x v="1"/>
    <x v="0"/>
  </r>
  <r>
    <s v="T1742"/>
    <x v="49"/>
    <n v="1"/>
    <x v="1"/>
    <x v="2"/>
    <d v="2025-08-19T00:00:00"/>
    <n v="137.9"/>
    <n v="4687.2401666666674"/>
    <s v="DEV8760"/>
    <x v="2"/>
    <x v="1"/>
    <x v="4"/>
    <s v="New Zealand"/>
    <s v="New Zealand"/>
    <s v="Delivered by Post"/>
    <x v="0"/>
    <x v="1"/>
    <x v="0"/>
  </r>
  <r>
    <s v="T1768"/>
    <x v="49"/>
    <n v="1"/>
    <x v="1"/>
    <x v="2"/>
    <d v="2025-11-21T00:00:00"/>
    <n v="5450.18"/>
    <n v="4687.2401666666674"/>
    <s v="DEV4248"/>
    <x v="3"/>
    <x v="2"/>
    <x v="0"/>
    <s v="Turkmenistan"/>
    <s v="Bhutan"/>
    <s v="Delivered by Post"/>
    <x v="1"/>
    <x v="1"/>
    <x v="0"/>
  </r>
  <r>
    <s v="T1788"/>
    <x v="49"/>
    <n v="1"/>
    <x v="0"/>
    <x v="1"/>
    <d v="2025-09-02T00:00:00"/>
    <n v="5920.17"/>
    <n v="4687.2401666666674"/>
    <s v="DEV2272"/>
    <x v="4"/>
    <x v="1"/>
    <x v="2"/>
    <s v="France"/>
    <s v="Comoros"/>
    <s v="Delivered by Post"/>
    <x v="1"/>
    <x v="0"/>
    <x v="1"/>
  </r>
  <r>
    <s v="T1795"/>
    <x v="49"/>
    <n v="1"/>
    <x v="1"/>
    <x v="3"/>
    <d v="2025-04-22T00:00:00"/>
    <n v="5143.41"/>
    <n v="4687.2401666666674"/>
    <s v="DEV6398"/>
    <x v="2"/>
    <x v="0"/>
    <x v="4"/>
    <s v="Comoros"/>
    <s v="Romania"/>
    <s v="Delivered by Post"/>
    <x v="1"/>
    <x v="0"/>
    <x v="0"/>
  </r>
  <r>
    <s v="T1830"/>
    <x v="49"/>
    <n v="1"/>
    <x v="1"/>
    <x v="2"/>
    <d v="2025-03-07T00:00:00"/>
    <n v="2745.79"/>
    <n v="4687.2401666666674"/>
    <s v="DEV6164"/>
    <x v="1"/>
    <x v="0"/>
    <x v="3"/>
    <s v="Comoros"/>
    <s v="Bhutan"/>
    <s v="Delivered by Post"/>
    <x v="0"/>
    <x v="0"/>
    <x v="0"/>
  </r>
  <r>
    <s v="T1912"/>
    <x v="49"/>
    <n v="1"/>
    <x v="1"/>
    <x v="0"/>
    <d v="2025-02-03T00:00:00"/>
    <n v="4261.42"/>
    <n v="4687.2401666666674"/>
    <s v="DEV4570"/>
    <x v="3"/>
    <x v="3"/>
    <x v="4"/>
    <s v="Romania"/>
    <s v="Comoros"/>
    <s v="Picked Up"/>
    <x v="0"/>
    <x v="1"/>
    <x v="0"/>
  </r>
  <r>
    <s v="T2004"/>
    <x v="49"/>
    <n v="1"/>
    <x v="0"/>
    <x v="1"/>
    <d v="2025-12-26T00:00:00"/>
    <n v="9087.89"/>
    <n v="4687.2401666666674"/>
    <s v="DEV2198"/>
    <x v="3"/>
    <x v="2"/>
    <x v="1"/>
    <s v="Bhutan"/>
    <s v="New Zealand"/>
    <s v="Delivered by Post"/>
    <x v="1"/>
    <x v="1"/>
    <x v="0"/>
  </r>
  <r>
    <s v="T2014"/>
    <x v="49"/>
    <n v="1"/>
    <x v="0"/>
    <x v="0"/>
    <d v="2025-10-18T00:00:00"/>
    <n v="2468"/>
    <n v="4687.2401666666674"/>
    <s v="DEV5419"/>
    <x v="4"/>
    <x v="0"/>
    <x v="3"/>
    <s v="Bhutan"/>
    <s v="Comoros"/>
    <s v="Delivered by Post"/>
    <x v="0"/>
    <x v="0"/>
    <x v="1"/>
  </r>
  <r>
    <s v="T2015"/>
    <x v="49"/>
    <n v="1"/>
    <x v="0"/>
    <x v="2"/>
    <d v="2025-11-19T00:00:00"/>
    <n v="7311.95"/>
    <n v="4687.2401666666674"/>
    <s v="DEV3303"/>
    <x v="2"/>
    <x v="1"/>
    <x v="0"/>
    <s v="Canada"/>
    <s v="Zimbabwe"/>
    <s v="Picked Up"/>
    <x v="1"/>
    <x v="0"/>
    <x v="0"/>
  </r>
  <r>
    <s v="T2097"/>
    <x v="49"/>
    <n v="1"/>
    <x v="0"/>
    <x v="2"/>
    <d v="2025-09-25T00:00:00"/>
    <n v="5524.22"/>
    <n v="4687.2401666666674"/>
    <s v="DEV7735"/>
    <x v="3"/>
    <x v="1"/>
    <x v="2"/>
    <s v="Romania"/>
    <s v="Turkmenistan"/>
    <s v="Picked Up"/>
    <x v="1"/>
    <x v="0"/>
    <x v="0"/>
  </r>
  <r>
    <s v="T2101"/>
    <x v="49"/>
    <n v="1"/>
    <x v="1"/>
    <x v="3"/>
    <d v="2025-07-05T00:00:00"/>
    <n v="5862.2"/>
    <n v="4687.2401666666674"/>
    <s v="DEV6953"/>
    <x v="0"/>
    <x v="1"/>
    <x v="0"/>
    <s v="Bhutan"/>
    <s v="New Zealand"/>
    <s v="Delivered by Post"/>
    <x v="1"/>
    <x v="0"/>
    <x v="0"/>
  </r>
  <r>
    <s v="T2211"/>
    <x v="49"/>
    <n v="1"/>
    <x v="1"/>
    <x v="0"/>
    <d v="2025-07-05T00:00:00"/>
    <n v="3226.43"/>
    <n v="4687.2401666666674"/>
    <s v="DEV5964"/>
    <x v="2"/>
    <x v="3"/>
    <x v="3"/>
    <s v="Romania"/>
    <s v="France"/>
    <s v="Picked Up"/>
    <x v="0"/>
    <x v="1"/>
    <x v="0"/>
  </r>
  <r>
    <s v="T2212"/>
    <x v="49"/>
    <n v="1"/>
    <x v="1"/>
    <x v="0"/>
    <d v="2025-06-22T00:00:00"/>
    <n v="4347.5"/>
    <n v="4687.2401666666674"/>
    <s v="DEV3862"/>
    <x v="3"/>
    <x v="0"/>
    <x v="5"/>
    <s v="France"/>
    <s v="Canada"/>
    <s v="Delivered by Post"/>
    <x v="0"/>
    <x v="0"/>
    <x v="0"/>
  </r>
  <r>
    <s v="T2236"/>
    <x v="49"/>
    <n v="1"/>
    <x v="1"/>
    <x v="0"/>
    <d v="2025-09-05T00:00:00"/>
    <n v="4677.07"/>
    <n v="4687.2401666666674"/>
    <s v="DEV8909"/>
    <x v="1"/>
    <x v="1"/>
    <x v="0"/>
    <s v="Zimbabwe"/>
    <s v="Comoros"/>
    <s v="Picked Up"/>
    <x v="0"/>
    <x v="0"/>
    <x v="0"/>
  </r>
  <r>
    <s v="T2302"/>
    <x v="49"/>
    <n v="1"/>
    <x v="0"/>
    <x v="3"/>
    <d v="2025-01-22T00:00:00"/>
    <n v="57.72"/>
    <n v="4687.2401666666674"/>
    <s v="DEV3520"/>
    <x v="1"/>
    <x v="3"/>
    <x v="5"/>
    <s v="Turkmenistan"/>
    <s v="Bhutan"/>
    <s v="Delivered by Post"/>
    <x v="0"/>
    <x v="1"/>
    <x v="0"/>
  </r>
  <r>
    <s v="T2313"/>
    <x v="49"/>
    <n v="1"/>
    <x v="0"/>
    <x v="0"/>
    <d v="2025-12-13T00:00:00"/>
    <n v="4723.7700000000004"/>
    <n v="4687.2401666666674"/>
    <s v="DEV2628"/>
    <x v="0"/>
    <x v="1"/>
    <x v="3"/>
    <s v="Turkmenistan"/>
    <s v="Comoros"/>
    <s v="Picked Up"/>
    <x v="1"/>
    <x v="0"/>
    <x v="0"/>
  </r>
  <r>
    <s v="T2322"/>
    <x v="49"/>
    <n v="1"/>
    <x v="0"/>
    <x v="3"/>
    <d v="2025-02-05T00:00:00"/>
    <n v="8627.4699999999993"/>
    <n v="4687.2401666666674"/>
    <s v="DEV7595"/>
    <x v="0"/>
    <x v="0"/>
    <x v="3"/>
    <s v="Turkmenistan"/>
    <s v="Zimbabwe"/>
    <s v="Picked Up"/>
    <x v="1"/>
    <x v="0"/>
    <x v="0"/>
  </r>
  <r>
    <s v="T2337"/>
    <x v="49"/>
    <n v="1"/>
    <x v="1"/>
    <x v="3"/>
    <d v="2025-09-22T00:00:00"/>
    <n v="6374"/>
    <n v="4687.2401666666674"/>
    <s v="DEV8656"/>
    <x v="1"/>
    <x v="2"/>
    <x v="4"/>
    <s v="Zimbabwe"/>
    <s v="Canada"/>
    <s v="Picked Up"/>
    <x v="1"/>
    <x v="1"/>
    <x v="0"/>
  </r>
  <r>
    <s v="T2354"/>
    <x v="49"/>
    <n v="1"/>
    <x v="0"/>
    <x v="0"/>
    <d v="2025-07-30T00:00:00"/>
    <n v="9913.58"/>
    <n v="4687.2401666666674"/>
    <s v="DEV2337"/>
    <x v="2"/>
    <x v="1"/>
    <x v="1"/>
    <s v="Zimbabwe"/>
    <s v="Comoros"/>
    <s v="Delivered by Post"/>
    <x v="1"/>
    <x v="0"/>
    <x v="0"/>
  </r>
  <r>
    <s v="T2465"/>
    <x v="49"/>
    <n v="1"/>
    <x v="1"/>
    <x v="0"/>
    <d v="2025-02-04T00:00:00"/>
    <n v="7605.11"/>
    <n v="4687.2401666666674"/>
    <s v="DEV4030"/>
    <x v="1"/>
    <x v="3"/>
    <x v="1"/>
    <s v="Comoros"/>
    <s v="France"/>
    <s v="Delivered by Post"/>
    <x v="1"/>
    <x v="1"/>
    <x v="0"/>
  </r>
  <r>
    <s v="T2468"/>
    <x v="49"/>
    <n v="1"/>
    <x v="0"/>
    <x v="3"/>
    <d v="2025-02-16T00:00:00"/>
    <n v="4393.25"/>
    <n v="4687.2401666666674"/>
    <s v="DEV2450"/>
    <x v="2"/>
    <x v="0"/>
    <x v="1"/>
    <s v="Norway"/>
    <s v="New Zealand"/>
    <s v="Delivered by Post"/>
    <x v="0"/>
    <x v="0"/>
    <x v="0"/>
  </r>
  <r>
    <s v="T2541"/>
    <x v="49"/>
    <n v="1"/>
    <x v="1"/>
    <x v="1"/>
    <d v="2025-09-14T00:00:00"/>
    <n v="5513.57"/>
    <n v="4687.2401666666674"/>
    <s v="DEV1491"/>
    <x v="4"/>
    <x v="1"/>
    <x v="4"/>
    <s v="New Zealand"/>
    <s v="Zimbabwe"/>
    <s v="Picked Up"/>
    <x v="1"/>
    <x v="0"/>
    <x v="1"/>
  </r>
  <r>
    <s v="T2650"/>
    <x v="49"/>
    <n v="1"/>
    <x v="1"/>
    <x v="1"/>
    <d v="2025-04-25T00:00:00"/>
    <n v="1628.82"/>
    <n v="4687.2401666666674"/>
    <s v="DEV7286"/>
    <x v="1"/>
    <x v="2"/>
    <x v="2"/>
    <s v="Bhutan"/>
    <s v="Canada"/>
    <s v="Delivered by Post"/>
    <x v="0"/>
    <x v="1"/>
    <x v="0"/>
  </r>
  <r>
    <s v="T2708"/>
    <x v="49"/>
    <n v="1"/>
    <x v="1"/>
    <x v="3"/>
    <d v="2025-02-24T00:00:00"/>
    <n v="9231.25"/>
    <n v="4687.2401666666674"/>
    <s v="DEV2105"/>
    <x v="1"/>
    <x v="3"/>
    <x v="0"/>
    <s v="Comoros"/>
    <s v="Comoros"/>
    <s v="Delivered by Post"/>
    <x v="1"/>
    <x v="1"/>
    <x v="0"/>
  </r>
  <r>
    <s v="T2801"/>
    <x v="49"/>
    <n v="1"/>
    <x v="0"/>
    <x v="3"/>
    <d v="2025-12-06T00:00:00"/>
    <n v="6913.5"/>
    <n v="4687.2401666666674"/>
    <s v="DEV1753"/>
    <x v="4"/>
    <x v="1"/>
    <x v="0"/>
    <s v="Zimbabwe"/>
    <s v="Comoros"/>
    <s v="Delivered by Post"/>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1:E4" firstHeaderRow="1" firstDataRow="1"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axis="axisRow" showAll="0">
      <items count="3">
        <item x="0"/>
        <item x="1"/>
        <item t="default"/>
      </items>
    </pivotField>
    <pivotField showAll="0"/>
  </pivotFields>
  <rowFields count="1">
    <field x="16"/>
  </rowFields>
  <rowItems count="3">
    <i>
      <x/>
    </i>
    <i>
      <x v="1"/>
    </i>
    <i t="grand">
      <x/>
    </i>
  </rowItems>
  <colItems count="1">
    <i/>
  </colItems>
  <dataFields count="1">
    <dataField name="Count of Transaction_ID" fld="0" subtotal="count" baseField="0" baseItem="0"/>
  </dataField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6"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6:E9" firstHeaderRow="1" firstDataRow="1" firstDataCol="1"/>
  <pivotFields count="18">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dataField="1"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axis="axisRow" showAll="0">
      <items count="3">
        <item x="0"/>
        <item x="1"/>
        <item t="default"/>
      </items>
    </pivotField>
    <pivotField showAll="0"/>
  </pivotFields>
  <rowFields count="1">
    <field x="16"/>
  </rowFields>
  <rowItems count="3">
    <i>
      <x/>
    </i>
    <i>
      <x v="1"/>
    </i>
    <i t="grand">
      <x/>
    </i>
  </rowItems>
  <colItems count="1">
    <i/>
  </colItems>
  <dataFields count="1">
    <dataField name="Sum of Transaction_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3"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A6:B9" firstHeaderRow="1" firstDataRow="1" firstDataCol="1"/>
  <pivotFields count="18">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dataField="1"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axis="axisRow" showAll="0">
      <items count="3">
        <item x="1"/>
        <item x="0"/>
        <item t="default"/>
      </items>
    </pivotField>
    <pivotField showAll="0"/>
    <pivotField showAll="0"/>
  </pivotFields>
  <rowFields count="1">
    <field x="15"/>
  </rowFields>
  <rowItems count="3">
    <i>
      <x/>
    </i>
    <i>
      <x v="1"/>
    </i>
    <i t="grand">
      <x/>
    </i>
  </rowItems>
  <colItems count="1">
    <i/>
  </colItems>
  <dataFields count="1">
    <dataField name="Sum of Transaction_Amount" fld="6" baseField="0"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7:B34" firstHeaderRow="1" firstDataRow="1"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showAll="0">
      <items count="5">
        <item x="1"/>
        <item x="0"/>
        <item x="2"/>
        <item x="3"/>
        <item t="default"/>
      </items>
    </pivotField>
    <pivotField axis="axisRow" showAll="0">
      <items count="7">
        <item x="2"/>
        <item x="0"/>
        <item x="1"/>
        <item x="4"/>
        <item x="5"/>
        <item x="3"/>
        <item t="default"/>
      </items>
    </pivotField>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Transaction_ID" fld="0" subtotal="count" baseField="0"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 chart="5" format="12">
      <pivotArea type="data" outline="0" fieldPosition="0">
        <references count="2">
          <reference field="4294967294" count="1" selected="0">
            <x v="0"/>
          </reference>
          <reference field="11" count="1" selected="0">
            <x v="3"/>
          </reference>
        </references>
      </pivotArea>
    </chartFormat>
    <chartFormat chart="5" format="13">
      <pivotArea type="data" outline="0" fieldPosition="0">
        <references count="2">
          <reference field="4294967294" count="1" selected="0">
            <x v="0"/>
          </reference>
          <reference field="11" count="1" selected="0">
            <x v="4"/>
          </reference>
        </references>
      </pivotArea>
    </chartFormat>
    <chartFormat chart="5" format="14">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26:E29" firstHeaderRow="1" firstDataRow="1" firstDataCol="1"/>
  <pivotFields count="18">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dataField="1"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showAll="0"/>
    <pivotField axis="axisRow" showAll="0">
      <items count="5">
        <item m="1" x="2"/>
        <item m="1" x="3"/>
        <item x="0"/>
        <item x="1"/>
        <item t="default"/>
      </items>
    </pivotField>
  </pivotFields>
  <rowFields count="1">
    <field x="17"/>
  </rowFields>
  <rowItems count="3">
    <i>
      <x v="2"/>
    </i>
    <i>
      <x v="3"/>
    </i>
    <i t="grand">
      <x/>
    </i>
  </rowItems>
  <colItems count="1">
    <i/>
  </colItems>
  <dataFields count="1">
    <dataField name="Sum of Transaction_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8"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21:E24" firstHeaderRow="1" firstDataRow="1"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showAll="0"/>
    <pivotField axis="axisRow" showAll="0">
      <items count="5">
        <item m="1" x="2"/>
        <item m="1" x="3"/>
        <item x="0"/>
        <item x="1"/>
        <item t="default"/>
      </items>
    </pivotField>
  </pivotFields>
  <rowFields count="1">
    <field x="17"/>
  </rowFields>
  <rowItems count="3">
    <i>
      <x v="2"/>
    </i>
    <i>
      <x v="3"/>
    </i>
    <i t="grand">
      <x/>
    </i>
  </rowItems>
  <colItems count="1">
    <i/>
  </colItems>
  <dataFields count="1">
    <dataField name="Count of Transaction_I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2"/>
          </reference>
        </references>
      </pivotArea>
    </chartFormat>
    <chartFormat chart="3" format="6">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7"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D12:J18" firstHeaderRow="1" firstDataRow="2"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1"/>
        <item x="2"/>
        <item x="3"/>
        <item x="0"/>
        <item t="default"/>
      </items>
    </pivotField>
    <pivotField axis="axisCol"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showAll="0"/>
    <pivotField showAll="0"/>
  </pivotFields>
  <rowFields count="1">
    <field x="3"/>
  </rowFields>
  <rowItems count="5">
    <i>
      <x/>
    </i>
    <i>
      <x v="1"/>
    </i>
    <i>
      <x v="2"/>
    </i>
    <i>
      <x v="3"/>
    </i>
    <i t="grand">
      <x/>
    </i>
  </rowItems>
  <colFields count="1">
    <field x="4"/>
  </colFields>
  <colItems count="6">
    <i>
      <x/>
    </i>
    <i>
      <x v="1"/>
    </i>
    <i>
      <x v="2"/>
    </i>
    <i>
      <x v="3"/>
    </i>
    <i>
      <x v="4"/>
    </i>
    <i t="grand">
      <x/>
    </i>
  </colItems>
  <dataFields count="1">
    <dataField name="Count of Transaction_ID" fld="0" subtotal="count" baseField="0" baseItem="0"/>
  </dataFields>
  <chartFormats count="1">
    <chartFormat chart="2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B43" firstHeaderRow="1" firstDataRow="1" firstDataCol="1"/>
  <pivotFields count="18">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dataField="1" showAll="0"/>
    <pivotField numFmtId="2" showAll="0"/>
    <pivotField showAll="0"/>
    <pivotField showAll="0">
      <items count="7">
        <item x="5"/>
        <item x="2"/>
        <item x="1"/>
        <item x="3"/>
        <item x="0"/>
        <item x="4"/>
        <item t="default"/>
      </items>
    </pivotField>
    <pivotField showAll="0">
      <items count="5">
        <item x="1"/>
        <item x="0"/>
        <item x="2"/>
        <item x="3"/>
        <item t="default"/>
      </items>
    </pivotField>
    <pivotField axis="axisRow" showAll="0">
      <items count="7">
        <item x="2"/>
        <item x="0"/>
        <item x="1"/>
        <item x="4"/>
        <item x="5"/>
        <item x="3"/>
        <item t="default"/>
      </items>
    </pivotField>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Sum of Transaction_Amount"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A1:B4" firstHeaderRow="1" firstDataRow="1"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showAll="0">
      <items count="5">
        <item x="1"/>
        <item x="0"/>
        <item x="2"/>
        <item x="3"/>
        <item t="default"/>
      </items>
    </pivotField>
    <pivotField showAll="0">
      <items count="7">
        <item x="2"/>
        <item x="0"/>
        <item x="1"/>
        <item x="4"/>
        <item x="5"/>
        <item x="3"/>
        <item t="default"/>
      </items>
    </pivotField>
    <pivotField showAll="0"/>
    <pivotField showAll="0"/>
    <pivotField showAll="0"/>
    <pivotField axis="axisRow" showAll="0">
      <items count="3">
        <item x="1"/>
        <item x="0"/>
        <item t="default"/>
      </items>
    </pivotField>
    <pivotField showAll="0"/>
    <pivotField showAll="0"/>
  </pivotFields>
  <rowFields count="1">
    <field x="15"/>
  </rowFields>
  <rowItems count="3">
    <i>
      <x/>
    </i>
    <i>
      <x v="1"/>
    </i>
    <i t="grand">
      <x/>
    </i>
  </rowItems>
  <colItems count="1">
    <i/>
  </colItems>
  <dataFields count="1">
    <dataField name="Count of Transaction_ID" fld="0" subtotal="count" baseField="0" baseItem="0"/>
  </dataFields>
  <chartFormats count="3">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5" count="1" selected="0">
            <x v="0"/>
          </reference>
        </references>
      </pivotArea>
    </chartFormat>
    <chartFormat chart="31" format="7">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B24" firstHeaderRow="1" firstDataRow="1" firstDataCol="1"/>
  <pivotFields count="18">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dataField="1" showAll="0"/>
    <pivotField numFmtId="2" showAll="0"/>
    <pivotField showAll="0"/>
    <pivotField showAll="0">
      <items count="7">
        <item x="5"/>
        <item x="2"/>
        <item x="1"/>
        <item x="3"/>
        <item x="0"/>
        <item x="4"/>
        <item t="default"/>
      </items>
    </pivotField>
    <pivotField axis="axisRow"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Sum of Transaction_Amount"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M52" firstHeaderRow="0" firstDataRow="1" firstDataCol="1"/>
  <pivotFields count="18">
    <pivotField dataField="1" showAll="0"/>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pivotField numFmtId="14" showAll="0"/>
    <pivotField dataField="1" showAll="0"/>
    <pivotField numFmtId="2"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Count of Transaction_ID" fld="0" subtotal="count" baseField="0" baseItem="0"/>
    <dataField name="Sum of Transaction_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2:B17" firstHeaderRow="1" firstDataRow="1" firstDataCol="1"/>
  <pivotFields count="18">
    <pivotField dataField="1"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1"/>
        <item x="2"/>
        <item x="3"/>
        <item x="0"/>
        <item t="default"/>
      </items>
    </pivotField>
    <pivotField showAll="0">
      <items count="6">
        <item x="0"/>
        <item x="4"/>
        <item x="3"/>
        <item x="2"/>
        <item x="1"/>
        <item t="default"/>
      </items>
    </pivotField>
    <pivotField numFmtId="14" showAll="0"/>
    <pivotField showAll="0"/>
    <pivotField numFmtId="2" showAll="0"/>
    <pivotField showAll="0"/>
    <pivotField showAll="0">
      <items count="7">
        <item x="5"/>
        <item x="2"/>
        <item x="1"/>
        <item x="3"/>
        <item x="0"/>
        <item x="4"/>
        <item t="default"/>
      </items>
    </pivotField>
    <pivotField axis="axisRow" showAll="0">
      <items count="5">
        <item x="1"/>
        <item x="0"/>
        <item x="2"/>
        <item x="3"/>
        <item t="default"/>
      </items>
    </pivotField>
    <pivotField showAll="0">
      <items count="7">
        <item x="2"/>
        <item x="0"/>
        <item x="1"/>
        <item x="4"/>
        <item x="5"/>
        <item x="3"/>
        <item t="default"/>
      </items>
    </pivotField>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Transaction_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 chart="4"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_Type" sourceName="Account_Type">
  <pivotTables>
    <pivotTable tabId="10" name="PivotTable8"/>
    <pivotTable tabId="10" name="PivotTable10"/>
    <pivotTable tabId="10" name="PivotTable11"/>
    <pivotTable tabId="10" name="PivotTable13"/>
    <pivotTable tabId="10" name="PivotTable9"/>
    <pivotTable tabId="10" name="PivotTable14"/>
    <pivotTable tabId="10" name="PivotTable23"/>
    <pivotTable tabId="10" name="PivotTable24"/>
    <pivotTable tabId="10" name="PivotTable25"/>
    <pivotTable tabId="10" name="PivotTable26"/>
    <pivotTable tabId="10" name="PivotTable27"/>
    <pivotTable tabId="10" name="PivotTable28"/>
  </pivotTables>
  <data>
    <tabular pivotCacheId="2">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10" name="PivotTable8"/>
    <pivotTable tabId="10" name="PivotTable10"/>
    <pivotTable tabId="10" name="PivotTable11"/>
    <pivotTable tabId="10" name="PivotTable13"/>
    <pivotTable tabId="10" name="PivotTable9"/>
    <pivotTable tabId="10" name="PivotTable23"/>
    <pivotTable tabId="10" name="PivotTable24"/>
    <pivotTable tabId="10" name="PivotTable25"/>
    <pivotTable tabId="10" name="PivotTable26"/>
    <pivotTable tabId="10" name="PivotTable27"/>
    <pivotTable tabId="10" name="PivotTable28"/>
  </pivotTables>
  <data>
    <tabular pivotCacheId="2">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rchant_Category" sourceName="Merchant_Category">
  <pivotTables>
    <pivotTable tabId="10" name="PivotTable8"/>
    <pivotTable tabId="10" name="PivotTable10"/>
    <pivotTable tabId="10" name="PivotTable11"/>
    <pivotTable tabId="10" name="PivotTable13"/>
    <pivotTable tabId="10" name="PivotTable9"/>
    <pivotTable tabId="10" name="PivotTable23"/>
    <pivotTable tabId="10" name="PivotTable24"/>
    <pivotTable tabId="10" name="PivotTable25"/>
    <pivotTable tabId="10" name="PivotTable26"/>
    <pivotTable tabId="10" name="PivotTable27"/>
    <pivotTable tabId="10" name="PivotTable28"/>
  </pivotTables>
  <data>
    <tabular pivotCacheId="2">
      <items count="6">
        <i x="5" s="1"/>
        <i x="2" s="1"/>
        <i x="1"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uthentication_Type" sourceName="Authentication_Type">
  <pivotTables>
    <pivotTable tabId="10" name="PivotTable8"/>
    <pivotTable tabId="10" name="PivotTable10"/>
    <pivotTable tabId="10" name="PivotTable11"/>
    <pivotTable tabId="10" name="PivotTable13"/>
    <pivotTable tabId="10" name="PivotTable9"/>
    <pivotTable tabId="10" name="PivotTable23"/>
    <pivotTable tabId="10" name="PivotTable24"/>
    <pivotTable tabId="10" name="PivotTable25"/>
    <pivotTable tabId="10" name="PivotTable26"/>
    <pivotTable tabId="10" name="PivotTable27"/>
    <pivotTable tabId="10" name="PivotTable28"/>
  </pivotTables>
  <data>
    <tabular pivotCacheId="2">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ogin_Failure_Count" sourceName="Login_Failure_Count">
  <pivotTables>
    <pivotTable tabId="10" name="PivotTable8"/>
    <pivotTable tabId="10" name="PivotTable10"/>
    <pivotTable tabId="10" name="PivotTable11"/>
    <pivotTable tabId="10" name="PivotTable13"/>
    <pivotTable tabId="10" name="PivotTable9"/>
    <pivotTable tabId="10" name="PivotTable14"/>
    <pivotTable tabId="10" name="PivotTable23"/>
    <pivotTable tabId="10" name="PivotTable24"/>
    <pivotTable tabId="10" name="PivotTable25"/>
    <pivotTable tabId="10" name="PivotTable26"/>
    <pivotTable tabId="10" name="PivotTable27"/>
    <pivotTable tabId="10" name="PivotTable28"/>
  </pivotTables>
  <data>
    <tabular pivotCacheId="2">
      <items count="6">
        <i x="2" s="1"/>
        <i x="0" s="1"/>
        <i x="1" s="1"/>
        <i x="4" s="1"/>
        <i x="5"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ustomer_ID" sourceName="Customer_ID">
  <pivotTables>
    <pivotTable tabId="10" name="PivotTable14"/>
    <pivotTable tabId="10" name="PivotTable10"/>
    <pivotTable tabId="10" name="PivotTable11"/>
    <pivotTable tabId="10" name="PivotTable13"/>
    <pivotTable tabId="10" name="PivotTable8"/>
    <pivotTable tabId="10" name="PivotTable9"/>
    <pivotTable tabId="10" name="PivotTable23"/>
    <pivotTable tabId="10" name="PivotTable24"/>
    <pivotTable tabId="10" name="PivotTable25"/>
    <pivotTable tabId="10" name="PivotTable26"/>
    <pivotTable tabId="10" name="PivotTable27"/>
    <pivotTable tabId="10" name="PivotTable28"/>
  </pivotTables>
  <data>
    <tabular pivotCacheId="2">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_Type" cache="Slicer_Account_Type" caption="Account_Type" rowHeight="209550"/>
  <slicer name="Channel" cache="Slicer_Channel" caption="Channel" rowHeight="209550"/>
  <slicer name="Merchant_Category" cache="Slicer_Merchant_Category" caption="Merchant_Category" startItem="1" rowHeight="209550"/>
  <slicer name="Authentication_Type" cache="Slicer_Authentication_Type" caption="Authentication_Type" rowHeight="209550"/>
  <slicer name="Login_Failure_Count" cache="Slicer_Login_Failure_Count" caption="Login_Failure_Count" startItem="1"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_ID" cache="Slicer_Customer_ID" caption="Customer_ID" startItem="3" rowHeight="209550"/>
</slicers>
</file>

<file path=xl/tables/table1.xml><?xml version="1.0" encoding="utf-8"?>
<table xmlns="http://schemas.openxmlformats.org/spreadsheetml/2006/main" id="1" name="Table1" displayName="Table1" ref="A1:R2851" totalsRowShown="0">
  <autoFilter ref="A1:R2851"/>
  <sortState ref="A2:R2851">
    <sortCondition ref="B2"/>
  </sortState>
  <tableColumns count="18">
    <tableColumn id="1" name="Transaction_ID"/>
    <tableColumn id="2" name="Customer_ID"/>
    <tableColumn id="3" name="transaction_count"/>
    <tableColumn id="4" name="Account_Type"/>
    <tableColumn id="5" name="Channel"/>
    <tableColumn id="6" name="Transaction_Date" dataDxfId="4"/>
    <tableColumn id="7" name="Transaction_Amount"/>
    <tableColumn id="8" name="avg_transaction_amount" dataDxfId="1">
      <calculatedColumnFormula>AVERAGEIF(Table1[Customer_ID], Table1[[#This Row],[Customer_ID]], Table1[Transaction_Amount])</calculatedColumnFormula>
    </tableColumn>
    <tableColumn id="11" name="Device_ID"/>
    <tableColumn id="12" name="Merchant_Category"/>
    <tableColumn id="13" name="Authentication_Type"/>
    <tableColumn id="14" name="Login_Failure_Count"/>
    <tableColumn id="16" name="Country_of_Residence"/>
    <tableColumn id="17" name="Country_of_Transaction"/>
    <tableColumn id="18" name="Mode_of_Card_Delivery"/>
    <tableColumn id="19" name="transaction_usuality" dataDxfId="0">
      <calculatedColumnFormula>IF(Table1[[#This Row],[Transaction_Amount]]&lt;=Table1[[#This Row],[avg_transaction_amount]], "usual transaction", "unusual transaction")</calculatedColumnFormula>
    </tableColumn>
    <tableColumn id="20" name="transaction_location_riskiness" dataDxfId="3">
      <calculatedColumnFormula>IF(AND(Table1[[#This Row],[Country_of_Residence]]&lt;&gt;Table1[[#This Row],[Country_of_Transaction]], OR(Table1[[#This Row],[Authentication_Type]]="Biometric", Table1[[#This Row],[Authentication_Type]]="OTP")), "safe location transaction", "unsafe location transaction")</calculatedColumnFormula>
    </tableColumn>
    <tableColumn id="21" name="merchant_category_riskiness" dataDxfId="2">
      <calculatedColumnFormula>IF(AND(Table1[[#This Row],[Country_of_Residence]]&lt;&gt;Table1[[#This Row],[Country_of_Transaction]], OR(Table1[[#This Row],[Merchant_Category]]="Electronics", Table1[[#This Row],[Merchant_Category]]="Travel")), "unsafe merchant transaction", "safe merchant transaction")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X57" sqref="X5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2"/>
  <sheetViews>
    <sheetView workbookViewId="0">
      <selection activeCell="B7" sqref="B7"/>
    </sheetView>
  </sheetViews>
  <sheetFormatPr defaultRowHeight="14.4"/>
  <cols>
    <col min="1" max="1" width="14.33203125" customWidth="1"/>
    <col min="2" max="2" width="27" customWidth="1"/>
    <col min="3" max="3" width="3.5546875" customWidth="1"/>
    <col min="4" max="4" width="27" customWidth="1"/>
    <col min="5" max="5" width="17.77734375" customWidth="1"/>
    <col min="6" max="6" width="19" customWidth="1"/>
    <col min="7" max="7" width="12.109375" bestFit="1" customWidth="1"/>
    <col min="8" max="8" width="16.6640625" customWidth="1"/>
    <col min="9" max="9" width="4.33203125" customWidth="1"/>
    <col min="10" max="10" width="13.33203125" customWidth="1"/>
    <col min="11" max="11" width="14.33203125" customWidth="1"/>
    <col min="12" max="12" width="27" customWidth="1"/>
    <col min="13" max="13" width="29.21875" customWidth="1"/>
    <col min="14" max="14" width="36.109375" bestFit="1" customWidth="1"/>
  </cols>
  <sheetData>
    <row r="1" spans="1:32">
      <c r="A1" s="5" t="s">
        <v>0</v>
      </c>
      <c r="B1" t="s">
        <v>1</v>
      </c>
      <c r="D1" s="5" t="s">
        <v>0</v>
      </c>
      <c r="E1" t="s">
        <v>1</v>
      </c>
      <c r="K1" s="5" t="s">
        <v>0</v>
      </c>
      <c r="L1" t="s">
        <v>1</v>
      </c>
      <c r="M1" t="s">
        <v>403</v>
      </c>
    </row>
    <row r="2" spans="1:32">
      <c r="A2" s="3" t="s">
        <v>410</v>
      </c>
      <c r="B2" s="6">
        <v>1429</v>
      </c>
      <c r="D2" s="3" t="s">
        <v>405</v>
      </c>
      <c r="E2" s="6">
        <v>1345</v>
      </c>
      <c r="K2" s="3" t="s">
        <v>29</v>
      </c>
      <c r="L2" s="6">
        <v>58</v>
      </c>
      <c r="M2" s="6">
        <v>269770.38</v>
      </c>
    </row>
    <row r="3" spans="1:32" ht="15" thickBot="1">
      <c r="A3" s="3" t="s">
        <v>404</v>
      </c>
      <c r="B3" s="6">
        <v>1421</v>
      </c>
      <c r="D3" s="3" t="s">
        <v>406</v>
      </c>
      <c r="E3" s="6">
        <v>1505</v>
      </c>
      <c r="K3" s="3" t="s">
        <v>39</v>
      </c>
      <c r="L3" s="6">
        <v>61</v>
      </c>
      <c r="M3" s="6">
        <v>336974.13</v>
      </c>
      <c r="U3" s="25" t="s">
        <v>394</v>
      </c>
      <c r="V3" s="4"/>
      <c r="W3" s="4"/>
      <c r="X3" s="4"/>
      <c r="Y3" s="11"/>
      <c r="Z3" s="11"/>
      <c r="AA3" s="11"/>
      <c r="AB3" s="11"/>
      <c r="AC3" s="4"/>
      <c r="AD3" s="4"/>
      <c r="AE3" s="4"/>
      <c r="AF3" s="4"/>
    </row>
    <row r="4" spans="1:32">
      <c r="A4" s="3" t="s">
        <v>7</v>
      </c>
      <c r="B4" s="6">
        <v>2850</v>
      </c>
      <c r="D4" s="3" t="s">
        <v>7</v>
      </c>
      <c r="E4" s="6">
        <v>2850</v>
      </c>
      <c r="K4" s="3" t="s">
        <v>53</v>
      </c>
      <c r="L4" s="6">
        <v>50</v>
      </c>
      <c r="M4" s="6">
        <v>260771.98000000013</v>
      </c>
      <c r="U4" s="25"/>
      <c r="V4" s="26"/>
      <c r="W4" s="27"/>
      <c r="X4" s="28"/>
      <c r="Y4" s="4"/>
      <c r="Z4" s="4"/>
      <c r="AA4" s="4"/>
      <c r="AB4" s="13"/>
      <c r="AC4" s="22" t="s">
        <v>401</v>
      </c>
      <c r="AD4" s="23"/>
      <c r="AE4" s="23"/>
      <c r="AF4" s="24"/>
    </row>
    <row r="5" spans="1:32">
      <c r="K5" s="3" t="s">
        <v>71</v>
      </c>
      <c r="L5" s="6">
        <v>55</v>
      </c>
      <c r="M5" s="6">
        <v>273017.95999999996</v>
      </c>
      <c r="U5" s="25"/>
      <c r="V5" s="29"/>
      <c r="W5" s="30"/>
      <c r="X5" s="31"/>
      <c r="Y5" s="4"/>
      <c r="Z5" s="4"/>
      <c r="AA5" s="4"/>
      <c r="AB5" s="9"/>
      <c r="AC5" s="17" t="s">
        <v>395</v>
      </c>
      <c r="AD5" s="18"/>
      <c r="AE5" s="18"/>
      <c r="AF5" s="19"/>
    </row>
    <row r="6" spans="1:32">
      <c r="A6" s="5" t="s">
        <v>0</v>
      </c>
      <c r="B6" t="s">
        <v>403</v>
      </c>
      <c r="D6" s="5" t="s">
        <v>0</v>
      </c>
      <c r="E6" t="s">
        <v>403</v>
      </c>
      <c r="K6" s="3" t="s">
        <v>82</v>
      </c>
      <c r="L6" s="6">
        <v>58</v>
      </c>
      <c r="M6" s="6">
        <v>257886.94999999987</v>
      </c>
      <c r="U6" s="25"/>
      <c r="V6" s="29"/>
      <c r="W6" s="30"/>
      <c r="X6" s="31"/>
      <c r="Y6" s="4"/>
      <c r="Z6" s="4"/>
      <c r="AA6" s="4"/>
      <c r="AB6" s="9"/>
      <c r="AC6" s="17" t="s">
        <v>396</v>
      </c>
      <c r="AD6" s="18"/>
      <c r="AE6" s="18"/>
      <c r="AF6" s="19"/>
    </row>
    <row r="7" spans="1:32">
      <c r="A7" s="3" t="s">
        <v>410</v>
      </c>
      <c r="B7" s="6">
        <v>10701598.309999999</v>
      </c>
      <c r="D7" s="3" t="s">
        <v>405</v>
      </c>
      <c r="E7" s="6">
        <v>6717587.1299999906</v>
      </c>
      <c r="K7" s="3" t="s">
        <v>87</v>
      </c>
      <c r="L7" s="6">
        <v>55</v>
      </c>
      <c r="M7" s="6">
        <v>283588.97000000003</v>
      </c>
      <c r="U7" s="25"/>
      <c r="V7" s="29"/>
      <c r="W7" s="30"/>
      <c r="X7" s="31"/>
      <c r="Y7" s="4"/>
      <c r="Z7" s="4"/>
      <c r="AA7" s="4"/>
      <c r="AB7" s="9"/>
      <c r="AC7" s="17" t="s">
        <v>397</v>
      </c>
      <c r="AD7" s="18"/>
      <c r="AE7" s="18"/>
      <c r="AF7" s="19"/>
    </row>
    <row r="8" spans="1:32">
      <c r="A8" s="3" t="s">
        <v>404</v>
      </c>
      <c r="B8" s="6">
        <v>3673131.3599999989</v>
      </c>
      <c r="D8" s="3" t="s">
        <v>406</v>
      </c>
      <c r="E8" s="6">
        <v>7657142.5400000019</v>
      </c>
      <c r="K8" s="3" t="s">
        <v>95</v>
      </c>
      <c r="L8" s="6">
        <v>54</v>
      </c>
      <c r="M8" s="6">
        <v>274058.22000000003</v>
      </c>
      <c r="U8" s="25"/>
      <c r="V8" s="29"/>
      <c r="W8" s="30"/>
      <c r="X8" s="31"/>
      <c r="Y8" s="4"/>
      <c r="Z8" s="4"/>
      <c r="AA8" s="4"/>
      <c r="AB8" s="9"/>
      <c r="AC8" s="35" t="s">
        <v>398</v>
      </c>
      <c r="AD8" s="36"/>
      <c r="AE8" s="36"/>
      <c r="AF8" s="37"/>
    </row>
    <row r="9" spans="1:32" ht="15" thickBot="1">
      <c r="A9" s="3" t="s">
        <v>7</v>
      </c>
      <c r="B9" s="6">
        <v>14374729.669999998</v>
      </c>
      <c r="D9" s="3" t="s">
        <v>7</v>
      </c>
      <c r="E9" s="6">
        <v>14374729.669999992</v>
      </c>
      <c r="K9" s="3" t="s">
        <v>106</v>
      </c>
      <c r="L9" s="6">
        <v>59</v>
      </c>
      <c r="M9" s="6">
        <v>295464.95000000007</v>
      </c>
      <c r="U9" s="25"/>
      <c r="V9" s="32"/>
      <c r="W9" s="33"/>
      <c r="X9" s="34"/>
      <c r="Y9" s="4"/>
      <c r="Z9" s="4"/>
      <c r="AA9" s="4"/>
      <c r="AB9" s="9"/>
      <c r="AC9" s="38" t="s">
        <v>399</v>
      </c>
      <c r="AD9" s="39"/>
      <c r="AE9" s="39"/>
      <c r="AF9" s="40"/>
    </row>
    <row r="10" spans="1:32" ht="15" thickBot="1">
      <c r="K10" s="3" t="s">
        <v>116</v>
      </c>
      <c r="L10" s="6">
        <v>63</v>
      </c>
      <c r="M10" s="6">
        <v>357304.80999999994</v>
      </c>
      <c r="U10" s="25"/>
      <c r="V10" s="7"/>
      <c r="W10" s="8"/>
      <c r="X10" s="13"/>
      <c r="Y10" s="14"/>
      <c r="Z10" s="14"/>
      <c r="AA10" s="14"/>
      <c r="AB10" s="13"/>
      <c r="AC10" s="41" t="s">
        <v>400</v>
      </c>
      <c r="AD10" s="42"/>
      <c r="AE10" s="42"/>
      <c r="AF10" s="43"/>
    </row>
    <row r="11" spans="1:32">
      <c r="K11" s="3" t="s">
        <v>124</v>
      </c>
      <c r="L11" s="6">
        <v>51</v>
      </c>
      <c r="M11" s="6">
        <v>220363.66000000003</v>
      </c>
      <c r="U11" s="25"/>
      <c r="V11" s="7"/>
      <c r="W11" s="8"/>
      <c r="X11" s="9"/>
      <c r="Y11" s="4"/>
      <c r="Z11" s="4"/>
      <c r="AA11" s="4"/>
      <c r="AB11" s="9"/>
      <c r="AC11" s="4"/>
      <c r="AD11" s="16"/>
      <c r="AE11" s="16"/>
      <c r="AF11" s="15"/>
    </row>
    <row r="12" spans="1:32">
      <c r="A12" s="5" t="s">
        <v>0</v>
      </c>
      <c r="B12" t="s">
        <v>1</v>
      </c>
      <c r="D12" s="5" t="s">
        <v>1</v>
      </c>
      <c r="E12" s="5" t="s">
        <v>2</v>
      </c>
      <c r="K12" s="3" t="s">
        <v>438</v>
      </c>
      <c r="L12" s="6">
        <v>54</v>
      </c>
      <c r="M12" s="6">
        <v>259000.42999999991</v>
      </c>
      <c r="U12" s="25"/>
      <c r="V12" s="7"/>
      <c r="W12" s="8"/>
      <c r="X12" s="9"/>
      <c r="Y12" s="4"/>
      <c r="Z12" s="4"/>
      <c r="AA12" s="4"/>
      <c r="AB12" s="9"/>
      <c r="AC12" s="4"/>
      <c r="AD12" s="16"/>
      <c r="AE12" s="15"/>
      <c r="AF12" s="15"/>
    </row>
    <row r="13" spans="1:32">
      <c r="A13" s="3" t="s">
        <v>8</v>
      </c>
      <c r="B13" s="6">
        <v>733</v>
      </c>
      <c r="D13" s="5" t="s">
        <v>0</v>
      </c>
      <c r="E13" t="s">
        <v>3</v>
      </c>
      <c r="F13" t="s">
        <v>4</v>
      </c>
      <c r="G13" t="s">
        <v>5</v>
      </c>
      <c r="H13" t="s">
        <v>420</v>
      </c>
      <c r="I13" t="s">
        <v>6</v>
      </c>
      <c r="J13" t="s">
        <v>7</v>
      </c>
      <c r="K13" s="3" t="s">
        <v>129</v>
      </c>
      <c r="L13" s="6">
        <v>62</v>
      </c>
      <c r="M13" s="6">
        <v>320707.84999999992</v>
      </c>
      <c r="U13" s="25"/>
      <c r="V13" s="7"/>
      <c r="W13" s="8"/>
      <c r="X13" s="9"/>
      <c r="Y13" s="4"/>
      <c r="Z13" s="4"/>
      <c r="AA13" s="4"/>
      <c r="AB13" s="9"/>
      <c r="AC13" s="4"/>
      <c r="AD13" s="16"/>
      <c r="AE13" s="15"/>
      <c r="AF13" s="15"/>
    </row>
    <row r="14" spans="1:32">
      <c r="A14" s="3" t="s">
        <v>10</v>
      </c>
      <c r="B14" s="6">
        <v>760</v>
      </c>
      <c r="D14" s="3" t="s">
        <v>9</v>
      </c>
      <c r="E14" s="6">
        <v>373</v>
      </c>
      <c r="F14" s="6">
        <v>1</v>
      </c>
      <c r="G14" s="6">
        <v>376</v>
      </c>
      <c r="H14" s="6">
        <v>338</v>
      </c>
      <c r="I14" s="6">
        <v>330</v>
      </c>
      <c r="J14" s="6">
        <v>1418</v>
      </c>
      <c r="K14" s="3" t="s">
        <v>145</v>
      </c>
      <c r="L14" s="6">
        <v>67</v>
      </c>
      <c r="M14" s="6">
        <v>312521.66999999981</v>
      </c>
      <c r="U14" s="25"/>
      <c r="V14" s="7"/>
      <c r="W14" s="8"/>
      <c r="X14" s="9"/>
      <c r="Y14" s="4"/>
      <c r="Z14" s="4"/>
      <c r="AA14" s="4"/>
      <c r="AB14" s="9"/>
      <c r="AC14" s="4"/>
      <c r="AD14" s="15"/>
      <c r="AE14" s="15"/>
      <c r="AF14" s="15"/>
    </row>
    <row r="15" spans="1:32" ht="15" thickBot="1">
      <c r="A15" s="3" t="s">
        <v>12</v>
      </c>
      <c r="B15" s="6">
        <v>687</v>
      </c>
      <c r="D15" s="3" t="s">
        <v>11</v>
      </c>
      <c r="E15" s="6">
        <v>8</v>
      </c>
      <c r="F15" s="6">
        <v>8</v>
      </c>
      <c r="G15" s="6">
        <v>7</v>
      </c>
      <c r="H15" s="6"/>
      <c r="I15" s="6">
        <v>9</v>
      </c>
      <c r="J15" s="6">
        <v>32</v>
      </c>
      <c r="K15" s="3" t="s">
        <v>149</v>
      </c>
      <c r="L15" s="6">
        <v>52</v>
      </c>
      <c r="M15" s="6">
        <v>287969.25999999989</v>
      </c>
      <c r="U15" s="25"/>
      <c r="V15" s="10"/>
      <c r="W15" s="11"/>
      <c r="X15" s="12"/>
      <c r="Y15" s="10"/>
      <c r="Z15" s="11"/>
      <c r="AA15" s="11"/>
      <c r="AB15" s="12"/>
      <c r="AC15" s="4"/>
      <c r="AD15" s="15"/>
      <c r="AE15" s="15"/>
      <c r="AF15" s="15"/>
    </row>
    <row r="16" spans="1:32">
      <c r="A16" s="3" t="s">
        <v>14</v>
      </c>
      <c r="B16" s="6">
        <v>670</v>
      </c>
      <c r="D16" s="3" t="s">
        <v>13</v>
      </c>
      <c r="E16" s="6">
        <v>10</v>
      </c>
      <c r="F16" s="6">
        <v>4</v>
      </c>
      <c r="G16" s="6">
        <v>4</v>
      </c>
      <c r="H16" s="6"/>
      <c r="I16" s="6">
        <v>5</v>
      </c>
      <c r="J16" s="6">
        <v>23</v>
      </c>
      <c r="K16" s="3" t="s">
        <v>450</v>
      </c>
      <c r="L16" s="6">
        <v>42</v>
      </c>
      <c r="M16" s="6">
        <v>209958.07000000007</v>
      </c>
      <c r="U16" s="21" t="s">
        <v>402</v>
      </c>
      <c r="V16" s="21"/>
      <c r="W16" s="21"/>
      <c r="X16" s="21"/>
      <c r="Y16" s="21"/>
      <c r="Z16" s="21"/>
      <c r="AA16" s="21"/>
      <c r="AB16" s="21"/>
      <c r="AC16" s="21"/>
      <c r="AD16" s="21"/>
      <c r="AE16" s="21"/>
      <c r="AF16" s="4"/>
    </row>
    <row r="17" spans="1:13">
      <c r="A17" s="3" t="s">
        <v>7</v>
      </c>
      <c r="B17" s="6">
        <v>2850</v>
      </c>
      <c r="D17" s="3" t="s">
        <v>15</v>
      </c>
      <c r="E17" s="6">
        <v>364</v>
      </c>
      <c r="F17" s="6">
        <v>5</v>
      </c>
      <c r="G17" s="6">
        <v>355</v>
      </c>
      <c r="H17" s="6">
        <v>311</v>
      </c>
      <c r="I17" s="6">
        <v>342</v>
      </c>
      <c r="J17" s="6">
        <v>1377</v>
      </c>
      <c r="K17" s="3" t="s">
        <v>154</v>
      </c>
      <c r="L17" s="6">
        <v>54</v>
      </c>
      <c r="M17" s="6">
        <v>246684.29</v>
      </c>
    </row>
    <row r="18" spans="1:13">
      <c r="D18" s="3" t="s">
        <v>7</v>
      </c>
      <c r="E18" s="6">
        <v>755</v>
      </c>
      <c r="F18" s="6">
        <v>18</v>
      </c>
      <c r="G18" s="6">
        <v>742</v>
      </c>
      <c r="H18" s="6">
        <v>649</v>
      </c>
      <c r="I18" s="6">
        <v>686</v>
      </c>
      <c r="J18" s="6">
        <v>2850</v>
      </c>
      <c r="K18" s="3" t="s">
        <v>165</v>
      </c>
      <c r="L18" s="6">
        <v>61</v>
      </c>
      <c r="M18" s="6">
        <v>335277.96000000002</v>
      </c>
    </row>
    <row r="19" spans="1:13">
      <c r="A19" s="5" t="s">
        <v>0</v>
      </c>
      <c r="B19" t="s">
        <v>403</v>
      </c>
      <c r="K19" s="3" t="s">
        <v>170</v>
      </c>
      <c r="L19" s="6">
        <v>66</v>
      </c>
      <c r="M19" s="6">
        <v>317901</v>
      </c>
    </row>
    <row r="20" spans="1:13">
      <c r="A20" s="3" t="s">
        <v>8</v>
      </c>
      <c r="B20" s="6">
        <v>3619901.5900000003</v>
      </c>
      <c r="K20" s="3" t="s">
        <v>176</v>
      </c>
      <c r="L20" s="6">
        <v>50</v>
      </c>
      <c r="M20" s="6">
        <v>224756.87</v>
      </c>
    </row>
    <row r="21" spans="1:13">
      <c r="A21" s="3" t="s">
        <v>10</v>
      </c>
      <c r="B21" s="6">
        <v>3830295.9200000023</v>
      </c>
      <c r="D21" s="5" t="s">
        <v>0</v>
      </c>
      <c r="E21" t="s">
        <v>1</v>
      </c>
      <c r="K21" s="3" t="s">
        <v>184</v>
      </c>
      <c r="L21" s="6">
        <v>69</v>
      </c>
      <c r="M21" s="6">
        <v>315905.01999999996</v>
      </c>
    </row>
    <row r="22" spans="1:13">
      <c r="A22" s="3" t="s">
        <v>12</v>
      </c>
      <c r="B22" s="6">
        <v>3593655.9799999991</v>
      </c>
      <c r="D22" s="3" t="s">
        <v>5515</v>
      </c>
      <c r="E22" s="6">
        <v>2323</v>
      </c>
      <c r="K22" s="3" t="s">
        <v>195</v>
      </c>
      <c r="L22" s="6">
        <v>57</v>
      </c>
      <c r="M22" s="6">
        <v>321450.22000000003</v>
      </c>
    </row>
    <row r="23" spans="1:13">
      <c r="A23" s="3" t="s">
        <v>14</v>
      </c>
      <c r="B23" s="6">
        <v>3330876.179999996</v>
      </c>
      <c r="D23" s="3" t="s">
        <v>5516</v>
      </c>
      <c r="E23" s="6">
        <v>527</v>
      </c>
      <c r="K23" s="3" t="s">
        <v>202</v>
      </c>
      <c r="L23" s="6">
        <v>43</v>
      </c>
      <c r="M23" s="6">
        <v>236732.12000000002</v>
      </c>
    </row>
    <row r="24" spans="1:13">
      <c r="A24" s="3" t="s">
        <v>7</v>
      </c>
      <c r="B24" s="6">
        <v>14374729.669999998</v>
      </c>
      <c r="D24" s="3" t="s">
        <v>7</v>
      </c>
      <c r="E24" s="6">
        <v>2850</v>
      </c>
      <c r="K24" s="3" t="s">
        <v>500</v>
      </c>
      <c r="L24" s="6">
        <v>55</v>
      </c>
      <c r="M24" s="6">
        <v>303926.58999999991</v>
      </c>
    </row>
    <row r="25" spans="1:13">
      <c r="K25" s="3" t="s">
        <v>209</v>
      </c>
      <c r="L25" s="6">
        <v>57</v>
      </c>
      <c r="M25" s="6">
        <v>301344.93999999994</v>
      </c>
    </row>
    <row r="26" spans="1:13">
      <c r="D26" s="5" t="s">
        <v>0</v>
      </c>
      <c r="E26" t="s">
        <v>403</v>
      </c>
      <c r="G26" s="6"/>
      <c r="H26" s="6"/>
      <c r="I26" s="6"/>
      <c r="K26" s="3" t="s">
        <v>220</v>
      </c>
      <c r="L26" s="6">
        <v>83</v>
      </c>
      <c r="M26" s="6">
        <v>404792.58</v>
      </c>
    </row>
    <row r="27" spans="1:13">
      <c r="A27" s="5" t="s">
        <v>0</v>
      </c>
      <c r="B27" t="s">
        <v>1</v>
      </c>
      <c r="D27" s="3" t="s">
        <v>5515</v>
      </c>
      <c r="E27" s="6">
        <v>11611083.860000003</v>
      </c>
      <c r="G27" s="6"/>
      <c r="H27" s="6"/>
      <c r="I27" s="6"/>
      <c r="K27" s="3" t="s">
        <v>232</v>
      </c>
      <c r="L27" s="6">
        <v>59</v>
      </c>
      <c r="M27" s="6">
        <v>319895.78000000003</v>
      </c>
    </row>
    <row r="28" spans="1:13">
      <c r="A28" s="3">
        <v>0</v>
      </c>
      <c r="B28" s="6">
        <v>465</v>
      </c>
      <c r="D28" s="3" t="s">
        <v>5516</v>
      </c>
      <c r="E28" s="6">
        <v>2763645.8099999954</v>
      </c>
      <c r="G28" s="6"/>
      <c r="H28" s="6"/>
      <c r="I28" s="6"/>
      <c r="K28" s="3" t="s">
        <v>242</v>
      </c>
      <c r="L28" s="6">
        <v>61</v>
      </c>
      <c r="M28" s="6">
        <v>310770.2099999999</v>
      </c>
    </row>
    <row r="29" spans="1:13">
      <c r="A29" s="3">
        <v>1</v>
      </c>
      <c r="B29" s="6">
        <v>468</v>
      </c>
      <c r="D29" s="3" t="s">
        <v>7</v>
      </c>
      <c r="E29" s="6">
        <v>14374729.669999998</v>
      </c>
      <c r="G29" s="6"/>
      <c r="H29" s="6"/>
      <c r="I29" s="6"/>
      <c r="K29" s="3" t="s">
        <v>252</v>
      </c>
      <c r="L29" s="6">
        <v>63</v>
      </c>
      <c r="M29" s="6">
        <v>327219.72000000003</v>
      </c>
    </row>
    <row r="30" spans="1:13">
      <c r="A30" s="3">
        <v>2</v>
      </c>
      <c r="B30" s="6">
        <v>496</v>
      </c>
      <c r="D30" s="3"/>
      <c r="E30" s="6"/>
      <c r="F30" s="6"/>
      <c r="G30" s="6"/>
      <c r="H30" s="6"/>
      <c r="I30" s="6"/>
      <c r="K30" s="3" t="s">
        <v>260</v>
      </c>
      <c r="L30" s="6">
        <v>50</v>
      </c>
      <c r="M30" s="6">
        <v>299380.40999999997</v>
      </c>
    </row>
    <row r="31" spans="1:13">
      <c r="A31" s="3">
        <v>3</v>
      </c>
      <c r="B31" s="6">
        <v>449</v>
      </c>
      <c r="K31" s="3" t="s">
        <v>265</v>
      </c>
      <c r="L31" s="6">
        <v>63</v>
      </c>
      <c r="M31" s="6">
        <v>342021.7300000001</v>
      </c>
    </row>
    <row r="32" spans="1:13">
      <c r="A32" s="3">
        <v>4</v>
      </c>
      <c r="B32" s="6">
        <v>470</v>
      </c>
      <c r="K32" s="3" t="s">
        <v>269</v>
      </c>
      <c r="L32" s="6">
        <v>54</v>
      </c>
      <c r="M32" s="6">
        <v>265295.83</v>
      </c>
    </row>
    <row r="33" spans="1:13">
      <c r="A33" s="3">
        <v>5</v>
      </c>
      <c r="B33" s="6">
        <v>502</v>
      </c>
      <c r="K33" s="3" t="s">
        <v>276</v>
      </c>
      <c r="L33" s="6">
        <v>63</v>
      </c>
      <c r="M33" s="6">
        <v>313849.87</v>
      </c>
    </row>
    <row r="34" spans="1:13">
      <c r="A34" s="3" t="s">
        <v>7</v>
      </c>
      <c r="B34" s="6">
        <v>2850</v>
      </c>
      <c r="K34" s="3" t="s">
        <v>285</v>
      </c>
      <c r="L34" s="6">
        <v>52</v>
      </c>
      <c r="M34" s="6">
        <v>236012.43000000002</v>
      </c>
    </row>
    <row r="35" spans="1:13">
      <c r="K35" s="3" t="s">
        <v>289</v>
      </c>
      <c r="L35" s="6">
        <v>54</v>
      </c>
      <c r="M35" s="6">
        <v>273144.41999999993</v>
      </c>
    </row>
    <row r="36" spans="1:13">
      <c r="A36" s="5" t="s">
        <v>0</v>
      </c>
      <c r="B36" t="s">
        <v>403</v>
      </c>
      <c r="K36" s="3" t="s">
        <v>295</v>
      </c>
      <c r="L36" s="6">
        <v>60</v>
      </c>
      <c r="M36" s="6">
        <v>288823.74</v>
      </c>
    </row>
    <row r="37" spans="1:13">
      <c r="A37" s="3">
        <v>0</v>
      </c>
      <c r="B37" s="6">
        <v>2394557.4999999981</v>
      </c>
      <c r="K37" s="3" t="s">
        <v>302</v>
      </c>
      <c r="L37" s="6">
        <v>58</v>
      </c>
      <c r="M37" s="6">
        <v>319802.09999999992</v>
      </c>
    </row>
    <row r="38" spans="1:13">
      <c r="A38" s="3">
        <v>1</v>
      </c>
      <c r="B38" s="6">
        <v>2326748.9899999956</v>
      </c>
      <c r="K38" s="3" t="s">
        <v>306</v>
      </c>
      <c r="L38" s="6">
        <v>63</v>
      </c>
      <c r="M38" s="6">
        <v>307236.69000000006</v>
      </c>
    </row>
    <row r="39" spans="1:13">
      <c r="A39" s="3">
        <v>2</v>
      </c>
      <c r="B39" s="6">
        <v>2449301.8699999987</v>
      </c>
      <c r="K39" s="3" t="s">
        <v>316</v>
      </c>
      <c r="L39" s="6">
        <v>53</v>
      </c>
      <c r="M39" s="6">
        <v>241410.08999999994</v>
      </c>
    </row>
    <row r="40" spans="1:13">
      <c r="A40" s="3">
        <v>3</v>
      </c>
      <c r="B40" s="6">
        <v>2384244.2400000002</v>
      </c>
      <c r="D40" s="3"/>
      <c r="E40" s="6"/>
      <c r="F40" s="6"/>
      <c r="G40" s="6"/>
      <c r="H40" s="6"/>
      <c r="I40" s="6"/>
      <c r="K40" s="3" t="s">
        <v>321</v>
      </c>
      <c r="L40" s="6">
        <v>49</v>
      </c>
      <c r="M40" s="6">
        <v>249640.78999999998</v>
      </c>
    </row>
    <row r="41" spans="1:13">
      <c r="A41" s="3">
        <v>4</v>
      </c>
      <c r="B41" s="6">
        <v>2321440.1099999994</v>
      </c>
      <c r="D41" s="3"/>
      <c r="E41" s="6"/>
      <c r="F41" s="6"/>
      <c r="G41" s="6"/>
      <c r="H41" s="6"/>
      <c r="I41" s="6"/>
      <c r="K41" s="3" t="s">
        <v>328</v>
      </c>
      <c r="L41" s="6">
        <v>50</v>
      </c>
      <c r="M41" s="6">
        <v>234059.7699999999</v>
      </c>
    </row>
    <row r="42" spans="1:13">
      <c r="A42" s="3">
        <v>5</v>
      </c>
      <c r="B42" s="6">
        <v>2498436.96</v>
      </c>
      <c r="D42" s="3"/>
      <c r="E42" s="6"/>
      <c r="F42" s="6"/>
      <c r="G42" s="6"/>
      <c r="H42" s="6"/>
      <c r="I42" s="6"/>
      <c r="K42" s="3" t="s">
        <v>333</v>
      </c>
      <c r="L42" s="6">
        <v>53</v>
      </c>
      <c r="M42" s="6">
        <v>263329.85000000003</v>
      </c>
    </row>
    <row r="43" spans="1:13">
      <c r="A43" s="3" t="s">
        <v>7</v>
      </c>
      <c r="B43" s="6">
        <v>14374729.669999991</v>
      </c>
      <c r="D43" s="3"/>
      <c r="E43" s="6"/>
      <c r="F43" s="6"/>
      <c r="G43" s="6"/>
      <c r="H43" s="6"/>
      <c r="I43" s="6"/>
      <c r="K43" s="3" t="s">
        <v>338</v>
      </c>
      <c r="L43" s="6">
        <v>57</v>
      </c>
      <c r="M43" s="6">
        <v>284485.92</v>
      </c>
    </row>
    <row r="44" spans="1:13">
      <c r="D44" s="3"/>
      <c r="E44" s="6"/>
      <c r="F44" s="6"/>
      <c r="G44" s="6"/>
      <c r="H44" s="6"/>
      <c r="I44" s="6"/>
      <c r="K44" s="3" t="s">
        <v>347</v>
      </c>
      <c r="L44" s="6">
        <v>68</v>
      </c>
      <c r="M44" s="6">
        <v>317997.44000000024</v>
      </c>
    </row>
    <row r="45" spans="1:13">
      <c r="K45" s="3" t="s">
        <v>351</v>
      </c>
      <c r="L45" s="6">
        <v>57</v>
      </c>
      <c r="M45" s="6">
        <v>293223.52</v>
      </c>
    </row>
    <row r="46" spans="1:13">
      <c r="A46" t="s">
        <v>5517</v>
      </c>
      <c r="B46">
        <f>GETPIVOTDATA("Transaction_ID",$A$27)</f>
        <v>2850</v>
      </c>
      <c r="K46" s="3" t="s">
        <v>414</v>
      </c>
      <c r="L46" s="6">
        <v>55</v>
      </c>
      <c r="M46" s="6">
        <v>299060.57999999996</v>
      </c>
    </row>
    <row r="47" spans="1:13">
      <c r="A47" t="s">
        <v>5518</v>
      </c>
      <c r="B47" s="20" t="str">
        <f>("$"&amp;ROUND(GETPIVOTDATA("Transaction_Amount",$A$36)/1000000,1)&amp;"M")</f>
        <v>$14.4M</v>
      </c>
      <c r="K47" s="3" t="s">
        <v>357</v>
      </c>
      <c r="L47" s="6">
        <v>50</v>
      </c>
      <c r="M47" s="6">
        <v>256188.97999999995</v>
      </c>
    </row>
    <row r="48" spans="1:13">
      <c r="A48" t="s">
        <v>5519</v>
      </c>
      <c r="B48">
        <f>COUNTA(K2:K51)</f>
        <v>50</v>
      </c>
      <c r="K48" s="3" t="s">
        <v>362</v>
      </c>
      <c r="L48" s="6">
        <v>53</v>
      </c>
      <c r="M48" s="6">
        <v>272983.11</v>
      </c>
    </row>
    <row r="49" spans="1:13">
      <c r="A49" t="s">
        <v>5520</v>
      </c>
      <c r="B49">
        <f>6</f>
        <v>6</v>
      </c>
      <c r="K49" s="3" t="s">
        <v>365</v>
      </c>
      <c r="L49" s="6">
        <v>46</v>
      </c>
      <c r="M49" s="6">
        <v>207647.12000000005</v>
      </c>
    </row>
    <row r="50" spans="1:13">
      <c r="A50" t="s">
        <v>5521</v>
      </c>
      <c r="B50">
        <f>GETPIVOTDATA("Count of Transaction_ID",$K$1)/COUNTA(K2:K51)</f>
        <v>57</v>
      </c>
      <c r="K50" s="3" t="s">
        <v>375</v>
      </c>
      <c r="L50" s="6">
        <v>63</v>
      </c>
      <c r="M50" s="6">
        <v>341884.27999999997</v>
      </c>
    </row>
    <row r="51" spans="1:13">
      <c r="K51" s="3" t="s">
        <v>382</v>
      </c>
      <c r="L51" s="6">
        <v>60</v>
      </c>
      <c r="M51" s="6">
        <v>281234.41000000003</v>
      </c>
    </row>
    <row r="52" spans="1:13">
      <c r="K52" s="3" t="s">
        <v>7</v>
      </c>
      <c r="L52" s="6">
        <v>2850</v>
      </c>
      <c r="M52" s="6">
        <v>14374729.670000013</v>
      </c>
    </row>
  </sheetData>
  <mergeCells count="7">
    <mergeCell ref="U16:AE16"/>
    <mergeCell ref="AC4:AF4"/>
    <mergeCell ref="U3:U15"/>
    <mergeCell ref="V4:X9"/>
    <mergeCell ref="AC8:AF8"/>
    <mergeCell ref="AC9:AF9"/>
    <mergeCell ref="AC10:AF10"/>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51"/>
  <sheetViews>
    <sheetView tabSelected="1" topLeftCell="J188" workbookViewId="0">
      <selection activeCell="P189" sqref="P189"/>
    </sheetView>
  </sheetViews>
  <sheetFormatPr defaultRowHeight="14.4"/>
  <cols>
    <col min="1" max="1" width="18.44140625" customWidth="1"/>
    <col min="2" max="2" width="15.109375" customWidth="1"/>
    <col min="3" max="3" width="21.77734375" customWidth="1"/>
    <col min="4" max="4" width="16.21875" customWidth="1"/>
    <col min="5" max="5" width="10.6640625" customWidth="1"/>
    <col min="6" max="6" width="20.6640625" style="2" customWidth="1"/>
    <col min="7" max="7" width="22.88671875" customWidth="1"/>
    <col min="8" max="8" width="27.33203125" customWidth="1"/>
    <col min="9" max="9" width="32.88671875" customWidth="1"/>
    <col min="10" max="10" width="11.77734375" customWidth="1"/>
    <col min="11" max="11" width="12.88671875" customWidth="1"/>
    <col min="12" max="12" width="21.77734375" customWidth="1"/>
    <col min="13" max="14" width="24" customWidth="1"/>
    <col min="15" max="15" width="25.109375" customWidth="1"/>
    <col min="16" max="16" width="27.33203125" customWidth="1"/>
    <col min="17" max="18" width="37.21875" bestFit="1" customWidth="1"/>
    <col min="19" max="19" width="33.77734375" bestFit="1" customWidth="1"/>
  </cols>
  <sheetData>
    <row r="1" spans="1:18">
      <c r="A1" t="s">
        <v>16</v>
      </c>
      <c r="B1" t="s">
        <v>17</v>
      </c>
      <c r="C1" t="s">
        <v>389</v>
      </c>
      <c r="D1" t="s">
        <v>18</v>
      </c>
      <c r="E1" t="s">
        <v>19</v>
      </c>
      <c r="F1" s="2" t="s">
        <v>20</v>
      </c>
      <c r="G1" t="s">
        <v>21</v>
      </c>
      <c r="H1" t="s">
        <v>390</v>
      </c>
      <c r="I1" t="s">
        <v>22</v>
      </c>
      <c r="J1" t="s">
        <v>23</v>
      </c>
      <c r="K1" t="s">
        <v>24</v>
      </c>
      <c r="L1" t="s">
        <v>25</v>
      </c>
      <c r="M1" t="s">
        <v>26</v>
      </c>
      <c r="N1" t="s">
        <v>27</v>
      </c>
      <c r="O1" t="s">
        <v>391</v>
      </c>
      <c r="P1" t="s">
        <v>407</v>
      </c>
      <c r="Q1" t="s">
        <v>408</v>
      </c>
      <c r="R1" t="s">
        <v>409</v>
      </c>
    </row>
    <row r="2" spans="1:18">
      <c r="A2" t="s">
        <v>34</v>
      </c>
      <c r="B2" t="s">
        <v>29</v>
      </c>
      <c r="C2">
        <v>1</v>
      </c>
      <c r="D2" t="s">
        <v>15</v>
      </c>
      <c r="E2" t="s">
        <v>3</v>
      </c>
      <c r="F2" s="2">
        <v>45830.5402777778</v>
      </c>
      <c r="G2">
        <v>2595.84</v>
      </c>
      <c r="H2" s="1">
        <f>AVERAGEIF(Table1[Customer_ID], Table1[[#This Row],[Customer_ID]], Table1[Transaction_Amount])</f>
        <v>4651.213448275862</v>
      </c>
      <c r="I2" t="s">
        <v>35</v>
      </c>
      <c r="J2" t="s">
        <v>36</v>
      </c>
      <c r="K2" t="s">
        <v>10</v>
      </c>
      <c r="L2">
        <v>1</v>
      </c>
      <c r="M2" t="s">
        <v>32</v>
      </c>
      <c r="N2" t="s">
        <v>37</v>
      </c>
      <c r="O2" t="s">
        <v>392</v>
      </c>
      <c r="P2" t="str">
        <f>IF(Table1[[#This Row],[Transaction_Amount]]&lt;=Table1[[#This Row],[avg_transaction_amount]], "usual transaction", "unusual transaction")</f>
        <v>usual transaction</v>
      </c>
      <c r="Q2" t="str">
        <f>IF(AND(Table1[[#This Row],[Country_of_Residence]]&lt;&gt;Table1[[#This Row],[Country_of_Transaction]], OR(Table1[[#This Row],[Authentication_Type]]="Biometric", Table1[[#This Row],[Authentication_Type]]="OTP")), "safe location transaction", "unsafe location transaction")</f>
        <v>safe location transaction</v>
      </c>
      <c r="R2" t="str">
        <f>IF(AND(Table1[[#This Row],[Country_of_Residence]]&lt;&gt;Table1[[#This Row],[Country_of_Transaction]], OR(Table1[[#This Row],[Merchant_Category]]="Electronics", Table1[[#This Row],[Merchant_Category]]="Travel")), "unsafe merchant transaction", "safe merchant transaction")</f>
        <v>safe merchant transaction</v>
      </c>
    </row>
    <row r="3" spans="1:18">
      <c r="A3" t="s">
        <v>28</v>
      </c>
      <c r="B3" t="s">
        <v>29</v>
      </c>
      <c r="C3">
        <v>1</v>
      </c>
      <c r="D3" t="s">
        <v>15</v>
      </c>
      <c r="E3" t="s">
        <v>6</v>
      </c>
      <c r="F3" s="2">
        <v>45810.156944444403</v>
      </c>
      <c r="G3">
        <v>4743.46</v>
      </c>
      <c r="H3" s="1">
        <f>AVERAGEIF(Table1[Customer_ID], Table1[[#This Row],[Customer_ID]], Table1[Transaction_Amount])</f>
        <v>4651.213448275862</v>
      </c>
      <c r="I3" t="s">
        <v>30</v>
      </c>
      <c r="J3" t="s">
        <v>31</v>
      </c>
      <c r="K3" t="s">
        <v>8</v>
      </c>
      <c r="L3">
        <v>2</v>
      </c>
      <c r="M3" t="s">
        <v>32</v>
      </c>
      <c r="N3" t="s">
        <v>33</v>
      </c>
      <c r="O3" t="s">
        <v>392</v>
      </c>
      <c r="P3" t="str">
        <f>IF(Table1[[#This Row],[Transaction_Amount]]&lt;=Table1[[#This Row],[avg_transaction_amount]], "usual transaction", "unusual transaction")</f>
        <v>unusual transaction</v>
      </c>
      <c r="Q3" t="str">
        <f>IF(AND(Table1[[#This Row],[Country_of_Residence]]&lt;&gt;Table1[[#This Row],[Country_of_Transaction]], OR(Table1[[#This Row],[Authentication_Type]]="Biometric", Table1[[#This Row],[Authentication_Type]]="OTP")), "safe location transaction", "unsafe location transaction")</f>
        <v>safe location transaction</v>
      </c>
      <c r="R3" t="str">
        <f>IF(AND(Table1[[#This Row],[Country_of_Residence]]&lt;&gt;Table1[[#This Row],[Country_of_Transaction]], OR(Table1[[#This Row],[Merchant_Category]]="Electronics", Table1[[#This Row],[Merchant_Category]]="Travel")), "unsafe merchant transaction", "safe merchant transaction")</f>
        <v>safe merchant transaction</v>
      </c>
    </row>
    <row r="4" spans="1:18">
      <c r="A4" t="s">
        <v>2778</v>
      </c>
      <c r="B4" t="s">
        <v>29</v>
      </c>
      <c r="C4">
        <v>1</v>
      </c>
      <c r="D4" t="s">
        <v>15</v>
      </c>
      <c r="E4" t="s">
        <v>3</v>
      </c>
      <c r="F4" s="2">
        <v>45674</v>
      </c>
      <c r="G4">
        <v>756.38</v>
      </c>
      <c r="H4" s="1">
        <f>AVERAGEIF(Table1[Customer_ID], Table1[[#This Row],[Customer_ID]], Table1[Transaction_Amount])</f>
        <v>4651.213448275862</v>
      </c>
      <c r="I4" t="s">
        <v>427</v>
      </c>
      <c r="J4" t="s">
        <v>41</v>
      </c>
      <c r="K4" t="s">
        <v>12</v>
      </c>
      <c r="L4">
        <v>2</v>
      </c>
      <c r="M4" t="s">
        <v>47</v>
      </c>
      <c r="N4" t="s">
        <v>55</v>
      </c>
      <c r="O4" t="s">
        <v>392</v>
      </c>
      <c r="P4" s="6" t="str">
        <f>IF(Table1[[#This Row],[Transaction_Amount]]&lt;=Table1[[#This Row],[avg_transaction_amount]], "usual transaction", "unusual transaction")</f>
        <v>usual transaction</v>
      </c>
      <c r="Q4" s="6" t="str">
        <f>IF(AND(Table1[[#This Row],[Country_of_Residence]]&lt;&gt;Table1[[#This Row],[Country_of_Transaction]], OR(Table1[[#This Row],[Authentication_Type]]="Biometric", Table1[[#This Row],[Authentication_Type]]="OTP")), "safe location transaction", "unsafe location transaction")</f>
        <v>unsafe location transaction</v>
      </c>
      <c r="R4" s="6" t="str">
        <f>IF(AND(Table1[[#This Row],[Country_of_Residence]]&lt;&gt;Table1[[#This Row],[Country_of_Transaction]], OR(Table1[[#This Row],[Merchant_Category]]="Electronics", Table1[[#This Row],[Merchant_Category]]="Travel")), "unsafe merchant transaction", "safe merchant transaction")</f>
        <v>safe merchant transaction</v>
      </c>
    </row>
    <row r="5" spans="1:18">
      <c r="A5" t="s">
        <v>2938</v>
      </c>
      <c r="B5" t="s">
        <v>29</v>
      </c>
      <c r="C5">
        <v>1</v>
      </c>
      <c r="D5" t="s">
        <v>15</v>
      </c>
      <c r="E5" t="s">
        <v>420</v>
      </c>
      <c r="F5" s="2">
        <v>45995</v>
      </c>
      <c r="G5">
        <v>2226.2600000000002</v>
      </c>
      <c r="H5" s="1">
        <f>AVERAGEIF(Table1[Customer_ID], Table1[[#This Row],[Customer_ID]], Table1[Transaction_Amount])</f>
        <v>4651.213448275862</v>
      </c>
      <c r="I5" t="s">
        <v>587</v>
      </c>
      <c r="J5" t="s">
        <v>31</v>
      </c>
      <c r="K5" t="s">
        <v>8</v>
      </c>
      <c r="L5">
        <v>0</v>
      </c>
      <c r="M5" t="s">
        <v>412</v>
      </c>
      <c r="N5" t="s">
        <v>33</v>
      </c>
      <c r="O5" t="s">
        <v>393</v>
      </c>
      <c r="P5" s="6" t="str">
        <f>IF(Table1[[#This Row],[Transaction_Amount]]&lt;=Table1[[#This Row],[avg_transaction_amount]], "usual transaction", "unusual transaction")</f>
        <v>usual transaction</v>
      </c>
      <c r="Q5" s="6" t="str">
        <f>IF(AND(Table1[[#This Row],[Country_of_Residence]]&lt;&gt;Table1[[#This Row],[Country_of_Transaction]], OR(Table1[[#This Row],[Authentication_Type]]="Biometric", Table1[[#This Row],[Authentication_Type]]="OTP")), "safe location transaction", "unsafe location transaction")</f>
        <v>safe location transaction</v>
      </c>
      <c r="R5" s="6" t="str">
        <f>IF(AND(Table1[[#This Row],[Country_of_Residence]]&lt;&gt;Table1[[#This Row],[Country_of_Transaction]], OR(Table1[[#This Row],[Merchant_Category]]="Electronics", Table1[[#This Row],[Merchant_Category]]="Travel")), "unsafe merchant transaction", "safe merchant transaction")</f>
        <v>safe merchant transaction</v>
      </c>
    </row>
    <row r="6" spans="1:18">
      <c r="A6" t="s">
        <v>2981</v>
      </c>
      <c r="B6" t="s">
        <v>29</v>
      </c>
      <c r="C6">
        <v>1</v>
      </c>
      <c r="D6" t="s">
        <v>15</v>
      </c>
      <c r="E6" t="s">
        <v>420</v>
      </c>
      <c r="F6" s="2">
        <v>45917</v>
      </c>
      <c r="G6">
        <v>2658.74</v>
      </c>
      <c r="H6" s="1">
        <f>AVERAGEIF(Table1[Customer_ID], Table1[[#This Row],[Customer_ID]], Table1[Transaction_Amount])</f>
        <v>4651.213448275862</v>
      </c>
      <c r="I6" t="s">
        <v>629</v>
      </c>
      <c r="J6" t="s">
        <v>36</v>
      </c>
      <c r="K6" t="s">
        <v>8</v>
      </c>
      <c r="L6">
        <v>5</v>
      </c>
      <c r="M6" t="s">
        <v>56</v>
      </c>
      <c r="N6" t="s">
        <v>32</v>
      </c>
      <c r="O6" t="s">
        <v>392</v>
      </c>
      <c r="P6" s="6" t="str">
        <f>IF(Table1[[#This Row],[Transaction_Amount]]&lt;=Table1[[#This Row],[avg_transaction_amount]], "usual transaction", "unusual transaction")</f>
        <v>usual transaction</v>
      </c>
      <c r="Q6" s="6" t="str">
        <f>IF(AND(Table1[[#This Row],[Country_of_Residence]]&lt;&gt;Table1[[#This Row],[Country_of_Transaction]], OR(Table1[[#This Row],[Authentication_Type]]="Biometric", Table1[[#This Row],[Authentication_Type]]="OTP")), "safe location transaction", "unsafe location transaction")</f>
        <v>safe location transaction</v>
      </c>
      <c r="R6" s="6" t="str">
        <f>IF(AND(Table1[[#This Row],[Country_of_Residence]]&lt;&gt;Table1[[#This Row],[Country_of_Transaction]], OR(Table1[[#This Row],[Merchant_Category]]="Electronics", Table1[[#This Row],[Merchant_Category]]="Travel")), "unsafe merchant transaction", "safe merchant transaction")</f>
        <v>safe merchant transaction</v>
      </c>
    </row>
    <row r="7" spans="1:18">
      <c r="A7" t="s">
        <v>2989</v>
      </c>
      <c r="B7" t="s">
        <v>29</v>
      </c>
      <c r="C7">
        <v>1</v>
      </c>
      <c r="D7" t="s">
        <v>9</v>
      </c>
      <c r="E7" t="s">
        <v>6</v>
      </c>
      <c r="F7" s="2">
        <v>45895</v>
      </c>
      <c r="G7">
        <v>3720.75</v>
      </c>
      <c r="H7" s="1">
        <f>AVERAGEIF(Table1[Customer_ID], Table1[[#This Row],[Customer_ID]], Table1[Transaction_Amount])</f>
        <v>4651.213448275862</v>
      </c>
      <c r="I7" t="s">
        <v>636</v>
      </c>
      <c r="J7" t="s">
        <v>46</v>
      </c>
      <c r="K7" t="s">
        <v>12</v>
      </c>
      <c r="L7">
        <v>1</v>
      </c>
      <c r="M7" t="s">
        <v>412</v>
      </c>
      <c r="N7" t="s">
        <v>56</v>
      </c>
      <c r="O7" t="s">
        <v>392</v>
      </c>
      <c r="P7" s="6" t="str">
        <f>IF(Table1[[#This Row],[Transaction_Amount]]&lt;=Table1[[#This Row],[avg_transaction_amount]], "usual transaction", "unusual transaction")</f>
        <v>usual transaction</v>
      </c>
      <c r="Q7" s="6" t="str">
        <f>IF(AND(Table1[[#This Row],[Country_of_Residence]]&lt;&gt;Table1[[#This Row],[Country_of_Transaction]], OR(Table1[[#This Row],[Authentication_Type]]="Biometric", Table1[[#This Row],[Authentication_Type]]="OTP")), "safe location transaction", "unsafe location transaction")</f>
        <v>unsafe location transaction</v>
      </c>
      <c r="R7" s="6" t="str">
        <f>IF(AND(Table1[[#This Row],[Country_of_Residence]]&lt;&gt;Table1[[#This Row],[Country_of_Transaction]], OR(Table1[[#This Row],[Merchant_Category]]="Electronics", Table1[[#This Row],[Merchant_Category]]="Travel")), "unsafe merchant transaction", "safe merchant transaction")</f>
        <v>safe merchant transaction</v>
      </c>
    </row>
    <row r="8" spans="1:18">
      <c r="A8" t="s">
        <v>3049</v>
      </c>
      <c r="B8" t="s">
        <v>29</v>
      </c>
      <c r="C8">
        <v>1</v>
      </c>
      <c r="D8" t="s">
        <v>15</v>
      </c>
      <c r="E8" t="s">
        <v>5</v>
      </c>
      <c r="F8" s="2">
        <v>45923</v>
      </c>
      <c r="G8">
        <v>7060.45</v>
      </c>
      <c r="H8" s="1">
        <f>AVERAGEIF(Table1[Customer_ID], Table1[[#This Row],[Customer_ID]], Table1[Transaction_Amount])</f>
        <v>4651.213448275862</v>
      </c>
      <c r="I8" t="s">
        <v>694</v>
      </c>
      <c r="J8" t="s">
        <v>36</v>
      </c>
      <c r="K8" t="s">
        <v>12</v>
      </c>
      <c r="L8">
        <v>3</v>
      </c>
      <c r="M8" t="s">
        <v>51</v>
      </c>
      <c r="N8" t="s">
        <v>56</v>
      </c>
      <c r="O8" t="s">
        <v>392</v>
      </c>
      <c r="P8" s="6" t="str">
        <f>IF(Table1[[#This Row],[Transaction_Amount]]&lt;=Table1[[#This Row],[avg_transaction_amount]], "usual transaction", "unusual transaction")</f>
        <v>unusual transaction</v>
      </c>
      <c r="Q8" s="6" t="str">
        <f>IF(AND(Table1[[#This Row],[Country_of_Residence]]&lt;&gt;Table1[[#This Row],[Country_of_Transaction]], OR(Table1[[#This Row],[Authentication_Type]]="Biometric", Table1[[#This Row],[Authentication_Type]]="OTP")), "safe location transaction", "unsafe location transaction")</f>
        <v>unsafe location transaction</v>
      </c>
      <c r="R8" s="6" t="str">
        <f>IF(AND(Table1[[#This Row],[Country_of_Residence]]&lt;&gt;Table1[[#This Row],[Country_of_Transaction]], OR(Table1[[#This Row],[Merchant_Category]]="Electronics", Table1[[#This Row],[Merchant_Category]]="Travel")), "unsafe merchant transaction", "safe merchant transaction")</f>
        <v>safe merchant transaction</v>
      </c>
    </row>
    <row r="9" spans="1:18">
      <c r="A9" t="s">
        <v>3135</v>
      </c>
      <c r="B9" t="s">
        <v>29</v>
      </c>
      <c r="C9">
        <v>1</v>
      </c>
      <c r="D9" t="s">
        <v>9</v>
      </c>
      <c r="E9" t="s">
        <v>3</v>
      </c>
      <c r="F9" s="2">
        <v>45897</v>
      </c>
      <c r="G9">
        <v>9305.6</v>
      </c>
      <c r="H9" s="1">
        <f>AVERAGEIF(Table1[Customer_ID], Table1[[#This Row],[Customer_ID]], Table1[Transaction_Amount])</f>
        <v>4651.213448275862</v>
      </c>
      <c r="I9" t="s">
        <v>775</v>
      </c>
      <c r="J9" t="s">
        <v>50</v>
      </c>
      <c r="K9" t="s">
        <v>8</v>
      </c>
      <c r="L9">
        <v>2</v>
      </c>
      <c r="M9" t="s">
        <v>412</v>
      </c>
      <c r="N9" t="s">
        <v>37</v>
      </c>
      <c r="O9" t="s">
        <v>392</v>
      </c>
      <c r="P9" s="6" t="str">
        <f>IF(Table1[[#This Row],[Transaction_Amount]]&lt;=Table1[[#This Row],[avg_transaction_amount]], "usual transaction", "unusual transaction")</f>
        <v>unusual transaction</v>
      </c>
      <c r="Q9" s="6" t="str">
        <f>IF(AND(Table1[[#This Row],[Country_of_Residence]]&lt;&gt;Table1[[#This Row],[Country_of_Transaction]], OR(Table1[[#This Row],[Authentication_Type]]="Biometric", Table1[[#This Row],[Authentication_Type]]="OTP")), "safe location transaction", "unsafe location transaction")</f>
        <v>safe location transaction</v>
      </c>
      <c r="R9" s="6" t="str">
        <f>IF(AND(Table1[[#This Row],[Country_of_Residence]]&lt;&gt;Table1[[#This Row],[Country_of_Transaction]], OR(Table1[[#This Row],[Merchant_Category]]="Electronics", Table1[[#This Row],[Merchant_Category]]="Travel")), "unsafe merchant transaction", "safe merchant transaction")</f>
        <v>unsafe merchant transaction</v>
      </c>
    </row>
    <row r="10" spans="1:18">
      <c r="A10" t="s">
        <v>3194</v>
      </c>
      <c r="B10" t="s">
        <v>29</v>
      </c>
      <c r="C10">
        <v>1</v>
      </c>
      <c r="D10" t="s">
        <v>9</v>
      </c>
      <c r="E10" t="s">
        <v>420</v>
      </c>
      <c r="F10" s="2">
        <v>45727</v>
      </c>
      <c r="G10">
        <v>763.87</v>
      </c>
      <c r="H10" s="1">
        <f>AVERAGEIF(Table1[Customer_ID], Table1[[#This Row],[Customer_ID]], Table1[Transaction_Amount])</f>
        <v>4651.213448275862</v>
      </c>
      <c r="I10" t="s">
        <v>829</v>
      </c>
      <c r="J10" t="s">
        <v>36</v>
      </c>
      <c r="K10" t="s">
        <v>8</v>
      </c>
      <c r="L10">
        <v>5</v>
      </c>
      <c r="M10" t="s">
        <v>56</v>
      </c>
      <c r="N10" t="s">
        <v>42</v>
      </c>
      <c r="O10" t="s">
        <v>393</v>
      </c>
      <c r="P10" s="6" t="str">
        <f>IF(Table1[[#This Row],[Transaction_Amount]]&lt;=Table1[[#This Row],[avg_transaction_amount]], "usual transaction", "unusual transaction")</f>
        <v>usual transaction</v>
      </c>
      <c r="Q10" s="6" t="str">
        <f>IF(AND(Table1[[#This Row],[Country_of_Residence]]&lt;&gt;Table1[[#This Row],[Country_of_Transaction]], OR(Table1[[#This Row],[Authentication_Type]]="Biometric", Table1[[#This Row],[Authentication_Type]]="OTP")), "safe location transaction", "unsafe location transaction")</f>
        <v>safe location transaction</v>
      </c>
      <c r="R10" s="6" t="str">
        <f>IF(AND(Table1[[#This Row],[Country_of_Residence]]&lt;&gt;Table1[[#This Row],[Country_of_Transaction]], OR(Table1[[#This Row],[Merchant_Category]]="Electronics", Table1[[#This Row],[Merchant_Category]]="Travel")), "unsafe merchant transaction", "safe merchant transaction")</f>
        <v>safe merchant transaction</v>
      </c>
    </row>
    <row r="11" spans="1:18">
      <c r="A11" t="s">
        <v>3299</v>
      </c>
      <c r="B11" t="s">
        <v>29</v>
      </c>
      <c r="C11">
        <v>1</v>
      </c>
      <c r="D11" t="s">
        <v>9</v>
      </c>
      <c r="E11" t="s">
        <v>420</v>
      </c>
      <c r="F11" s="2">
        <v>46001</v>
      </c>
      <c r="G11">
        <v>2573.89</v>
      </c>
      <c r="H11" s="1">
        <f>AVERAGEIF(Table1[Customer_ID], Table1[[#This Row],[Customer_ID]], Table1[Transaction_Amount])</f>
        <v>4651.213448275862</v>
      </c>
      <c r="I11" t="s">
        <v>733</v>
      </c>
      <c r="J11" t="s">
        <v>41</v>
      </c>
      <c r="K11" t="s">
        <v>10</v>
      </c>
      <c r="L11">
        <v>4</v>
      </c>
      <c r="M11" t="s">
        <v>42</v>
      </c>
      <c r="N11" t="s">
        <v>37</v>
      </c>
      <c r="O11" t="s">
        <v>392</v>
      </c>
      <c r="P11" s="6" t="str">
        <f>IF(Table1[[#This Row],[Transaction_Amount]]&lt;=Table1[[#This Row],[avg_transaction_amount]], "usual transaction", "unusual transaction")</f>
        <v>usual transaction</v>
      </c>
      <c r="Q11" s="6" t="str">
        <f>IF(AND(Table1[[#This Row],[Country_of_Residence]]&lt;&gt;Table1[[#This Row],[Country_of_Transaction]], OR(Table1[[#This Row],[Authentication_Type]]="Biometric", Table1[[#This Row],[Authentication_Type]]="OTP")), "safe location transaction", "unsafe location transaction")</f>
        <v>safe location transaction</v>
      </c>
      <c r="R11" s="6" t="str">
        <f>IF(AND(Table1[[#This Row],[Country_of_Residence]]&lt;&gt;Table1[[#This Row],[Country_of_Transaction]], OR(Table1[[#This Row],[Merchant_Category]]="Electronics", Table1[[#This Row],[Merchant_Category]]="Travel")), "unsafe merchant transaction", "safe merchant transaction")</f>
        <v>safe merchant transaction</v>
      </c>
    </row>
    <row r="12" spans="1:18">
      <c r="A12" t="s">
        <v>3373</v>
      </c>
      <c r="B12" t="s">
        <v>29</v>
      </c>
      <c r="C12">
        <v>1</v>
      </c>
      <c r="D12" t="s">
        <v>15</v>
      </c>
      <c r="E12" t="s">
        <v>6</v>
      </c>
      <c r="F12" s="2">
        <v>45806</v>
      </c>
      <c r="G12">
        <v>783.63</v>
      </c>
      <c r="H12" s="1">
        <f>AVERAGEIF(Table1[Customer_ID], Table1[[#This Row],[Customer_ID]], Table1[Transaction_Amount])</f>
        <v>4651.213448275862</v>
      </c>
      <c r="I12" t="s">
        <v>878</v>
      </c>
      <c r="J12" t="s">
        <v>41</v>
      </c>
      <c r="K12" t="s">
        <v>14</v>
      </c>
      <c r="L12">
        <v>0</v>
      </c>
      <c r="M12" t="s">
        <v>412</v>
      </c>
      <c r="N12" t="s">
        <v>55</v>
      </c>
      <c r="O12" t="s">
        <v>392</v>
      </c>
      <c r="P12" s="6" t="str">
        <f>IF(Table1[[#This Row],[Transaction_Amount]]&lt;=Table1[[#This Row],[avg_transaction_amount]], "usual transaction", "unusual transaction")</f>
        <v>usual transaction</v>
      </c>
      <c r="Q12" s="6" t="str">
        <f>IF(AND(Table1[[#This Row],[Country_of_Residence]]&lt;&gt;Table1[[#This Row],[Country_of_Transaction]], OR(Table1[[#This Row],[Authentication_Type]]="Biometric", Table1[[#This Row],[Authentication_Type]]="OTP")), "safe location transaction", "unsafe location transaction")</f>
        <v>unsafe location transaction</v>
      </c>
      <c r="R12" s="6" t="str">
        <f>IF(AND(Table1[[#This Row],[Country_of_Residence]]&lt;&gt;Table1[[#This Row],[Country_of_Transaction]], OR(Table1[[#This Row],[Merchant_Category]]="Electronics", Table1[[#This Row],[Merchant_Category]]="Travel")), "unsafe merchant transaction", "safe merchant transaction")</f>
        <v>safe merchant transaction</v>
      </c>
    </row>
    <row r="13" spans="1:18">
      <c r="A13" t="s">
        <v>3384</v>
      </c>
      <c r="B13" t="s">
        <v>29</v>
      </c>
      <c r="C13">
        <v>1</v>
      </c>
      <c r="D13" t="s">
        <v>9</v>
      </c>
      <c r="E13" t="s">
        <v>420</v>
      </c>
      <c r="F13" s="2">
        <v>45865</v>
      </c>
      <c r="G13">
        <v>7712.26</v>
      </c>
      <c r="H13" s="1">
        <f>AVERAGEIF(Table1[Customer_ID], Table1[[#This Row],[Customer_ID]], Table1[Transaction_Amount])</f>
        <v>4651.213448275862</v>
      </c>
      <c r="I13" t="s">
        <v>1005</v>
      </c>
      <c r="J13" t="s">
        <v>36</v>
      </c>
      <c r="K13" t="s">
        <v>12</v>
      </c>
      <c r="L13">
        <v>3</v>
      </c>
      <c r="M13" t="s">
        <v>55</v>
      </c>
      <c r="N13" t="s">
        <v>55</v>
      </c>
      <c r="O13" t="s">
        <v>392</v>
      </c>
      <c r="P13" s="6" t="str">
        <f>IF(Table1[[#This Row],[Transaction_Amount]]&lt;=Table1[[#This Row],[avg_transaction_amount]], "usual transaction", "unusual transaction")</f>
        <v>unusual transaction</v>
      </c>
      <c r="Q13" s="6" t="str">
        <f>IF(AND(Table1[[#This Row],[Country_of_Residence]]&lt;&gt;Table1[[#This Row],[Country_of_Transaction]], OR(Table1[[#This Row],[Authentication_Type]]="Biometric", Table1[[#This Row],[Authentication_Type]]="OTP")), "safe location transaction", "unsafe location transaction")</f>
        <v>unsafe location transaction</v>
      </c>
      <c r="R13" s="6" t="str">
        <f>IF(AND(Table1[[#This Row],[Country_of_Residence]]&lt;&gt;Table1[[#This Row],[Country_of_Transaction]], OR(Table1[[#This Row],[Merchant_Category]]="Electronics", Table1[[#This Row],[Merchant_Category]]="Travel")), "unsafe merchant transaction", "safe merchant transaction")</f>
        <v>safe merchant transaction</v>
      </c>
    </row>
    <row r="14" spans="1:18">
      <c r="A14" t="s">
        <v>3460</v>
      </c>
      <c r="B14" t="s">
        <v>29</v>
      </c>
      <c r="C14">
        <v>1</v>
      </c>
      <c r="D14" t="s">
        <v>9</v>
      </c>
      <c r="E14" t="s">
        <v>3</v>
      </c>
      <c r="F14" s="2">
        <v>45660</v>
      </c>
      <c r="G14">
        <v>6174.53</v>
      </c>
      <c r="H14" s="1">
        <f>AVERAGEIF(Table1[Customer_ID], Table1[[#This Row],[Customer_ID]], Table1[Transaction_Amount])</f>
        <v>4651.213448275862</v>
      </c>
      <c r="I14" t="s">
        <v>1078</v>
      </c>
      <c r="J14" t="s">
        <v>36</v>
      </c>
      <c r="K14" t="s">
        <v>14</v>
      </c>
      <c r="L14">
        <v>0</v>
      </c>
      <c r="M14" t="s">
        <v>32</v>
      </c>
      <c r="N14" t="s">
        <v>56</v>
      </c>
      <c r="O14" t="s">
        <v>393</v>
      </c>
      <c r="P14" s="6" t="str">
        <f>IF(Table1[[#This Row],[Transaction_Amount]]&lt;=Table1[[#This Row],[avg_transaction_amount]], "usual transaction", "unusual transaction")</f>
        <v>unusual transaction</v>
      </c>
      <c r="Q14" s="6" t="str">
        <f>IF(AND(Table1[[#This Row],[Country_of_Residence]]&lt;&gt;Table1[[#This Row],[Country_of_Transaction]], OR(Table1[[#This Row],[Authentication_Type]]="Biometric", Table1[[#This Row],[Authentication_Type]]="OTP")), "safe location transaction", "unsafe location transaction")</f>
        <v>unsafe location transaction</v>
      </c>
      <c r="R14" s="6" t="str">
        <f>IF(AND(Table1[[#This Row],[Country_of_Residence]]&lt;&gt;Table1[[#This Row],[Country_of_Transaction]], OR(Table1[[#This Row],[Merchant_Category]]="Electronics", Table1[[#This Row],[Merchant_Category]]="Travel")), "unsafe merchant transaction", "safe merchant transaction")</f>
        <v>safe merchant transaction</v>
      </c>
    </row>
    <row r="15" spans="1:18">
      <c r="A15" t="s">
        <v>3493</v>
      </c>
      <c r="B15" t="s">
        <v>29</v>
      </c>
      <c r="C15">
        <v>1</v>
      </c>
      <c r="D15" t="s">
        <v>9</v>
      </c>
      <c r="E15" t="s">
        <v>420</v>
      </c>
      <c r="F15" s="2">
        <v>45726</v>
      </c>
      <c r="G15">
        <v>2072.63</v>
      </c>
      <c r="H15" s="1">
        <f>AVERAGEIF(Table1[Customer_ID], Table1[[#This Row],[Customer_ID]], Table1[Transaction_Amount])</f>
        <v>4651.213448275862</v>
      </c>
      <c r="I15" t="s">
        <v>1109</v>
      </c>
      <c r="J15" t="s">
        <v>50</v>
      </c>
      <c r="K15" t="s">
        <v>14</v>
      </c>
      <c r="L15">
        <v>1</v>
      </c>
      <c r="M15" t="s">
        <v>37</v>
      </c>
      <c r="N15" t="s">
        <v>47</v>
      </c>
      <c r="O15" t="s">
        <v>392</v>
      </c>
      <c r="P15" s="6" t="str">
        <f>IF(Table1[[#This Row],[Transaction_Amount]]&lt;=Table1[[#This Row],[avg_transaction_amount]], "usual transaction", "unusual transaction")</f>
        <v>usual transaction</v>
      </c>
      <c r="Q15" s="6" t="str">
        <f>IF(AND(Table1[[#This Row],[Country_of_Residence]]&lt;&gt;Table1[[#This Row],[Country_of_Transaction]], OR(Table1[[#This Row],[Authentication_Type]]="Biometric", Table1[[#This Row],[Authentication_Type]]="OTP")), "safe location transaction", "unsafe location transaction")</f>
        <v>unsafe location transaction</v>
      </c>
      <c r="R15" s="6" t="str">
        <f>IF(AND(Table1[[#This Row],[Country_of_Residence]]&lt;&gt;Table1[[#This Row],[Country_of_Transaction]], OR(Table1[[#This Row],[Merchant_Category]]="Electronics", Table1[[#This Row],[Merchant_Category]]="Travel")), "unsafe merchant transaction", "safe merchant transaction")</f>
        <v>unsafe merchant transaction</v>
      </c>
    </row>
    <row r="16" spans="1:18">
      <c r="A16" t="s">
        <v>3496</v>
      </c>
      <c r="B16" t="s">
        <v>29</v>
      </c>
      <c r="C16">
        <v>1</v>
      </c>
      <c r="D16" t="s">
        <v>15</v>
      </c>
      <c r="E16" t="s">
        <v>6</v>
      </c>
      <c r="F16" s="2">
        <v>45898</v>
      </c>
      <c r="G16">
        <v>5713.37</v>
      </c>
      <c r="H16" s="1">
        <f>AVERAGEIF(Table1[Customer_ID], Table1[[#This Row],[Customer_ID]], Table1[Transaction_Amount])</f>
        <v>4651.213448275862</v>
      </c>
      <c r="I16" t="s">
        <v>1112</v>
      </c>
      <c r="J16" t="s">
        <v>41</v>
      </c>
      <c r="K16" t="s">
        <v>14</v>
      </c>
      <c r="L16">
        <v>3</v>
      </c>
      <c r="M16" t="s">
        <v>56</v>
      </c>
      <c r="N16" t="s">
        <v>51</v>
      </c>
      <c r="O16" t="s">
        <v>393</v>
      </c>
      <c r="P16" s="6" t="str">
        <f>IF(Table1[[#This Row],[Transaction_Amount]]&lt;=Table1[[#This Row],[avg_transaction_amount]], "usual transaction", "unusual transaction")</f>
        <v>unusual transaction</v>
      </c>
      <c r="Q16" s="6" t="str">
        <f>IF(AND(Table1[[#This Row],[Country_of_Residence]]&lt;&gt;Table1[[#This Row],[Country_of_Transaction]], OR(Table1[[#This Row],[Authentication_Type]]="Biometric", Table1[[#This Row],[Authentication_Type]]="OTP")), "safe location transaction", "unsafe location transaction")</f>
        <v>unsafe location transaction</v>
      </c>
      <c r="R16" s="6" t="str">
        <f>IF(AND(Table1[[#This Row],[Country_of_Residence]]&lt;&gt;Table1[[#This Row],[Country_of_Transaction]], OR(Table1[[#This Row],[Merchant_Category]]="Electronics", Table1[[#This Row],[Merchant_Category]]="Travel")), "unsafe merchant transaction", "safe merchant transaction")</f>
        <v>safe merchant transaction</v>
      </c>
    </row>
    <row r="17" spans="1:18">
      <c r="A17" t="s">
        <v>3537</v>
      </c>
      <c r="B17" t="s">
        <v>29</v>
      </c>
      <c r="C17">
        <v>1</v>
      </c>
      <c r="D17" t="s">
        <v>9</v>
      </c>
      <c r="E17" t="s">
        <v>6</v>
      </c>
      <c r="F17" s="2">
        <v>45896</v>
      </c>
      <c r="G17">
        <v>3219.96</v>
      </c>
      <c r="H17" s="1">
        <f>AVERAGEIF(Table1[Customer_ID], Table1[[#This Row],[Customer_ID]], Table1[Transaction_Amount])</f>
        <v>4651.213448275862</v>
      </c>
      <c r="I17" t="s">
        <v>1152</v>
      </c>
      <c r="J17" t="s">
        <v>46</v>
      </c>
      <c r="K17" t="s">
        <v>10</v>
      </c>
      <c r="L17">
        <v>3</v>
      </c>
      <c r="M17" t="s">
        <v>37</v>
      </c>
      <c r="N17" t="s">
        <v>55</v>
      </c>
      <c r="O17" t="s">
        <v>392</v>
      </c>
      <c r="P17" s="6" t="str">
        <f>IF(Table1[[#This Row],[Transaction_Amount]]&lt;=Table1[[#This Row],[avg_transaction_amount]], "usual transaction", "unusual transaction")</f>
        <v>usual transaction</v>
      </c>
      <c r="Q17" s="6" t="str">
        <f>IF(AND(Table1[[#This Row],[Country_of_Residence]]&lt;&gt;Table1[[#This Row],[Country_of_Transaction]], OR(Table1[[#This Row],[Authentication_Type]]="Biometric", Table1[[#This Row],[Authentication_Type]]="OTP")), "safe location transaction", "unsafe location transaction")</f>
        <v>safe location transaction</v>
      </c>
      <c r="R17" s="6" t="str">
        <f>IF(AND(Table1[[#This Row],[Country_of_Residence]]&lt;&gt;Table1[[#This Row],[Country_of_Transaction]], OR(Table1[[#This Row],[Merchant_Category]]="Electronics", Table1[[#This Row],[Merchant_Category]]="Travel")), "unsafe merchant transaction", "safe merchant transaction")</f>
        <v>safe merchant transaction</v>
      </c>
    </row>
    <row r="18" spans="1:18">
      <c r="A18" t="s">
        <v>3601</v>
      </c>
      <c r="B18" t="s">
        <v>29</v>
      </c>
      <c r="C18">
        <v>1</v>
      </c>
      <c r="D18" t="s">
        <v>9</v>
      </c>
      <c r="E18" t="s">
        <v>6</v>
      </c>
      <c r="F18" s="2">
        <v>45867</v>
      </c>
      <c r="G18">
        <v>4691.07</v>
      </c>
      <c r="H18" s="1">
        <f>AVERAGEIF(Table1[Customer_ID], Table1[[#This Row],[Customer_ID]], Table1[Transaction_Amount])</f>
        <v>4651.213448275862</v>
      </c>
      <c r="I18" t="s">
        <v>1210</v>
      </c>
      <c r="J18" t="s">
        <v>50</v>
      </c>
      <c r="K18" t="s">
        <v>14</v>
      </c>
      <c r="L18">
        <v>0</v>
      </c>
      <c r="M18" t="s">
        <v>47</v>
      </c>
      <c r="N18" t="s">
        <v>42</v>
      </c>
      <c r="O18" t="s">
        <v>393</v>
      </c>
      <c r="P18" s="6" t="str">
        <f>IF(Table1[[#This Row],[Transaction_Amount]]&lt;=Table1[[#This Row],[avg_transaction_amount]], "usual transaction", "unusual transaction")</f>
        <v>unusual transaction</v>
      </c>
      <c r="Q18" s="6" t="str">
        <f>IF(AND(Table1[[#This Row],[Country_of_Residence]]&lt;&gt;Table1[[#This Row],[Country_of_Transaction]], OR(Table1[[#This Row],[Authentication_Type]]="Biometric", Table1[[#This Row],[Authentication_Type]]="OTP")), "safe location transaction", "unsafe location transaction")</f>
        <v>unsafe location transaction</v>
      </c>
      <c r="R18" s="6" t="str">
        <f>IF(AND(Table1[[#This Row],[Country_of_Residence]]&lt;&gt;Table1[[#This Row],[Country_of_Transaction]], OR(Table1[[#This Row],[Merchant_Category]]="Electronics", Table1[[#This Row],[Merchant_Category]]="Travel")), "unsafe merchant transaction", "safe merchant transaction")</f>
        <v>unsafe merchant transaction</v>
      </c>
    </row>
    <row r="19" spans="1:18">
      <c r="A19" t="s">
        <v>3707</v>
      </c>
      <c r="B19" t="s">
        <v>29</v>
      </c>
      <c r="C19">
        <v>1</v>
      </c>
      <c r="D19" t="s">
        <v>9</v>
      </c>
      <c r="E19" t="s">
        <v>420</v>
      </c>
      <c r="F19" s="2">
        <v>45981</v>
      </c>
      <c r="G19">
        <v>2554.89</v>
      </c>
      <c r="H19" s="1">
        <f>AVERAGEIF(Table1[Customer_ID], Table1[[#This Row],[Customer_ID]], Table1[Transaction_Amount])</f>
        <v>4651.213448275862</v>
      </c>
      <c r="I19" t="s">
        <v>1304</v>
      </c>
      <c r="J19" t="s">
        <v>41</v>
      </c>
      <c r="K19" t="s">
        <v>8</v>
      </c>
      <c r="L19">
        <v>4</v>
      </c>
      <c r="M19" t="s">
        <v>37</v>
      </c>
      <c r="N19" t="s">
        <v>37</v>
      </c>
      <c r="O19" t="s">
        <v>393</v>
      </c>
      <c r="P19" s="6" t="str">
        <f>IF(Table1[[#This Row],[Transaction_Amount]]&lt;=Table1[[#This Row],[avg_transaction_amount]], "usual transaction", "unusual transaction")</f>
        <v>usual transaction</v>
      </c>
      <c r="Q19" s="6" t="str">
        <f>IF(AND(Table1[[#This Row],[Country_of_Residence]]&lt;&gt;Table1[[#This Row],[Country_of_Transaction]], OR(Table1[[#This Row],[Authentication_Type]]="Biometric", Table1[[#This Row],[Authentication_Type]]="OTP")), "safe location transaction", "unsafe location transaction")</f>
        <v>unsafe location transaction</v>
      </c>
      <c r="R19" s="6" t="str">
        <f>IF(AND(Table1[[#This Row],[Country_of_Residence]]&lt;&gt;Table1[[#This Row],[Country_of_Transaction]], OR(Table1[[#This Row],[Merchant_Category]]="Electronics", Table1[[#This Row],[Merchant_Category]]="Travel")), "unsafe merchant transaction", "safe merchant transaction")</f>
        <v>safe merchant transaction</v>
      </c>
    </row>
    <row r="20" spans="1:18">
      <c r="A20" t="s">
        <v>3912</v>
      </c>
      <c r="B20" t="s">
        <v>29</v>
      </c>
      <c r="C20">
        <v>1</v>
      </c>
      <c r="D20" t="s">
        <v>9</v>
      </c>
      <c r="E20" t="s">
        <v>5</v>
      </c>
      <c r="F20" s="2">
        <v>46005</v>
      </c>
      <c r="G20">
        <v>4738.5200000000004</v>
      </c>
      <c r="H20" s="1">
        <f>AVERAGEIF(Table1[Customer_ID], Table1[[#This Row],[Customer_ID]], Table1[Transaction_Amount])</f>
        <v>4651.213448275862</v>
      </c>
      <c r="I20" t="s">
        <v>1477</v>
      </c>
      <c r="J20" t="s">
        <v>41</v>
      </c>
      <c r="K20" t="s">
        <v>10</v>
      </c>
      <c r="L20">
        <v>0</v>
      </c>
      <c r="M20" t="s">
        <v>42</v>
      </c>
      <c r="N20" t="s">
        <v>37</v>
      </c>
      <c r="O20" t="s">
        <v>393</v>
      </c>
      <c r="P20" s="6" t="str">
        <f>IF(Table1[[#This Row],[Transaction_Amount]]&lt;=Table1[[#This Row],[avg_transaction_amount]], "usual transaction", "unusual transaction")</f>
        <v>unusual transaction</v>
      </c>
      <c r="Q20" s="6" t="str">
        <f>IF(AND(Table1[[#This Row],[Country_of_Residence]]&lt;&gt;Table1[[#This Row],[Country_of_Transaction]], OR(Table1[[#This Row],[Authentication_Type]]="Biometric", Table1[[#This Row],[Authentication_Type]]="OTP")), "safe location transaction", "unsafe location transaction")</f>
        <v>safe location transaction</v>
      </c>
      <c r="R20" s="6" t="str">
        <f>IF(AND(Table1[[#This Row],[Country_of_Residence]]&lt;&gt;Table1[[#This Row],[Country_of_Transaction]], OR(Table1[[#This Row],[Merchant_Category]]="Electronics", Table1[[#This Row],[Merchant_Category]]="Travel")), "unsafe merchant transaction", "safe merchant transaction")</f>
        <v>safe merchant transaction</v>
      </c>
    </row>
    <row r="21" spans="1:18">
      <c r="A21" t="s">
        <v>3953</v>
      </c>
      <c r="B21" t="s">
        <v>29</v>
      </c>
      <c r="C21">
        <v>1</v>
      </c>
      <c r="D21" t="s">
        <v>9</v>
      </c>
      <c r="E21" t="s">
        <v>420</v>
      </c>
      <c r="F21" s="2">
        <v>45786</v>
      </c>
      <c r="G21">
        <v>4836.1400000000003</v>
      </c>
      <c r="H21" s="1">
        <f>AVERAGEIF(Table1[Customer_ID], Table1[[#This Row],[Customer_ID]], Table1[Transaction_Amount])</f>
        <v>4651.213448275862</v>
      </c>
      <c r="I21" t="s">
        <v>1516</v>
      </c>
      <c r="J21" t="s">
        <v>41</v>
      </c>
      <c r="K21" t="s">
        <v>12</v>
      </c>
      <c r="L21">
        <v>5</v>
      </c>
      <c r="M21" t="s">
        <v>56</v>
      </c>
      <c r="N21" t="s">
        <v>51</v>
      </c>
      <c r="O21" t="s">
        <v>392</v>
      </c>
      <c r="P21" s="6" t="str">
        <f>IF(Table1[[#This Row],[Transaction_Amount]]&lt;=Table1[[#This Row],[avg_transaction_amount]], "usual transaction", "unusual transaction")</f>
        <v>unusual transaction</v>
      </c>
      <c r="Q21" s="6" t="str">
        <f>IF(AND(Table1[[#This Row],[Country_of_Residence]]&lt;&gt;Table1[[#This Row],[Country_of_Transaction]], OR(Table1[[#This Row],[Authentication_Type]]="Biometric", Table1[[#This Row],[Authentication_Type]]="OTP")), "safe location transaction", "unsafe location transaction")</f>
        <v>unsafe location transaction</v>
      </c>
      <c r="R21" s="6" t="str">
        <f>IF(AND(Table1[[#This Row],[Country_of_Residence]]&lt;&gt;Table1[[#This Row],[Country_of_Transaction]], OR(Table1[[#This Row],[Merchant_Category]]="Electronics", Table1[[#This Row],[Merchant_Category]]="Travel")), "unsafe merchant transaction", "safe merchant transaction")</f>
        <v>safe merchant transaction</v>
      </c>
    </row>
    <row r="22" spans="1:18">
      <c r="A22" t="s">
        <v>3959</v>
      </c>
      <c r="B22" t="s">
        <v>29</v>
      </c>
      <c r="C22">
        <v>1</v>
      </c>
      <c r="D22" t="s">
        <v>9</v>
      </c>
      <c r="E22" t="s">
        <v>420</v>
      </c>
      <c r="F22" s="2">
        <v>45942</v>
      </c>
      <c r="G22">
        <v>4299.7</v>
      </c>
      <c r="H22" s="1">
        <f>AVERAGEIF(Table1[Customer_ID], Table1[[#This Row],[Customer_ID]], Table1[Transaction_Amount])</f>
        <v>4651.213448275862</v>
      </c>
      <c r="I22" t="s">
        <v>1425</v>
      </c>
      <c r="J22" t="s">
        <v>31</v>
      </c>
      <c r="K22" t="s">
        <v>10</v>
      </c>
      <c r="L22">
        <v>5</v>
      </c>
      <c r="M22" t="s">
        <v>412</v>
      </c>
      <c r="N22" t="s">
        <v>37</v>
      </c>
      <c r="O22" t="s">
        <v>392</v>
      </c>
      <c r="P22" s="6" t="str">
        <f>IF(Table1[[#This Row],[Transaction_Amount]]&lt;=Table1[[#This Row],[avg_transaction_amount]], "usual transaction", "unusual transaction")</f>
        <v>usual transaction</v>
      </c>
      <c r="Q22" s="6" t="str">
        <f>IF(AND(Table1[[#This Row],[Country_of_Residence]]&lt;&gt;Table1[[#This Row],[Country_of_Transaction]], OR(Table1[[#This Row],[Authentication_Type]]="Biometric", Table1[[#This Row],[Authentication_Type]]="OTP")), "safe location transaction", "unsafe location transaction")</f>
        <v>safe location transaction</v>
      </c>
      <c r="R22" s="6" t="str">
        <f>IF(AND(Table1[[#This Row],[Country_of_Residence]]&lt;&gt;Table1[[#This Row],[Country_of_Transaction]], OR(Table1[[#This Row],[Merchant_Category]]="Electronics", Table1[[#This Row],[Merchant_Category]]="Travel")), "unsafe merchant transaction", "safe merchant transaction")</f>
        <v>safe merchant transaction</v>
      </c>
    </row>
    <row r="23" spans="1:18">
      <c r="A23" t="s">
        <v>4002</v>
      </c>
      <c r="B23" t="s">
        <v>29</v>
      </c>
      <c r="C23">
        <v>1</v>
      </c>
      <c r="D23" t="s">
        <v>15</v>
      </c>
      <c r="E23" t="s">
        <v>6</v>
      </c>
      <c r="F23" s="2">
        <v>46013</v>
      </c>
      <c r="G23">
        <v>8977.65</v>
      </c>
      <c r="H23" s="1">
        <f>AVERAGEIF(Table1[Customer_ID], Table1[[#This Row],[Customer_ID]], Table1[Transaction_Amount])</f>
        <v>4651.213448275862</v>
      </c>
      <c r="I23" t="s">
        <v>768</v>
      </c>
      <c r="J23" t="s">
        <v>50</v>
      </c>
      <c r="K23" t="s">
        <v>10</v>
      </c>
      <c r="L23">
        <v>4</v>
      </c>
      <c r="M23" t="s">
        <v>42</v>
      </c>
      <c r="N23" t="s">
        <v>56</v>
      </c>
      <c r="O23" t="s">
        <v>393</v>
      </c>
      <c r="P23" s="6" t="str">
        <f>IF(Table1[[#This Row],[Transaction_Amount]]&lt;=Table1[[#This Row],[avg_transaction_amount]], "usual transaction", "unusual transaction")</f>
        <v>unusual transaction</v>
      </c>
      <c r="Q23" s="6" t="str">
        <f>IF(AND(Table1[[#This Row],[Country_of_Residence]]&lt;&gt;Table1[[#This Row],[Country_of_Transaction]], OR(Table1[[#This Row],[Authentication_Type]]="Biometric", Table1[[#This Row],[Authentication_Type]]="OTP")), "safe location transaction", "unsafe location transaction")</f>
        <v>safe location transaction</v>
      </c>
      <c r="R23" s="6" t="str">
        <f>IF(AND(Table1[[#This Row],[Country_of_Residence]]&lt;&gt;Table1[[#This Row],[Country_of_Transaction]], OR(Table1[[#This Row],[Merchant_Category]]="Electronics", Table1[[#This Row],[Merchant_Category]]="Travel")), "unsafe merchant transaction", "safe merchant transaction")</f>
        <v>unsafe merchant transaction</v>
      </c>
    </row>
    <row r="24" spans="1:18">
      <c r="A24" t="s">
        <v>4239</v>
      </c>
      <c r="B24" t="s">
        <v>29</v>
      </c>
      <c r="C24">
        <v>1</v>
      </c>
      <c r="D24" t="s">
        <v>15</v>
      </c>
      <c r="E24" t="s">
        <v>6</v>
      </c>
      <c r="F24" s="2">
        <v>45693</v>
      </c>
      <c r="G24">
        <v>5576</v>
      </c>
      <c r="H24" s="1">
        <f>AVERAGEIF(Table1[Customer_ID], Table1[[#This Row],[Customer_ID]], Table1[Transaction_Amount])</f>
        <v>4651.213448275862</v>
      </c>
      <c r="I24" t="s">
        <v>1755</v>
      </c>
      <c r="J24" t="s">
        <v>41</v>
      </c>
      <c r="K24" t="s">
        <v>14</v>
      </c>
      <c r="L24">
        <v>1</v>
      </c>
      <c r="M24" t="s">
        <v>37</v>
      </c>
      <c r="N24" t="s">
        <v>51</v>
      </c>
      <c r="O24" t="s">
        <v>393</v>
      </c>
      <c r="P24" s="6" t="str">
        <f>IF(Table1[[#This Row],[Transaction_Amount]]&lt;=Table1[[#This Row],[avg_transaction_amount]], "usual transaction", "unusual transaction")</f>
        <v>unusual transaction</v>
      </c>
      <c r="Q24" s="6" t="str">
        <f>IF(AND(Table1[[#This Row],[Country_of_Residence]]&lt;&gt;Table1[[#This Row],[Country_of_Transaction]], OR(Table1[[#This Row],[Authentication_Type]]="Biometric", Table1[[#This Row],[Authentication_Type]]="OTP")), "safe location transaction", "unsafe location transaction")</f>
        <v>unsafe location transaction</v>
      </c>
      <c r="R24" s="6" t="str">
        <f>IF(AND(Table1[[#This Row],[Country_of_Residence]]&lt;&gt;Table1[[#This Row],[Country_of_Transaction]], OR(Table1[[#This Row],[Merchant_Category]]="Electronics", Table1[[#This Row],[Merchant_Category]]="Travel")), "unsafe merchant transaction", "safe merchant transaction")</f>
        <v>safe merchant transaction</v>
      </c>
    </row>
    <row r="25" spans="1:18">
      <c r="A25" t="s">
        <v>4246</v>
      </c>
      <c r="B25" t="s">
        <v>29</v>
      </c>
      <c r="C25">
        <v>1</v>
      </c>
      <c r="D25" t="s">
        <v>9</v>
      </c>
      <c r="E25" t="s">
        <v>420</v>
      </c>
      <c r="F25" s="2">
        <v>45897</v>
      </c>
      <c r="G25">
        <v>2335.73</v>
      </c>
      <c r="H25" s="1">
        <f>AVERAGEIF(Table1[Customer_ID], Table1[[#This Row],[Customer_ID]], Table1[Transaction_Amount])</f>
        <v>4651.213448275862</v>
      </c>
      <c r="I25" t="s">
        <v>1761</v>
      </c>
      <c r="J25" t="s">
        <v>31</v>
      </c>
      <c r="K25" t="s">
        <v>8</v>
      </c>
      <c r="L25">
        <v>3</v>
      </c>
      <c r="M25" t="s">
        <v>51</v>
      </c>
      <c r="N25" t="s">
        <v>412</v>
      </c>
      <c r="O25" t="s">
        <v>393</v>
      </c>
      <c r="P25" s="6" t="str">
        <f>IF(Table1[[#This Row],[Transaction_Amount]]&lt;=Table1[[#This Row],[avg_transaction_amount]], "usual transaction", "unusual transaction")</f>
        <v>usual transaction</v>
      </c>
      <c r="Q25" s="6" t="str">
        <f>IF(AND(Table1[[#This Row],[Country_of_Residence]]&lt;&gt;Table1[[#This Row],[Country_of_Transaction]], OR(Table1[[#This Row],[Authentication_Type]]="Biometric", Table1[[#This Row],[Authentication_Type]]="OTP")), "safe location transaction", "unsafe location transaction")</f>
        <v>safe location transaction</v>
      </c>
      <c r="R25" s="6" t="str">
        <f>IF(AND(Table1[[#This Row],[Country_of_Residence]]&lt;&gt;Table1[[#This Row],[Country_of_Transaction]], OR(Table1[[#This Row],[Merchant_Category]]="Electronics", Table1[[#This Row],[Merchant_Category]]="Travel")), "unsafe merchant transaction", "safe merchant transaction")</f>
        <v>safe merchant transaction</v>
      </c>
    </row>
    <row r="26" spans="1:18">
      <c r="A26" t="s">
        <v>4288</v>
      </c>
      <c r="B26" t="s">
        <v>29</v>
      </c>
      <c r="C26">
        <v>1</v>
      </c>
      <c r="D26" t="s">
        <v>15</v>
      </c>
      <c r="E26" t="s">
        <v>3</v>
      </c>
      <c r="F26" s="2">
        <v>45826</v>
      </c>
      <c r="G26">
        <v>5585.01</v>
      </c>
      <c r="H26" s="1">
        <f>AVERAGEIF(Table1[Customer_ID], Table1[[#This Row],[Customer_ID]], Table1[Transaction_Amount])</f>
        <v>4651.213448275862</v>
      </c>
      <c r="I26" t="s">
        <v>1799</v>
      </c>
      <c r="J26" t="s">
        <v>41</v>
      </c>
      <c r="K26" t="s">
        <v>12</v>
      </c>
      <c r="L26">
        <v>4</v>
      </c>
      <c r="M26" t="s">
        <v>47</v>
      </c>
      <c r="N26" t="s">
        <v>37</v>
      </c>
      <c r="O26" t="s">
        <v>392</v>
      </c>
      <c r="P26" s="6" t="str">
        <f>IF(Table1[[#This Row],[Transaction_Amount]]&lt;=Table1[[#This Row],[avg_transaction_amount]], "usual transaction", "unusual transaction")</f>
        <v>unusual transaction</v>
      </c>
      <c r="Q26" s="6" t="str">
        <f>IF(AND(Table1[[#This Row],[Country_of_Residence]]&lt;&gt;Table1[[#This Row],[Country_of_Transaction]], OR(Table1[[#This Row],[Authentication_Type]]="Biometric", Table1[[#This Row],[Authentication_Type]]="OTP")), "safe location transaction", "unsafe location transaction")</f>
        <v>unsafe location transaction</v>
      </c>
      <c r="R26" s="6" t="str">
        <f>IF(AND(Table1[[#This Row],[Country_of_Residence]]&lt;&gt;Table1[[#This Row],[Country_of_Transaction]], OR(Table1[[#This Row],[Merchant_Category]]="Electronics", Table1[[#This Row],[Merchant_Category]]="Travel")), "unsafe merchant transaction", "safe merchant transaction")</f>
        <v>safe merchant transaction</v>
      </c>
    </row>
    <row r="27" spans="1:18">
      <c r="A27" t="s">
        <v>4314</v>
      </c>
      <c r="B27" t="s">
        <v>29</v>
      </c>
      <c r="C27">
        <v>1</v>
      </c>
      <c r="D27" t="s">
        <v>9</v>
      </c>
      <c r="E27" t="s">
        <v>5</v>
      </c>
      <c r="F27" s="2">
        <v>45826</v>
      </c>
      <c r="G27">
        <v>9265.99</v>
      </c>
      <c r="H27" s="1">
        <f>AVERAGEIF(Table1[Customer_ID], Table1[[#This Row],[Customer_ID]], Table1[Transaction_Amount])</f>
        <v>4651.213448275862</v>
      </c>
      <c r="I27" t="s">
        <v>1822</v>
      </c>
      <c r="J27" t="s">
        <v>46</v>
      </c>
      <c r="K27" t="s">
        <v>8</v>
      </c>
      <c r="L27">
        <v>3</v>
      </c>
      <c r="M27" t="s">
        <v>42</v>
      </c>
      <c r="N27" t="s">
        <v>33</v>
      </c>
      <c r="O27" t="s">
        <v>393</v>
      </c>
      <c r="P27" s="6" t="str">
        <f>IF(Table1[[#This Row],[Transaction_Amount]]&lt;=Table1[[#This Row],[avg_transaction_amount]], "usual transaction", "unusual transaction")</f>
        <v>unusual transaction</v>
      </c>
      <c r="Q27" s="6" t="str">
        <f>IF(AND(Table1[[#This Row],[Country_of_Residence]]&lt;&gt;Table1[[#This Row],[Country_of_Transaction]], OR(Table1[[#This Row],[Authentication_Type]]="Biometric", Table1[[#This Row],[Authentication_Type]]="OTP")), "safe location transaction", "unsafe location transaction")</f>
        <v>safe location transaction</v>
      </c>
      <c r="R27" s="6" t="str">
        <f>IF(AND(Table1[[#This Row],[Country_of_Residence]]&lt;&gt;Table1[[#This Row],[Country_of_Transaction]], OR(Table1[[#This Row],[Merchant_Category]]="Electronics", Table1[[#This Row],[Merchant_Category]]="Travel")), "unsafe merchant transaction", "safe merchant transaction")</f>
        <v>safe merchant transaction</v>
      </c>
    </row>
    <row r="28" spans="1:18">
      <c r="A28" t="s">
        <v>4346</v>
      </c>
      <c r="B28" t="s">
        <v>29</v>
      </c>
      <c r="C28">
        <v>1</v>
      </c>
      <c r="D28" t="s">
        <v>9</v>
      </c>
      <c r="E28" t="s">
        <v>3</v>
      </c>
      <c r="F28" s="2">
        <v>45730</v>
      </c>
      <c r="G28">
        <v>1483.5</v>
      </c>
      <c r="H28" s="1">
        <f>AVERAGEIF(Table1[Customer_ID], Table1[[#This Row],[Customer_ID]], Table1[Transaction_Amount])</f>
        <v>4651.213448275862</v>
      </c>
      <c r="I28" t="s">
        <v>1852</v>
      </c>
      <c r="J28" t="s">
        <v>41</v>
      </c>
      <c r="K28" t="s">
        <v>14</v>
      </c>
      <c r="L28">
        <v>2</v>
      </c>
      <c r="M28" t="s">
        <v>47</v>
      </c>
      <c r="N28" t="s">
        <v>47</v>
      </c>
      <c r="O28" t="s">
        <v>392</v>
      </c>
      <c r="P28" s="6" t="str">
        <f>IF(Table1[[#This Row],[Transaction_Amount]]&lt;=Table1[[#This Row],[avg_transaction_amount]], "usual transaction", "unusual transaction")</f>
        <v>usual transaction</v>
      </c>
      <c r="Q28" s="6" t="str">
        <f>IF(AND(Table1[[#This Row],[Country_of_Residence]]&lt;&gt;Table1[[#This Row],[Country_of_Transaction]], OR(Table1[[#This Row],[Authentication_Type]]="Biometric", Table1[[#This Row],[Authentication_Type]]="OTP")), "safe location transaction", "unsafe location transaction")</f>
        <v>unsafe location transaction</v>
      </c>
      <c r="R28" s="6" t="str">
        <f>IF(AND(Table1[[#This Row],[Country_of_Residence]]&lt;&gt;Table1[[#This Row],[Country_of_Transaction]], OR(Table1[[#This Row],[Merchant_Category]]="Electronics", Table1[[#This Row],[Merchant_Category]]="Travel")), "unsafe merchant transaction", "safe merchant transaction")</f>
        <v>safe merchant transaction</v>
      </c>
    </row>
    <row r="29" spans="1:18">
      <c r="A29" t="s">
        <v>4365</v>
      </c>
      <c r="B29" t="s">
        <v>29</v>
      </c>
      <c r="C29">
        <v>1</v>
      </c>
      <c r="D29" t="s">
        <v>15</v>
      </c>
      <c r="E29" t="s">
        <v>6</v>
      </c>
      <c r="F29" s="2">
        <v>45940</v>
      </c>
      <c r="G29">
        <v>2981.86</v>
      </c>
      <c r="H29" s="1">
        <f>AVERAGEIF(Table1[Customer_ID], Table1[[#This Row],[Customer_ID]], Table1[Transaction_Amount])</f>
        <v>4651.213448275862</v>
      </c>
      <c r="I29" t="s">
        <v>698</v>
      </c>
      <c r="J29" t="s">
        <v>31</v>
      </c>
      <c r="K29" t="s">
        <v>10</v>
      </c>
      <c r="L29">
        <v>5</v>
      </c>
      <c r="M29" t="s">
        <v>56</v>
      </c>
      <c r="N29" t="s">
        <v>32</v>
      </c>
      <c r="O29" t="s">
        <v>392</v>
      </c>
      <c r="P29" s="6" t="str">
        <f>IF(Table1[[#This Row],[Transaction_Amount]]&lt;=Table1[[#This Row],[avg_transaction_amount]], "usual transaction", "unusual transaction")</f>
        <v>usual transaction</v>
      </c>
      <c r="Q29" s="6" t="str">
        <f>IF(AND(Table1[[#This Row],[Country_of_Residence]]&lt;&gt;Table1[[#This Row],[Country_of_Transaction]], OR(Table1[[#This Row],[Authentication_Type]]="Biometric", Table1[[#This Row],[Authentication_Type]]="OTP")), "safe location transaction", "unsafe location transaction")</f>
        <v>safe location transaction</v>
      </c>
      <c r="R29" s="6" t="str">
        <f>IF(AND(Table1[[#This Row],[Country_of_Residence]]&lt;&gt;Table1[[#This Row],[Country_of_Transaction]], OR(Table1[[#This Row],[Merchant_Category]]="Electronics", Table1[[#This Row],[Merchant_Category]]="Travel")), "unsafe merchant transaction", "safe merchant transaction")</f>
        <v>safe merchant transaction</v>
      </c>
    </row>
    <row r="30" spans="1:18">
      <c r="A30" t="s">
        <v>4428</v>
      </c>
      <c r="B30" t="s">
        <v>29</v>
      </c>
      <c r="C30">
        <v>1</v>
      </c>
      <c r="D30" t="s">
        <v>9</v>
      </c>
      <c r="E30" t="s">
        <v>5</v>
      </c>
      <c r="F30" s="2">
        <v>45728</v>
      </c>
      <c r="G30">
        <v>5732.26</v>
      </c>
      <c r="H30" s="1">
        <f>AVERAGEIF(Table1[Customer_ID], Table1[[#This Row],[Customer_ID]], Table1[Transaction_Amount])</f>
        <v>4651.213448275862</v>
      </c>
      <c r="I30" t="s">
        <v>1925</v>
      </c>
      <c r="J30" t="s">
        <v>46</v>
      </c>
      <c r="K30" t="s">
        <v>12</v>
      </c>
      <c r="L30">
        <v>5</v>
      </c>
      <c r="M30" t="s">
        <v>32</v>
      </c>
      <c r="N30" t="s">
        <v>32</v>
      </c>
      <c r="O30" t="s">
        <v>393</v>
      </c>
      <c r="P30" s="6" t="str">
        <f>IF(Table1[[#This Row],[Transaction_Amount]]&lt;=Table1[[#This Row],[avg_transaction_amount]], "usual transaction", "unusual transaction")</f>
        <v>unusual transaction</v>
      </c>
      <c r="Q30" s="6" t="str">
        <f>IF(AND(Table1[[#This Row],[Country_of_Residence]]&lt;&gt;Table1[[#This Row],[Country_of_Transaction]], OR(Table1[[#This Row],[Authentication_Type]]="Biometric", Table1[[#This Row],[Authentication_Type]]="OTP")), "safe location transaction", "unsafe location transaction")</f>
        <v>unsafe location transaction</v>
      </c>
      <c r="R30" s="6" t="str">
        <f>IF(AND(Table1[[#This Row],[Country_of_Residence]]&lt;&gt;Table1[[#This Row],[Country_of_Transaction]], OR(Table1[[#This Row],[Merchant_Category]]="Electronics", Table1[[#This Row],[Merchant_Category]]="Travel")), "unsafe merchant transaction", "safe merchant transaction")</f>
        <v>safe merchant transaction</v>
      </c>
    </row>
    <row r="31" spans="1:18">
      <c r="A31" t="s">
        <v>4438</v>
      </c>
      <c r="B31" t="s">
        <v>29</v>
      </c>
      <c r="C31">
        <v>1</v>
      </c>
      <c r="D31" t="s">
        <v>9</v>
      </c>
      <c r="E31" t="s">
        <v>6</v>
      </c>
      <c r="F31" s="2">
        <v>46013</v>
      </c>
      <c r="G31">
        <v>6074.57</v>
      </c>
      <c r="H31" s="1">
        <f>AVERAGEIF(Table1[Customer_ID], Table1[[#This Row],[Customer_ID]], Table1[Transaction_Amount])</f>
        <v>4651.213448275862</v>
      </c>
      <c r="I31" t="s">
        <v>1932</v>
      </c>
      <c r="J31" t="s">
        <v>46</v>
      </c>
      <c r="K31" t="s">
        <v>8</v>
      </c>
      <c r="L31">
        <v>3</v>
      </c>
      <c r="M31" t="s">
        <v>412</v>
      </c>
      <c r="N31" t="s">
        <v>37</v>
      </c>
      <c r="O31" t="s">
        <v>393</v>
      </c>
      <c r="P31" s="6" t="str">
        <f>IF(Table1[[#This Row],[Transaction_Amount]]&lt;=Table1[[#This Row],[avg_transaction_amount]], "usual transaction", "unusual transaction")</f>
        <v>unusual transaction</v>
      </c>
      <c r="Q31" s="6" t="str">
        <f>IF(AND(Table1[[#This Row],[Country_of_Residence]]&lt;&gt;Table1[[#This Row],[Country_of_Transaction]], OR(Table1[[#This Row],[Authentication_Type]]="Biometric", Table1[[#This Row],[Authentication_Type]]="OTP")), "safe location transaction", "unsafe location transaction")</f>
        <v>safe location transaction</v>
      </c>
      <c r="R31" s="6" t="str">
        <f>IF(AND(Table1[[#This Row],[Country_of_Residence]]&lt;&gt;Table1[[#This Row],[Country_of_Transaction]], OR(Table1[[#This Row],[Merchant_Category]]="Electronics", Table1[[#This Row],[Merchant_Category]]="Travel")), "unsafe merchant transaction", "safe merchant transaction")</f>
        <v>safe merchant transaction</v>
      </c>
    </row>
    <row r="32" spans="1:18">
      <c r="A32" t="s">
        <v>4443</v>
      </c>
      <c r="B32" t="s">
        <v>29</v>
      </c>
      <c r="C32">
        <v>1</v>
      </c>
      <c r="D32" t="s">
        <v>15</v>
      </c>
      <c r="E32" t="s">
        <v>6</v>
      </c>
      <c r="F32" s="2">
        <v>45796</v>
      </c>
      <c r="G32">
        <v>5745.81</v>
      </c>
      <c r="H32" s="1">
        <f>AVERAGEIF(Table1[Customer_ID], Table1[[#This Row],[Customer_ID]], Table1[Transaction_Amount])</f>
        <v>4651.213448275862</v>
      </c>
      <c r="I32" t="s">
        <v>1937</v>
      </c>
      <c r="J32" t="s">
        <v>36</v>
      </c>
      <c r="K32" t="s">
        <v>8</v>
      </c>
      <c r="L32">
        <v>5</v>
      </c>
      <c r="M32" t="s">
        <v>42</v>
      </c>
      <c r="N32" t="s">
        <v>55</v>
      </c>
      <c r="O32" t="s">
        <v>392</v>
      </c>
      <c r="P32" s="6" t="str">
        <f>IF(Table1[[#This Row],[Transaction_Amount]]&lt;=Table1[[#This Row],[avg_transaction_amount]], "usual transaction", "unusual transaction")</f>
        <v>unusual transaction</v>
      </c>
      <c r="Q32" s="6" t="str">
        <f>IF(AND(Table1[[#This Row],[Country_of_Residence]]&lt;&gt;Table1[[#This Row],[Country_of_Transaction]], OR(Table1[[#This Row],[Authentication_Type]]="Biometric", Table1[[#This Row],[Authentication_Type]]="OTP")), "safe location transaction", "unsafe location transaction")</f>
        <v>safe location transaction</v>
      </c>
      <c r="R32" s="6" t="str">
        <f>IF(AND(Table1[[#This Row],[Country_of_Residence]]&lt;&gt;Table1[[#This Row],[Country_of_Transaction]], OR(Table1[[#This Row],[Merchant_Category]]="Electronics", Table1[[#This Row],[Merchant_Category]]="Travel")), "unsafe merchant transaction", "safe merchant transaction")</f>
        <v>safe merchant transaction</v>
      </c>
    </row>
    <row r="33" spans="1:18">
      <c r="A33" t="s">
        <v>4451</v>
      </c>
      <c r="B33" t="s">
        <v>29</v>
      </c>
      <c r="C33">
        <v>1</v>
      </c>
      <c r="D33" t="s">
        <v>9</v>
      </c>
      <c r="E33" t="s">
        <v>5</v>
      </c>
      <c r="F33" s="2">
        <v>45904</v>
      </c>
      <c r="G33">
        <v>5976.42</v>
      </c>
      <c r="H33" s="1">
        <f>AVERAGEIF(Table1[Customer_ID], Table1[[#This Row],[Customer_ID]], Table1[Transaction_Amount])</f>
        <v>4651.213448275862</v>
      </c>
      <c r="I33" t="s">
        <v>1945</v>
      </c>
      <c r="J33" t="s">
        <v>46</v>
      </c>
      <c r="K33" t="s">
        <v>10</v>
      </c>
      <c r="L33">
        <v>3</v>
      </c>
      <c r="M33" t="s">
        <v>37</v>
      </c>
      <c r="N33" t="s">
        <v>55</v>
      </c>
      <c r="O33" t="s">
        <v>393</v>
      </c>
      <c r="P33" s="6" t="str">
        <f>IF(Table1[[#This Row],[Transaction_Amount]]&lt;=Table1[[#This Row],[avg_transaction_amount]], "usual transaction", "unusual transaction")</f>
        <v>unusual transaction</v>
      </c>
      <c r="Q33" s="6" t="str">
        <f>IF(AND(Table1[[#This Row],[Country_of_Residence]]&lt;&gt;Table1[[#This Row],[Country_of_Transaction]], OR(Table1[[#This Row],[Authentication_Type]]="Biometric", Table1[[#This Row],[Authentication_Type]]="OTP")), "safe location transaction", "unsafe location transaction")</f>
        <v>safe location transaction</v>
      </c>
      <c r="R33" s="6" t="str">
        <f>IF(AND(Table1[[#This Row],[Country_of_Residence]]&lt;&gt;Table1[[#This Row],[Country_of_Transaction]], OR(Table1[[#This Row],[Merchant_Category]]="Electronics", Table1[[#This Row],[Merchant_Category]]="Travel")), "unsafe merchant transaction", "safe merchant transaction")</f>
        <v>safe merchant transaction</v>
      </c>
    </row>
    <row r="34" spans="1:18">
      <c r="A34" t="s">
        <v>4489</v>
      </c>
      <c r="B34" t="s">
        <v>29</v>
      </c>
      <c r="C34">
        <v>1</v>
      </c>
      <c r="D34" t="s">
        <v>15</v>
      </c>
      <c r="E34" t="s">
        <v>3</v>
      </c>
      <c r="F34" s="2">
        <v>45887</v>
      </c>
      <c r="G34">
        <v>897.49</v>
      </c>
      <c r="H34" s="1">
        <f>AVERAGEIF(Table1[Customer_ID], Table1[[#This Row],[Customer_ID]], Table1[Transaction_Amount])</f>
        <v>4651.213448275862</v>
      </c>
      <c r="I34" t="s">
        <v>1978</v>
      </c>
      <c r="J34" t="s">
        <v>36</v>
      </c>
      <c r="K34" t="s">
        <v>10</v>
      </c>
      <c r="L34">
        <v>4</v>
      </c>
      <c r="M34" t="s">
        <v>56</v>
      </c>
      <c r="N34" t="s">
        <v>51</v>
      </c>
      <c r="O34" t="s">
        <v>393</v>
      </c>
      <c r="P34" s="6" t="str">
        <f>IF(Table1[[#This Row],[Transaction_Amount]]&lt;=Table1[[#This Row],[avg_transaction_amount]], "usual transaction", "unusual transaction")</f>
        <v>usual transaction</v>
      </c>
      <c r="Q34" s="6" t="str">
        <f>IF(AND(Table1[[#This Row],[Country_of_Residence]]&lt;&gt;Table1[[#This Row],[Country_of_Transaction]], OR(Table1[[#This Row],[Authentication_Type]]="Biometric", Table1[[#This Row],[Authentication_Type]]="OTP")), "safe location transaction", "unsafe location transaction")</f>
        <v>safe location transaction</v>
      </c>
      <c r="R34" s="6" t="str">
        <f>IF(AND(Table1[[#This Row],[Country_of_Residence]]&lt;&gt;Table1[[#This Row],[Country_of_Transaction]], OR(Table1[[#This Row],[Merchant_Category]]="Electronics", Table1[[#This Row],[Merchant_Category]]="Travel")), "unsafe merchant transaction", "safe merchant transaction")</f>
        <v>safe merchant transaction</v>
      </c>
    </row>
    <row r="35" spans="1:18">
      <c r="A35" t="s">
        <v>4511</v>
      </c>
      <c r="B35" t="s">
        <v>29</v>
      </c>
      <c r="C35">
        <v>1</v>
      </c>
      <c r="D35" t="s">
        <v>15</v>
      </c>
      <c r="E35" t="s">
        <v>6</v>
      </c>
      <c r="F35" s="2">
        <v>45688</v>
      </c>
      <c r="G35">
        <v>8602.83</v>
      </c>
      <c r="H35" s="1">
        <f>AVERAGEIF(Table1[Customer_ID], Table1[[#This Row],[Customer_ID]], Table1[Transaction_Amount])</f>
        <v>4651.213448275862</v>
      </c>
      <c r="I35" t="s">
        <v>1996</v>
      </c>
      <c r="J35" t="s">
        <v>31</v>
      </c>
      <c r="K35" t="s">
        <v>12</v>
      </c>
      <c r="L35">
        <v>2</v>
      </c>
      <c r="M35" t="s">
        <v>42</v>
      </c>
      <c r="N35" t="s">
        <v>412</v>
      </c>
      <c r="O35" t="s">
        <v>393</v>
      </c>
      <c r="P35" s="6" t="str">
        <f>IF(Table1[[#This Row],[Transaction_Amount]]&lt;=Table1[[#This Row],[avg_transaction_amount]], "usual transaction", "unusual transaction")</f>
        <v>unusual transaction</v>
      </c>
      <c r="Q35" s="6" t="str">
        <f>IF(AND(Table1[[#This Row],[Country_of_Residence]]&lt;&gt;Table1[[#This Row],[Country_of_Transaction]], OR(Table1[[#This Row],[Authentication_Type]]="Biometric", Table1[[#This Row],[Authentication_Type]]="OTP")), "safe location transaction", "unsafe location transaction")</f>
        <v>unsafe location transaction</v>
      </c>
      <c r="R35" s="6" t="str">
        <f>IF(AND(Table1[[#This Row],[Country_of_Residence]]&lt;&gt;Table1[[#This Row],[Country_of_Transaction]], OR(Table1[[#This Row],[Merchant_Category]]="Electronics", Table1[[#This Row],[Merchant_Category]]="Travel")), "unsafe merchant transaction", "safe merchant transaction")</f>
        <v>safe merchant transaction</v>
      </c>
    </row>
    <row r="36" spans="1:18">
      <c r="A36" t="s">
        <v>4606</v>
      </c>
      <c r="B36" t="s">
        <v>29</v>
      </c>
      <c r="C36">
        <v>1</v>
      </c>
      <c r="D36" t="s">
        <v>9</v>
      </c>
      <c r="E36" t="s">
        <v>420</v>
      </c>
      <c r="F36" s="2">
        <v>45756</v>
      </c>
      <c r="G36">
        <v>1773.96</v>
      </c>
      <c r="H36" s="1">
        <f>AVERAGEIF(Table1[Customer_ID], Table1[[#This Row],[Customer_ID]], Table1[Transaction_Amount])</f>
        <v>4651.213448275862</v>
      </c>
      <c r="I36" t="s">
        <v>727</v>
      </c>
      <c r="J36" t="s">
        <v>31</v>
      </c>
      <c r="K36" t="s">
        <v>14</v>
      </c>
      <c r="L36">
        <v>1</v>
      </c>
      <c r="M36" t="s">
        <v>56</v>
      </c>
      <c r="N36" t="s">
        <v>47</v>
      </c>
      <c r="O36" t="s">
        <v>393</v>
      </c>
      <c r="P36" s="6" t="str">
        <f>IF(Table1[[#This Row],[Transaction_Amount]]&lt;=Table1[[#This Row],[avg_transaction_amount]], "usual transaction", "unusual transaction")</f>
        <v>usual transaction</v>
      </c>
      <c r="Q36" s="6" t="str">
        <f>IF(AND(Table1[[#This Row],[Country_of_Residence]]&lt;&gt;Table1[[#This Row],[Country_of_Transaction]], OR(Table1[[#This Row],[Authentication_Type]]="Biometric", Table1[[#This Row],[Authentication_Type]]="OTP")), "safe location transaction", "unsafe location transaction")</f>
        <v>unsafe location transaction</v>
      </c>
      <c r="R36" s="6" t="str">
        <f>IF(AND(Table1[[#This Row],[Country_of_Residence]]&lt;&gt;Table1[[#This Row],[Country_of_Transaction]], OR(Table1[[#This Row],[Merchant_Category]]="Electronics", Table1[[#This Row],[Merchant_Category]]="Travel")), "unsafe merchant transaction", "safe merchant transaction")</f>
        <v>safe merchant transaction</v>
      </c>
    </row>
    <row r="37" spans="1:18">
      <c r="A37" t="s">
        <v>4635</v>
      </c>
      <c r="B37" t="s">
        <v>29</v>
      </c>
      <c r="C37">
        <v>1</v>
      </c>
      <c r="D37" t="s">
        <v>15</v>
      </c>
      <c r="E37" t="s">
        <v>5</v>
      </c>
      <c r="F37" s="2">
        <v>45992</v>
      </c>
      <c r="G37">
        <v>4790.29</v>
      </c>
      <c r="H37" s="1">
        <f>AVERAGEIF(Table1[Customer_ID], Table1[[#This Row],[Customer_ID]], Table1[Transaction_Amount])</f>
        <v>4651.213448275862</v>
      </c>
      <c r="I37" t="s">
        <v>2097</v>
      </c>
      <c r="J37" t="s">
        <v>46</v>
      </c>
      <c r="K37" t="s">
        <v>10</v>
      </c>
      <c r="L37">
        <v>3</v>
      </c>
      <c r="M37" t="s">
        <v>33</v>
      </c>
      <c r="N37" t="s">
        <v>56</v>
      </c>
      <c r="O37" t="s">
        <v>392</v>
      </c>
      <c r="P37" s="6" t="str">
        <f>IF(Table1[[#This Row],[Transaction_Amount]]&lt;=Table1[[#This Row],[avg_transaction_amount]], "usual transaction", "unusual transaction")</f>
        <v>unusual transaction</v>
      </c>
      <c r="Q37" s="6" t="str">
        <f>IF(AND(Table1[[#This Row],[Country_of_Residence]]&lt;&gt;Table1[[#This Row],[Country_of_Transaction]], OR(Table1[[#This Row],[Authentication_Type]]="Biometric", Table1[[#This Row],[Authentication_Type]]="OTP")), "safe location transaction", "unsafe location transaction")</f>
        <v>safe location transaction</v>
      </c>
      <c r="R37" s="6" t="str">
        <f>IF(AND(Table1[[#This Row],[Country_of_Residence]]&lt;&gt;Table1[[#This Row],[Country_of_Transaction]], OR(Table1[[#This Row],[Merchant_Category]]="Electronics", Table1[[#This Row],[Merchant_Category]]="Travel")), "unsafe merchant transaction", "safe merchant transaction")</f>
        <v>safe merchant transaction</v>
      </c>
    </row>
    <row r="38" spans="1:18">
      <c r="A38" t="s">
        <v>4657</v>
      </c>
      <c r="B38" t="s">
        <v>29</v>
      </c>
      <c r="C38">
        <v>1</v>
      </c>
      <c r="D38" t="s">
        <v>9</v>
      </c>
      <c r="E38" t="s">
        <v>3</v>
      </c>
      <c r="F38" s="2">
        <v>45768</v>
      </c>
      <c r="G38">
        <v>3992.34</v>
      </c>
      <c r="H38" s="1">
        <f>AVERAGEIF(Table1[Customer_ID], Table1[[#This Row],[Customer_ID]], Table1[Transaction_Amount])</f>
        <v>4651.213448275862</v>
      </c>
      <c r="I38" t="s">
        <v>2116</v>
      </c>
      <c r="J38" t="s">
        <v>41</v>
      </c>
      <c r="K38" t="s">
        <v>12</v>
      </c>
      <c r="L38">
        <v>4</v>
      </c>
      <c r="M38" t="s">
        <v>412</v>
      </c>
      <c r="N38" t="s">
        <v>37</v>
      </c>
      <c r="O38" t="s">
        <v>393</v>
      </c>
      <c r="P38" s="6" t="str">
        <f>IF(Table1[[#This Row],[Transaction_Amount]]&lt;=Table1[[#This Row],[avg_transaction_amount]], "usual transaction", "unusual transaction")</f>
        <v>usual transaction</v>
      </c>
      <c r="Q38" s="6" t="str">
        <f>IF(AND(Table1[[#This Row],[Country_of_Residence]]&lt;&gt;Table1[[#This Row],[Country_of_Transaction]], OR(Table1[[#This Row],[Authentication_Type]]="Biometric", Table1[[#This Row],[Authentication_Type]]="OTP")), "safe location transaction", "unsafe location transaction")</f>
        <v>unsafe location transaction</v>
      </c>
      <c r="R38" s="6" t="str">
        <f>IF(AND(Table1[[#This Row],[Country_of_Residence]]&lt;&gt;Table1[[#This Row],[Country_of_Transaction]], OR(Table1[[#This Row],[Merchant_Category]]="Electronics", Table1[[#This Row],[Merchant_Category]]="Travel")), "unsafe merchant transaction", "safe merchant transaction")</f>
        <v>safe merchant transaction</v>
      </c>
    </row>
    <row r="39" spans="1:18">
      <c r="A39" t="s">
        <v>4658</v>
      </c>
      <c r="B39" t="s">
        <v>29</v>
      </c>
      <c r="C39">
        <v>1</v>
      </c>
      <c r="D39" t="s">
        <v>15</v>
      </c>
      <c r="E39" t="s">
        <v>3</v>
      </c>
      <c r="F39" s="2">
        <v>45712</v>
      </c>
      <c r="G39">
        <v>1890.22</v>
      </c>
      <c r="H39" s="1">
        <f>AVERAGEIF(Table1[Customer_ID], Table1[[#This Row],[Customer_ID]], Table1[Transaction_Amount])</f>
        <v>4651.213448275862</v>
      </c>
      <c r="I39" t="s">
        <v>627</v>
      </c>
      <c r="J39" t="s">
        <v>46</v>
      </c>
      <c r="K39" t="s">
        <v>12</v>
      </c>
      <c r="L39">
        <v>2</v>
      </c>
      <c r="M39" t="s">
        <v>55</v>
      </c>
      <c r="N39" t="s">
        <v>47</v>
      </c>
      <c r="O39" t="s">
        <v>393</v>
      </c>
      <c r="P39" s="6" t="str">
        <f>IF(Table1[[#This Row],[Transaction_Amount]]&lt;=Table1[[#This Row],[avg_transaction_amount]], "usual transaction", "unusual transaction")</f>
        <v>usual transaction</v>
      </c>
      <c r="Q39" s="6" t="str">
        <f>IF(AND(Table1[[#This Row],[Country_of_Residence]]&lt;&gt;Table1[[#This Row],[Country_of_Transaction]], OR(Table1[[#This Row],[Authentication_Type]]="Biometric", Table1[[#This Row],[Authentication_Type]]="OTP")), "safe location transaction", "unsafe location transaction")</f>
        <v>unsafe location transaction</v>
      </c>
      <c r="R39" s="6" t="str">
        <f>IF(AND(Table1[[#This Row],[Country_of_Residence]]&lt;&gt;Table1[[#This Row],[Country_of_Transaction]], OR(Table1[[#This Row],[Merchant_Category]]="Electronics", Table1[[#This Row],[Merchant_Category]]="Travel")), "unsafe merchant transaction", "safe merchant transaction")</f>
        <v>safe merchant transaction</v>
      </c>
    </row>
    <row r="40" spans="1:18">
      <c r="A40" t="s">
        <v>4661</v>
      </c>
      <c r="B40" t="s">
        <v>29</v>
      </c>
      <c r="C40">
        <v>1</v>
      </c>
      <c r="D40" t="s">
        <v>15</v>
      </c>
      <c r="E40" t="s">
        <v>6</v>
      </c>
      <c r="F40" s="2">
        <v>45777</v>
      </c>
      <c r="G40">
        <v>2892.26</v>
      </c>
      <c r="H40" s="1">
        <f>AVERAGEIF(Table1[Customer_ID], Table1[[#This Row],[Customer_ID]], Table1[Transaction_Amount])</f>
        <v>4651.213448275862</v>
      </c>
      <c r="I40" t="s">
        <v>2119</v>
      </c>
      <c r="J40" t="s">
        <v>36</v>
      </c>
      <c r="K40" t="s">
        <v>8</v>
      </c>
      <c r="L40">
        <v>4</v>
      </c>
      <c r="M40" t="s">
        <v>32</v>
      </c>
      <c r="N40" t="s">
        <v>37</v>
      </c>
      <c r="O40" t="s">
        <v>393</v>
      </c>
      <c r="P40" s="6" t="str">
        <f>IF(Table1[[#This Row],[Transaction_Amount]]&lt;=Table1[[#This Row],[avg_transaction_amount]], "usual transaction", "unusual transaction")</f>
        <v>usual transaction</v>
      </c>
      <c r="Q40" s="6" t="str">
        <f>IF(AND(Table1[[#This Row],[Country_of_Residence]]&lt;&gt;Table1[[#This Row],[Country_of_Transaction]], OR(Table1[[#This Row],[Authentication_Type]]="Biometric", Table1[[#This Row],[Authentication_Type]]="OTP")), "safe location transaction", "unsafe location transaction")</f>
        <v>safe location transaction</v>
      </c>
      <c r="R40" s="6" t="str">
        <f>IF(AND(Table1[[#This Row],[Country_of_Residence]]&lt;&gt;Table1[[#This Row],[Country_of_Transaction]], OR(Table1[[#This Row],[Merchant_Category]]="Electronics", Table1[[#This Row],[Merchant_Category]]="Travel")), "unsafe merchant transaction", "safe merchant transaction")</f>
        <v>safe merchant transaction</v>
      </c>
    </row>
    <row r="41" spans="1:18">
      <c r="A41" t="s">
        <v>4682</v>
      </c>
      <c r="B41" t="s">
        <v>29</v>
      </c>
      <c r="C41">
        <v>1</v>
      </c>
      <c r="D41" t="s">
        <v>9</v>
      </c>
      <c r="E41" t="s">
        <v>5</v>
      </c>
      <c r="F41" s="2">
        <v>45880</v>
      </c>
      <c r="G41">
        <v>8525.6200000000008</v>
      </c>
      <c r="H41" s="1">
        <f>AVERAGEIF(Table1[Customer_ID], Table1[[#This Row],[Customer_ID]], Table1[Transaction_Amount])</f>
        <v>4651.213448275862</v>
      </c>
      <c r="I41" t="s">
        <v>2134</v>
      </c>
      <c r="J41" t="s">
        <v>31</v>
      </c>
      <c r="K41" t="s">
        <v>14</v>
      </c>
      <c r="L41">
        <v>3</v>
      </c>
      <c r="M41" t="s">
        <v>37</v>
      </c>
      <c r="N41" t="s">
        <v>412</v>
      </c>
      <c r="O41" t="s">
        <v>392</v>
      </c>
      <c r="P41" s="6" t="str">
        <f>IF(Table1[[#This Row],[Transaction_Amount]]&lt;=Table1[[#This Row],[avg_transaction_amount]], "usual transaction", "unusual transaction")</f>
        <v>unusual transaction</v>
      </c>
      <c r="Q41" s="6" t="str">
        <f>IF(AND(Table1[[#This Row],[Country_of_Residence]]&lt;&gt;Table1[[#This Row],[Country_of_Transaction]], OR(Table1[[#This Row],[Authentication_Type]]="Biometric", Table1[[#This Row],[Authentication_Type]]="OTP")), "safe location transaction", "unsafe location transaction")</f>
        <v>unsafe location transaction</v>
      </c>
      <c r="R41" s="6" t="str">
        <f>IF(AND(Table1[[#This Row],[Country_of_Residence]]&lt;&gt;Table1[[#This Row],[Country_of_Transaction]], OR(Table1[[#This Row],[Merchant_Category]]="Electronics", Table1[[#This Row],[Merchant_Category]]="Travel")), "unsafe merchant transaction", "safe merchant transaction")</f>
        <v>safe merchant transaction</v>
      </c>
    </row>
    <row r="42" spans="1:18">
      <c r="A42" t="s">
        <v>4756</v>
      </c>
      <c r="B42" t="s">
        <v>29</v>
      </c>
      <c r="C42">
        <v>1</v>
      </c>
      <c r="D42" t="s">
        <v>15</v>
      </c>
      <c r="E42" t="s">
        <v>420</v>
      </c>
      <c r="F42" s="2">
        <v>45942</v>
      </c>
      <c r="G42">
        <v>1352.77</v>
      </c>
      <c r="H42" s="1">
        <f>AVERAGEIF(Table1[Customer_ID], Table1[[#This Row],[Customer_ID]], Table1[Transaction_Amount])</f>
        <v>4651.213448275862</v>
      </c>
      <c r="I42" t="s">
        <v>2190</v>
      </c>
      <c r="J42" t="s">
        <v>46</v>
      </c>
      <c r="K42" t="s">
        <v>14</v>
      </c>
      <c r="L42">
        <v>5</v>
      </c>
      <c r="M42" t="s">
        <v>51</v>
      </c>
      <c r="N42" t="s">
        <v>412</v>
      </c>
      <c r="O42" t="s">
        <v>392</v>
      </c>
      <c r="P42" s="6" t="str">
        <f>IF(Table1[[#This Row],[Transaction_Amount]]&lt;=Table1[[#This Row],[avg_transaction_amount]], "usual transaction", "unusual transaction")</f>
        <v>usual transaction</v>
      </c>
      <c r="Q42" s="6" t="str">
        <f>IF(AND(Table1[[#This Row],[Country_of_Residence]]&lt;&gt;Table1[[#This Row],[Country_of_Transaction]], OR(Table1[[#This Row],[Authentication_Type]]="Biometric", Table1[[#This Row],[Authentication_Type]]="OTP")), "safe location transaction", "unsafe location transaction")</f>
        <v>unsafe location transaction</v>
      </c>
      <c r="R42" s="6" t="str">
        <f>IF(AND(Table1[[#This Row],[Country_of_Residence]]&lt;&gt;Table1[[#This Row],[Country_of_Transaction]], OR(Table1[[#This Row],[Merchant_Category]]="Electronics", Table1[[#This Row],[Merchant_Category]]="Travel")), "unsafe merchant transaction", "safe merchant transaction")</f>
        <v>safe merchant transaction</v>
      </c>
    </row>
    <row r="43" spans="1:18">
      <c r="A43" t="s">
        <v>4828</v>
      </c>
      <c r="B43" t="s">
        <v>29</v>
      </c>
      <c r="C43">
        <v>1</v>
      </c>
      <c r="D43" t="s">
        <v>15</v>
      </c>
      <c r="E43" t="s">
        <v>420</v>
      </c>
      <c r="F43" s="2">
        <v>45874</v>
      </c>
      <c r="G43">
        <v>7313.45</v>
      </c>
      <c r="H43" s="1">
        <f>AVERAGEIF(Table1[Customer_ID], Table1[[#This Row],[Customer_ID]], Table1[Transaction_Amount])</f>
        <v>4651.213448275862</v>
      </c>
      <c r="I43" t="s">
        <v>2246</v>
      </c>
      <c r="J43" t="s">
        <v>50</v>
      </c>
      <c r="K43" t="s">
        <v>14</v>
      </c>
      <c r="L43">
        <v>3</v>
      </c>
      <c r="M43" t="s">
        <v>55</v>
      </c>
      <c r="N43" t="s">
        <v>33</v>
      </c>
      <c r="O43" t="s">
        <v>393</v>
      </c>
      <c r="P43" s="6" t="str">
        <f>IF(Table1[[#This Row],[Transaction_Amount]]&lt;=Table1[[#This Row],[avg_transaction_amount]], "usual transaction", "unusual transaction")</f>
        <v>unusual transaction</v>
      </c>
      <c r="Q43" s="6" t="str">
        <f>IF(AND(Table1[[#This Row],[Country_of_Residence]]&lt;&gt;Table1[[#This Row],[Country_of_Transaction]], OR(Table1[[#This Row],[Authentication_Type]]="Biometric", Table1[[#This Row],[Authentication_Type]]="OTP")), "safe location transaction", "unsafe location transaction")</f>
        <v>unsafe location transaction</v>
      </c>
      <c r="R43" s="6" t="str">
        <f>IF(AND(Table1[[#This Row],[Country_of_Residence]]&lt;&gt;Table1[[#This Row],[Country_of_Transaction]], OR(Table1[[#This Row],[Merchant_Category]]="Electronics", Table1[[#This Row],[Merchant_Category]]="Travel")), "unsafe merchant transaction", "safe merchant transaction")</f>
        <v>unsafe merchant transaction</v>
      </c>
    </row>
    <row r="44" spans="1:18">
      <c r="A44" t="s">
        <v>4997</v>
      </c>
      <c r="B44" t="s">
        <v>29</v>
      </c>
      <c r="C44">
        <v>1</v>
      </c>
      <c r="D44" t="s">
        <v>15</v>
      </c>
      <c r="E44" t="s">
        <v>6</v>
      </c>
      <c r="F44" s="2">
        <v>45859</v>
      </c>
      <c r="G44">
        <v>6062.47</v>
      </c>
      <c r="H44" s="1">
        <f>AVERAGEIF(Table1[Customer_ID], Table1[[#This Row],[Customer_ID]], Table1[Transaction_Amount])</f>
        <v>4651.213448275862</v>
      </c>
      <c r="I44" t="s">
        <v>2379</v>
      </c>
      <c r="J44" t="s">
        <v>31</v>
      </c>
      <c r="K44" t="s">
        <v>12</v>
      </c>
      <c r="L44">
        <v>5</v>
      </c>
      <c r="M44" t="s">
        <v>56</v>
      </c>
      <c r="N44" t="s">
        <v>37</v>
      </c>
      <c r="O44" t="s">
        <v>392</v>
      </c>
      <c r="P44" s="6" t="str">
        <f>IF(Table1[[#This Row],[Transaction_Amount]]&lt;=Table1[[#This Row],[avg_transaction_amount]], "usual transaction", "unusual transaction")</f>
        <v>unusual transaction</v>
      </c>
      <c r="Q44" s="6" t="str">
        <f>IF(AND(Table1[[#This Row],[Country_of_Residence]]&lt;&gt;Table1[[#This Row],[Country_of_Transaction]], OR(Table1[[#This Row],[Authentication_Type]]="Biometric", Table1[[#This Row],[Authentication_Type]]="OTP")), "safe location transaction", "unsafe location transaction")</f>
        <v>unsafe location transaction</v>
      </c>
      <c r="R44" s="6" t="str">
        <f>IF(AND(Table1[[#This Row],[Country_of_Residence]]&lt;&gt;Table1[[#This Row],[Country_of_Transaction]], OR(Table1[[#This Row],[Merchant_Category]]="Electronics", Table1[[#This Row],[Merchant_Category]]="Travel")), "unsafe merchant transaction", "safe merchant transaction")</f>
        <v>safe merchant transaction</v>
      </c>
    </row>
    <row r="45" spans="1:18">
      <c r="A45" t="s">
        <v>4998</v>
      </c>
      <c r="B45" t="s">
        <v>29</v>
      </c>
      <c r="C45">
        <v>1</v>
      </c>
      <c r="D45" t="s">
        <v>15</v>
      </c>
      <c r="E45" t="s">
        <v>420</v>
      </c>
      <c r="F45" s="2">
        <v>45888</v>
      </c>
      <c r="G45">
        <v>8342.8799999999992</v>
      </c>
      <c r="H45" s="1">
        <f>AVERAGEIF(Table1[Customer_ID], Table1[[#This Row],[Customer_ID]], Table1[Transaction_Amount])</f>
        <v>4651.213448275862</v>
      </c>
      <c r="I45" t="s">
        <v>2380</v>
      </c>
      <c r="J45" t="s">
        <v>31</v>
      </c>
      <c r="K45" t="s">
        <v>10</v>
      </c>
      <c r="L45">
        <v>2</v>
      </c>
      <c r="M45" t="s">
        <v>47</v>
      </c>
      <c r="N45" t="s">
        <v>56</v>
      </c>
      <c r="O45" t="s">
        <v>392</v>
      </c>
      <c r="P45" s="6" t="str">
        <f>IF(Table1[[#This Row],[Transaction_Amount]]&lt;=Table1[[#This Row],[avg_transaction_amount]], "usual transaction", "unusual transaction")</f>
        <v>unusual transaction</v>
      </c>
      <c r="Q45" s="6" t="str">
        <f>IF(AND(Table1[[#This Row],[Country_of_Residence]]&lt;&gt;Table1[[#This Row],[Country_of_Transaction]], OR(Table1[[#This Row],[Authentication_Type]]="Biometric", Table1[[#This Row],[Authentication_Type]]="OTP")), "safe location transaction", "unsafe location transaction")</f>
        <v>safe location transaction</v>
      </c>
      <c r="R45" s="6" t="str">
        <f>IF(AND(Table1[[#This Row],[Country_of_Residence]]&lt;&gt;Table1[[#This Row],[Country_of_Transaction]], OR(Table1[[#This Row],[Merchant_Category]]="Electronics", Table1[[#This Row],[Merchant_Category]]="Travel")), "unsafe merchant transaction", "safe merchant transaction")</f>
        <v>safe merchant transaction</v>
      </c>
    </row>
    <row r="46" spans="1:18">
      <c r="A46" t="s">
        <v>5006</v>
      </c>
      <c r="B46" t="s">
        <v>29</v>
      </c>
      <c r="C46">
        <v>1</v>
      </c>
      <c r="D46" t="s">
        <v>9</v>
      </c>
      <c r="E46" t="s">
        <v>6</v>
      </c>
      <c r="F46" s="2">
        <v>45854</v>
      </c>
      <c r="G46">
        <v>8770.52</v>
      </c>
      <c r="H46" s="1">
        <f>AVERAGEIF(Table1[Customer_ID], Table1[[#This Row],[Customer_ID]], Table1[Transaction_Amount])</f>
        <v>4651.213448275862</v>
      </c>
      <c r="I46" t="s">
        <v>2387</v>
      </c>
      <c r="J46" t="s">
        <v>50</v>
      </c>
      <c r="K46" t="s">
        <v>12</v>
      </c>
      <c r="L46">
        <v>5</v>
      </c>
      <c r="M46" t="s">
        <v>56</v>
      </c>
      <c r="N46" t="s">
        <v>32</v>
      </c>
      <c r="O46" t="s">
        <v>393</v>
      </c>
      <c r="P46" s="6" t="str">
        <f>IF(Table1[[#This Row],[Transaction_Amount]]&lt;=Table1[[#This Row],[avg_transaction_amount]], "usual transaction", "unusual transaction")</f>
        <v>unusual transaction</v>
      </c>
      <c r="Q46" s="6" t="str">
        <f>IF(AND(Table1[[#This Row],[Country_of_Residence]]&lt;&gt;Table1[[#This Row],[Country_of_Transaction]], OR(Table1[[#This Row],[Authentication_Type]]="Biometric", Table1[[#This Row],[Authentication_Type]]="OTP")), "safe location transaction", "unsafe location transaction")</f>
        <v>unsafe location transaction</v>
      </c>
      <c r="R46" s="6" t="str">
        <f>IF(AND(Table1[[#This Row],[Country_of_Residence]]&lt;&gt;Table1[[#This Row],[Country_of_Transaction]], OR(Table1[[#This Row],[Merchant_Category]]="Electronics", Table1[[#This Row],[Merchant_Category]]="Travel")), "unsafe merchant transaction", "safe merchant transaction")</f>
        <v>unsafe merchant transaction</v>
      </c>
    </row>
    <row r="47" spans="1:18">
      <c r="A47" t="s">
        <v>5014</v>
      </c>
      <c r="B47" t="s">
        <v>29</v>
      </c>
      <c r="C47">
        <v>1</v>
      </c>
      <c r="D47" t="s">
        <v>15</v>
      </c>
      <c r="E47" t="s">
        <v>3</v>
      </c>
      <c r="F47" s="2">
        <v>45700</v>
      </c>
      <c r="G47">
        <v>526.71</v>
      </c>
      <c r="H47" s="1">
        <f>AVERAGEIF(Table1[Customer_ID], Table1[[#This Row],[Customer_ID]], Table1[Transaction_Amount])</f>
        <v>4651.213448275862</v>
      </c>
      <c r="I47" t="s">
        <v>1255</v>
      </c>
      <c r="J47" t="s">
        <v>31</v>
      </c>
      <c r="K47" t="s">
        <v>8</v>
      </c>
      <c r="L47">
        <v>0</v>
      </c>
      <c r="M47" t="s">
        <v>47</v>
      </c>
      <c r="N47" t="s">
        <v>55</v>
      </c>
      <c r="O47" t="s">
        <v>393</v>
      </c>
      <c r="P47" s="6" t="str">
        <f>IF(Table1[[#This Row],[Transaction_Amount]]&lt;=Table1[[#This Row],[avg_transaction_amount]], "usual transaction", "unusual transaction")</f>
        <v>usual transaction</v>
      </c>
      <c r="Q47" s="6" t="str">
        <f>IF(AND(Table1[[#This Row],[Country_of_Residence]]&lt;&gt;Table1[[#This Row],[Country_of_Transaction]], OR(Table1[[#This Row],[Authentication_Type]]="Biometric", Table1[[#This Row],[Authentication_Type]]="OTP")), "safe location transaction", "unsafe location transaction")</f>
        <v>safe location transaction</v>
      </c>
      <c r="R47" s="6" t="str">
        <f>IF(AND(Table1[[#This Row],[Country_of_Residence]]&lt;&gt;Table1[[#This Row],[Country_of_Transaction]], OR(Table1[[#This Row],[Merchant_Category]]="Electronics", Table1[[#This Row],[Merchant_Category]]="Travel")), "unsafe merchant transaction", "safe merchant transaction")</f>
        <v>safe merchant transaction</v>
      </c>
    </row>
    <row r="48" spans="1:18">
      <c r="A48" t="s">
        <v>5029</v>
      </c>
      <c r="B48" t="s">
        <v>29</v>
      </c>
      <c r="C48">
        <v>1</v>
      </c>
      <c r="D48" t="s">
        <v>15</v>
      </c>
      <c r="E48" t="s">
        <v>5</v>
      </c>
      <c r="F48" s="2">
        <v>45859</v>
      </c>
      <c r="G48">
        <v>2223.2600000000002</v>
      </c>
      <c r="H48" s="1">
        <f>AVERAGEIF(Table1[Customer_ID], Table1[[#This Row],[Customer_ID]], Table1[Transaction_Amount])</f>
        <v>4651.213448275862</v>
      </c>
      <c r="I48" t="s">
        <v>604</v>
      </c>
      <c r="J48" t="s">
        <v>36</v>
      </c>
      <c r="K48" t="s">
        <v>10</v>
      </c>
      <c r="L48">
        <v>0</v>
      </c>
      <c r="M48" t="s">
        <v>42</v>
      </c>
      <c r="N48" t="s">
        <v>51</v>
      </c>
      <c r="O48" t="s">
        <v>393</v>
      </c>
      <c r="P48" s="6" t="str">
        <f>IF(Table1[[#This Row],[Transaction_Amount]]&lt;=Table1[[#This Row],[avg_transaction_amount]], "usual transaction", "unusual transaction")</f>
        <v>usual transaction</v>
      </c>
      <c r="Q48" s="6" t="str">
        <f>IF(AND(Table1[[#This Row],[Country_of_Residence]]&lt;&gt;Table1[[#This Row],[Country_of_Transaction]], OR(Table1[[#This Row],[Authentication_Type]]="Biometric", Table1[[#This Row],[Authentication_Type]]="OTP")), "safe location transaction", "unsafe location transaction")</f>
        <v>safe location transaction</v>
      </c>
      <c r="R48" s="6" t="str">
        <f>IF(AND(Table1[[#This Row],[Country_of_Residence]]&lt;&gt;Table1[[#This Row],[Country_of_Transaction]], OR(Table1[[#This Row],[Merchant_Category]]="Electronics", Table1[[#This Row],[Merchant_Category]]="Travel")), "unsafe merchant transaction", "safe merchant transaction")</f>
        <v>safe merchant transaction</v>
      </c>
    </row>
    <row r="49" spans="1:18">
      <c r="A49" t="s">
        <v>5051</v>
      </c>
      <c r="B49" t="s">
        <v>29</v>
      </c>
      <c r="C49">
        <v>1</v>
      </c>
      <c r="D49" t="s">
        <v>9</v>
      </c>
      <c r="E49" t="s">
        <v>420</v>
      </c>
      <c r="F49" s="2">
        <v>46006</v>
      </c>
      <c r="G49">
        <v>9158.36</v>
      </c>
      <c r="H49" s="1">
        <f>AVERAGEIF(Table1[Customer_ID], Table1[[#This Row],[Customer_ID]], Table1[Transaction_Amount])</f>
        <v>4651.213448275862</v>
      </c>
      <c r="I49" t="s">
        <v>2415</v>
      </c>
      <c r="J49" t="s">
        <v>46</v>
      </c>
      <c r="K49" t="s">
        <v>12</v>
      </c>
      <c r="L49">
        <v>0</v>
      </c>
      <c r="M49" t="s">
        <v>47</v>
      </c>
      <c r="N49" t="s">
        <v>37</v>
      </c>
      <c r="O49" t="s">
        <v>393</v>
      </c>
      <c r="P49" s="6" t="str">
        <f>IF(Table1[[#This Row],[Transaction_Amount]]&lt;=Table1[[#This Row],[avg_transaction_amount]], "usual transaction", "unusual transaction")</f>
        <v>unusual transaction</v>
      </c>
      <c r="Q49" s="6" t="str">
        <f>IF(AND(Table1[[#This Row],[Country_of_Residence]]&lt;&gt;Table1[[#This Row],[Country_of_Transaction]], OR(Table1[[#This Row],[Authentication_Type]]="Biometric", Table1[[#This Row],[Authentication_Type]]="OTP")), "safe location transaction", "unsafe location transaction")</f>
        <v>unsafe location transaction</v>
      </c>
      <c r="R49" s="6" t="str">
        <f>IF(AND(Table1[[#This Row],[Country_of_Residence]]&lt;&gt;Table1[[#This Row],[Country_of_Transaction]], OR(Table1[[#This Row],[Merchant_Category]]="Electronics", Table1[[#This Row],[Merchant_Category]]="Travel")), "unsafe merchant transaction", "safe merchant transaction")</f>
        <v>safe merchant transaction</v>
      </c>
    </row>
    <row r="50" spans="1:18">
      <c r="A50" t="s">
        <v>5061</v>
      </c>
      <c r="B50" t="s">
        <v>29</v>
      </c>
      <c r="C50">
        <v>1</v>
      </c>
      <c r="D50" t="s">
        <v>9</v>
      </c>
      <c r="E50" t="s">
        <v>6</v>
      </c>
      <c r="F50" s="2">
        <v>45941</v>
      </c>
      <c r="G50">
        <v>2401.15</v>
      </c>
      <c r="H50" s="1">
        <f>AVERAGEIF(Table1[Customer_ID], Table1[[#This Row],[Customer_ID]], Table1[Transaction_Amount])</f>
        <v>4651.213448275862</v>
      </c>
      <c r="I50" t="s">
        <v>1803</v>
      </c>
      <c r="J50" t="s">
        <v>46</v>
      </c>
      <c r="K50" t="s">
        <v>12</v>
      </c>
      <c r="L50">
        <v>0</v>
      </c>
      <c r="M50" t="s">
        <v>42</v>
      </c>
      <c r="N50" t="s">
        <v>56</v>
      </c>
      <c r="O50" t="s">
        <v>393</v>
      </c>
      <c r="P50" s="6" t="str">
        <f>IF(Table1[[#This Row],[Transaction_Amount]]&lt;=Table1[[#This Row],[avg_transaction_amount]], "usual transaction", "unusual transaction")</f>
        <v>usual transaction</v>
      </c>
      <c r="Q50" s="6" t="str">
        <f>IF(AND(Table1[[#This Row],[Country_of_Residence]]&lt;&gt;Table1[[#This Row],[Country_of_Transaction]], OR(Table1[[#This Row],[Authentication_Type]]="Biometric", Table1[[#This Row],[Authentication_Type]]="OTP")), "safe location transaction", "unsafe location transaction")</f>
        <v>unsafe location transaction</v>
      </c>
      <c r="R50" s="6" t="str">
        <f>IF(AND(Table1[[#This Row],[Country_of_Residence]]&lt;&gt;Table1[[#This Row],[Country_of_Transaction]], OR(Table1[[#This Row],[Merchant_Category]]="Electronics", Table1[[#This Row],[Merchant_Category]]="Travel")), "unsafe merchant transaction", "safe merchant transaction")</f>
        <v>safe merchant transaction</v>
      </c>
    </row>
    <row r="51" spans="1:18">
      <c r="A51" t="s">
        <v>5074</v>
      </c>
      <c r="B51" t="s">
        <v>29</v>
      </c>
      <c r="C51">
        <v>1</v>
      </c>
      <c r="D51" t="s">
        <v>9</v>
      </c>
      <c r="E51" t="s">
        <v>3</v>
      </c>
      <c r="F51" s="2">
        <v>45739</v>
      </c>
      <c r="G51">
        <v>8508.5</v>
      </c>
      <c r="H51" s="1">
        <f>AVERAGEIF(Table1[Customer_ID], Table1[[#This Row],[Customer_ID]], Table1[Transaction_Amount])</f>
        <v>4651.213448275862</v>
      </c>
      <c r="I51" t="s">
        <v>2358</v>
      </c>
      <c r="J51" t="s">
        <v>31</v>
      </c>
      <c r="K51" t="s">
        <v>10</v>
      </c>
      <c r="L51">
        <v>4</v>
      </c>
      <c r="M51" t="s">
        <v>42</v>
      </c>
      <c r="N51" t="s">
        <v>42</v>
      </c>
      <c r="O51" t="s">
        <v>392</v>
      </c>
      <c r="P51" s="6" t="str">
        <f>IF(Table1[[#This Row],[Transaction_Amount]]&lt;=Table1[[#This Row],[avg_transaction_amount]], "usual transaction", "unusual transaction")</f>
        <v>unusual transaction</v>
      </c>
      <c r="Q51" s="6" t="str">
        <f>IF(AND(Table1[[#This Row],[Country_of_Residence]]&lt;&gt;Table1[[#This Row],[Country_of_Transaction]], OR(Table1[[#This Row],[Authentication_Type]]="Biometric", Table1[[#This Row],[Authentication_Type]]="OTP")), "safe location transaction", "unsafe location transaction")</f>
        <v>unsafe location transaction</v>
      </c>
      <c r="R51" s="6" t="str">
        <f>IF(AND(Table1[[#This Row],[Country_of_Residence]]&lt;&gt;Table1[[#This Row],[Country_of_Transaction]], OR(Table1[[#This Row],[Merchant_Category]]="Electronics", Table1[[#This Row],[Merchant_Category]]="Travel")), "unsafe merchant transaction", "safe merchant transaction")</f>
        <v>safe merchant transaction</v>
      </c>
    </row>
    <row r="52" spans="1:18">
      <c r="A52" t="s">
        <v>5098</v>
      </c>
      <c r="B52" t="s">
        <v>29</v>
      </c>
      <c r="C52">
        <v>1</v>
      </c>
      <c r="D52" t="s">
        <v>15</v>
      </c>
      <c r="E52" t="s">
        <v>420</v>
      </c>
      <c r="F52" s="2">
        <v>45938</v>
      </c>
      <c r="G52">
        <v>3382.72</v>
      </c>
      <c r="H52" s="1">
        <f>AVERAGEIF(Table1[Customer_ID], Table1[[#This Row],[Customer_ID]], Table1[Transaction_Amount])</f>
        <v>4651.213448275862</v>
      </c>
      <c r="I52" t="s">
        <v>2448</v>
      </c>
      <c r="J52" t="s">
        <v>31</v>
      </c>
      <c r="K52" t="s">
        <v>14</v>
      </c>
      <c r="L52">
        <v>3</v>
      </c>
      <c r="M52" t="s">
        <v>37</v>
      </c>
      <c r="N52" t="s">
        <v>33</v>
      </c>
      <c r="O52" t="s">
        <v>393</v>
      </c>
      <c r="P52" s="6" t="str">
        <f>IF(Table1[[#This Row],[Transaction_Amount]]&lt;=Table1[[#This Row],[avg_transaction_amount]], "usual transaction", "unusual transaction")</f>
        <v>usual transaction</v>
      </c>
      <c r="Q52" s="6" t="str">
        <f>IF(AND(Table1[[#This Row],[Country_of_Residence]]&lt;&gt;Table1[[#This Row],[Country_of_Transaction]], OR(Table1[[#This Row],[Authentication_Type]]="Biometric", Table1[[#This Row],[Authentication_Type]]="OTP")), "safe location transaction", "unsafe location transaction")</f>
        <v>unsafe location transaction</v>
      </c>
      <c r="R52" s="6" t="str">
        <f>IF(AND(Table1[[#This Row],[Country_of_Residence]]&lt;&gt;Table1[[#This Row],[Country_of_Transaction]], OR(Table1[[#This Row],[Merchant_Category]]="Electronics", Table1[[#This Row],[Merchant_Category]]="Travel")), "unsafe merchant transaction", "safe merchant transaction")</f>
        <v>safe merchant transaction</v>
      </c>
    </row>
    <row r="53" spans="1:18">
      <c r="A53" t="s">
        <v>5153</v>
      </c>
      <c r="B53" t="s">
        <v>29</v>
      </c>
      <c r="C53">
        <v>1</v>
      </c>
      <c r="D53" t="s">
        <v>9</v>
      </c>
      <c r="E53" t="s">
        <v>5</v>
      </c>
      <c r="F53" s="2">
        <v>45698</v>
      </c>
      <c r="G53">
        <v>5153.07</v>
      </c>
      <c r="H53" s="1">
        <f>AVERAGEIF(Table1[Customer_ID], Table1[[#This Row],[Customer_ID]], Table1[Transaction_Amount])</f>
        <v>4651.213448275862</v>
      </c>
      <c r="I53" t="s">
        <v>2490</v>
      </c>
      <c r="J53" t="s">
        <v>46</v>
      </c>
      <c r="K53" t="s">
        <v>10</v>
      </c>
      <c r="L53">
        <v>5</v>
      </c>
      <c r="M53" t="s">
        <v>37</v>
      </c>
      <c r="N53" t="s">
        <v>55</v>
      </c>
      <c r="O53" t="s">
        <v>393</v>
      </c>
      <c r="P53" s="6" t="str">
        <f>IF(Table1[[#This Row],[Transaction_Amount]]&lt;=Table1[[#This Row],[avg_transaction_amount]], "usual transaction", "unusual transaction")</f>
        <v>unusual transaction</v>
      </c>
      <c r="Q53" s="6" t="str">
        <f>IF(AND(Table1[[#This Row],[Country_of_Residence]]&lt;&gt;Table1[[#This Row],[Country_of_Transaction]], OR(Table1[[#This Row],[Authentication_Type]]="Biometric", Table1[[#This Row],[Authentication_Type]]="OTP")), "safe location transaction", "unsafe location transaction")</f>
        <v>safe location transaction</v>
      </c>
      <c r="R53" s="6" t="str">
        <f>IF(AND(Table1[[#This Row],[Country_of_Residence]]&lt;&gt;Table1[[#This Row],[Country_of_Transaction]], OR(Table1[[#This Row],[Merchant_Category]]="Electronics", Table1[[#This Row],[Merchant_Category]]="Travel")), "unsafe merchant transaction", "safe merchant transaction")</f>
        <v>safe merchant transaction</v>
      </c>
    </row>
    <row r="54" spans="1:18">
      <c r="A54" t="s">
        <v>5201</v>
      </c>
      <c r="B54" t="s">
        <v>29</v>
      </c>
      <c r="C54">
        <v>1</v>
      </c>
      <c r="D54" t="s">
        <v>15</v>
      </c>
      <c r="E54" t="s">
        <v>3</v>
      </c>
      <c r="F54" s="2">
        <v>45812</v>
      </c>
      <c r="G54">
        <v>7979.64</v>
      </c>
      <c r="H54" s="1">
        <f>AVERAGEIF(Table1[Customer_ID], Table1[[#This Row],[Customer_ID]], Table1[Transaction_Amount])</f>
        <v>4651.213448275862</v>
      </c>
      <c r="I54" t="s">
        <v>2530</v>
      </c>
      <c r="J54" t="s">
        <v>36</v>
      </c>
      <c r="K54" t="s">
        <v>8</v>
      </c>
      <c r="L54">
        <v>5</v>
      </c>
      <c r="M54" t="s">
        <v>412</v>
      </c>
      <c r="N54" t="s">
        <v>47</v>
      </c>
      <c r="O54" t="s">
        <v>392</v>
      </c>
      <c r="P54" s="6" t="str">
        <f>IF(Table1[[#This Row],[Transaction_Amount]]&lt;=Table1[[#This Row],[avg_transaction_amount]], "usual transaction", "unusual transaction")</f>
        <v>unusual transaction</v>
      </c>
      <c r="Q54" s="6" t="str">
        <f>IF(AND(Table1[[#This Row],[Country_of_Residence]]&lt;&gt;Table1[[#This Row],[Country_of_Transaction]], OR(Table1[[#This Row],[Authentication_Type]]="Biometric", Table1[[#This Row],[Authentication_Type]]="OTP")), "safe location transaction", "unsafe location transaction")</f>
        <v>safe location transaction</v>
      </c>
      <c r="R54" s="6" t="str">
        <f>IF(AND(Table1[[#This Row],[Country_of_Residence]]&lt;&gt;Table1[[#This Row],[Country_of_Transaction]], OR(Table1[[#This Row],[Merchant_Category]]="Electronics", Table1[[#This Row],[Merchant_Category]]="Travel")), "unsafe merchant transaction", "safe merchant transaction")</f>
        <v>safe merchant transaction</v>
      </c>
    </row>
    <row r="55" spans="1:18">
      <c r="A55" t="s">
        <v>5210</v>
      </c>
      <c r="B55" t="s">
        <v>29</v>
      </c>
      <c r="C55">
        <v>1</v>
      </c>
      <c r="D55" t="s">
        <v>9</v>
      </c>
      <c r="E55" t="s">
        <v>5</v>
      </c>
      <c r="F55" s="2">
        <v>45872</v>
      </c>
      <c r="G55">
        <v>5235.07</v>
      </c>
      <c r="H55" s="1">
        <f>AVERAGEIF(Table1[Customer_ID], Table1[[#This Row],[Customer_ID]], Table1[Transaction_Amount])</f>
        <v>4651.213448275862</v>
      </c>
      <c r="I55" t="s">
        <v>2537</v>
      </c>
      <c r="J55" t="s">
        <v>36</v>
      </c>
      <c r="K55" t="s">
        <v>8</v>
      </c>
      <c r="L55">
        <v>0</v>
      </c>
      <c r="M55" t="s">
        <v>37</v>
      </c>
      <c r="N55" t="s">
        <v>412</v>
      </c>
      <c r="O55" t="s">
        <v>392</v>
      </c>
      <c r="P55" s="6" t="str">
        <f>IF(Table1[[#This Row],[Transaction_Amount]]&lt;=Table1[[#This Row],[avg_transaction_amount]], "usual transaction", "unusual transaction")</f>
        <v>unusual transaction</v>
      </c>
      <c r="Q55" s="6" t="str">
        <f>IF(AND(Table1[[#This Row],[Country_of_Residence]]&lt;&gt;Table1[[#This Row],[Country_of_Transaction]], OR(Table1[[#This Row],[Authentication_Type]]="Biometric", Table1[[#This Row],[Authentication_Type]]="OTP")), "safe location transaction", "unsafe location transaction")</f>
        <v>safe location transaction</v>
      </c>
      <c r="R55" s="6" t="str">
        <f>IF(AND(Table1[[#This Row],[Country_of_Residence]]&lt;&gt;Table1[[#This Row],[Country_of_Transaction]], OR(Table1[[#This Row],[Merchant_Category]]="Electronics", Table1[[#This Row],[Merchant_Category]]="Travel")), "unsafe merchant transaction", "safe merchant transaction")</f>
        <v>safe merchant transaction</v>
      </c>
    </row>
    <row r="56" spans="1:18">
      <c r="A56" t="s">
        <v>5235</v>
      </c>
      <c r="B56" t="s">
        <v>29</v>
      </c>
      <c r="C56">
        <v>1</v>
      </c>
      <c r="D56" t="s">
        <v>9</v>
      </c>
      <c r="E56" t="s">
        <v>420</v>
      </c>
      <c r="F56" s="2">
        <v>45690</v>
      </c>
      <c r="G56">
        <v>5233.9399999999996</v>
      </c>
      <c r="H56" s="1">
        <f>AVERAGEIF(Table1[Customer_ID], Table1[[#This Row],[Customer_ID]], Table1[Transaction_Amount])</f>
        <v>4651.213448275862</v>
      </c>
      <c r="I56" t="s">
        <v>2557</v>
      </c>
      <c r="J56" t="s">
        <v>31</v>
      </c>
      <c r="K56" t="s">
        <v>14</v>
      </c>
      <c r="L56">
        <v>0</v>
      </c>
      <c r="M56" t="s">
        <v>51</v>
      </c>
      <c r="N56" t="s">
        <v>42</v>
      </c>
      <c r="O56" t="s">
        <v>392</v>
      </c>
      <c r="P56" s="6" t="str">
        <f>IF(Table1[[#This Row],[Transaction_Amount]]&lt;=Table1[[#This Row],[avg_transaction_amount]], "usual transaction", "unusual transaction")</f>
        <v>unusual transaction</v>
      </c>
      <c r="Q56" s="6" t="str">
        <f>IF(AND(Table1[[#This Row],[Country_of_Residence]]&lt;&gt;Table1[[#This Row],[Country_of_Transaction]], OR(Table1[[#This Row],[Authentication_Type]]="Biometric", Table1[[#This Row],[Authentication_Type]]="OTP")), "safe location transaction", "unsafe location transaction")</f>
        <v>unsafe location transaction</v>
      </c>
      <c r="R56" s="6" t="str">
        <f>IF(AND(Table1[[#This Row],[Country_of_Residence]]&lt;&gt;Table1[[#This Row],[Country_of_Transaction]], OR(Table1[[#This Row],[Merchant_Category]]="Electronics", Table1[[#This Row],[Merchant_Category]]="Travel")), "unsafe merchant transaction", "safe merchant transaction")</f>
        <v>safe merchant transaction</v>
      </c>
    </row>
    <row r="57" spans="1:18">
      <c r="A57" t="s">
        <v>5255</v>
      </c>
      <c r="B57" t="s">
        <v>29</v>
      </c>
      <c r="C57">
        <v>1</v>
      </c>
      <c r="D57" t="s">
        <v>9</v>
      </c>
      <c r="E57" t="s">
        <v>6</v>
      </c>
      <c r="F57" s="2">
        <v>45740</v>
      </c>
      <c r="G57">
        <v>87.13</v>
      </c>
      <c r="H57" s="1">
        <f>AVERAGEIF(Table1[Customer_ID], Table1[[#This Row],[Customer_ID]], Table1[Transaction_Amount])</f>
        <v>4651.213448275862</v>
      </c>
      <c r="I57" t="s">
        <v>2574</v>
      </c>
      <c r="J57" t="s">
        <v>31</v>
      </c>
      <c r="K57" t="s">
        <v>12</v>
      </c>
      <c r="L57">
        <v>5</v>
      </c>
      <c r="M57" t="s">
        <v>33</v>
      </c>
      <c r="N57" t="s">
        <v>42</v>
      </c>
      <c r="O57" t="s">
        <v>392</v>
      </c>
      <c r="P57" s="6" t="str">
        <f>IF(Table1[[#This Row],[Transaction_Amount]]&lt;=Table1[[#This Row],[avg_transaction_amount]], "usual transaction", "unusual transaction")</f>
        <v>usual transaction</v>
      </c>
      <c r="Q57" s="6" t="str">
        <f>IF(AND(Table1[[#This Row],[Country_of_Residence]]&lt;&gt;Table1[[#This Row],[Country_of_Transaction]], OR(Table1[[#This Row],[Authentication_Type]]="Biometric", Table1[[#This Row],[Authentication_Type]]="OTP")), "safe location transaction", "unsafe location transaction")</f>
        <v>unsafe location transaction</v>
      </c>
      <c r="R57" s="6" t="str">
        <f>IF(AND(Table1[[#This Row],[Country_of_Residence]]&lt;&gt;Table1[[#This Row],[Country_of_Transaction]], OR(Table1[[#This Row],[Merchant_Category]]="Electronics", Table1[[#This Row],[Merchant_Category]]="Travel")), "unsafe merchant transaction", "safe merchant transaction")</f>
        <v>safe merchant transaction</v>
      </c>
    </row>
    <row r="58" spans="1:18">
      <c r="A58" t="s">
        <v>5290</v>
      </c>
      <c r="B58" t="s">
        <v>29</v>
      </c>
      <c r="C58">
        <v>1</v>
      </c>
      <c r="D58" t="s">
        <v>9</v>
      </c>
      <c r="E58" t="s">
        <v>420</v>
      </c>
      <c r="F58" s="2">
        <v>45767</v>
      </c>
      <c r="G58">
        <v>2318.58</v>
      </c>
      <c r="H58" s="1">
        <f>AVERAGEIF(Table1[Customer_ID], Table1[[#This Row],[Customer_ID]], Table1[Transaction_Amount])</f>
        <v>4651.213448275862</v>
      </c>
      <c r="I58" t="s">
        <v>2596</v>
      </c>
      <c r="J58" t="s">
        <v>50</v>
      </c>
      <c r="K58" t="s">
        <v>10</v>
      </c>
      <c r="L58">
        <v>2</v>
      </c>
      <c r="M58" t="s">
        <v>37</v>
      </c>
      <c r="N58" t="s">
        <v>42</v>
      </c>
      <c r="O58" t="s">
        <v>393</v>
      </c>
      <c r="P58" s="6" t="str">
        <f>IF(Table1[[#This Row],[Transaction_Amount]]&lt;=Table1[[#This Row],[avg_transaction_amount]], "usual transaction", "unusual transaction")</f>
        <v>usual transaction</v>
      </c>
      <c r="Q58" s="6" t="str">
        <f>IF(AND(Table1[[#This Row],[Country_of_Residence]]&lt;&gt;Table1[[#This Row],[Country_of_Transaction]], OR(Table1[[#This Row],[Authentication_Type]]="Biometric", Table1[[#This Row],[Authentication_Type]]="OTP")), "safe location transaction", "unsafe location transaction")</f>
        <v>safe location transaction</v>
      </c>
      <c r="R58" s="6" t="str">
        <f>IF(AND(Table1[[#This Row],[Country_of_Residence]]&lt;&gt;Table1[[#This Row],[Country_of_Transaction]], OR(Table1[[#This Row],[Merchant_Category]]="Electronics", Table1[[#This Row],[Merchant_Category]]="Travel")), "unsafe merchant transaction", "safe merchant transaction")</f>
        <v>unsafe merchant transaction</v>
      </c>
    </row>
    <row r="59" spans="1:18">
      <c r="A59" t="s">
        <v>5323</v>
      </c>
      <c r="B59" t="s">
        <v>29</v>
      </c>
      <c r="C59">
        <v>1</v>
      </c>
      <c r="D59" t="s">
        <v>15</v>
      </c>
      <c r="E59" t="s">
        <v>420</v>
      </c>
      <c r="F59" s="2">
        <v>45795</v>
      </c>
      <c r="G59">
        <v>9418.41</v>
      </c>
      <c r="H59" s="1">
        <f>AVERAGEIF(Table1[Customer_ID], Table1[[#This Row],[Customer_ID]], Table1[Transaction_Amount])</f>
        <v>4651.213448275862</v>
      </c>
      <c r="I59" t="s">
        <v>774</v>
      </c>
      <c r="J59" t="s">
        <v>36</v>
      </c>
      <c r="K59" t="s">
        <v>8</v>
      </c>
      <c r="L59">
        <v>5</v>
      </c>
      <c r="M59" t="s">
        <v>33</v>
      </c>
      <c r="N59" t="s">
        <v>32</v>
      </c>
      <c r="O59" t="s">
        <v>392</v>
      </c>
      <c r="P59" s="6" t="str">
        <f>IF(Table1[[#This Row],[Transaction_Amount]]&lt;=Table1[[#This Row],[avg_transaction_amount]], "usual transaction", "unusual transaction")</f>
        <v>unusual transaction</v>
      </c>
      <c r="Q59" s="6" t="str">
        <f>IF(AND(Table1[[#This Row],[Country_of_Residence]]&lt;&gt;Table1[[#This Row],[Country_of_Transaction]], OR(Table1[[#This Row],[Authentication_Type]]="Biometric", Table1[[#This Row],[Authentication_Type]]="OTP")), "safe location transaction", "unsafe location transaction")</f>
        <v>safe location transaction</v>
      </c>
      <c r="R59" s="6" t="str">
        <f>IF(AND(Table1[[#This Row],[Country_of_Residence]]&lt;&gt;Table1[[#This Row],[Country_of_Transaction]], OR(Table1[[#This Row],[Merchant_Category]]="Electronics", Table1[[#This Row],[Merchant_Category]]="Travel")), "unsafe merchant transaction", "safe merchant transaction")</f>
        <v>safe merchant transaction</v>
      </c>
    </row>
    <row r="60" spans="1:18">
      <c r="A60" t="s">
        <v>48</v>
      </c>
      <c r="B60" t="s">
        <v>39</v>
      </c>
      <c r="C60">
        <v>1</v>
      </c>
      <c r="D60" t="s">
        <v>15</v>
      </c>
      <c r="E60" t="s">
        <v>5</v>
      </c>
      <c r="F60" s="2">
        <v>45886.460416666698</v>
      </c>
      <c r="G60">
        <v>6390.18</v>
      </c>
      <c r="H60" s="1">
        <f>AVERAGEIF(Table1[Customer_ID], Table1[[#This Row],[Customer_ID]], Table1[Transaction_Amount])</f>
        <v>5524.1660655737705</v>
      </c>
      <c r="I60" t="s">
        <v>49</v>
      </c>
      <c r="J60" t="s">
        <v>50</v>
      </c>
      <c r="K60" t="s">
        <v>10</v>
      </c>
      <c r="L60">
        <v>0</v>
      </c>
      <c r="M60" t="s">
        <v>42</v>
      </c>
      <c r="N60" t="s">
        <v>51</v>
      </c>
      <c r="O60" t="s">
        <v>392</v>
      </c>
      <c r="P60" t="str">
        <f>IF(Table1[[#This Row],[Transaction_Amount]]&lt;=Table1[[#This Row],[avg_transaction_amount]], "usual transaction", "unusual transaction")</f>
        <v>unusual transaction</v>
      </c>
      <c r="Q60" t="str">
        <f>IF(AND(Table1[[#This Row],[Country_of_Residence]]&lt;&gt;Table1[[#This Row],[Country_of_Transaction]], OR(Table1[[#This Row],[Authentication_Type]]="Biometric", Table1[[#This Row],[Authentication_Type]]="OTP")), "safe location transaction", "unsafe location transaction")</f>
        <v>safe location transaction</v>
      </c>
      <c r="R60" t="str">
        <f>IF(AND(Table1[[#This Row],[Country_of_Residence]]&lt;&gt;Table1[[#This Row],[Country_of_Transaction]], OR(Table1[[#This Row],[Merchant_Category]]="Electronics", Table1[[#This Row],[Merchant_Category]]="Travel")), "unsafe merchant transaction", "safe merchant transaction")</f>
        <v>unsafe merchant transaction</v>
      </c>
    </row>
    <row r="61" spans="1:18">
      <c r="A61" t="s">
        <v>38</v>
      </c>
      <c r="B61" t="s">
        <v>39</v>
      </c>
      <c r="C61">
        <v>1</v>
      </c>
      <c r="D61" t="s">
        <v>9</v>
      </c>
      <c r="E61" t="s">
        <v>3</v>
      </c>
      <c r="F61" s="2">
        <v>45800.834027777797</v>
      </c>
      <c r="G61">
        <v>9963.75</v>
      </c>
      <c r="H61" s="1">
        <f>AVERAGEIF(Table1[Customer_ID], Table1[[#This Row],[Customer_ID]], Table1[Transaction_Amount])</f>
        <v>5524.1660655737705</v>
      </c>
      <c r="I61" t="s">
        <v>40</v>
      </c>
      <c r="J61" t="s">
        <v>41</v>
      </c>
      <c r="K61" t="s">
        <v>10</v>
      </c>
      <c r="L61">
        <v>4</v>
      </c>
      <c r="M61" t="s">
        <v>42</v>
      </c>
      <c r="N61" t="s">
        <v>43</v>
      </c>
      <c r="O61" t="s">
        <v>392</v>
      </c>
      <c r="P61" t="str">
        <f>IF(Table1[[#This Row],[Transaction_Amount]]&lt;=Table1[[#This Row],[avg_transaction_amount]], "usual transaction", "unusual transaction")</f>
        <v>unusual transaction</v>
      </c>
      <c r="Q61" t="str">
        <f>IF(AND(Table1[[#This Row],[Country_of_Residence]]&lt;&gt;Table1[[#This Row],[Country_of_Transaction]], OR(Table1[[#This Row],[Authentication_Type]]="Biometric", Table1[[#This Row],[Authentication_Type]]="OTP")), "safe location transaction", "unsafe location transaction")</f>
        <v>safe location transaction</v>
      </c>
      <c r="R61" t="str">
        <f>IF(AND(Table1[[#This Row],[Country_of_Residence]]&lt;&gt;Table1[[#This Row],[Country_of_Transaction]], OR(Table1[[#This Row],[Merchant_Category]]="Electronics", Table1[[#This Row],[Merchant_Category]]="Travel")), "unsafe merchant transaction", "safe merchant transaction")</f>
        <v>safe merchant transaction</v>
      </c>
    </row>
    <row r="62" spans="1:18">
      <c r="A62" t="s">
        <v>44</v>
      </c>
      <c r="B62" t="s">
        <v>39</v>
      </c>
      <c r="C62">
        <v>1</v>
      </c>
      <c r="D62" t="s">
        <v>9</v>
      </c>
      <c r="E62" t="s">
        <v>3</v>
      </c>
      <c r="F62" s="2">
        <v>45797.127083333296</v>
      </c>
      <c r="G62">
        <v>9557.91</v>
      </c>
      <c r="H62" s="1">
        <f>AVERAGEIF(Table1[Customer_ID], Table1[[#This Row],[Customer_ID]], Table1[Transaction_Amount])</f>
        <v>5524.1660655737705</v>
      </c>
      <c r="I62" t="s">
        <v>45</v>
      </c>
      <c r="J62" t="s">
        <v>46</v>
      </c>
      <c r="K62" t="s">
        <v>12</v>
      </c>
      <c r="L62">
        <v>2</v>
      </c>
      <c r="M62" t="s">
        <v>42</v>
      </c>
      <c r="N62" t="s">
        <v>47</v>
      </c>
      <c r="O62" t="s">
        <v>392</v>
      </c>
      <c r="P62" t="str">
        <f>IF(Table1[[#This Row],[Transaction_Amount]]&lt;=Table1[[#This Row],[avg_transaction_amount]], "usual transaction", "unusual transaction")</f>
        <v>unusual transaction</v>
      </c>
      <c r="Q62" t="str">
        <f>IF(AND(Table1[[#This Row],[Country_of_Residence]]&lt;&gt;Table1[[#This Row],[Country_of_Transaction]], OR(Table1[[#This Row],[Authentication_Type]]="Biometric", Table1[[#This Row],[Authentication_Type]]="OTP")), "safe location transaction", "unsafe location transaction")</f>
        <v>unsafe location transaction</v>
      </c>
      <c r="R62" t="str">
        <f>IF(AND(Table1[[#This Row],[Country_of_Residence]]&lt;&gt;Table1[[#This Row],[Country_of_Transaction]], OR(Table1[[#This Row],[Merchant_Category]]="Electronics", Table1[[#This Row],[Merchant_Category]]="Travel")), "unsafe merchant transaction", "safe merchant transaction")</f>
        <v>safe merchant transaction</v>
      </c>
    </row>
    <row r="63" spans="1:18">
      <c r="A63" t="s">
        <v>3014</v>
      </c>
      <c r="B63" t="s">
        <v>39</v>
      </c>
      <c r="C63">
        <v>1</v>
      </c>
      <c r="D63" t="s">
        <v>15</v>
      </c>
      <c r="E63" t="s">
        <v>420</v>
      </c>
      <c r="F63" s="2">
        <v>45717</v>
      </c>
      <c r="G63">
        <v>2109.1799999999998</v>
      </c>
      <c r="H63" s="1">
        <f>AVERAGEIF(Table1[Customer_ID], Table1[[#This Row],[Customer_ID]], Table1[Transaction_Amount])</f>
        <v>5524.1660655737705</v>
      </c>
      <c r="I63" t="s">
        <v>661</v>
      </c>
      <c r="J63" t="s">
        <v>36</v>
      </c>
      <c r="K63" t="s">
        <v>8</v>
      </c>
      <c r="L63">
        <v>5</v>
      </c>
      <c r="M63" t="s">
        <v>37</v>
      </c>
      <c r="N63" t="s">
        <v>32</v>
      </c>
      <c r="O63" t="s">
        <v>393</v>
      </c>
      <c r="P63" s="6" t="str">
        <f>IF(Table1[[#This Row],[Transaction_Amount]]&lt;=Table1[[#This Row],[avg_transaction_amount]], "usual transaction", "unusual transaction")</f>
        <v>usual transaction</v>
      </c>
      <c r="Q63" s="6" t="str">
        <f>IF(AND(Table1[[#This Row],[Country_of_Residence]]&lt;&gt;Table1[[#This Row],[Country_of_Transaction]], OR(Table1[[#This Row],[Authentication_Type]]="Biometric", Table1[[#This Row],[Authentication_Type]]="OTP")), "safe location transaction", "unsafe location transaction")</f>
        <v>safe location transaction</v>
      </c>
      <c r="R63" s="6" t="str">
        <f>IF(AND(Table1[[#This Row],[Country_of_Residence]]&lt;&gt;Table1[[#This Row],[Country_of_Transaction]], OR(Table1[[#This Row],[Merchant_Category]]="Electronics", Table1[[#This Row],[Merchant_Category]]="Travel")), "unsafe merchant transaction", "safe merchant transaction")</f>
        <v>safe merchant transaction</v>
      </c>
    </row>
    <row r="64" spans="1:18">
      <c r="A64" t="s">
        <v>3037</v>
      </c>
      <c r="B64" t="s">
        <v>39</v>
      </c>
      <c r="C64">
        <v>1</v>
      </c>
      <c r="D64" t="s">
        <v>15</v>
      </c>
      <c r="E64" t="s">
        <v>6</v>
      </c>
      <c r="F64" s="2">
        <v>46013</v>
      </c>
      <c r="G64">
        <v>6783.64</v>
      </c>
      <c r="H64" s="1">
        <f>AVERAGEIF(Table1[Customer_ID], Table1[[#This Row],[Customer_ID]], Table1[Transaction_Amount])</f>
        <v>5524.1660655737705</v>
      </c>
      <c r="I64" t="s">
        <v>683</v>
      </c>
      <c r="J64" t="s">
        <v>46</v>
      </c>
      <c r="K64" t="s">
        <v>10</v>
      </c>
      <c r="L64">
        <v>3</v>
      </c>
      <c r="M64" t="s">
        <v>33</v>
      </c>
      <c r="N64" t="s">
        <v>37</v>
      </c>
      <c r="O64" t="s">
        <v>392</v>
      </c>
      <c r="P64" s="6" t="str">
        <f>IF(Table1[[#This Row],[Transaction_Amount]]&lt;=Table1[[#This Row],[avg_transaction_amount]], "usual transaction", "unusual transaction")</f>
        <v>unusual transaction</v>
      </c>
      <c r="Q64" s="6" t="str">
        <f>IF(AND(Table1[[#This Row],[Country_of_Residence]]&lt;&gt;Table1[[#This Row],[Country_of_Transaction]], OR(Table1[[#This Row],[Authentication_Type]]="Biometric", Table1[[#This Row],[Authentication_Type]]="OTP")), "safe location transaction", "unsafe location transaction")</f>
        <v>safe location transaction</v>
      </c>
      <c r="R64" s="6" t="str">
        <f>IF(AND(Table1[[#This Row],[Country_of_Residence]]&lt;&gt;Table1[[#This Row],[Country_of_Transaction]], OR(Table1[[#This Row],[Merchant_Category]]="Electronics", Table1[[#This Row],[Merchant_Category]]="Travel")), "unsafe merchant transaction", "safe merchant transaction")</f>
        <v>safe merchant transaction</v>
      </c>
    </row>
    <row r="65" spans="1:18">
      <c r="A65" t="s">
        <v>3181</v>
      </c>
      <c r="B65" t="s">
        <v>39</v>
      </c>
      <c r="C65">
        <v>1</v>
      </c>
      <c r="D65" t="s">
        <v>15</v>
      </c>
      <c r="E65" t="s">
        <v>5</v>
      </c>
      <c r="F65" s="2">
        <v>45760</v>
      </c>
      <c r="G65">
        <v>5796.72</v>
      </c>
      <c r="H65" s="1">
        <f>AVERAGEIF(Table1[Customer_ID], Table1[[#This Row],[Customer_ID]], Table1[Transaction_Amount])</f>
        <v>5524.1660655737705</v>
      </c>
      <c r="I65" t="s">
        <v>816</v>
      </c>
      <c r="J65" t="s">
        <v>50</v>
      </c>
      <c r="K65" t="s">
        <v>14</v>
      </c>
      <c r="L65">
        <v>3</v>
      </c>
      <c r="M65" t="s">
        <v>32</v>
      </c>
      <c r="N65" t="s">
        <v>37</v>
      </c>
      <c r="O65" t="s">
        <v>392</v>
      </c>
      <c r="P65" s="6" t="str">
        <f>IF(Table1[[#This Row],[Transaction_Amount]]&lt;=Table1[[#This Row],[avg_transaction_amount]], "usual transaction", "unusual transaction")</f>
        <v>unusual transaction</v>
      </c>
      <c r="Q65" s="6" t="str">
        <f>IF(AND(Table1[[#This Row],[Country_of_Residence]]&lt;&gt;Table1[[#This Row],[Country_of_Transaction]], OR(Table1[[#This Row],[Authentication_Type]]="Biometric", Table1[[#This Row],[Authentication_Type]]="OTP")), "safe location transaction", "unsafe location transaction")</f>
        <v>unsafe location transaction</v>
      </c>
      <c r="R65" s="6" t="str">
        <f>IF(AND(Table1[[#This Row],[Country_of_Residence]]&lt;&gt;Table1[[#This Row],[Country_of_Transaction]], OR(Table1[[#This Row],[Merchant_Category]]="Electronics", Table1[[#This Row],[Merchant_Category]]="Travel")), "unsafe merchant transaction", "safe merchant transaction")</f>
        <v>unsafe merchant transaction</v>
      </c>
    </row>
    <row r="66" spans="1:18">
      <c r="A66" t="s">
        <v>3233</v>
      </c>
      <c r="B66" t="s">
        <v>39</v>
      </c>
      <c r="C66">
        <v>1</v>
      </c>
      <c r="D66" t="s">
        <v>9</v>
      </c>
      <c r="E66" t="s">
        <v>3</v>
      </c>
      <c r="F66" s="2">
        <v>45890</v>
      </c>
      <c r="G66">
        <v>4823.84</v>
      </c>
      <c r="H66" s="1">
        <f>AVERAGEIF(Table1[Customer_ID], Table1[[#This Row],[Customer_ID]], Table1[Transaction_Amount])</f>
        <v>5524.1660655737705</v>
      </c>
      <c r="I66" t="s">
        <v>866</v>
      </c>
      <c r="J66" t="s">
        <v>36</v>
      </c>
      <c r="K66" t="s">
        <v>12</v>
      </c>
      <c r="L66">
        <v>2</v>
      </c>
      <c r="M66" t="s">
        <v>47</v>
      </c>
      <c r="N66" t="s">
        <v>412</v>
      </c>
      <c r="O66" t="s">
        <v>392</v>
      </c>
      <c r="P66" s="6" t="str">
        <f>IF(Table1[[#This Row],[Transaction_Amount]]&lt;=Table1[[#This Row],[avg_transaction_amount]], "usual transaction", "unusual transaction")</f>
        <v>usual transaction</v>
      </c>
      <c r="Q66" s="6" t="str">
        <f>IF(AND(Table1[[#This Row],[Country_of_Residence]]&lt;&gt;Table1[[#This Row],[Country_of_Transaction]], OR(Table1[[#This Row],[Authentication_Type]]="Biometric", Table1[[#This Row],[Authentication_Type]]="OTP")), "safe location transaction", "unsafe location transaction")</f>
        <v>unsafe location transaction</v>
      </c>
      <c r="R66" s="6" t="str">
        <f>IF(AND(Table1[[#This Row],[Country_of_Residence]]&lt;&gt;Table1[[#This Row],[Country_of_Transaction]], OR(Table1[[#This Row],[Merchant_Category]]="Electronics", Table1[[#This Row],[Merchant_Category]]="Travel")), "unsafe merchant transaction", "safe merchant transaction")</f>
        <v>safe merchant transaction</v>
      </c>
    </row>
    <row r="67" spans="1:18">
      <c r="A67" t="s">
        <v>3253</v>
      </c>
      <c r="B67" t="s">
        <v>39</v>
      </c>
      <c r="C67">
        <v>1</v>
      </c>
      <c r="D67" t="s">
        <v>15</v>
      </c>
      <c r="E67" t="s">
        <v>5</v>
      </c>
      <c r="F67" s="2">
        <v>45955</v>
      </c>
      <c r="G67">
        <v>1237.58</v>
      </c>
      <c r="H67" s="1">
        <f>AVERAGEIF(Table1[Customer_ID], Table1[[#This Row],[Customer_ID]], Table1[Transaction_Amount])</f>
        <v>5524.1660655737705</v>
      </c>
      <c r="I67" t="s">
        <v>884</v>
      </c>
      <c r="J67" t="s">
        <v>50</v>
      </c>
      <c r="K67" t="s">
        <v>8</v>
      </c>
      <c r="L67">
        <v>5</v>
      </c>
      <c r="M67" t="s">
        <v>32</v>
      </c>
      <c r="N67" t="s">
        <v>51</v>
      </c>
      <c r="O67" t="s">
        <v>392</v>
      </c>
      <c r="P67" s="6" t="str">
        <f>IF(Table1[[#This Row],[Transaction_Amount]]&lt;=Table1[[#This Row],[avg_transaction_amount]], "usual transaction", "unusual transaction")</f>
        <v>usual transaction</v>
      </c>
      <c r="Q67" s="6" t="str">
        <f>IF(AND(Table1[[#This Row],[Country_of_Residence]]&lt;&gt;Table1[[#This Row],[Country_of_Transaction]], OR(Table1[[#This Row],[Authentication_Type]]="Biometric", Table1[[#This Row],[Authentication_Type]]="OTP")), "safe location transaction", "unsafe location transaction")</f>
        <v>safe location transaction</v>
      </c>
      <c r="R67" s="6" t="str">
        <f>IF(AND(Table1[[#This Row],[Country_of_Residence]]&lt;&gt;Table1[[#This Row],[Country_of_Transaction]], OR(Table1[[#This Row],[Merchant_Category]]="Electronics", Table1[[#This Row],[Merchant_Category]]="Travel")), "unsafe merchant transaction", "safe merchant transaction")</f>
        <v>unsafe merchant transaction</v>
      </c>
    </row>
    <row r="68" spans="1:18">
      <c r="A68" t="s">
        <v>3294</v>
      </c>
      <c r="B68" t="s">
        <v>39</v>
      </c>
      <c r="C68">
        <v>1</v>
      </c>
      <c r="D68" t="s">
        <v>15</v>
      </c>
      <c r="E68" t="s">
        <v>3</v>
      </c>
      <c r="F68" s="2">
        <v>45894</v>
      </c>
      <c r="G68">
        <v>9234.9699999999993</v>
      </c>
      <c r="H68" s="1">
        <f>AVERAGEIF(Table1[Customer_ID], Table1[[#This Row],[Customer_ID]], Table1[Transaction_Amount])</f>
        <v>5524.1660655737705</v>
      </c>
      <c r="I68" t="s">
        <v>922</v>
      </c>
      <c r="J68" t="s">
        <v>46</v>
      </c>
      <c r="K68" t="s">
        <v>10</v>
      </c>
      <c r="L68">
        <v>3</v>
      </c>
      <c r="M68" t="s">
        <v>56</v>
      </c>
      <c r="N68" t="s">
        <v>37</v>
      </c>
      <c r="O68" t="s">
        <v>392</v>
      </c>
      <c r="P68" s="6" t="str">
        <f>IF(Table1[[#This Row],[Transaction_Amount]]&lt;=Table1[[#This Row],[avg_transaction_amount]], "usual transaction", "unusual transaction")</f>
        <v>unusual transaction</v>
      </c>
      <c r="Q68" s="6" t="str">
        <f>IF(AND(Table1[[#This Row],[Country_of_Residence]]&lt;&gt;Table1[[#This Row],[Country_of_Transaction]], OR(Table1[[#This Row],[Authentication_Type]]="Biometric", Table1[[#This Row],[Authentication_Type]]="OTP")), "safe location transaction", "unsafe location transaction")</f>
        <v>safe location transaction</v>
      </c>
      <c r="R68" s="6" t="str">
        <f>IF(AND(Table1[[#This Row],[Country_of_Residence]]&lt;&gt;Table1[[#This Row],[Country_of_Transaction]], OR(Table1[[#This Row],[Merchant_Category]]="Electronics", Table1[[#This Row],[Merchant_Category]]="Travel")), "unsafe merchant transaction", "safe merchant transaction")</f>
        <v>safe merchant transaction</v>
      </c>
    </row>
    <row r="69" spans="1:18">
      <c r="A69" t="s">
        <v>3306</v>
      </c>
      <c r="B69" t="s">
        <v>39</v>
      </c>
      <c r="C69">
        <v>1</v>
      </c>
      <c r="D69" t="s">
        <v>9</v>
      </c>
      <c r="E69" t="s">
        <v>420</v>
      </c>
      <c r="F69" s="2">
        <v>45979</v>
      </c>
      <c r="G69">
        <v>856.58</v>
      </c>
      <c r="H69" s="1">
        <f>AVERAGEIF(Table1[Customer_ID], Table1[[#This Row],[Customer_ID]], Table1[Transaction_Amount])</f>
        <v>5524.1660655737705</v>
      </c>
      <c r="I69" t="s">
        <v>933</v>
      </c>
      <c r="J69" t="s">
        <v>50</v>
      </c>
      <c r="K69" t="s">
        <v>10</v>
      </c>
      <c r="L69">
        <v>5</v>
      </c>
      <c r="M69" t="s">
        <v>47</v>
      </c>
      <c r="N69" t="s">
        <v>51</v>
      </c>
      <c r="O69" t="s">
        <v>392</v>
      </c>
      <c r="P69" s="6" t="str">
        <f>IF(Table1[[#This Row],[Transaction_Amount]]&lt;=Table1[[#This Row],[avg_transaction_amount]], "usual transaction", "unusual transaction")</f>
        <v>usual transaction</v>
      </c>
      <c r="Q69" s="6" t="str">
        <f>IF(AND(Table1[[#This Row],[Country_of_Residence]]&lt;&gt;Table1[[#This Row],[Country_of_Transaction]], OR(Table1[[#This Row],[Authentication_Type]]="Biometric", Table1[[#This Row],[Authentication_Type]]="OTP")), "safe location transaction", "unsafe location transaction")</f>
        <v>safe location transaction</v>
      </c>
      <c r="R69" s="6" t="str">
        <f>IF(AND(Table1[[#This Row],[Country_of_Residence]]&lt;&gt;Table1[[#This Row],[Country_of_Transaction]], OR(Table1[[#This Row],[Merchant_Category]]="Electronics", Table1[[#This Row],[Merchant_Category]]="Travel")), "unsafe merchant transaction", "safe merchant transaction")</f>
        <v>unsafe merchant transaction</v>
      </c>
    </row>
    <row r="70" spans="1:18">
      <c r="A70" t="s">
        <v>3347</v>
      </c>
      <c r="B70" t="s">
        <v>39</v>
      </c>
      <c r="C70">
        <v>1</v>
      </c>
      <c r="D70" t="s">
        <v>9</v>
      </c>
      <c r="E70" t="s">
        <v>3</v>
      </c>
      <c r="F70" s="2">
        <v>45716</v>
      </c>
      <c r="G70">
        <v>8603.5</v>
      </c>
      <c r="H70" s="1">
        <f>AVERAGEIF(Table1[Customer_ID], Table1[[#This Row],[Customer_ID]], Table1[Transaction_Amount])</f>
        <v>5524.1660655737705</v>
      </c>
      <c r="I70" t="s">
        <v>971</v>
      </c>
      <c r="J70" t="s">
        <v>46</v>
      </c>
      <c r="K70" t="s">
        <v>14</v>
      </c>
      <c r="L70">
        <v>1</v>
      </c>
      <c r="M70" t="s">
        <v>42</v>
      </c>
      <c r="N70" t="s">
        <v>37</v>
      </c>
      <c r="O70" t="s">
        <v>392</v>
      </c>
      <c r="P70" s="6" t="str">
        <f>IF(Table1[[#This Row],[Transaction_Amount]]&lt;=Table1[[#This Row],[avg_transaction_amount]], "usual transaction", "unusual transaction")</f>
        <v>unusual transaction</v>
      </c>
      <c r="Q70" s="6" t="str">
        <f>IF(AND(Table1[[#This Row],[Country_of_Residence]]&lt;&gt;Table1[[#This Row],[Country_of_Transaction]], OR(Table1[[#This Row],[Authentication_Type]]="Biometric", Table1[[#This Row],[Authentication_Type]]="OTP")), "safe location transaction", "unsafe location transaction")</f>
        <v>unsafe location transaction</v>
      </c>
      <c r="R70" s="6" t="str">
        <f>IF(AND(Table1[[#This Row],[Country_of_Residence]]&lt;&gt;Table1[[#This Row],[Country_of_Transaction]], OR(Table1[[#This Row],[Merchant_Category]]="Electronics", Table1[[#This Row],[Merchant_Category]]="Travel")), "unsafe merchant transaction", "safe merchant transaction")</f>
        <v>safe merchant transaction</v>
      </c>
    </row>
    <row r="71" spans="1:18">
      <c r="A71" t="s">
        <v>3382</v>
      </c>
      <c r="B71" t="s">
        <v>39</v>
      </c>
      <c r="C71">
        <v>1</v>
      </c>
      <c r="D71" t="s">
        <v>15</v>
      </c>
      <c r="E71" t="s">
        <v>5</v>
      </c>
      <c r="F71" s="2">
        <v>45700</v>
      </c>
      <c r="G71">
        <v>1836.68</v>
      </c>
      <c r="H71" s="1">
        <f>AVERAGEIF(Table1[Customer_ID], Table1[[#This Row],[Customer_ID]], Table1[Transaction_Amount])</f>
        <v>5524.1660655737705</v>
      </c>
      <c r="I71" t="s">
        <v>1003</v>
      </c>
      <c r="J71" t="s">
        <v>41</v>
      </c>
      <c r="K71" t="s">
        <v>10</v>
      </c>
      <c r="L71">
        <v>2</v>
      </c>
      <c r="M71" t="s">
        <v>55</v>
      </c>
      <c r="N71" t="s">
        <v>32</v>
      </c>
      <c r="O71" t="s">
        <v>392</v>
      </c>
      <c r="P71" s="6" t="str">
        <f>IF(Table1[[#This Row],[Transaction_Amount]]&lt;=Table1[[#This Row],[avg_transaction_amount]], "usual transaction", "unusual transaction")</f>
        <v>usual transaction</v>
      </c>
      <c r="Q71" s="6" t="str">
        <f>IF(AND(Table1[[#This Row],[Country_of_Residence]]&lt;&gt;Table1[[#This Row],[Country_of_Transaction]], OR(Table1[[#This Row],[Authentication_Type]]="Biometric", Table1[[#This Row],[Authentication_Type]]="OTP")), "safe location transaction", "unsafe location transaction")</f>
        <v>safe location transaction</v>
      </c>
      <c r="R71" s="6" t="str">
        <f>IF(AND(Table1[[#This Row],[Country_of_Residence]]&lt;&gt;Table1[[#This Row],[Country_of_Transaction]], OR(Table1[[#This Row],[Merchant_Category]]="Electronics", Table1[[#This Row],[Merchant_Category]]="Travel")), "unsafe merchant transaction", "safe merchant transaction")</f>
        <v>safe merchant transaction</v>
      </c>
    </row>
    <row r="72" spans="1:18">
      <c r="A72" t="s">
        <v>3426</v>
      </c>
      <c r="B72" t="s">
        <v>39</v>
      </c>
      <c r="C72">
        <v>1</v>
      </c>
      <c r="D72" t="s">
        <v>9</v>
      </c>
      <c r="E72" t="s">
        <v>420</v>
      </c>
      <c r="F72" s="2">
        <v>45777</v>
      </c>
      <c r="G72">
        <v>6356.08</v>
      </c>
      <c r="H72" s="1">
        <f>AVERAGEIF(Table1[Customer_ID], Table1[[#This Row],[Customer_ID]], Table1[Transaction_Amount])</f>
        <v>5524.1660655737705</v>
      </c>
      <c r="I72" t="s">
        <v>1046</v>
      </c>
      <c r="J72" t="s">
        <v>36</v>
      </c>
      <c r="K72" t="s">
        <v>10</v>
      </c>
      <c r="L72">
        <v>2</v>
      </c>
      <c r="M72" t="s">
        <v>56</v>
      </c>
      <c r="N72" t="s">
        <v>47</v>
      </c>
      <c r="O72" t="s">
        <v>392</v>
      </c>
      <c r="P72" s="6" t="str">
        <f>IF(Table1[[#This Row],[Transaction_Amount]]&lt;=Table1[[#This Row],[avg_transaction_amount]], "usual transaction", "unusual transaction")</f>
        <v>unusual transaction</v>
      </c>
      <c r="Q72" s="6" t="str">
        <f>IF(AND(Table1[[#This Row],[Country_of_Residence]]&lt;&gt;Table1[[#This Row],[Country_of_Transaction]], OR(Table1[[#This Row],[Authentication_Type]]="Biometric", Table1[[#This Row],[Authentication_Type]]="OTP")), "safe location transaction", "unsafe location transaction")</f>
        <v>safe location transaction</v>
      </c>
      <c r="R72" s="6" t="str">
        <f>IF(AND(Table1[[#This Row],[Country_of_Residence]]&lt;&gt;Table1[[#This Row],[Country_of_Transaction]], OR(Table1[[#This Row],[Merchant_Category]]="Electronics", Table1[[#This Row],[Merchant_Category]]="Travel")), "unsafe merchant transaction", "safe merchant transaction")</f>
        <v>safe merchant transaction</v>
      </c>
    </row>
    <row r="73" spans="1:18">
      <c r="A73" t="s">
        <v>3484</v>
      </c>
      <c r="B73" t="s">
        <v>39</v>
      </c>
      <c r="C73">
        <v>1</v>
      </c>
      <c r="D73" t="s">
        <v>15</v>
      </c>
      <c r="E73" t="s">
        <v>6</v>
      </c>
      <c r="F73" s="2">
        <v>45785</v>
      </c>
      <c r="G73">
        <v>1144.8499999999999</v>
      </c>
      <c r="H73" s="1">
        <f>AVERAGEIF(Table1[Customer_ID], Table1[[#This Row],[Customer_ID]], Table1[Transaction_Amount])</f>
        <v>5524.1660655737705</v>
      </c>
      <c r="I73" t="s">
        <v>1101</v>
      </c>
      <c r="J73" t="s">
        <v>46</v>
      </c>
      <c r="K73" t="s">
        <v>10</v>
      </c>
      <c r="L73">
        <v>0</v>
      </c>
      <c r="M73" t="s">
        <v>32</v>
      </c>
      <c r="N73" t="s">
        <v>33</v>
      </c>
      <c r="O73" t="s">
        <v>393</v>
      </c>
      <c r="P73" s="6" t="str">
        <f>IF(Table1[[#This Row],[Transaction_Amount]]&lt;=Table1[[#This Row],[avg_transaction_amount]], "usual transaction", "unusual transaction")</f>
        <v>usual transaction</v>
      </c>
      <c r="Q73" s="6" t="str">
        <f>IF(AND(Table1[[#This Row],[Country_of_Residence]]&lt;&gt;Table1[[#This Row],[Country_of_Transaction]], OR(Table1[[#This Row],[Authentication_Type]]="Biometric", Table1[[#This Row],[Authentication_Type]]="OTP")), "safe location transaction", "unsafe location transaction")</f>
        <v>safe location transaction</v>
      </c>
      <c r="R73" s="6" t="str">
        <f>IF(AND(Table1[[#This Row],[Country_of_Residence]]&lt;&gt;Table1[[#This Row],[Country_of_Transaction]], OR(Table1[[#This Row],[Merchant_Category]]="Electronics", Table1[[#This Row],[Merchant_Category]]="Travel")), "unsafe merchant transaction", "safe merchant transaction")</f>
        <v>safe merchant transaction</v>
      </c>
    </row>
    <row r="74" spans="1:18">
      <c r="A74" t="s">
        <v>3486</v>
      </c>
      <c r="B74" t="s">
        <v>39</v>
      </c>
      <c r="C74">
        <v>1</v>
      </c>
      <c r="D74" t="s">
        <v>9</v>
      </c>
      <c r="E74" t="s">
        <v>3</v>
      </c>
      <c r="F74" s="2">
        <v>45919</v>
      </c>
      <c r="G74">
        <v>8258</v>
      </c>
      <c r="H74" s="1">
        <f>AVERAGEIF(Table1[Customer_ID], Table1[[#This Row],[Customer_ID]], Table1[Transaction_Amount])</f>
        <v>5524.1660655737705</v>
      </c>
      <c r="I74" t="s">
        <v>1103</v>
      </c>
      <c r="J74" t="s">
        <v>31</v>
      </c>
      <c r="K74" t="s">
        <v>12</v>
      </c>
      <c r="L74">
        <v>0</v>
      </c>
      <c r="M74" t="s">
        <v>55</v>
      </c>
      <c r="N74" t="s">
        <v>56</v>
      </c>
      <c r="O74" t="s">
        <v>393</v>
      </c>
      <c r="P74" s="6" t="str">
        <f>IF(Table1[[#This Row],[Transaction_Amount]]&lt;=Table1[[#This Row],[avg_transaction_amount]], "usual transaction", "unusual transaction")</f>
        <v>unusual transaction</v>
      </c>
      <c r="Q74" s="6" t="str">
        <f>IF(AND(Table1[[#This Row],[Country_of_Residence]]&lt;&gt;Table1[[#This Row],[Country_of_Transaction]], OR(Table1[[#This Row],[Authentication_Type]]="Biometric", Table1[[#This Row],[Authentication_Type]]="OTP")), "safe location transaction", "unsafe location transaction")</f>
        <v>unsafe location transaction</v>
      </c>
      <c r="R74" s="6" t="str">
        <f>IF(AND(Table1[[#This Row],[Country_of_Residence]]&lt;&gt;Table1[[#This Row],[Country_of_Transaction]], OR(Table1[[#This Row],[Merchant_Category]]="Electronics", Table1[[#This Row],[Merchant_Category]]="Travel")), "unsafe merchant transaction", "safe merchant transaction")</f>
        <v>safe merchant transaction</v>
      </c>
    </row>
    <row r="75" spans="1:18">
      <c r="A75" t="s">
        <v>3536</v>
      </c>
      <c r="B75" t="s">
        <v>39</v>
      </c>
      <c r="C75">
        <v>1</v>
      </c>
      <c r="D75" t="s">
        <v>9</v>
      </c>
      <c r="E75" t="s">
        <v>6</v>
      </c>
      <c r="F75" s="2">
        <v>45841</v>
      </c>
      <c r="G75">
        <v>1190.77</v>
      </c>
      <c r="H75" s="1">
        <f>AVERAGEIF(Table1[Customer_ID], Table1[[#This Row],[Customer_ID]], Table1[Transaction_Amount])</f>
        <v>5524.1660655737705</v>
      </c>
      <c r="I75" t="s">
        <v>1151</v>
      </c>
      <c r="J75" t="s">
        <v>46</v>
      </c>
      <c r="K75" t="s">
        <v>14</v>
      </c>
      <c r="L75">
        <v>2</v>
      </c>
      <c r="M75" t="s">
        <v>42</v>
      </c>
      <c r="N75" t="s">
        <v>51</v>
      </c>
      <c r="O75" t="s">
        <v>392</v>
      </c>
      <c r="P75" s="6" t="str">
        <f>IF(Table1[[#This Row],[Transaction_Amount]]&lt;=Table1[[#This Row],[avg_transaction_amount]], "usual transaction", "unusual transaction")</f>
        <v>usual transaction</v>
      </c>
      <c r="Q75" s="6" t="str">
        <f>IF(AND(Table1[[#This Row],[Country_of_Residence]]&lt;&gt;Table1[[#This Row],[Country_of_Transaction]], OR(Table1[[#This Row],[Authentication_Type]]="Biometric", Table1[[#This Row],[Authentication_Type]]="OTP")), "safe location transaction", "unsafe location transaction")</f>
        <v>unsafe location transaction</v>
      </c>
      <c r="R75" s="6" t="str">
        <f>IF(AND(Table1[[#This Row],[Country_of_Residence]]&lt;&gt;Table1[[#This Row],[Country_of_Transaction]], OR(Table1[[#This Row],[Merchant_Category]]="Electronics", Table1[[#This Row],[Merchant_Category]]="Travel")), "unsafe merchant transaction", "safe merchant transaction")</f>
        <v>safe merchant transaction</v>
      </c>
    </row>
    <row r="76" spans="1:18">
      <c r="A76" t="s">
        <v>3550</v>
      </c>
      <c r="B76" t="s">
        <v>39</v>
      </c>
      <c r="C76">
        <v>1</v>
      </c>
      <c r="D76" t="s">
        <v>9</v>
      </c>
      <c r="E76" t="s">
        <v>5</v>
      </c>
      <c r="F76" s="2">
        <v>45718</v>
      </c>
      <c r="G76">
        <v>4788.59</v>
      </c>
      <c r="H76" s="1">
        <f>AVERAGEIF(Table1[Customer_ID], Table1[[#This Row],[Customer_ID]], Table1[Transaction_Amount])</f>
        <v>5524.1660655737705</v>
      </c>
      <c r="I76" t="s">
        <v>1163</v>
      </c>
      <c r="J76" t="s">
        <v>50</v>
      </c>
      <c r="K76" t="s">
        <v>8</v>
      </c>
      <c r="L76">
        <v>1</v>
      </c>
      <c r="M76" t="s">
        <v>42</v>
      </c>
      <c r="N76" t="s">
        <v>56</v>
      </c>
      <c r="O76" t="s">
        <v>393</v>
      </c>
      <c r="P76" s="6" t="str">
        <f>IF(Table1[[#This Row],[Transaction_Amount]]&lt;=Table1[[#This Row],[avg_transaction_amount]], "usual transaction", "unusual transaction")</f>
        <v>usual transaction</v>
      </c>
      <c r="Q76" s="6" t="str">
        <f>IF(AND(Table1[[#This Row],[Country_of_Residence]]&lt;&gt;Table1[[#This Row],[Country_of_Transaction]], OR(Table1[[#This Row],[Authentication_Type]]="Biometric", Table1[[#This Row],[Authentication_Type]]="OTP")), "safe location transaction", "unsafe location transaction")</f>
        <v>safe location transaction</v>
      </c>
      <c r="R76" s="6" t="str">
        <f>IF(AND(Table1[[#This Row],[Country_of_Residence]]&lt;&gt;Table1[[#This Row],[Country_of_Transaction]], OR(Table1[[#This Row],[Merchant_Category]]="Electronics", Table1[[#This Row],[Merchant_Category]]="Travel")), "unsafe merchant transaction", "safe merchant transaction")</f>
        <v>unsafe merchant transaction</v>
      </c>
    </row>
    <row r="77" spans="1:18">
      <c r="A77" t="s">
        <v>3585</v>
      </c>
      <c r="B77" t="s">
        <v>39</v>
      </c>
      <c r="C77">
        <v>1</v>
      </c>
      <c r="D77" t="s">
        <v>9</v>
      </c>
      <c r="E77" t="s">
        <v>420</v>
      </c>
      <c r="F77" s="2">
        <v>46018</v>
      </c>
      <c r="G77">
        <v>2279.0100000000002</v>
      </c>
      <c r="H77" s="1">
        <f>AVERAGEIF(Table1[Customer_ID], Table1[[#This Row],[Customer_ID]], Table1[Transaction_Amount])</f>
        <v>5524.1660655737705</v>
      </c>
      <c r="I77" t="s">
        <v>1194</v>
      </c>
      <c r="J77" t="s">
        <v>46</v>
      </c>
      <c r="K77" t="s">
        <v>14</v>
      </c>
      <c r="L77">
        <v>0</v>
      </c>
      <c r="M77" t="s">
        <v>33</v>
      </c>
      <c r="N77" t="s">
        <v>55</v>
      </c>
      <c r="O77" t="s">
        <v>393</v>
      </c>
      <c r="P77" s="6" t="str">
        <f>IF(Table1[[#This Row],[Transaction_Amount]]&lt;=Table1[[#This Row],[avg_transaction_amount]], "usual transaction", "unusual transaction")</f>
        <v>usual transaction</v>
      </c>
      <c r="Q77" s="6" t="str">
        <f>IF(AND(Table1[[#This Row],[Country_of_Residence]]&lt;&gt;Table1[[#This Row],[Country_of_Transaction]], OR(Table1[[#This Row],[Authentication_Type]]="Biometric", Table1[[#This Row],[Authentication_Type]]="OTP")), "safe location transaction", "unsafe location transaction")</f>
        <v>unsafe location transaction</v>
      </c>
      <c r="R77" s="6" t="str">
        <f>IF(AND(Table1[[#This Row],[Country_of_Residence]]&lt;&gt;Table1[[#This Row],[Country_of_Transaction]], OR(Table1[[#This Row],[Merchant_Category]]="Electronics", Table1[[#This Row],[Merchant_Category]]="Travel")), "unsafe merchant transaction", "safe merchant transaction")</f>
        <v>safe merchant transaction</v>
      </c>
    </row>
    <row r="78" spans="1:18">
      <c r="A78" t="s">
        <v>3589</v>
      </c>
      <c r="B78" t="s">
        <v>39</v>
      </c>
      <c r="C78">
        <v>1</v>
      </c>
      <c r="D78" t="s">
        <v>15</v>
      </c>
      <c r="E78" t="s">
        <v>420</v>
      </c>
      <c r="F78" s="2">
        <v>46007</v>
      </c>
      <c r="G78">
        <v>9315.9</v>
      </c>
      <c r="H78" s="1">
        <f>AVERAGEIF(Table1[Customer_ID], Table1[[#This Row],[Customer_ID]], Table1[Transaction_Amount])</f>
        <v>5524.1660655737705</v>
      </c>
      <c r="I78" t="s">
        <v>1198</v>
      </c>
      <c r="J78" t="s">
        <v>41</v>
      </c>
      <c r="K78" t="s">
        <v>8</v>
      </c>
      <c r="L78">
        <v>0</v>
      </c>
      <c r="M78" t="s">
        <v>56</v>
      </c>
      <c r="N78" t="s">
        <v>56</v>
      </c>
      <c r="O78" t="s">
        <v>392</v>
      </c>
      <c r="P78" s="6" t="str">
        <f>IF(Table1[[#This Row],[Transaction_Amount]]&lt;=Table1[[#This Row],[avg_transaction_amount]], "usual transaction", "unusual transaction")</f>
        <v>unusual transaction</v>
      </c>
      <c r="Q78" s="6" t="str">
        <f>IF(AND(Table1[[#This Row],[Country_of_Residence]]&lt;&gt;Table1[[#This Row],[Country_of_Transaction]], OR(Table1[[#This Row],[Authentication_Type]]="Biometric", Table1[[#This Row],[Authentication_Type]]="OTP")), "safe location transaction", "unsafe location transaction")</f>
        <v>unsafe location transaction</v>
      </c>
      <c r="R78" s="6" t="str">
        <f>IF(AND(Table1[[#This Row],[Country_of_Residence]]&lt;&gt;Table1[[#This Row],[Country_of_Transaction]], OR(Table1[[#This Row],[Merchant_Category]]="Electronics", Table1[[#This Row],[Merchant_Category]]="Travel")), "unsafe merchant transaction", "safe merchant transaction")</f>
        <v>safe merchant transaction</v>
      </c>
    </row>
    <row r="79" spans="1:18">
      <c r="A79" t="s">
        <v>3632</v>
      </c>
      <c r="B79" t="s">
        <v>39</v>
      </c>
      <c r="C79">
        <v>1</v>
      </c>
      <c r="D79" t="s">
        <v>15</v>
      </c>
      <c r="E79" t="s">
        <v>3</v>
      </c>
      <c r="F79" s="2">
        <v>45797</v>
      </c>
      <c r="G79">
        <v>2338.5500000000002</v>
      </c>
      <c r="H79" s="1">
        <f>AVERAGEIF(Table1[Customer_ID], Table1[[#This Row],[Customer_ID]], Table1[Transaction_Amount])</f>
        <v>5524.1660655737705</v>
      </c>
      <c r="I79" t="s">
        <v>1237</v>
      </c>
      <c r="J79" t="s">
        <v>36</v>
      </c>
      <c r="K79" t="s">
        <v>8</v>
      </c>
      <c r="L79">
        <v>1</v>
      </c>
      <c r="M79" t="s">
        <v>37</v>
      </c>
      <c r="N79" t="s">
        <v>32</v>
      </c>
      <c r="O79" t="s">
        <v>392</v>
      </c>
      <c r="P79" s="6" t="str">
        <f>IF(Table1[[#This Row],[Transaction_Amount]]&lt;=Table1[[#This Row],[avg_transaction_amount]], "usual transaction", "unusual transaction")</f>
        <v>usual transaction</v>
      </c>
      <c r="Q79" s="6" t="str">
        <f>IF(AND(Table1[[#This Row],[Country_of_Residence]]&lt;&gt;Table1[[#This Row],[Country_of_Transaction]], OR(Table1[[#This Row],[Authentication_Type]]="Biometric", Table1[[#This Row],[Authentication_Type]]="OTP")), "safe location transaction", "unsafe location transaction")</f>
        <v>safe location transaction</v>
      </c>
      <c r="R79" s="6" t="str">
        <f>IF(AND(Table1[[#This Row],[Country_of_Residence]]&lt;&gt;Table1[[#This Row],[Country_of_Transaction]], OR(Table1[[#This Row],[Merchant_Category]]="Electronics", Table1[[#This Row],[Merchant_Category]]="Travel")), "unsafe merchant transaction", "safe merchant transaction")</f>
        <v>safe merchant transaction</v>
      </c>
    </row>
    <row r="80" spans="1:18">
      <c r="A80" t="s">
        <v>3723</v>
      </c>
      <c r="B80" t="s">
        <v>39</v>
      </c>
      <c r="C80">
        <v>1</v>
      </c>
      <c r="D80" t="s">
        <v>15</v>
      </c>
      <c r="E80" t="s">
        <v>5</v>
      </c>
      <c r="F80" s="2">
        <v>45772</v>
      </c>
      <c r="G80">
        <v>134.94999999999999</v>
      </c>
      <c r="H80" s="1">
        <f>AVERAGEIF(Table1[Customer_ID], Table1[[#This Row],[Customer_ID]], Table1[Transaction_Amount])</f>
        <v>5524.1660655737705</v>
      </c>
      <c r="I80" t="s">
        <v>1319</v>
      </c>
      <c r="J80" t="s">
        <v>41</v>
      </c>
      <c r="K80" t="s">
        <v>8</v>
      </c>
      <c r="L80">
        <v>5</v>
      </c>
      <c r="M80" t="s">
        <v>55</v>
      </c>
      <c r="N80" t="s">
        <v>51</v>
      </c>
      <c r="O80" t="s">
        <v>392</v>
      </c>
      <c r="P80" s="6" t="str">
        <f>IF(Table1[[#This Row],[Transaction_Amount]]&lt;=Table1[[#This Row],[avg_transaction_amount]], "usual transaction", "unusual transaction")</f>
        <v>usual transaction</v>
      </c>
      <c r="Q80" s="6" t="str">
        <f>IF(AND(Table1[[#This Row],[Country_of_Residence]]&lt;&gt;Table1[[#This Row],[Country_of_Transaction]], OR(Table1[[#This Row],[Authentication_Type]]="Biometric", Table1[[#This Row],[Authentication_Type]]="OTP")), "safe location transaction", "unsafe location transaction")</f>
        <v>safe location transaction</v>
      </c>
      <c r="R80" s="6" t="str">
        <f>IF(AND(Table1[[#This Row],[Country_of_Residence]]&lt;&gt;Table1[[#This Row],[Country_of_Transaction]], OR(Table1[[#This Row],[Merchant_Category]]="Electronics", Table1[[#This Row],[Merchant_Category]]="Travel")), "unsafe merchant transaction", "safe merchant transaction")</f>
        <v>safe merchant transaction</v>
      </c>
    </row>
    <row r="81" spans="1:18">
      <c r="A81" t="s">
        <v>3788</v>
      </c>
      <c r="B81" t="s">
        <v>39</v>
      </c>
      <c r="C81">
        <v>1</v>
      </c>
      <c r="D81" t="s">
        <v>15</v>
      </c>
      <c r="E81" t="s">
        <v>5</v>
      </c>
      <c r="F81" s="2">
        <v>45943</v>
      </c>
      <c r="G81">
        <v>8719.81</v>
      </c>
      <c r="H81" s="1">
        <f>AVERAGEIF(Table1[Customer_ID], Table1[[#This Row],[Customer_ID]], Table1[Transaction_Amount])</f>
        <v>5524.1660655737705</v>
      </c>
      <c r="I81" t="s">
        <v>1375</v>
      </c>
      <c r="J81" t="s">
        <v>41</v>
      </c>
      <c r="K81" t="s">
        <v>14</v>
      </c>
      <c r="L81">
        <v>0</v>
      </c>
      <c r="M81" t="s">
        <v>32</v>
      </c>
      <c r="N81" t="s">
        <v>32</v>
      </c>
      <c r="O81" t="s">
        <v>393</v>
      </c>
      <c r="P81" s="6" t="str">
        <f>IF(Table1[[#This Row],[Transaction_Amount]]&lt;=Table1[[#This Row],[avg_transaction_amount]], "usual transaction", "unusual transaction")</f>
        <v>unusual transaction</v>
      </c>
      <c r="Q81" s="6" t="str">
        <f>IF(AND(Table1[[#This Row],[Country_of_Residence]]&lt;&gt;Table1[[#This Row],[Country_of_Transaction]], OR(Table1[[#This Row],[Authentication_Type]]="Biometric", Table1[[#This Row],[Authentication_Type]]="OTP")), "safe location transaction", "unsafe location transaction")</f>
        <v>unsafe location transaction</v>
      </c>
      <c r="R81" s="6" t="str">
        <f>IF(AND(Table1[[#This Row],[Country_of_Residence]]&lt;&gt;Table1[[#This Row],[Country_of_Transaction]], OR(Table1[[#This Row],[Merchant_Category]]="Electronics", Table1[[#This Row],[Merchant_Category]]="Travel")), "unsafe merchant transaction", "safe merchant transaction")</f>
        <v>safe merchant transaction</v>
      </c>
    </row>
    <row r="82" spans="1:18">
      <c r="A82" t="s">
        <v>3804</v>
      </c>
      <c r="B82" t="s">
        <v>39</v>
      </c>
      <c r="C82">
        <v>1</v>
      </c>
      <c r="D82" t="s">
        <v>15</v>
      </c>
      <c r="E82" t="s">
        <v>5</v>
      </c>
      <c r="F82" s="2">
        <v>45787</v>
      </c>
      <c r="G82">
        <v>6237.53</v>
      </c>
      <c r="H82" s="1">
        <f>AVERAGEIF(Table1[Customer_ID], Table1[[#This Row],[Customer_ID]], Table1[Transaction_Amount])</f>
        <v>5524.1660655737705</v>
      </c>
      <c r="I82" t="s">
        <v>257</v>
      </c>
      <c r="J82" t="s">
        <v>50</v>
      </c>
      <c r="K82" t="s">
        <v>10</v>
      </c>
      <c r="L82">
        <v>3</v>
      </c>
      <c r="M82" t="s">
        <v>51</v>
      </c>
      <c r="N82" t="s">
        <v>42</v>
      </c>
      <c r="O82" t="s">
        <v>392</v>
      </c>
      <c r="P82" s="6" t="str">
        <f>IF(Table1[[#This Row],[Transaction_Amount]]&lt;=Table1[[#This Row],[avg_transaction_amount]], "usual transaction", "unusual transaction")</f>
        <v>unusual transaction</v>
      </c>
      <c r="Q82" s="6" t="str">
        <f>IF(AND(Table1[[#This Row],[Country_of_Residence]]&lt;&gt;Table1[[#This Row],[Country_of_Transaction]], OR(Table1[[#This Row],[Authentication_Type]]="Biometric", Table1[[#This Row],[Authentication_Type]]="OTP")), "safe location transaction", "unsafe location transaction")</f>
        <v>safe location transaction</v>
      </c>
      <c r="R82" s="6" t="str">
        <f>IF(AND(Table1[[#This Row],[Country_of_Residence]]&lt;&gt;Table1[[#This Row],[Country_of_Transaction]], OR(Table1[[#This Row],[Merchant_Category]]="Electronics", Table1[[#This Row],[Merchant_Category]]="Travel")), "unsafe merchant transaction", "safe merchant transaction")</f>
        <v>unsafe merchant transaction</v>
      </c>
    </row>
    <row r="83" spans="1:18">
      <c r="A83" t="s">
        <v>3830</v>
      </c>
      <c r="B83" t="s">
        <v>39</v>
      </c>
      <c r="C83">
        <v>1</v>
      </c>
      <c r="D83" t="s">
        <v>9</v>
      </c>
      <c r="E83" t="s">
        <v>5</v>
      </c>
      <c r="F83" s="2">
        <v>45730</v>
      </c>
      <c r="G83">
        <v>1282.95</v>
      </c>
      <c r="H83" s="1">
        <f>AVERAGEIF(Table1[Customer_ID], Table1[[#This Row],[Customer_ID]], Table1[Transaction_Amount])</f>
        <v>5524.1660655737705</v>
      </c>
      <c r="I83" t="s">
        <v>1409</v>
      </c>
      <c r="J83" t="s">
        <v>41</v>
      </c>
      <c r="K83" t="s">
        <v>10</v>
      </c>
      <c r="L83">
        <v>5</v>
      </c>
      <c r="M83" t="s">
        <v>56</v>
      </c>
      <c r="N83" t="s">
        <v>51</v>
      </c>
      <c r="O83" t="s">
        <v>393</v>
      </c>
      <c r="P83" s="6" t="str">
        <f>IF(Table1[[#This Row],[Transaction_Amount]]&lt;=Table1[[#This Row],[avg_transaction_amount]], "usual transaction", "unusual transaction")</f>
        <v>usual transaction</v>
      </c>
      <c r="Q83" s="6" t="str">
        <f>IF(AND(Table1[[#This Row],[Country_of_Residence]]&lt;&gt;Table1[[#This Row],[Country_of_Transaction]], OR(Table1[[#This Row],[Authentication_Type]]="Biometric", Table1[[#This Row],[Authentication_Type]]="OTP")), "safe location transaction", "unsafe location transaction")</f>
        <v>safe location transaction</v>
      </c>
      <c r="R83" s="6" t="str">
        <f>IF(AND(Table1[[#This Row],[Country_of_Residence]]&lt;&gt;Table1[[#This Row],[Country_of_Transaction]], OR(Table1[[#This Row],[Merchant_Category]]="Electronics", Table1[[#This Row],[Merchant_Category]]="Travel")), "unsafe merchant transaction", "safe merchant transaction")</f>
        <v>safe merchant transaction</v>
      </c>
    </row>
    <row r="84" spans="1:18">
      <c r="A84" t="s">
        <v>3846</v>
      </c>
      <c r="B84" t="s">
        <v>39</v>
      </c>
      <c r="C84">
        <v>1</v>
      </c>
      <c r="D84" t="s">
        <v>9</v>
      </c>
      <c r="E84" t="s">
        <v>420</v>
      </c>
      <c r="F84" s="2">
        <v>45747</v>
      </c>
      <c r="G84">
        <v>419.75</v>
      </c>
      <c r="H84" s="1">
        <f>AVERAGEIF(Table1[Customer_ID], Table1[[#This Row],[Customer_ID]], Table1[Transaction_Amount])</f>
        <v>5524.1660655737705</v>
      </c>
      <c r="I84" t="s">
        <v>634</v>
      </c>
      <c r="J84" t="s">
        <v>31</v>
      </c>
      <c r="K84" t="s">
        <v>14</v>
      </c>
      <c r="L84">
        <v>5</v>
      </c>
      <c r="M84" t="s">
        <v>37</v>
      </c>
      <c r="N84" t="s">
        <v>47</v>
      </c>
      <c r="O84" t="s">
        <v>392</v>
      </c>
      <c r="P84" s="6" t="str">
        <f>IF(Table1[[#This Row],[Transaction_Amount]]&lt;=Table1[[#This Row],[avg_transaction_amount]], "usual transaction", "unusual transaction")</f>
        <v>usual transaction</v>
      </c>
      <c r="Q84" s="6" t="str">
        <f>IF(AND(Table1[[#This Row],[Country_of_Residence]]&lt;&gt;Table1[[#This Row],[Country_of_Transaction]], OR(Table1[[#This Row],[Authentication_Type]]="Biometric", Table1[[#This Row],[Authentication_Type]]="OTP")), "safe location transaction", "unsafe location transaction")</f>
        <v>unsafe location transaction</v>
      </c>
      <c r="R84" s="6" t="str">
        <f>IF(AND(Table1[[#This Row],[Country_of_Residence]]&lt;&gt;Table1[[#This Row],[Country_of_Transaction]], OR(Table1[[#This Row],[Merchant_Category]]="Electronics", Table1[[#This Row],[Merchant_Category]]="Travel")), "unsafe merchant transaction", "safe merchant transaction")</f>
        <v>safe merchant transaction</v>
      </c>
    </row>
    <row r="85" spans="1:18">
      <c r="A85" t="s">
        <v>3925</v>
      </c>
      <c r="B85" t="s">
        <v>39</v>
      </c>
      <c r="C85">
        <v>1</v>
      </c>
      <c r="D85" t="s">
        <v>9</v>
      </c>
      <c r="E85" t="s">
        <v>3</v>
      </c>
      <c r="F85" s="2">
        <v>45912</v>
      </c>
      <c r="G85">
        <v>5042.43</v>
      </c>
      <c r="H85" s="1">
        <f>AVERAGEIF(Table1[Customer_ID], Table1[[#This Row],[Customer_ID]], Table1[Transaction_Amount])</f>
        <v>5524.1660655737705</v>
      </c>
      <c r="I85" t="s">
        <v>1489</v>
      </c>
      <c r="J85" t="s">
        <v>41</v>
      </c>
      <c r="K85" t="s">
        <v>14</v>
      </c>
      <c r="L85">
        <v>0</v>
      </c>
      <c r="M85" t="s">
        <v>55</v>
      </c>
      <c r="N85" t="s">
        <v>56</v>
      </c>
      <c r="O85" t="s">
        <v>393</v>
      </c>
      <c r="P85" s="6" t="str">
        <f>IF(Table1[[#This Row],[Transaction_Amount]]&lt;=Table1[[#This Row],[avg_transaction_amount]], "usual transaction", "unusual transaction")</f>
        <v>usual transaction</v>
      </c>
      <c r="Q85" s="6" t="str">
        <f>IF(AND(Table1[[#This Row],[Country_of_Residence]]&lt;&gt;Table1[[#This Row],[Country_of_Transaction]], OR(Table1[[#This Row],[Authentication_Type]]="Biometric", Table1[[#This Row],[Authentication_Type]]="OTP")), "safe location transaction", "unsafe location transaction")</f>
        <v>unsafe location transaction</v>
      </c>
      <c r="R85" s="6" t="str">
        <f>IF(AND(Table1[[#This Row],[Country_of_Residence]]&lt;&gt;Table1[[#This Row],[Country_of_Transaction]], OR(Table1[[#This Row],[Merchant_Category]]="Electronics", Table1[[#This Row],[Merchant_Category]]="Travel")), "unsafe merchant transaction", "safe merchant transaction")</f>
        <v>safe merchant transaction</v>
      </c>
    </row>
    <row r="86" spans="1:18">
      <c r="A86" t="s">
        <v>4037</v>
      </c>
      <c r="B86" t="s">
        <v>39</v>
      </c>
      <c r="C86">
        <v>1</v>
      </c>
      <c r="D86" t="s">
        <v>15</v>
      </c>
      <c r="E86" t="s">
        <v>3</v>
      </c>
      <c r="F86" s="2">
        <v>45803</v>
      </c>
      <c r="G86">
        <v>9600.01</v>
      </c>
      <c r="H86" s="1">
        <f>AVERAGEIF(Table1[Customer_ID], Table1[[#This Row],[Customer_ID]], Table1[Transaction_Amount])</f>
        <v>5524.1660655737705</v>
      </c>
      <c r="I86" t="s">
        <v>1592</v>
      </c>
      <c r="J86" t="s">
        <v>50</v>
      </c>
      <c r="K86" t="s">
        <v>12</v>
      </c>
      <c r="L86">
        <v>3</v>
      </c>
      <c r="M86" t="s">
        <v>56</v>
      </c>
      <c r="N86" t="s">
        <v>33</v>
      </c>
      <c r="O86" t="s">
        <v>392</v>
      </c>
      <c r="P86" s="6" t="str">
        <f>IF(Table1[[#This Row],[Transaction_Amount]]&lt;=Table1[[#This Row],[avg_transaction_amount]], "usual transaction", "unusual transaction")</f>
        <v>unusual transaction</v>
      </c>
      <c r="Q86" s="6" t="str">
        <f>IF(AND(Table1[[#This Row],[Country_of_Residence]]&lt;&gt;Table1[[#This Row],[Country_of_Transaction]], OR(Table1[[#This Row],[Authentication_Type]]="Biometric", Table1[[#This Row],[Authentication_Type]]="OTP")), "safe location transaction", "unsafe location transaction")</f>
        <v>unsafe location transaction</v>
      </c>
      <c r="R86" s="6" t="str">
        <f>IF(AND(Table1[[#This Row],[Country_of_Residence]]&lt;&gt;Table1[[#This Row],[Country_of_Transaction]], OR(Table1[[#This Row],[Merchant_Category]]="Electronics", Table1[[#This Row],[Merchant_Category]]="Travel")), "unsafe merchant transaction", "safe merchant transaction")</f>
        <v>unsafe merchant transaction</v>
      </c>
    </row>
    <row r="87" spans="1:18">
      <c r="A87" t="s">
        <v>4066</v>
      </c>
      <c r="B87" t="s">
        <v>39</v>
      </c>
      <c r="C87">
        <v>1</v>
      </c>
      <c r="D87" t="s">
        <v>9</v>
      </c>
      <c r="E87" t="s">
        <v>5</v>
      </c>
      <c r="F87" s="2">
        <v>45852</v>
      </c>
      <c r="G87">
        <v>8407.91</v>
      </c>
      <c r="H87" s="1">
        <f>AVERAGEIF(Table1[Customer_ID], Table1[[#This Row],[Customer_ID]], Table1[Transaction_Amount])</f>
        <v>5524.1660655737705</v>
      </c>
      <c r="I87" t="s">
        <v>1615</v>
      </c>
      <c r="J87" t="s">
        <v>46</v>
      </c>
      <c r="K87" t="s">
        <v>14</v>
      </c>
      <c r="L87">
        <v>1</v>
      </c>
      <c r="M87" t="s">
        <v>47</v>
      </c>
      <c r="N87" t="s">
        <v>412</v>
      </c>
      <c r="O87" t="s">
        <v>392</v>
      </c>
      <c r="P87" s="6" t="str">
        <f>IF(Table1[[#This Row],[Transaction_Amount]]&lt;=Table1[[#This Row],[avg_transaction_amount]], "usual transaction", "unusual transaction")</f>
        <v>unusual transaction</v>
      </c>
      <c r="Q87" s="6" t="str">
        <f>IF(AND(Table1[[#This Row],[Country_of_Residence]]&lt;&gt;Table1[[#This Row],[Country_of_Transaction]], OR(Table1[[#This Row],[Authentication_Type]]="Biometric", Table1[[#This Row],[Authentication_Type]]="OTP")), "safe location transaction", "unsafe location transaction")</f>
        <v>unsafe location transaction</v>
      </c>
      <c r="R87" s="6" t="str">
        <f>IF(AND(Table1[[#This Row],[Country_of_Residence]]&lt;&gt;Table1[[#This Row],[Country_of_Transaction]], OR(Table1[[#This Row],[Merchant_Category]]="Electronics", Table1[[#This Row],[Merchant_Category]]="Travel")), "unsafe merchant transaction", "safe merchant transaction")</f>
        <v>safe merchant transaction</v>
      </c>
    </row>
    <row r="88" spans="1:18">
      <c r="A88" t="s">
        <v>4068</v>
      </c>
      <c r="B88" t="s">
        <v>39</v>
      </c>
      <c r="C88">
        <v>1</v>
      </c>
      <c r="D88" t="s">
        <v>15</v>
      </c>
      <c r="E88" t="s">
        <v>3</v>
      </c>
      <c r="F88" s="2">
        <v>45730</v>
      </c>
      <c r="G88">
        <v>2630.6</v>
      </c>
      <c r="H88" s="1">
        <f>AVERAGEIF(Table1[Customer_ID], Table1[[#This Row],[Customer_ID]], Table1[Transaction_Amount])</f>
        <v>5524.1660655737705</v>
      </c>
      <c r="I88" t="s">
        <v>1616</v>
      </c>
      <c r="J88" t="s">
        <v>36</v>
      </c>
      <c r="K88" t="s">
        <v>10</v>
      </c>
      <c r="L88">
        <v>2</v>
      </c>
      <c r="M88" t="s">
        <v>42</v>
      </c>
      <c r="N88" t="s">
        <v>47</v>
      </c>
      <c r="O88" t="s">
        <v>392</v>
      </c>
      <c r="P88" s="6" t="str">
        <f>IF(Table1[[#This Row],[Transaction_Amount]]&lt;=Table1[[#This Row],[avg_transaction_amount]], "usual transaction", "unusual transaction")</f>
        <v>usual transaction</v>
      </c>
      <c r="Q88" s="6" t="str">
        <f>IF(AND(Table1[[#This Row],[Country_of_Residence]]&lt;&gt;Table1[[#This Row],[Country_of_Transaction]], OR(Table1[[#This Row],[Authentication_Type]]="Biometric", Table1[[#This Row],[Authentication_Type]]="OTP")), "safe location transaction", "unsafe location transaction")</f>
        <v>safe location transaction</v>
      </c>
      <c r="R88" s="6" t="str">
        <f>IF(AND(Table1[[#This Row],[Country_of_Residence]]&lt;&gt;Table1[[#This Row],[Country_of_Transaction]], OR(Table1[[#This Row],[Merchant_Category]]="Electronics", Table1[[#This Row],[Merchant_Category]]="Travel")), "unsafe merchant transaction", "safe merchant transaction")</f>
        <v>safe merchant transaction</v>
      </c>
    </row>
    <row r="89" spans="1:18">
      <c r="A89" t="s">
        <v>4128</v>
      </c>
      <c r="B89" t="s">
        <v>39</v>
      </c>
      <c r="C89">
        <v>1</v>
      </c>
      <c r="D89" t="s">
        <v>15</v>
      </c>
      <c r="E89" t="s">
        <v>6</v>
      </c>
      <c r="F89" s="2">
        <v>45922</v>
      </c>
      <c r="G89">
        <v>3949.38</v>
      </c>
      <c r="H89" s="1">
        <f>AVERAGEIF(Table1[Customer_ID], Table1[[#This Row],[Customer_ID]], Table1[Transaction_Amount])</f>
        <v>5524.1660655737705</v>
      </c>
      <c r="I89" t="s">
        <v>1660</v>
      </c>
      <c r="J89" t="s">
        <v>41</v>
      </c>
      <c r="K89" t="s">
        <v>12</v>
      </c>
      <c r="L89">
        <v>1</v>
      </c>
      <c r="M89" t="s">
        <v>42</v>
      </c>
      <c r="N89" t="s">
        <v>32</v>
      </c>
      <c r="O89" t="s">
        <v>392</v>
      </c>
      <c r="P89" s="6" t="str">
        <f>IF(Table1[[#This Row],[Transaction_Amount]]&lt;=Table1[[#This Row],[avg_transaction_amount]], "usual transaction", "unusual transaction")</f>
        <v>usual transaction</v>
      </c>
      <c r="Q89" s="6" t="str">
        <f>IF(AND(Table1[[#This Row],[Country_of_Residence]]&lt;&gt;Table1[[#This Row],[Country_of_Transaction]], OR(Table1[[#This Row],[Authentication_Type]]="Biometric", Table1[[#This Row],[Authentication_Type]]="OTP")), "safe location transaction", "unsafe location transaction")</f>
        <v>unsafe location transaction</v>
      </c>
      <c r="R89" s="6" t="str">
        <f>IF(AND(Table1[[#This Row],[Country_of_Residence]]&lt;&gt;Table1[[#This Row],[Country_of_Transaction]], OR(Table1[[#This Row],[Merchant_Category]]="Electronics", Table1[[#This Row],[Merchant_Category]]="Travel")), "unsafe merchant transaction", "safe merchant transaction")</f>
        <v>safe merchant transaction</v>
      </c>
    </row>
    <row r="90" spans="1:18">
      <c r="A90" t="s">
        <v>4130</v>
      </c>
      <c r="B90" t="s">
        <v>39</v>
      </c>
      <c r="C90">
        <v>1</v>
      </c>
      <c r="D90" t="s">
        <v>9</v>
      </c>
      <c r="E90" t="s">
        <v>420</v>
      </c>
      <c r="F90" s="2">
        <v>45720</v>
      </c>
      <c r="G90">
        <v>5103.84</v>
      </c>
      <c r="H90" s="1">
        <f>AVERAGEIF(Table1[Customer_ID], Table1[[#This Row],[Customer_ID]], Table1[Transaction_Amount])</f>
        <v>5524.1660655737705</v>
      </c>
      <c r="I90" t="s">
        <v>1662</v>
      </c>
      <c r="J90" t="s">
        <v>31</v>
      </c>
      <c r="K90" t="s">
        <v>14</v>
      </c>
      <c r="L90">
        <v>1</v>
      </c>
      <c r="M90" t="s">
        <v>51</v>
      </c>
      <c r="N90" t="s">
        <v>56</v>
      </c>
      <c r="O90" t="s">
        <v>392</v>
      </c>
      <c r="P90" s="6" t="str">
        <f>IF(Table1[[#This Row],[Transaction_Amount]]&lt;=Table1[[#This Row],[avg_transaction_amount]], "usual transaction", "unusual transaction")</f>
        <v>usual transaction</v>
      </c>
      <c r="Q90" s="6" t="str">
        <f>IF(AND(Table1[[#This Row],[Country_of_Residence]]&lt;&gt;Table1[[#This Row],[Country_of_Transaction]], OR(Table1[[#This Row],[Authentication_Type]]="Biometric", Table1[[#This Row],[Authentication_Type]]="OTP")), "safe location transaction", "unsafe location transaction")</f>
        <v>unsafe location transaction</v>
      </c>
      <c r="R90" s="6" t="str">
        <f>IF(AND(Table1[[#This Row],[Country_of_Residence]]&lt;&gt;Table1[[#This Row],[Country_of_Transaction]], OR(Table1[[#This Row],[Merchant_Category]]="Electronics", Table1[[#This Row],[Merchant_Category]]="Travel")), "unsafe merchant transaction", "safe merchant transaction")</f>
        <v>safe merchant transaction</v>
      </c>
    </row>
    <row r="91" spans="1:18">
      <c r="A91" t="s">
        <v>4196</v>
      </c>
      <c r="B91" t="s">
        <v>39</v>
      </c>
      <c r="C91">
        <v>1</v>
      </c>
      <c r="D91" t="s">
        <v>9</v>
      </c>
      <c r="E91" t="s">
        <v>5</v>
      </c>
      <c r="F91" s="2">
        <v>45918</v>
      </c>
      <c r="G91">
        <v>5378.09</v>
      </c>
      <c r="H91" s="1">
        <f>AVERAGEIF(Table1[Customer_ID], Table1[[#This Row],[Customer_ID]], Table1[Transaction_Amount])</f>
        <v>5524.1660655737705</v>
      </c>
      <c r="I91" t="s">
        <v>1716</v>
      </c>
      <c r="J91" t="s">
        <v>46</v>
      </c>
      <c r="K91" t="s">
        <v>8</v>
      </c>
      <c r="L91">
        <v>4</v>
      </c>
      <c r="M91" t="s">
        <v>42</v>
      </c>
      <c r="N91" t="s">
        <v>51</v>
      </c>
      <c r="O91" t="s">
        <v>393</v>
      </c>
      <c r="P91" s="6" t="str">
        <f>IF(Table1[[#This Row],[Transaction_Amount]]&lt;=Table1[[#This Row],[avg_transaction_amount]], "usual transaction", "unusual transaction")</f>
        <v>usual transaction</v>
      </c>
      <c r="Q91" s="6" t="str">
        <f>IF(AND(Table1[[#This Row],[Country_of_Residence]]&lt;&gt;Table1[[#This Row],[Country_of_Transaction]], OR(Table1[[#This Row],[Authentication_Type]]="Biometric", Table1[[#This Row],[Authentication_Type]]="OTP")), "safe location transaction", "unsafe location transaction")</f>
        <v>safe location transaction</v>
      </c>
      <c r="R91" s="6" t="str">
        <f>IF(AND(Table1[[#This Row],[Country_of_Residence]]&lt;&gt;Table1[[#This Row],[Country_of_Transaction]], OR(Table1[[#This Row],[Merchant_Category]]="Electronics", Table1[[#This Row],[Merchant_Category]]="Travel")), "unsafe merchant transaction", "safe merchant transaction")</f>
        <v>safe merchant transaction</v>
      </c>
    </row>
    <row r="92" spans="1:18">
      <c r="A92" t="s">
        <v>4234</v>
      </c>
      <c r="B92" t="s">
        <v>39</v>
      </c>
      <c r="C92">
        <v>1</v>
      </c>
      <c r="D92" t="s">
        <v>15</v>
      </c>
      <c r="E92" t="s">
        <v>6</v>
      </c>
      <c r="F92" s="2">
        <v>45772</v>
      </c>
      <c r="G92">
        <v>5281.95</v>
      </c>
      <c r="H92" s="1">
        <f>AVERAGEIF(Table1[Customer_ID], Table1[[#This Row],[Customer_ID]], Table1[Transaction_Amount])</f>
        <v>5524.1660655737705</v>
      </c>
      <c r="I92" t="s">
        <v>1752</v>
      </c>
      <c r="J92" t="s">
        <v>41</v>
      </c>
      <c r="K92" t="s">
        <v>8</v>
      </c>
      <c r="L92">
        <v>1</v>
      </c>
      <c r="M92" t="s">
        <v>47</v>
      </c>
      <c r="N92" t="s">
        <v>55</v>
      </c>
      <c r="O92" t="s">
        <v>393</v>
      </c>
      <c r="P92" s="6" t="str">
        <f>IF(Table1[[#This Row],[Transaction_Amount]]&lt;=Table1[[#This Row],[avg_transaction_amount]], "usual transaction", "unusual transaction")</f>
        <v>usual transaction</v>
      </c>
      <c r="Q92" s="6" t="str">
        <f>IF(AND(Table1[[#This Row],[Country_of_Residence]]&lt;&gt;Table1[[#This Row],[Country_of_Transaction]], OR(Table1[[#This Row],[Authentication_Type]]="Biometric", Table1[[#This Row],[Authentication_Type]]="OTP")), "safe location transaction", "unsafe location transaction")</f>
        <v>safe location transaction</v>
      </c>
      <c r="R92" s="6" t="str">
        <f>IF(AND(Table1[[#This Row],[Country_of_Residence]]&lt;&gt;Table1[[#This Row],[Country_of_Transaction]], OR(Table1[[#This Row],[Merchant_Category]]="Electronics", Table1[[#This Row],[Merchant_Category]]="Travel")), "unsafe merchant transaction", "safe merchant transaction")</f>
        <v>safe merchant transaction</v>
      </c>
    </row>
    <row r="93" spans="1:18">
      <c r="A93" t="s">
        <v>4329</v>
      </c>
      <c r="B93" t="s">
        <v>39</v>
      </c>
      <c r="C93">
        <v>1</v>
      </c>
      <c r="D93" t="s">
        <v>15</v>
      </c>
      <c r="E93" t="s">
        <v>420</v>
      </c>
      <c r="F93" s="2">
        <v>45911</v>
      </c>
      <c r="G93">
        <v>5774.68</v>
      </c>
      <c r="H93" s="1">
        <f>AVERAGEIF(Table1[Customer_ID], Table1[[#This Row],[Customer_ID]], Table1[Transaction_Amount])</f>
        <v>5524.1660655737705</v>
      </c>
      <c r="I93" t="s">
        <v>1836</v>
      </c>
      <c r="J93" t="s">
        <v>41</v>
      </c>
      <c r="K93" t="s">
        <v>10</v>
      </c>
      <c r="L93">
        <v>4</v>
      </c>
      <c r="M93" t="s">
        <v>42</v>
      </c>
      <c r="N93" t="s">
        <v>42</v>
      </c>
      <c r="O93" t="s">
        <v>393</v>
      </c>
      <c r="P93" s="6" t="str">
        <f>IF(Table1[[#This Row],[Transaction_Amount]]&lt;=Table1[[#This Row],[avg_transaction_amount]], "usual transaction", "unusual transaction")</f>
        <v>unusual transaction</v>
      </c>
      <c r="Q93" s="6" t="str">
        <f>IF(AND(Table1[[#This Row],[Country_of_Residence]]&lt;&gt;Table1[[#This Row],[Country_of_Transaction]], OR(Table1[[#This Row],[Authentication_Type]]="Biometric", Table1[[#This Row],[Authentication_Type]]="OTP")), "safe location transaction", "unsafe location transaction")</f>
        <v>unsafe location transaction</v>
      </c>
      <c r="R93" s="6" t="str">
        <f>IF(AND(Table1[[#This Row],[Country_of_Residence]]&lt;&gt;Table1[[#This Row],[Country_of_Transaction]], OR(Table1[[#This Row],[Merchant_Category]]="Electronics", Table1[[#This Row],[Merchant_Category]]="Travel")), "unsafe merchant transaction", "safe merchant transaction")</f>
        <v>safe merchant transaction</v>
      </c>
    </row>
    <row r="94" spans="1:18">
      <c r="A94" t="s">
        <v>4337</v>
      </c>
      <c r="B94" t="s">
        <v>39</v>
      </c>
      <c r="C94">
        <v>1</v>
      </c>
      <c r="D94" t="s">
        <v>9</v>
      </c>
      <c r="E94" t="s">
        <v>6</v>
      </c>
      <c r="F94" s="2">
        <v>45857</v>
      </c>
      <c r="G94">
        <v>5894.45</v>
      </c>
      <c r="H94" s="1">
        <f>AVERAGEIF(Table1[Customer_ID], Table1[[#This Row],[Customer_ID]], Table1[Transaction_Amount])</f>
        <v>5524.1660655737705</v>
      </c>
      <c r="I94" t="s">
        <v>1843</v>
      </c>
      <c r="J94" t="s">
        <v>46</v>
      </c>
      <c r="K94" t="s">
        <v>12</v>
      </c>
      <c r="L94">
        <v>1</v>
      </c>
      <c r="M94" t="s">
        <v>51</v>
      </c>
      <c r="N94" t="s">
        <v>32</v>
      </c>
      <c r="O94" t="s">
        <v>393</v>
      </c>
      <c r="P94" s="6" t="str">
        <f>IF(Table1[[#This Row],[Transaction_Amount]]&lt;=Table1[[#This Row],[avg_transaction_amount]], "usual transaction", "unusual transaction")</f>
        <v>unusual transaction</v>
      </c>
      <c r="Q94" s="6" t="str">
        <f>IF(AND(Table1[[#This Row],[Country_of_Residence]]&lt;&gt;Table1[[#This Row],[Country_of_Transaction]], OR(Table1[[#This Row],[Authentication_Type]]="Biometric", Table1[[#This Row],[Authentication_Type]]="OTP")), "safe location transaction", "unsafe location transaction")</f>
        <v>unsafe location transaction</v>
      </c>
      <c r="R94" s="6" t="str">
        <f>IF(AND(Table1[[#This Row],[Country_of_Residence]]&lt;&gt;Table1[[#This Row],[Country_of_Transaction]], OR(Table1[[#This Row],[Merchant_Category]]="Electronics", Table1[[#This Row],[Merchant_Category]]="Travel")), "unsafe merchant transaction", "safe merchant transaction")</f>
        <v>safe merchant transaction</v>
      </c>
    </row>
    <row r="95" spans="1:18">
      <c r="A95" t="s">
        <v>4390</v>
      </c>
      <c r="B95" t="s">
        <v>39</v>
      </c>
      <c r="C95">
        <v>1</v>
      </c>
      <c r="D95" t="s">
        <v>9</v>
      </c>
      <c r="E95" t="s">
        <v>3</v>
      </c>
      <c r="F95" s="2">
        <v>45881</v>
      </c>
      <c r="G95">
        <v>3919.89</v>
      </c>
      <c r="H95" s="1">
        <f>AVERAGEIF(Table1[Customer_ID], Table1[[#This Row],[Customer_ID]], Table1[Transaction_Amount])</f>
        <v>5524.1660655737705</v>
      </c>
      <c r="I95" t="s">
        <v>1890</v>
      </c>
      <c r="J95" t="s">
        <v>46</v>
      </c>
      <c r="K95" t="s">
        <v>14</v>
      </c>
      <c r="L95">
        <v>5</v>
      </c>
      <c r="M95" t="s">
        <v>42</v>
      </c>
      <c r="N95" t="s">
        <v>32</v>
      </c>
      <c r="O95" t="s">
        <v>393</v>
      </c>
      <c r="P95" s="6" t="str">
        <f>IF(Table1[[#This Row],[Transaction_Amount]]&lt;=Table1[[#This Row],[avg_transaction_amount]], "usual transaction", "unusual transaction")</f>
        <v>usual transaction</v>
      </c>
      <c r="Q95" s="6" t="str">
        <f>IF(AND(Table1[[#This Row],[Country_of_Residence]]&lt;&gt;Table1[[#This Row],[Country_of_Transaction]], OR(Table1[[#This Row],[Authentication_Type]]="Biometric", Table1[[#This Row],[Authentication_Type]]="OTP")), "safe location transaction", "unsafe location transaction")</f>
        <v>unsafe location transaction</v>
      </c>
      <c r="R95" s="6" t="str">
        <f>IF(AND(Table1[[#This Row],[Country_of_Residence]]&lt;&gt;Table1[[#This Row],[Country_of_Transaction]], OR(Table1[[#This Row],[Merchant_Category]]="Electronics", Table1[[#This Row],[Merchant_Category]]="Travel")), "unsafe merchant transaction", "safe merchant transaction")</f>
        <v>safe merchant transaction</v>
      </c>
    </row>
    <row r="96" spans="1:18">
      <c r="A96" t="s">
        <v>4499</v>
      </c>
      <c r="B96" t="s">
        <v>39</v>
      </c>
      <c r="C96">
        <v>1</v>
      </c>
      <c r="D96" t="s">
        <v>15</v>
      </c>
      <c r="E96" t="s">
        <v>6</v>
      </c>
      <c r="F96" s="2">
        <v>45699</v>
      </c>
      <c r="G96">
        <v>9944.89</v>
      </c>
      <c r="H96" s="1">
        <f>AVERAGEIF(Table1[Customer_ID], Table1[[#This Row],[Customer_ID]], Table1[Transaction_Amount])</f>
        <v>5524.1660655737705</v>
      </c>
      <c r="I96" t="s">
        <v>1986</v>
      </c>
      <c r="J96" t="s">
        <v>46</v>
      </c>
      <c r="K96" t="s">
        <v>8</v>
      </c>
      <c r="L96">
        <v>3</v>
      </c>
      <c r="M96" t="s">
        <v>42</v>
      </c>
      <c r="N96" t="s">
        <v>412</v>
      </c>
      <c r="O96" t="s">
        <v>392</v>
      </c>
      <c r="P96" s="6" t="str">
        <f>IF(Table1[[#This Row],[Transaction_Amount]]&lt;=Table1[[#This Row],[avg_transaction_amount]], "usual transaction", "unusual transaction")</f>
        <v>unusual transaction</v>
      </c>
      <c r="Q96" s="6" t="str">
        <f>IF(AND(Table1[[#This Row],[Country_of_Residence]]&lt;&gt;Table1[[#This Row],[Country_of_Transaction]], OR(Table1[[#This Row],[Authentication_Type]]="Biometric", Table1[[#This Row],[Authentication_Type]]="OTP")), "safe location transaction", "unsafe location transaction")</f>
        <v>safe location transaction</v>
      </c>
      <c r="R96" s="6" t="str">
        <f>IF(AND(Table1[[#This Row],[Country_of_Residence]]&lt;&gt;Table1[[#This Row],[Country_of_Transaction]], OR(Table1[[#This Row],[Merchant_Category]]="Electronics", Table1[[#This Row],[Merchant_Category]]="Travel")), "unsafe merchant transaction", "safe merchant transaction")</f>
        <v>safe merchant transaction</v>
      </c>
    </row>
    <row r="97" spans="1:18">
      <c r="A97" t="s">
        <v>4517</v>
      </c>
      <c r="B97" t="s">
        <v>39</v>
      </c>
      <c r="C97">
        <v>1</v>
      </c>
      <c r="D97" t="s">
        <v>15</v>
      </c>
      <c r="E97" t="s">
        <v>420</v>
      </c>
      <c r="F97" s="2">
        <v>45865</v>
      </c>
      <c r="G97">
        <v>4504.07</v>
      </c>
      <c r="H97" s="1">
        <f>AVERAGEIF(Table1[Customer_ID], Table1[[#This Row],[Customer_ID]], Table1[Transaction_Amount])</f>
        <v>5524.1660655737705</v>
      </c>
      <c r="I97" t="s">
        <v>2001</v>
      </c>
      <c r="J97" t="s">
        <v>46</v>
      </c>
      <c r="K97" t="s">
        <v>14</v>
      </c>
      <c r="L97">
        <v>0</v>
      </c>
      <c r="M97" t="s">
        <v>51</v>
      </c>
      <c r="N97" t="s">
        <v>33</v>
      </c>
      <c r="O97" t="s">
        <v>393</v>
      </c>
      <c r="P97" s="6" t="str">
        <f>IF(Table1[[#This Row],[Transaction_Amount]]&lt;=Table1[[#This Row],[avg_transaction_amount]], "usual transaction", "unusual transaction")</f>
        <v>usual transaction</v>
      </c>
      <c r="Q97" s="6" t="str">
        <f>IF(AND(Table1[[#This Row],[Country_of_Residence]]&lt;&gt;Table1[[#This Row],[Country_of_Transaction]], OR(Table1[[#This Row],[Authentication_Type]]="Biometric", Table1[[#This Row],[Authentication_Type]]="OTP")), "safe location transaction", "unsafe location transaction")</f>
        <v>unsafe location transaction</v>
      </c>
      <c r="R97" s="6" t="str">
        <f>IF(AND(Table1[[#This Row],[Country_of_Residence]]&lt;&gt;Table1[[#This Row],[Country_of_Transaction]], OR(Table1[[#This Row],[Merchant_Category]]="Electronics", Table1[[#This Row],[Merchant_Category]]="Travel")), "unsafe merchant transaction", "safe merchant transaction")</f>
        <v>safe merchant transaction</v>
      </c>
    </row>
    <row r="98" spans="1:18">
      <c r="A98" t="s">
        <v>4518</v>
      </c>
      <c r="B98" t="s">
        <v>39</v>
      </c>
      <c r="C98">
        <v>1</v>
      </c>
      <c r="D98" t="s">
        <v>15</v>
      </c>
      <c r="E98" t="s">
        <v>3</v>
      </c>
      <c r="F98" s="2">
        <v>45883</v>
      </c>
      <c r="G98">
        <v>756.51</v>
      </c>
      <c r="H98" s="1">
        <f>AVERAGEIF(Table1[Customer_ID], Table1[[#This Row],[Customer_ID]], Table1[Transaction_Amount])</f>
        <v>5524.1660655737705</v>
      </c>
      <c r="I98" t="s">
        <v>2002</v>
      </c>
      <c r="J98" t="s">
        <v>36</v>
      </c>
      <c r="K98" t="s">
        <v>8</v>
      </c>
      <c r="L98">
        <v>0</v>
      </c>
      <c r="M98" t="s">
        <v>51</v>
      </c>
      <c r="N98" t="s">
        <v>56</v>
      </c>
      <c r="O98" t="s">
        <v>392</v>
      </c>
      <c r="P98" s="6" t="str">
        <f>IF(Table1[[#This Row],[Transaction_Amount]]&lt;=Table1[[#This Row],[avg_transaction_amount]], "usual transaction", "unusual transaction")</f>
        <v>usual transaction</v>
      </c>
      <c r="Q98" s="6" t="str">
        <f>IF(AND(Table1[[#This Row],[Country_of_Residence]]&lt;&gt;Table1[[#This Row],[Country_of_Transaction]], OR(Table1[[#This Row],[Authentication_Type]]="Biometric", Table1[[#This Row],[Authentication_Type]]="OTP")), "safe location transaction", "unsafe location transaction")</f>
        <v>safe location transaction</v>
      </c>
      <c r="R98" s="6" t="str">
        <f>IF(AND(Table1[[#This Row],[Country_of_Residence]]&lt;&gt;Table1[[#This Row],[Country_of_Transaction]], OR(Table1[[#This Row],[Merchant_Category]]="Electronics", Table1[[#This Row],[Merchant_Category]]="Travel")), "unsafe merchant transaction", "safe merchant transaction")</f>
        <v>safe merchant transaction</v>
      </c>
    </row>
    <row r="99" spans="1:18">
      <c r="A99" t="s">
        <v>4558</v>
      </c>
      <c r="B99" t="s">
        <v>39</v>
      </c>
      <c r="C99">
        <v>1</v>
      </c>
      <c r="D99" t="s">
        <v>9</v>
      </c>
      <c r="E99" t="s">
        <v>5</v>
      </c>
      <c r="F99" s="2">
        <v>45742</v>
      </c>
      <c r="G99">
        <v>7381.45</v>
      </c>
      <c r="H99" s="1">
        <f>AVERAGEIF(Table1[Customer_ID], Table1[[#This Row],[Customer_ID]], Table1[Transaction_Amount])</f>
        <v>5524.1660655737705</v>
      </c>
      <c r="I99" t="s">
        <v>2034</v>
      </c>
      <c r="J99" t="s">
        <v>36</v>
      </c>
      <c r="K99" t="s">
        <v>14</v>
      </c>
      <c r="L99">
        <v>4</v>
      </c>
      <c r="M99" t="s">
        <v>55</v>
      </c>
      <c r="N99" t="s">
        <v>32</v>
      </c>
      <c r="O99" t="s">
        <v>393</v>
      </c>
      <c r="P99" s="6" t="str">
        <f>IF(Table1[[#This Row],[Transaction_Amount]]&lt;=Table1[[#This Row],[avg_transaction_amount]], "usual transaction", "unusual transaction")</f>
        <v>unusual transaction</v>
      </c>
      <c r="Q99" s="6" t="str">
        <f>IF(AND(Table1[[#This Row],[Country_of_Residence]]&lt;&gt;Table1[[#This Row],[Country_of_Transaction]], OR(Table1[[#This Row],[Authentication_Type]]="Biometric", Table1[[#This Row],[Authentication_Type]]="OTP")), "safe location transaction", "unsafe location transaction")</f>
        <v>unsafe location transaction</v>
      </c>
      <c r="R99" s="6" t="str">
        <f>IF(AND(Table1[[#This Row],[Country_of_Residence]]&lt;&gt;Table1[[#This Row],[Country_of_Transaction]], OR(Table1[[#This Row],[Merchant_Category]]="Electronics", Table1[[#This Row],[Merchant_Category]]="Travel")), "unsafe merchant transaction", "safe merchant transaction")</f>
        <v>safe merchant transaction</v>
      </c>
    </row>
    <row r="100" spans="1:18">
      <c r="A100" t="s">
        <v>4642</v>
      </c>
      <c r="B100" t="s">
        <v>39</v>
      </c>
      <c r="C100">
        <v>1</v>
      </c>
      <c r="D100" t="s">
        <v>9</v>
      </c>
      <c r="E100" t="s">
        <v>5</v>
      </c>
      <c r="F100" s="2">
        <v>45782</v>
      </c>
      <c r="G100">
        <v>8954.7999999999993</v>
      </c>
      <c r="H100" s="1">
        <f>AVERAGEIF(Table1[Customer_ID], Table1[[#This Row],[Customer_ID]], Table1[Transaction_Amount])</f>
        <v>5524.1660655737705</v>
      </c>
      <c r="I100" t="s">
        <v>2103</v>
      </c>
      <c r="J100" t="s">
        <v>41</v>
      </c>
      <c r="K100" t="s">
        <v>14</v>
      </c>
      <c r="L100">
        <v>1</v>
      </c>
      <c r="M100" t="s">
        <v>33</v>
      </c>
      <c r="N100" t="s">
        <v>32</v>
      </c>
      <c r="O100" t="s">
        <v>393</v>
      </c>
      <c r="P100" s="6" t="str">
        <f>IF(Table1[[#This Row],[Transaction_Amount]]&lt;=Table1[[#This Row],[avg_transaction_amount]], "usual transaction", "unusual transaction")</f>
        <v>unusual transaction</v>
      </c>
      <c r="Q100" s="6" t="str">
        <f>IF(AND(Table1[[#This Row],[Country_of_Residence]]&lt;&gt;Table1[[#This Row],[Country_of_Transaction]], OR(Table1[[#This Row],[Authentication_Type]]="Biometric", Table1[[#This Row],[Authentication_Type]]="OTP")), "safe location transaction", "unsafe location transaction")</f>
        <v>unsafe location transaction</v>
      </c>
      <c r="R100" s="6" t="str">
        <f>IF(AND(Table1[[#This Row],[Country_of_Residence]]&lt;&gt;Table1[[#This Row],[Country_of_Transaction]], OR(Table1[[#This Row],[Merchant_Category]]="Electronics", Table1[[#This Row],[Merchant_Category]]="Travel")), "unsafe merchant transaction", "safe merchant transaction")</f>
        <v>safe merchant transaction</v>
      </c>
    </row>
    <row r="101" spans="1:18">
      <c r="A101" t="s">
        <v>4644</v>
      </c>
      <c r="B101" t="s">
        <v>39</v>
      </c>
      <c r="C101">
        <v>1</v>
      </c>
      <c r="D101" t="s">
        <v>9</v>
      </c>
      <c r="E101" t="s">
        <v>3</v>
      </c>
      <c r="F101" s="2">
        <v>46002</v>
      </c>
      <c r="G101">
        <v>3885.98</v>
      </c>
      <c r="H101" s="1">
        <f>AVERAGEIF(Table1[Customer_ID], Table1[[#This Row],[Customer_ID]], Table1[Transaction_Amount])</f>
        <v>5524.1660655737705</v>
      </c>
      <c r="I101" t="s">
        <v>2105</v>
      </c>
      <c r="J101" t="s">
        <v>41</v>
      </c>
      <c r="K101" t="s">
        <v>10</v>
      </c>
      <c r="L101">
        <v>5</v>
      </c>
      <c r="M101" t="s">
        <v>42</v>
      </c>
      <c r="N101" t="s">
        <v>32</v>
      </c>
      <c r="O101" t="s">
        <v>392</v>
      </c>
      <c r="P101" s="6" t="str">
        <f>IF(Table1[[#This Row],[Transaction_Amount]]&lt;=Table1[[#This Row],[avg_transaction_amount]], "usual transaction", "unusual transaction")</f>
        <v>usual transaction</v>
      </c>
      <c r="Q101" s="6" t="str">
        <f>IF(AND(Table1[[#This Row],[Country_of_Residence]]&lt;&gt;Table1[[#This Row],[Country_of_Transaction]], OR(Table1[[#This Row],[Authentication_Type]]="Biometric", Table1[[#This Row],[Authentication_Type]]="OTP")), "safe location transaction", "unsafe location transaction")</f>
        <v>safe location transaction</v>
      </c>
      <c r="R101" s="6" t="str">
        <f>IF(AND(Table1[[#This Row],[Country_of_Residence]]&lt;&gt;Table1[[#This Row],[Country_of_Transaction]], OR(Table1[[#This Row],[Merchant_Category]]="Electronics", Table1[[#This Row],[Merchant_Category]]="Travel")), "unsafe merchant transaction", "safe merchant transaction")</f>
        <v>safe merchant transaction</v>
      </c>
    </row>
    <row r="102" spans="1:18">
      <c r="A102" t="s">
        <v>4664</v>
      </c>
      <c r="B102" t="s">
        <v>39</v>
      </c>
      <c r="C102">
        <v>1</v>
      </c>
      <c r="D102" t="s">
        <v>15</v>
      </c>
      <c r="E102" t="s">
        <v>5</v>
      </c>
      <c r="F102" s="2">
        <v>45902</v>
      </c>
      <c r="G102">
        <v>7848.35</v>
      </c>
      <c r="H102" s="1">
        <f>AVERAGEIF(Table1[Customer_ID], Table1[[#This Row],[Customer_ID]], Table1[Transaction_Amount])</f>
        <v>5524.1660655737705</v>
      </c>
      <c r="I102" t="s">
        <v>2122</v>
      </c>
      <c r="J102" t="s">
        <v>36</v>
      </c>
      <c r="K102" t="s">
        <v>10</v>
      </c>
      <c r="L102">
        <v>5</v>
      </c>
      <c r="M102" t="s">
        <v>412</v>
      </c>
      <c r="N102" t="s">
        <v>42</v>
      </c>
      <c r="O102" t="s">
        <v>392</v>
      </c>
      <c r="P102" s="6" t="str">
        <f>IF(Table1[[#This Row],[Transaction_Amount]]&lt;=Table1[[#This Row],[avg_transaction_amount]], "usual transaction", "unusual transaction")</f>
        <v>unusual transaction</v>
      </c>
      <c r="Q102" s="6" t="str">
        <f>IF(AND(Table1[[#This Row],[Country_of_Residence]]&lt;&gt;Table1[[#This Row],[Country_of_Transaction]], OR(Table1[[#This Row],[Authentication_Type]]="Biometric", Table1[[#This Row],[Authentication_Type]]="OTP")), "safe location transaction", "unsafe location transaction")</f>
        <v>safe location transaction</v>
      </c>
      <c r="R102" s="6" t="str">
        <f>IF(AND(Table1[[#This Row],[Country_of_Residence]]&lt;&gt;Table1[[#This Row],[Country_of_Transaction]], OR(Table1[[#This Row],[Merchant_Category]]="Electronics", Table1[[#This Row],[Merchant_Category]]="Travel")), "unsafe merchant transaction", "safe merchant transaction")</f>
        <v>safe merchant transaction</v>
      </c>
    </row>
    <row r="103" spans="1:18">
      <c r="A103" t="s">
        <v>4721</v>
      </c>
      <c r="B103" t="s">
        <v>39</v>
      </c>
      <c r="C103">
        <v>1</v>
      </c>
      <c r="D103" t="s">
        <v>9</v>
      </c>
      <c r="E103" t="s">
        <v>3</v>
      </c>
      <c r="F103" s="2">
        <v>45820</v>
      </c>
      <c r="G103">
        <v>5512.99</v>
      </c>
      <c r="H103" s="1">
        <f>AVERAGEIF(Table1[Customer_ID], Table1[[#This Row],[Customer_ID]], Table1[Transaction_Amount])</f>
        <v>5524.1660655737705</v>
      </c>
      <c r="I103" t="s">
        <v>2162</v>
      </c>
      <c r="J103" t="s">
        <v>50</v>
      </c>
      <c r="K103" t="s">
        <v>10</v>
      </c>
      <c r="L103">
        <v>3</v>
      </c>
      <c r="M103" t="s">
        <v>32</v>
      </c>
      <c r="N103" t="s">
        <v>56</v>
      </c>
      <c r="O103" t="s">
        <v>393</v>
      </c>
      <c r="P103" s="6" t="str">
        <f>IF(Table1[[#This Row],[Transaction_Amount]]&lt;=Table1[[#This Row],[avg_transaction_amount]], "usual transaction", "unusual transaction")</f>
        <v>usual transaction</v>
      </c>
      <c r="Q103" s="6" t="str">
        <f>IF(AND(Table1[[#This Row],[Country_of_Residence]]&lt;&gt;Table1[[#This Row],[Country_of_Transaction]], OR(Table1[[#This Row],[Authentication_Type]]="Biometric", Table1[[#This Row],[Authentication_Type]]="OTP")), "safe location transaction", "unsafe location transaction")</f>
        <v>safe location transaction</v>
      </c>
      <c r="R103" s="6" t="str">
        <f>IF(AND(Table1[[#This Row],[Country_of_Residence]]&lt;&gt;Table1[[#This Row],[Country_of_Transaction]], OR(Table1[[#This Row],[Merchant_Category]]="Electronics", Table1[[#This Row],[Merchant_Category]]="Travel")), "unsafe merchant transaction", "safe merchant transaction")</f>
        <v>unsafe merchant transaction</v>
      </c>
    </row>
    <row r="104" spans="1:18">
      <c r="A104" t="s">
        <v>4725</v>
      </c>
      <c r="B104" t="s">
        <v>39</v>
      </c>
      <c r="C104">
        <v>1</v>
      </c>
      <c r="D104" t="s">
        <v>15</v>
      </c>
      <c r="E104" t="s">
        <v>5</v>
      </c>
      <c r="F104" s="2">
        <v>45982</v>
      </c>
      <c r="G104">
        <v>1278.74</v>
      </c>
      <c r="H104" s="1">
        <f>AVERAGEIF(Table1[Customer_ID], Table1[[#This Row],[Customer_ID]], Table1[Transaction_Amount])</f>
        <v>5524.1660655737705</v>
      </c>
      <c r="I104" t="s">
        <v>2165</v>
      </c>
      <c r="J104" t="s">
        <v>41</v>
      </c>
      <c r="K104" t="s">
        <v>8</v>
      </c>
      <c r="L104">
        <v>5</v>
      </c>
      <c r="M104" t="s">
        <v>412</v>
      </c>
      <c r="N104" t="s">
        <v>47</v>
      </c>
      <c r="O104" t="s">
        <v>393</v>
      </c>
      <c r="P104" s="6" t="str">
        <f>IF(Table1[[#This Row],[Transaction_Amount]]&lt;=Table1[[#This Row],[avg_transaction_amount]], "usual transaction", "unusual transaction")</f>
        <v>usual transaction</v>
      </c>
      <c r="Q104" s="6" t="str">
        <f>IF(AND(Table1[[#This Row],[Country_of_Residence]]&lt;&gt;Table1[[#This Row],[Country_of_Transaction]], OR(Table1[[#This Row],[Authentication_Type]]="Biometric", Table1[[#This Row],[Authentication_Type]]="OTP")), "safe location transaction", "unsafe location transaction")</f>
        <v>safe location transaction</v>
      </c>
      <c r="R104" s="6" t="str">
        <f>IF(AND(Table1[[#This Row],[Country_of_Residence]]&lt;&gt;Table1[[#This Row],[Country_of_Transaction]], OR(Table1[[#This Row],[Merchant_Category]]="Electronics", Table1[[#This Row],[Merchant_Category]]="Travel")), "unsafe merchant transaction", "safe merchant transaction")</f>
        <v>safe merchant transaction</v>
      </c>
    </row>
    <row r="105" spans="1:18">
      <c r="A105" t="s">
        <v>4752</v>
      </c>
      <c r="B105" t="s">
        <v>39</v>
      </c>
      <c r="C105">
        <v>1</v>
      </c>
      <c r="D105" t="s">
        <v>15</v>
      </c>
      <c r="E105" t="s">
        <v>420</v>
      </c>
      <c r="F105" s="2">
        <v>45967</v>
      </c>
      <c r="G105">
        <v>4109.6000000000004</v>
      </c>
      <c r="H105" s="1">
        <f>AVERAGEIF(Table1[Customer_ID], Table1[[#This Row],[Customer_ID]], Table1[Transaction_Amount])</f>
        <v>5524.1660655737705</v>
      </c>
      <c r="I105" t="s">
        <v>2186</v>
      </c>
      <c r="J105" t="s">
        <v>50</v>
      </c>
      <c r="K105" t="s">
        <v>10</v>
      </c>
      <c r="L105">
        <v>3</v>
      </c>
      <c r="M105" t="s">
        <v>55</v>
      </c>
      <c r="N105" t="s">
        <v>42</v>
      </c>
      <c r="O105" t="s">
        <v>392</v>
      </c>
      <c r="P105" s="6" t="str">
        <f>IF(Table1[[#This Row],[Transaction_Amount]]&lt;=Table1[[#This Row],[avg_transaction_amount]], "usual transaction", "unusual transaction")</f>
        <v>usual transaction</v>
      </c>
      <c r="Q105" s="6" t="str">
        <f>IF(AND(Table1[[#This Row],[Country_of_Residence]]&lt;&gt;Table1[[#This Row],[Country_of_Transaction]], OR(Table1[[#This Row],[Authentication_Type]]="Biometric", Table1[[#This Row],[Authentication_Type]]="OTP")), "safe location transaction", "unsafe location transaction")</f>
        <v>safe location transaction</v>
      </c>
      <c r="R105" s="6" t="str">
        <f>IF(AND(Table1[[#This Row],[Country_of_Residence]]&lt;&gt;Table1[[#This Row],[Country_of_Transaction]], OR(Table1[[#This Row],[Merchant_Category]]="Electronics", Table1[[#This Row],[Merchant_Category]]="Travel")), "unsafe merchant transaction", "safe merchant transaction")</f>
        <v>unsafe merchant transaction</v>
      </c>
    </row>
    <row r="106" spans="1:18">
      <c r="A106" t="s">
        <v>4820</v>
      </c>
      <c r="B106" t="s">
        <v>39</v>
      </c>
      <c r="C106">
        <v>1</v>
      </c>
      <c r="D106" t="s">
        <v>9</v>
      </c>
      <c r="E106" t="s">
        <v>5</v>
      </c>
      <c r="F106" s="2">
        <v>45699</v>
      </c>
      <c r="G106">
        <v>9585.06</v>
      </c>
      <c r="H106" s="1">
        <f>AVERAGEIF(Table1[Customer_ID], Table1[[#This Row],[Customer_ID]], Table1[Transaction_Amount])</f>
        <v>5524.1660655737705</v>
      </c>
      <c r="I106" t="s">
        <v>2240</v>
      </c>
      <c r="J106" t="s">
        <v>50</v>
      </c>
      <c r="K106" t="s">
        <v>12</v>
      </c>
      <c r="L106">
        <v>2</v>
      </c>
      <c r="M106" t="s">
        <v>32</v>
      </c>
      <c r="N106" t="s">
        <v>32</v>
      </c>
      <c r="O106" t="s">
        <v>393</v>
      </c>
      <c r="P106" s="6" t="str">
        <f>IF(Table1[[#This Row],[Transaction_Amount]]&lt;=Table1[[#This Row],[avg_transaction_amount]], "usual transaction", "unusual transaction")</f>
        <v>unusual transaction</v>
      </c>
      <c r="Q106" s="6" t="str">
        <f>IF(AND(Table1[[#This Row],[Country_of_Residence]]&lt;&gt;Table1[[#This Row],[Country_of_Transaction]], OR(Table1[[#This Row],[Authentication_Type]]="Biometric", Table1[[#This Row],[Authentication_Type]]="OTP")), "safe location transaction", "unsafe location transaction")</f>
        <v>unsafe location transaction</v>
      </c>
      <c r="R106" s="6" t="str">
        <f>IF(AND(Table1[[#This Row],[Country_of_Residence]]&lt;&gt;Table1[[#This Row],[Country_of_Transaction]], OR(Table1[[#This Row],[Merchant_Category]]="Electronics", Table1[[#This Row],[Merchant_Category]]="Travel")), "unsafe merchant transaction", "safe merchant transaction")</f>
        <v>safe merchant transaction</v>
      </c>
    </row>
    <row r="107" spans="1:18">
      <c r="A107" t="s">
        <v>4845</v>
      </c>
      <c r="B107" t="s">
        <v>39</v>
      </c>
      <c r="C107">
        <v>1</v>
      </c>
      <c r="D107" t="s">
        <v>9</v>
      </c>
      <c r="E107" t="s">
        <v>3</v>
      </c>
      <c r="F107" s="2">
        <v>45659</v>
      </c>
      <c r="G107">
        <v>5314.33</v>
      </c>
      <c r="H107" s="1">
        <f>AVERAGEIF(Table1[Customer_ID], Table1[[#This Row],[Customer_ID]], Table1[Transaction_Amount])</f>
        <v>5524.1660655737705</v>
      </c>
      <c r="I107" t="s">
        <v>2258</v>
      </c>
      <c r="J107" t="s">
        <v>41</v>
      </c>
      <c r="K107" t="s">
        <v>12</v>
      </c>
      <c r="L107">
        <v>1</v>
      </c>
      <c r="M107" t="s">
        <v>51</v>
      </c>
      <c r="N107" t="s">
        <v>47</v>
      </c>
      <c r="O107" t="s">
        <v>392</v>
      </c>
      <c r="P107" s="6" t="str">
        <f>IF(Table1[[#This Row],[Transaction_Amount]]&lt;=Table1[[#This Row],[avg_transaction_amount]], "usual transaction", "unusual transaction")</f>
        <v>usual transaction</v>
      </c>
      <c r="Q107" s="6" t="str">
        <f>IF(AND(Table1[[#This Row],[Country_of_Residence]]&lt;&gt;Table1[[#This Row],[Country_of_Transaction]], OR(Table1[[#This Row],[Authentication_Type]]="Biometric", Table1[[#This Row],[Authentication_Type]]="OTP")), "safe location transaction", "unsafe location transaction")</f>
        <v>unsafe location transaction</v>
      </c>
      <c r="R107" s="6" t="str">
        <f>IF(AND(Table1[[#This Row],[Country_of_Residence]]&lt;&gt;Table1[[#This Row],[Country_of_Transaction]], OR(Table1[[#This Row],[Merchant_Category]]="Electronics", Table1[[#This Row],[Merchant_Category]]="Travel")), "unsafe merchant transaction", "safe merchant transaction")</f>
        <v>safe merchant transaction</v>
      </c>
    </row>
    <row r="108" spans="1:18">
      <c r="A108" t="s">
        <v>4909</v>
      </c>
      <c r="B108" t="s">
        <v>39</v>
      </c>
      <c r="C108">
        <v>1</v>
      </c>
      <c r="D108" t="s">
        <v>9</v>
      </c>
      <c r="E108" t="s">
        <v>3</v>
      </c>
      <c r="F108" s="2">
        <v>45703</v>
      </c>
      <c r="G108">
        <v>8767.01</v>
      </c>
      <c r="H108" s="1">
        <f>AVERAGEIF(Table1[Customer_ID], Table1[[#This Row],[Customer_ID]], Table1[Transaction_Amount])</f>
        <v>5524.1660655737705</v>
      </c>
      <c r="I108" t="s">
        <v>591</v>
      </c>
      <c r="J108" t="s">
        <v>46</v>
      </c>
      <c r="K108" t="s">
        <v>12</v>
      </c>
      <c r="L108">
        <v>0</v>
      </c>
      <c r="M108" t="s">
        <v>51</v>
      </c>
      <c r="N108" t="s">
        <v>51</v>
      </c>
      <c r="O108" t="s">
        <v>393</v>
      </c>
      <c r="P108" s="6" t="str">
        <f>IF(Table1[[#This Row],[Transaction_Amount]]&lt;=Table1[[#This Row],[avg_transaction_amount]], "usual transaction", "unusual transaction")</f>
        <v>unusual transaction</v>
      </c>
      <c r="Q108" s="6" t="str">
        <f>IF(AND(Table1[[#This Row],[Country_of_Residence]]&lt;&gt;Table1[[#This Row],[Country_of_Transaction]], OR(Table1[[#This Row],[Authentication_Type]]="Biometric", Table1[[#This Row],[Authentication_Type]]="OTP")), "safe location transaction", "unsafe location transaction")</f>
        <v>unsafe location transaction</v>
      </c>
      <c r="R108" s="6" t="str">
        <f>IF(AND(Table1[[#This Row],[Country_of_Residence]]&lt;&gt;Table1[[#This Row],[Country_of_Transaction]], OR(Table1[[#This Row],[Merchant_Category]]="Electronics", Table1[[#This Row],[Merchant_Category]]="Travel")), "unsafe merchant transaction", "safe merchant transaction")</f>
        <v>safe merchant transaction</v>
      </c>
    </row>
    <row r="109" spans="1:18">
      <c r="A109" t="s">
        <v>5084</v>
      </c>
      <c r="B109" t="s">
        <v>39</v>
      </c>
      <c r="C109">
        <v>1</v>
      </c>
      <c r="D109" t="s">
        <v>9</v>
      </c>
      <c r="E109" t="s">
        <v>3</v>
      </c>
      <c r="F109" s="2">
        <v>45925</v>
      </c>
      <c r="G109">
        <v>893.17</v>
      </c>
      <c r="H109" s="1">
        <f>AVERAGEIF(Table1[Customer_ID], Table1[[#This Row],[Customer_ID]], Table1[Transaction_Amount])</f>
        <v>5524.1660655737705</v>
      </c>
      <c r="I109" t="s">
        <v>1533</v>
      </c>
      <c r="J109" t="s">
        <v>31</v>
      </c>
      <c r="K109" t="s">
        <v>8</v>
      </c>
      <c r="L109">
        <v>0</v>
      </c>
      <c r="M109" t="s">
        <v>33</v>
      </c>
      <c r="N109" t="s">
        <v>56</v>
      </c>
      <c r="O109" t="s">
        <v>393</v>
      </c>
      <c r="P109" s="6" t="str">
        <f>IF(Table1[[#This Row],[Transaction_Amount]]&lt;=Table1[[#This Row],[avg_transaction_amount]], "usual transaction", "unusual transaction")</f>
        <v>usual transaction</v>
      </c>
      <c r="Q109" s="6" t="str">
        <f>IF(AND(Table1[[#This Row],[Country_of_Residence]]&lt;&gt;Table1[[#This Row],[Country_of_Transaction]], OR(Table1[[#This Row],[Authentication_Type]]="Biometric", Table1[[#This Row],[Authentication_Type]]="OTP")), "safe location transaction", "unsafe location transaction")</f>
        <v>safe location transaction</v>
      </c>
      <c r="R109" s="6" t="str">
        <f>IF(AND(Table1[[#This Row],[Country_of_Residence]]&lt;&gt;Table1[[#This Row],[Country_of_Transaction]], OR(Table1[[#This Row],[Merchant_Category]]="Electronics", Table1[[#This Row],[Merchant_Category]]="Travel")), "unsafe merchant transaction", "safe merchant transaction")</f>
        <v>safe merchant transaction</v>
      </c>
    </row>
    <row r="110" spans="1:18">
      <c r="A110" t="s">
        <v>5105</v>
      </c>
      <c r="B110" t="s">
        <v>39</v>
      </c>
      <c r="C110">
        <v>1</v>
      </c>
      <c r="D110" t="s">
        <v>9</v>
      </c>
      <c r="E110" t="s">
        <v>3</v>
      </c>
      <c r="F110" s="2">
        <v>45819</v>
      </c>
      <c r="G110">
        <v>6589.45</v>
      </c>
      <c r="H110" s="1">
        <f>AVERAGEIF(Table1[Customer_ID], Table1[[#This Row],[Customer_ID]], Table1[Transaction_Amount])</f>
        <v>5524.1660655737705</v>
      </c>
      <c r="I110" t="s">
        <v>2455</v>
      </c>
      <c r="J110" t="s">
        <v>36</v>
      </c>
      <c r="K110" t="s">
        <v>10</v>
      </c>
      <c r="L110">
        <v>1</v>
      </c>
      <c r="M110" t="s">
        <v>42</v>
      </c>
      <c r="N110" t="s">
        <v>47</v>
      </c>
      <c r="O110" t="s">
        <v>393</v>
      </c>
      <c r="P110" s="6" t="str">
        <f>IF(Table1[[#This Row],[Transaction_Amount]]&lt;=Table1[[#This Row],[avg_transaction_amount]], "usual transaction", "unusual transaction")</f>
        <v>unusual transaction</v>
      </c>
      <c r="Q110" s="6" t="str">
        <f>IF(AND(Table1[[#This Row],[Country_of_Residence]]&lt;&gt;Table1[[#This Row],[Country_of_Transaction]], OR(Table1[[#This Row],[Authentication_Type]]="Biometric", Table1[[#This Row],[Authentication_Type]]="OTP")), "safe location transaction", "unsafe location transaction")</f>
        <v>safe location transaction</v>
      </c>
      <c r="R110" s="6" t="str">
        <f>IF(AND(Table1[[#This Row],[Country_of_Residence]]&lt;&gt;Table1[[#This Row],[Country_of_Transaction]], OR(Table1[[#This Row],[Merchant_Category]]="Electronics", Table1[[#This Row],[Merchant_Category]]="Travel")), "unsafe merchant transaction", "safe merchant transaction")</f>
        <v>safe merchant transaction</v>
      </c>
    </row>
    <row r="111" spans="1:18">
      <c r="A111" t="s">
        <v>5114</v>
      </c>
      <c r="B111" t="s">
        <v>39</v>
      </c>
      <c r="C111">
        <v>1</v>
      </c>
      <c r="D111" t="s">
        <v>9</v>
      </c>
      <c r="E111" t="s">
        <v>420</v>
      </c>
      <c r="F111" s="2">
        <v>45945</v>
      </c>
      <c r="G111">
        <v>7237.63</v>
      </c>
      <c r="H111" s="1">
        <f>AVERAGEIF(Table1[Customer_ID], Table1[[#This Row],[Customer_ID]], Table1[Transaction_Amount])</f>
        <v>5524.1660655737705</v>
      </c>
      <c r="I111" t="s">
        <v>1910</v>
      </c>
      <c r="J111" t="s">
        <v>36</v>
      </c>
      <c r="K111" t="s">
        <v>10</v>
      </c>
      <c r="L111">
        <v>5</v>
      </c>
      <c r="M111" t="s">
        <v>412</v>
      </c>
      <c r="N111" t="s">
        <v>56</v>
      </c>
      <c r="O111" t="s">
        <v>392</v>
      </c>
      <c r="P111" s="6" t="str">
        <f>IF(Table1[[#This Row],[Transaction_Amount]]&lt;=Table1[[#This Row],[avg_transaction_amount]], "usual transaction", "unusual transaction")</f>
        <v>unusual transaction</v>
      </c>
      <c r="Q111" s="6" t="str">
        <f>IF(AND(Table1[[#This Row],[Country_of_Residence]]&lt;&gt;Table1[[#This Row],[Country_of_Transaction]], OR(Table1[[#This Row],[Authentication_Type]]="Biometric", Table1[[#This Row],[Authentication_Type]]="OTP")), "safe location transaction", "unsafe location transaction")</f>
        <v>safe location transaction</v>
      </c>
      <c r="R111" s="6" t="str">
        <f>IF(AND(Table1[[#This Row],[Country_of_Residence]]&lt;&gt;Table1[[#This Row],[Country_of_Transaction]], OR(Table1[[#This Row],[Merchant_Category]]="Electronics", Table1[[#This Row],[Merchant_Category]]="Travel")), "unsafe merchant transaction", "safe merchant transaction")</f>
        <v>safe merchant transaction</v>
      </c>
    </row>
    <row r="112" spans="1:18">
      <c r="A112" t="s">
        <v>5149</v>
      </c>
      <c r="B112" t="s">
        <v>39</v>
      </c>
      <c r="C112">
        <v>1</v>
      </c>
      <c r="D112" t="s">
        <v>15</v>
      </c>
      <c r="E112" t="s">
        <v>6</v>
      </c>
      <c r="F112" s="2">
        <v>45877</v>
      </c>
      <c r="G112">
        <v>9640.36</v>
      </c>
      <c r="H112" s="1">
        <f>AVERAGEIF(Table1[Customer_ID], Table1[[#This Row],[Customer_ID]], Table1[Transaction_Amount])</f>
        <v>5524.1660655737705</v>
      </c>
      <c r="I112" t="s">
        <v>2487</v>
      </c>
      <c r="J112" t="s">
        <v>41</v>
      </c>
      <c r="K112" t="s">
        <v>12</v>
      </c>
      <c r="L112">
        <v>4</v>
      </c>
      <c r="M112" t="s">
        <v>47</v>
      </c>
      <c r="N112" t="s">
        <v>55</v>
      </c>
      <c r="O112" t="s">
        <v>393</v>
      </c>
      <c r="P112" s="6" t="str">
        <f>IF(Table1[[#This Row],[Transaction_Amount]]&lt;=Table1[[#This Row],[avg_transaction_amount]], "usual transaction", "unusual transaction")</f>
        <v>unusual transaction</v>
      </c>
      <c r="Q112" s="6" t="str">
        <f>IF(AND(Table1[[#This Row],[Country_of_Residence]]&lt;&gt;Table1[[#This Row],[Country_of_Transaction]], OR(Table1[[#This Row],[Authentication_Type]]="Biometric", Table1[[#This Row],[Authentication_Type]]="OTP")), "safe location transaction", "unsafe location transaction")</f>
        <v>unsafe location transaction</v>
      </c>
      <c r="R112" s="6" t="str">
        <f>IF(AND(Table1[[#This Row],[Country_of_Residence]]&lt;&gt;Table1[[#This Row],[Country_of_Transaction]], OR(Table1[[#This Row],[Merchant_Category]]="Electronics", Table1[[#This Row],[Merchant_Category]]="Travel")), "unsafe merchant transaction", "safe merchant transaction")</f>
        <v>safe merchant transaction</v>
      </c>
    </row>
    <row r="113" spans="1:18">
      <c r="A113" t="s">
        <v>5191</v>
      </c>
      <c r="B113" t="s">
        <v>39</v>
      </c>
      <c r="C113">
        <v>1</v>
      </c>
      <c r="D113" t="s">
        <v>9</v>
      </c>
      <c r="E113" t="s">
        <v>6</v>
      </c>
      <c r="F113" s="2">
        <v>45989</v>
      </c>
      <c r="G113">
        <v>3265.93</v>
      </c>
      <c r="H113" s="1">
        <f>AVERAGEIF(Table1[Customer_ID], Table1[[#This Row],[Customer_ID]], Table1[Transaction_Amount])</f>
        <v>5524.1660655737705</v>
      </c>
      <c r="I113" t="s">
        <v>358</v>
      </c>
      <c r="J113" t="s">
        <v>41</v>
      </c>
      <c r="K113" t="s">
        <v>14</v>
      </c>
      <c r="L113">
        <v>4</v>
      </c>
      <c r="M113" t="s">
        <v>55</v>
      </c>
      <c r="N113" t="s">
        <v>37</v>
      </c>
      <c r="O113" t="s">
        <v>392</v>
      </c>
      <c r="P113" s="6" t="str">
        <f>IF(Table1[[#This Row],[Transaction_Amount]]&lt;=Table1[[#This Row],[avg_transaction_amount]], "usual transaction", "unusual transaction")</f>
        <v>usual transaction</v>
      </c>
      <c r="Q113" s="6" t="str">
        <f>IF(AND(Table1[[#This Row],[Country_of_Residence]]&lt;&gt;Table1[[#This Row],[Country_of_Transaction]], OR(Table1[[#This Row],[Authentication_Type]]="Biometric", Table1[[#This Row],[Authentication_Type]]="OTP")), "safe location transaction", "unsafe location transaction")</f>
        <v>unsafe location transaction</v>
      </c>
      <c r="R113" s="6" t="str">
        <f>IF(AND(Table1[[#This Row],[Country_of_Residence]]&lt;&gt;Table1[[#This Row],[Country_of_Transaction]], OR(Table1[[#This Row],[Merchant_Category]]="Electronics", Table1[[#This Row],[Merchant_Category]]="Travel")), "unsafe merchant transaction", "safe merchant transaction")</f>
        <v>safe merchant transaction</v>
      </c>
    </row>
    <row r="114" spans="1:18">
      <c r="A114" t="s">
        <v>5193</v>
      </c>
      <c r="B114" t="s">
        <v>39</v>
      </c>
      <c r="C114">
        <v>1</v>
      </c>
      <c r="D114" t="s">
        <v>9</v>
      </c>
      <c r="E114" t="s">
        <v>420</v>
      </c>
      <c r="F114" s="2">
        <v>45834</v>
      </c>
      <c r="G114">
        <v>2418.3200000000002</v>
      </c>
      <c r="H114" s="1">
        <f>AVERAGEIF(Table1[Customer_ID], Table1[[#This Row],[Customer_ID]], Table1[Transaction_Amount])</f>
        <v>5524.1660655737705</v>
      </c>
      <c r="I114" t="s">
        <v>2524</v>
      </c>
      <c r="J114" t="s">
        <v>31</v>
      </c>
      <c r="K114" t="s">
        <v>12</v>
      </c>
      <c r="L114">
        <v>2</v>
      </c>
      <c r="M114" t="s">
        <v>412</v>
      </c>
      <c r="N114" t="s">
        <v>56</v>
      </c>
      <c r="O114" t="s">
        <v>393</v>
      </c>
      <c r="P114" s="6" t="str">
        <f>IF(Table1[[#This Row],[Transaction_Amount]]&lt;=Table1[[#This Row],[avg_transaction_amount]], "usual transaction", "unusual transaction")</f>
        <v>usual transaction</v>
      </c>
      <c r="Q114" s="6" t="str">
        <f>IF(AND(Table1[[#This Row],[Country_of_Residence]]&lt;&gt;Table1[[#This Row],[Country_of_Transaction]], OR(Table1[[#This Row],[Authentication_Type]]="Biometric", Table1[[#This Row],[Authentication_Type]]="OTP")), "safe location transaction", "unsafe location transaction")</f>
        <v>unsafe location transaction</v>
      </c>
      <c r="R114" s="6" t="str">
        <f>IF(AND(Table1[[#This Row],[Country_of_Residence]]&lt;&gt;Table1[[#This Row],[Country_of_Transaction]], OR(Table1[[#This Row],[Merchant_Category]]="Electronics", Table1[[#This Row],[Merchant_Category]]="Travel")), "unsafe merchant transaction", "safe merchant transaction")</f>
        <v>safe merchant transaction</v>
      </c>
    </row>
    <row r="115" spans="1:18">
      <c r="A115" t="s">
        <v>5199</v>
      </c>
      <c r="B115" t="s">
        <v>39</v>
      </c>
      <c r="C115">
        <v>1</v>
      </c>
      <c r="D115" t="s">
        <v>9</v>
      </c>
      <c r="E115" t="s">
        <v>6</v>
      </c>
      <c r="F115" s="2">
        <v>45852</v>
      </c>
      <c r="G115">
        <v>6638.76</v>
      </c>
      <c r="H115" s="1">
        <f>AVERAGEIF(Table1[Customer_ID], Table1[[#This Row],[Customer_ID]], Table1[Transaction_Amount])</f>
        <v>5524.1660655737705</v>
      </c>
      <c r="I115" t="s">
        <v>2529</v>
      </c>
      <c r="J115" t="s">
        <v>46</v>
      </c>
      <c r="K115" t="s">
        <v>12</v>
      </c>
      <c r="L115">
        <v>2</v>
      </c>
      <c r="M115" t="s">
        <v>56</v>
      </c>
      <c r="N115" t="s">
        <v>47</v>
      </c>
      <c r="O115" t="s">
        <v>392</v>
      </c>
      <c r="P115" s="6" t="str">
        <f>IF(Table1[[#This Row],[Transaction_Amount]]&lt;=Table1[[#This Row],[avg_transaction_amount]], "usual transaction", "unusual transaction")</f>
        <v>unusual transaction</v>
      </c>
      <c r="Q115" s="6" t="str">
        <f>IF(AND(Table1[[#This Row],[Country_of_Residence]]&lt;&gt;Table1[[#This Row],[Country_of_Transaction]], OR(Table1[[#This Row],[Authentication_Type]]="Biometric", Table1[[#This Row],[Authentication_Type]]="OTP")), "safe location transaction", "unsafe location transaction")</f>
        <v>unsafe location transaction</v>
      </c>
      <c r="R115" s="6" t="str">
        <f>IF(AND(Table1[[#This Row],[Country_of_Residence]]&lt;&gt;Table1[[#This Row],[Country_of_Transaction]], OR(Table1[[#This Row],[Merchant_Category]]="Electronics", Table1[[#This Row],[Merchant_Category]]="Travel")), "unsafe merchant transaction", "safe merchant transaction")</f>
        <v>safe merchant transaction</v>
      </c>
    </row>
    <row r="116" spans="1:18">
      <c r="A116" t="s">
        <v>5224</v>
      </c>
      <c r="B116" t="s">
        <v>39</v>
      </c>
      <c r="C116">
        <v>1</v>
      </c>
      <c r="D116" t="s">
        <v>15</v>
      </c>
      <c r="E116" t="s">
        <v>420</v>
      </c>
      <c r="F116" s="2">
        <v>45938</v>
      </c>
      <c r="G116">
        <v>8820.66</v>
      </c>
      <c r="H116" s="1">
        <f>AVERAGEIF(Table1[Customer_ID], Table1[[#This Row],[Customer_ID]], Table1[Transaction_Amount])</f>
        <v>5524.1660655737705</v>
      </c>
      <c r="I116" t="s">
        <v>2547</v>
      </c>
      <c r="J116" t="s">
        <v>50</v>
      </c>
      <c r="K116" t="s">
        <v>10</v>
      </c>
      <c r="L116">
        <v>2</v>
      </c>
      <c r="M116" t="s">
        <v>42</v>
      </c>
      <c r="N116" t="s">
        <v>32</v>
      </c>
      <c r="O116" t="s">
        <v>392</v>
      </c>
      <c r="P116" s="6" t="str">
        <f>IF(Table1[[#This Row],[Transaction_Amount]]&lt;=Table1[[#This Row],[avg_transaction_amount]], "usual transaction", "unusual transaction")</f>
        <v>unusual transaction</v>
      </c>
      <c r="Q116" s="6" t="str">
        <f>IF(AND(Table1[[#This Row],[Country_of_Residence]]&lt;&gt;Table1[[#This Row],[Country_of_Transaction]], OR(Table1[[#This Row],[Authentication_Type]]="Biometric", Table1[[#This Row],[Authentication_Type]]="OTP")), "safe location transaction", "unsafe location transaction")</f>
        <v>safe location transaction</v>
      </c>
      <c r="R116" s="6" t="str">
        <f>IF(AND(Table1[[#This Row],[Country_of_Residence]]&lt;&gt;Table1[[#This Row],[Country_of_Transaction]], OR(Table1[[#This Row],[Merchant_Category]]="Electronics", Table1[[#This Row],[Merchant_Category]]="Travel")), "unsafe merchant transaction", "safe merchant transaction")</f>
        <v>unsafe merchant transaction</v>
      </c>
    </row>
    <row r="117" spans="1:18">
      <c r="A117" t="s">
        <v>5289</v>
      </c>
      <c r="B117" t="s">
        <v>39</v>
      </c>
      <c r="C117">
        <v>1</v>
      </c>
      <c r="D117" t="s">
        <v>9</v>
      </c>
      <c r="E117" t="s">
        <v>3</v>
      </c>
      <c r="F117" s="2">
        <v>45890</v>
      </c>
      <c r="G117">
        <v>8195.77</v>
      </c>
      <c r="H117" s="1">
        <f>AVERAGEIF(Table1[Customer_ID], Table1[[#This Row],[Customer_ID]], Table1[Transaction_Amount])</f>
        <v>5524.1660655737705</v>
      </c>
      <c r="I117" t="s">
        <v>2595</v>
      </c>
      <c r="J117" t="s">
        <v>41</v>
      </c>
      <c r="K117" t="s">
        <v>14</v>
      </c>
      <c r="L117">
        <v>3</v>
      </c>
      <c r="M117" t="s">
        <v>33</v>
      </c>
      <c r="N117" t="s">
        <v>37</v>
      </c>
      <c r="O117" t="s">
        <v>392</v>
      </c>
      <c r="P117" s="6" t="str">
        <f>IF(Table1[[#This Row],[Transaction_Amount]]&lt;=Table1[[#This Row],[avg_transaction_amount]], "usual transaction", "unusual transaction")</f>
        <v>unusual transaction</v>
      </c>
      <c r="Q117" s="6" t="str">
        <f>IF(AND(Table1[[#This Row],[Country_of_Residence]]&lt;&gt;Table1[[#This Row],[Country_of_Transaction]], OR(Table1[[#This Row],[Authentication_Type]]="Biometric", Table1[[#This Row],[Authentication_Type]]="OTP")), "safe location transaction", "unsafe location transaction")</f>
        <v>unsafe location transaction</v>
      </c>
      <c r="R117" s="6" t="str">
        <f>IF(AND(Table1[[#This Row],[Country_of_Residence]]&lt;&gt;Table1[[#This Row],[Country_of_Transaction]], OR(Table1[[#This Row],[Merchant_Category]]="Electronics", Table1[[#This Row],[Merchant_Category]]="Travel")), "unsafe merchant transaction", "safe merchant transaction")</f>
        <v>safe merchant transaction</v>
      </c>
    </row>
    <row r="118" spans="1:18">
      <c r="A118" t="s">
        <v>5407</v>
      </c>
      <c r="B118" t="s">
        <v>39</v>
      </c>
      <c r="C118">
        <v>1</v>
      </c>
      <c r="D118" t="s">
        <v>15</v>
      </c>
      <c r="E118" t="s">
        <v>6</v>
      </c>
      <c r="F118" s="2">
        <v>45685</v>
      </c>
      <c r="G118">
        <v>9963.2999999999993</v>
      </c>
      <c r="H118" s="1">
        <f>AVERAGEIF(Table1[Customer_ID], Table1[[#This Row],[Customer_ID]], Table1[Transaction_Amount])</f>
        <v>5524.1660655737705</v>
      </c>
      <c r="I118" t="s">
        <v>2508</v>
      </c>
      <c r="J118" t="s">
        <v>41</v>
      </c>
      <c r="K118" t="s">
        <v>14</v>
      </c>
      <c r="L118">
        <v>5</v>
      </c>
      <c r="M118" t="s">
        <v>412</v>
      </c>
      <c r="N118" t="s">
        <v>412</v>
      </c>
      <c r="O118" t="s">
        <v>392</v>
      </c>
      <c r="P118" s="6" t="str">
        <f>IF(Table1[[#This Row],[Transaction_Amount]]&lt;=Table1[[#This Row],[avg_transaction_amount]], "usual transaction", "unusual transaction")</f>
        <v>unusual transaction</v>
      </c>
      <c r="Q118" s="6" t="str">
        <f>IF(AND(Table1[[#This Row],[Country_of_Residence]]&lt;&gt;Table1[[#This Row],[Country_of_Transaction]], OR(Table1[[#This Row],[Authentication_Type]]="Biometric", Table1[[#This Row],[Authentication_Type]]="OTP")), "safe location transaction", "unsafe location transaction")</f>
        <v>unsafe location transaction</v>
      </c>
      <c r="R118" s="6" t="str">
        <f>IF(AND(Table1[[#This Row],[Country_of_Residence]]&lt;&gt;Table1[[#This Row],[Country_of_Transaction]], OR(Table1[[#This Row],[Merchant_Category]]="Electronics", Table1[[#This Row],[Merchant_Category]]="Travel")), "unsafe merchant transaction", "safe merchant transaction")</f>
        <v>safe merchant transaction</v>
      </c>
    </row>
    <row r="119" spans="1:18">
      <c r="A119" t="s">
        <v>5443</v>
      </c>
      <c r="B119" t="s">
        <v>39</v>
      </c>
      <c r="C119">
        <v>1</v>
      </c>
      <c r="D119" t="s">
        <v>15</v>
      </c>
      <c r="E119" t="s">
        <v>5</v>
      </c>
      <c r="F119" s="2">
        <v>45670</v>
      </c>
      <c r="G119">
        <v>5848.96</v>
      </c>
      <c r="H119" s="1">
        <f>AVERAGEIF(Table1[Customer_ID], Table1[[#This Row],[Customer_ID]], Table1[Transaction_Amount])</f>
        <v>5524.1660655737705</v>
      </c>
      <c r="I119" t="s">
        <v>2711</v>
      </c>
      <c r="J119" t="s">
        <v>50</v>
      </c>
      <c r="K119" t="s">
        <v>14</v>
      </c>
      <c r="L119">
        <v>2</v>
      </c>
      <c r="M119" t="s">
        <v>55</v>
      </c>
      <c r="N119" t="s">
        <v>56</v>
      </c>
      <c r="O119" t="s">
        <v>392</v>
      </c>
      <c r="P119" s="6" t="str">
        <f>IF(Table1[[#This Row],[Transaction_Amount]]&lt;=Table1[[#This Row],[avg_transaction_amount]], "usual transaction", "unusual transaction")</f>
        <v>unusual transaction</v>
      </c>
      <c r="Q119" s="6" t="str">
        <f>IF(AND(Table1[[#This Row],[Country_of_Residence]]&lt;&gt;Table1[[#This Row],[Country_of_Transaction]], OR(Table1[[#This Row],[Authentication_Type]]="Biometric", Table1[[#This Row],[Authentication_Type]]="OTP")), "safe location transaction", "unsafe location transaction")</f>
        <v>unsafe location transaction</v>
      </c>
      <c r="R119" s="6" t="str">
        <f>IF(AND(Table1[[#This Row],[Country_of_Residence]]&lt;&gt;Table1[[#This Row],[Country_of_Transaction]], OR(Table1[[#This Row],[Merchant_Category]]="Electronics", Table1[[#This Row],[Merchant_Category]]="Travel")), "unsafe merchant transaction", "safe merchant transaction")</f>
        <v>unsafe merchant transaction</v>
      </c>
    </row>
    <row r="120" spans="1:18">
      <c r="A120" t="s">
        <v>5489</v>
      </c>
      <c r="B120" t="s">
        <v>39</v>
      </c>
      <c r="C120">
        <v>1</v>
      </c>
      <c r="D120" t="s">
        <v>15</v>
      </c>
      <c r="E120" t="s">
        <v>5</v>
      </c>
      <c r="F120" s="2">
        <v>46000</v>
      </c>
      <c r="G120">
        <v>8973.5400000000009</v>
      </c>
      <c r="H120" s="1">
        <f>AVERAGEIF(Table1[Customer_ID], Table1[[#This Row],[Customer_ID]], Table1[Transaction_Amount])</f>
        <v>5524.1660655737705</v>
      </c>
      <c r="I120" t="s">
        <v>2746</v>
      </c>
      <c r="J120" t="s">
        <v>50</v>
      </c>
      <c r="K120" t="s">
        <v>14</v>
      </c>
      <c r="L120">
        <v>4</v>
      </c>
      <c r="M120" t="s">
        <v>33</v>
      </c>
      <c r="N120" t="s">
        <v>51</v>
      </c>
      <c r="O120" t="s">
        <v>393</v>
      </c>
      <c r="P120" s="6" t="str">
        <f>IF(Table1[[#This Row],[Transaction_Amount]]&lt;=Table1[[#This Row],[avg_transaction_amount]], "usual transaction", "unusual transaction")</f>
        <v>unusual transaction</v>
      </c>
      <c r="Q120" s="6" t="str">
        <f>IF(AND(Table1[[#This Row],[Country_of_Residence]]&lt;&gt;Table1[[#This Row],[Country_of_Transaction]], OR(Table1[[#This Row],[Authentication_Type]]="Biometric", Table1[[#This Row],[Authentication_Type]]="OTP")), "safe location transaction", "unsafe location transaction")</f>
        <v>unsafe location transaction</v>
      </c>
      <c r="R120" s="6" t="str">
        <f>IF(AND(Table1[[#This Row],[Country_of_Residence]]&lt;&gt;Table1[[#This Row],[Country_of_Transaction]], OR(Table1[[#This Row],[Merchant_Category]]="Electronics", Table1[[#This Row],[Merchant_Category]]="Travel")), "unsafe merchant transaction", "safe merchant transaction")</f>
        <v>unsafe merchant transaction</v>
      </c>
    </row>
    <row r="121" spans="1:18">
      <c r="A121" t="s">
        <v>67</v>
      </c>
      <c r="B121" t="s">
        <v>53</v>
      </c>
      <c r="C121">
        <v>1</v>
      </c>
      <c r="D121" t="s">
        <v>11</v>
      </c>
      <c r="E121" t="s">
        <v>3</v>
      </c>
      <c r="F121" s="2">
        <v>45836.430555555598</v>
      </c>
      <c r="G121">
        <v>8383.33</v>
      </c>
      <c r="H121" s="1">
        <f>AVERAGEIF(Table1[Customer_ID], Table1[[#This Row],[Customer_ID]], Table1[Transaction_Amount])</f>
        <v>5215.4396000000024</v>
      </c>
      <c r="I121" t="s">
        <v>68</v>
      </c>
      <c r="J121" t="s">
        <v>50</v>
      </c>
      <c r="K121" t="s">
        <v>8</v>
      </c>
      <c r="L121">
        <v>3</v>
      </c>
      <c r="M121" t="s">
        <v>55</v>
      </c>
      <c r="N121" t="s">
        <v>69</v>
      </c>
      <c r="O121" t="s">
        <v>392</v>
      </c>
      <c r="P121" t="str">
        <f>IF(Table1[[#This Row],[Transaction_Amount]]&lt;=Table1[[#This Row],[avg_transaction_amount]], "usual transaction", "unusual transaction")</f>
        <v>unusual transaction</v>
      </c>
      <c r="Q121" t="str">
        <f>IF(AND(Table1[[#This Row],[Country_of_Residence]]&lt;&gt;Table1[[#This Row],[Country_of_Transaction]], OR(Table1[[#This Row],[Authentication_Type]]="Biometric", Table1[[#This Row],[Authentication_Type]]="OTP")), "safe location transaction", "unsafe location transaction")</f>
        <v>safe location transaction</v>
      </c>
      <c r="R121" t="str">
        <f>IF(AND(Table1[[#This Row],[Country_of_Residence]]&lt;&gt;Table1[[#This Row],[Country_of_Transaction]], OR(Table1[[#This Row],[Merchant_Category]]="Electronics", Table1[[#This Row],[Merchant_Category]]="Travel")), "unsafe merchant transaction", "safe merchant transaction")</f>
        <v>unsafe merchant transaction</v>
      </c>
    </row>
    <row r="122" spans="1:18">
      <c r="A122" t="s">
        <v>61</v>
      </c>
      <c r="B122" t="s">
        <v>53</v>
      </c>
      <c r="C122">
        <v>1</v>
      </c>
      <c r="D122" t="s">
        <v>13</v>
      </c>
      <c r="E122" t="s">
        <v>4</v>
      </c>
      <c r="F122" s="2">
        <v>45714.286111111098</v>
      </c>
      <c r="G122">
        <v>8731.2800000000007</v>
      </c>
      <c r="H122" s="1">
        <f>AVERAGEIF(Table1[Customer_ID], Table1[[#This Row],[Customer_ID]], Table1[Transaction_Amount])</f>
        <v>5215.4396000000024</v>
      </c>
      <c r="I122" t="s">
        <v>62</v>
      </c>
      <c r="J122" t="s">
        <v>41</v>
      </c>
      <c r="K122" t="s">
        <v>8</v>
      </c>
      <c r="L122">
        <v>0</v>
      </c>
      <c r="M122" t="s">
        <v>55</v>
      </c>
      <c r="N122" t="s">
        <v>63</v>
      </c>
      <c r="O122" t="s">
        <v>393</v>
      </c>
      <c r="P122" t="str">
        <f>IF(Table1[[#This Row],[Transaction_Amount]]&lt;=Table1[[#This Row],[avg_transaction_amount]], "usual transaction", "unusual transaction")</f>
        <v>unusual transaction</v>
      </c>
      <c r="Q122" t="str">
        <f>IF(AND(Table1[[#This Row],[Country_of_Residence]]&lt;&gt;Table1[[#This Row],[Country_of_Transaction]], OR(Table1[[#This Row],[Authentication_Type]]="Biometric", Table1[[#This Row],[Authentication_Type]]="OTP")), "safe location transaction", "unsafe location transaction")</f>
        <v>safe location transaction</v>
      </c>
      <c r="R122" t="str">
        <f>IF(AND(Table1[[#This Row],[Country_of_Residence]]&lt;&gt;Table1[[#This Row],[Country_of_Transaction]], OR(Table1[[#This Row],[Merchant_Category]]="Electronics", Table1[[#This Row],[Merchant_Category]]="Travel")), "unsafe merchant transaction", "safe merchant transaction")</f>
        <v>safe merchant transaction</v>
      </c>
    </row>
    <row r="123" spans="1:18">
      <c r="A123" t="s">
        <v>52</v>
      </c>
      <c r="B123" t="s">
        <v>53</v>
      </c>
      <c r="C123">
        <v>1</v>
      </c>
      <c r="D123" t="s">
        <v>15</v>
      </c>
      <c r="E123" t="s">
        <v>5</v>
      </c>
      <c r="F123" s="2">
        <v>45894.105555555601</v>
      </c>
      <c r="G123">
        <v>3697.5</v>
      </c>
      <c r="H123" s="1">
        <f>AVERAGEIF(Table1[Customer_ID], Table1[[#This Row],[Customer_ID]], Table1[Transaction_Amount])</f>
        <v>5215.4396000000024</v>
      </c>
      <c r="I123" t="s">
        <v>54</v>
      </c>
      <c r="J123" t="s">
        <v>36</v>
      </c>
      <c r="K123" t="s">
        <v>14</v>
      </c>
      <c r="L123">
        <v>1</v>
      </c>
      <c r="M123" t="s">
        <v>55</v>
      </c>
      <c r="N123" t="s">
        <v>56</v>
      </c>
      <c r="O123" t="s">
        <v>393</v>
      </c>
      <c r="P123" t="str">
        <f>IF(Table1[[#This Row],[Transaction_Amount]]&lt;=Table1[[#This Row],[avg_transaction_amount]], "usual transaction", "unusual transaction")</f>
        <v>usual transaction</v>
      </c>
      <c r="Q123" t="str">
        <f>IF(AND(Table1[[#This Row],[Country_of_Residence]]&lt;&gt;Table1[[#This Row],[Country_of_Transaction]], OR(Table1[[#This Row],[Authentication_Type]]="Biometric", Table1[[#This Row],[Authentication_Type]]="OTP")), "safe location transaction", "unsafe location transaction")</f>
        <v>unsafe location transaction</v>
      </c>
      <c r="R123" t="str">
        <f>IF(AND(Table1[[#This Row],[Country_of_Residence]]&lt;&gt;Table1[[#This Row],[Country_of_Transaction]], OR(Table1[[#This Row],[Merchant_Category]]="Electronics", Table1[[#This Row],[Merchant_Category]]="Travel")), "unsafe merchant transaction", "safe merchant transaction")</f>
        <v>safe merchant transaction</v>
      </c>
    </row>
    <row r="124" spans="1:18">
      <c r="A124" t="s">
        <v>64</v>
      </c>
      <c r="B124" t="s">
        <v>53</v>
      </c>
      <c r="C124">
        <v>1</v>
      </c>
      <c r="D124" t="s">
        <v>11</v>
      </c>
      <c r="E124" t="s">
        <v>6</v>
      </c>
      <c r="F124" s="2">
        <v>45734.589583333298</v>
      </c>
      <c r="G124">
        <v>7432.01</v>
      </c>
      <c r="H124" s="1">
        <f>AVERAGEIF(Table1[Customer_ID], Table1[[#This Row],[Customer_ID]], Table1[Transaction_Amount])</f>
        <v>5215.4396000000024</v>
      </c>
      <c r="I124" t="s">
        <v>65</v>
      </c>
      <c r="J124" t="s">
        <v>36</v>
      </c>
      <c r="K124" t="s">
        <v>14</v>
      </c>
      <c r="L124">
        <v>4</v>
      </c>
      <c r="M124" t="s">
        <v>55</v>
      </c>
      <c r="N124" t="s">
        <v>66</v>
      </c>
      <c r="O124" t="s">
        <v>393</v>
      </c>
      <c r="P124" t="str">
        <f>IF(Table1[[#This Row],[Transaction_Amount]]&lt;=Table1[[#This Row],[avg_transaction_amount]], "usual transaction", "unusual transaction")</f>
        <v>unusual transaction</v>
      </c>
      <c r="Q124" t="str">
        <f>IF(AND(Table1[[#This Row],[Country_of_Residence]]&lt;&gt;Table1[[#This Row],[Country_of_Transaction]], OR(Table1[[#This Row],[Authentication_Type]]="Biometric", Table1[[#This Row],[Authentication_Type]]="OTP")), "safe location transaction", "unsafe location transaction")</f>
        <v>unsafe location transaction</v>
      </c>
      <c r="R124" t="str">
        <f>IF(AND(Table1[[#This Row],[Country_of_Residence]]&lt;&gt;Table1[[#This Row],[Country_of_Transaction]], OR(Table1[[#This Row],[Merchant_Category]]="Electronics", Table1[[#This Row],[Merchant_Category]]="Travel")), "unsafe merchant transaction", "safe merchant transaction")</f>
        <v>safe merchant transaction</v>
      </c>
    </row>
    <row r="125" spans="1:18">
      <c r="A125" t="s">
        <v>57</v>
      </c>
      <c r="B125" t="s">
        <v>53</v>
      </c>
      <c r="C125">
        <v>1</v>
      </c>
      <c r="D125" t="s">
        <v>11</v>
      </c>
      <c r="E125" t="s">
        <v>5</v>
      </c>
      <c r="F125" s="2">
        <v>45725.006249999999</v>
      </c>
      <c r="G125">
        <v>4513.29</v>
      </c>
      <c r="H125" s="1">
        <f>AVERAGEIF(Table1[Customer_ID], Table1[[#This Row],[Customer_ID]], Table1[Transaction_Amount])</f>
        <v>5215.4396000000024</v>
      </c>
      <c r="I125" t="s">
        <v>58</v>
      </c>
      <c r="J125" t="s">
        <v>59</v>
      </c>
      <c r="K125" t="s">
        <v>12</v>
      </c>
      <c r="L125">
        <v>5</v>
      </c>
      <c r="M125" t="s">
        <v>55</v>
      </c>
      <c r="N125" t="s">
        <v>60</v>
      </c>
      <c r="O125" t="s">
        <v>392</v>
      </c>
      <c r="P125" t="str">
        <f>IF(Table1[[#This Row],[Transaction_Amount]]&lt;=Table1[[#This Row],[avg_transaction_amount]], "usual transaction", "unusual transaction")</f>
        <v>usual transaction</v>
      </c>
      <c r="Q125" t="str">
        <f>IF(AND(Table1[[#This Row],[Country_of_Residence]]&lt;&gt;Table1[[#This Row],[Country_of_Transaction]], OR(Table1[[#This Row],[Authentication_Type]]="Biometric", Table1[[#This Row],[Authentication_Type]]="OTP")), "safe location transaction", "unsafe location transaction")</f>
        <v>unsafe location transaction</v>
      </c>
      <c r="R125" t="str">
        <f>IF(AND(Table1[[#This Row],[Country_of_Residence]]&lt;&gt;Table1[[#This Row],[Country_of_Transaction]], OR(Table1[[#This Row],[Merchant_Category]]="Electronics", Table1[[#This Row],[Merchant_Category]]="Travel")), "unsafe merchant transaction", "safe merchant transaction")</f>
        <v>unsafe merchant transaction</v>
      </c>
    </row>
    <row r="126" spans="1:18">
      <c r="A126" t="s">
        <v>2771</v>
      </c>
      <c r="B126" t="s">
        <v>53</v>
      </c>
      <c r="C126">
        <v>1</v>
      </c>
      <c r="D126" t="s">
        <v>15</v>
      </c>
      <c r="E126" t="s">
        <v>6</v>
      </c>
      <c r="F126" s="2">
        <v>45948</v>
      </c>
      <c r="G126">
        <v>8060.21</v>
      </c>
      <c r="H126" s="1">
        <f>AVERAGEIF(Table1[Customer_ID], Table1[[#This Row],[Customer_ID]], Table1[Transaction_Amount])</f>
        <v>5215.4396000000024</v>
      </c>
      <c r="I126" t="s">
        <v>419</v>
      </c>
      <c r="J126" t="s">
        <v>46</v>
      </c>
      <c r="K126" t="s">
        <v>8</v>
      </c>
      <c r="L126">
        <v>3</v>
      </c>
      <c r="M126" t="s">
        <v>47</v>
      </c>
      <c r="N126" t="s">
        <v>42</v>
      </c>
      <c r="O126" t="s">
        <v>393</v>
      </c>
      <c r="P126" s="6" t="str">
        <f>IF(Table1[[#This Row],[Transaction_Amount]]&lt;=Table1[[#This Row],[avg_transaction_amount]], "usual transaction", "unusual transaction")</f>
        <v>unusual transaction</v>
      </c>
      <c r="Q126" s="6" t="str">
        <f>IF(AND(Table1[[#This Row],[Country_of_Residence]]&lt;&gt;Table1[[#This Row],[Country_of_Transaction]], OR(Table1[[#This Row],[Authentication_Type]]="Biometric", Table1[[#This Row],[Authentication_Type]]="OTP")), "safe location transaction", "unsafe location transaction")</f>
        <v>safe location transaction</v>
      </c>
      <c r="R126" s="6" t="str">
        <f>IF(AND(Table1[[#This Row],[Country_of_Residence]]&lt;&gt;Table1[[#This Row],[Country_of_Transaction]], OR(Table1[[#This Row],[Merchant_Category]]="Electronics", Table1[[#This Row],[Merchant_Category]]="Travel")), "unsafe merchant transaction", "safe merchant transaction")</f>
        <v>safe merchant transaction</v>
      </c>
    </row>
    <row r="127" spans="1:18">
      <c r="A127" t="s">
        <v>2792</v>
      </c>
      <c r="B127" t="s">
        <v>53</v>
      </c>
      <c r="C127">
        <v>1</v>
      </c>
      <c r="D127" t="s">
        <v>9</v>
      </c>
      <c r="E127" t="s">
        <v>5</v>
      </c>
      <c r="F127" s="2">
        <v>45814</v>
      </c>
      <c r="G127">
        <v>8593</v>
      </c>
      <c r="H127" s="1">
        <f>AVERAGEIF(Table1[Customer_ID], Table1[[#This Row],[Customer_ID]], Table1[Transaction_Amount])</f>
        <v>5215.4396000000024</v>
      </c>
      <c r="I127" t="s">
        <v>442</v>
      </c>
      <c r="J127" t="s">
        <v>31</v>
      </c>
      <c r="K127" t="s">
        <v>12</v>
      </c>
      <c r="L127">
        <v>3</v>
      </c>
      <c r="M127" t="s">
        <v>51</v>
      </c>
      <c r="N127" t="s">
        <v>37</v>
      </c>
      <c r="O127" t="s">
        <v>392</v>
      </c>
      <c r="P127" s="6" t="str">
        <f>IF(Table1[[#This Row],[Transaction_Amount]]&lt;=Table1[[#This Row],[avg_transaction_amount]], "usual transaction", "unusual transaction")</f>
        <v>unusual transaction</v>
      </c>
      <c r="Q127" s="6" t="str">
        <f>IF(AND(Table1[[#This Row],[Country_of_Residence]]&lt;&gt;Table1[[#This Row],[Country_of_Transaction]], OR(Table1[[#This Row],[Authentication_Type]]="Biometric", Table1[[#This Row],[Authentication_Type]]="OTP")), "safe location transaction", "unsafe location transaction")</f>
        <v>unsafe location transaction</v>
      </c>
      <c r="R127" s="6" t="str">
        <f>IF(AND(Table1[[#This Row],[Country_of_Residence]]&lt;&gt;Table1[[#This Row],[Country_of_Transaction]], OR(Table1[[#This Row],[Merchant_Category]]="Electronics", Table1[[#This Row],[Merchant_Category]]="Travel")), "unsafe merchant transaction", "safe merchant transaction")</f>
        <v>safe merchant transaction</v>
      </c>
    </row>
    <row r="128" spans="1:18">
      <c r="A128" t="s">
        <v>2998</v>
      </c>
      <c r="B128" t="s">
        <v>53</v>
      </c>
      <c r="C128">
        <v>1</v>
      </c>
      <c r="D128" t="s">
        <v>9</v>
      </c>
      <c r="E128" t="s">
        <v>420</v>
      </c>
      <c r="F128" s="2">
        <v>45912</v>
      </c>
      <c r="G128">
        <v>9425.69</v>
      </c>
      <c r="H128" s="1">
        <f>AVERAGEIF(Table1[Customer_ID], Table1[[#This Row],[Customer_ID]], Table1[Transaction_Amount])</f>
        <v>5215.4396000000024</v>
      </c>
      <c r="I128" t="s">
        <v>645</v>
      </c>
      <c r="J128" t="s">
        <v>36</v>
      </c>
      <c r="K128" t="s">
        <v>12</v>
      </c>
      <c r="L128">
        <v>2</v>
      </c>
      <c r="M128" t="s">
        <v>55</v>
      </c>
      <c r="N128" t="s">
        <v>42</v>
      </c>
      <c r="O128" t="s">
        <v>393</v>
      </c>
      <c r="P128" s="6" t="str">
        <f>IF(Table1[[#This Row],[Transaction_Amount]]&lt;=Table1[[#This Row],[avg_transaction_amount]], "usual transaction", "unusual transaction")</f>
        <v>unusual transaction</v>
      </c>
      <c r="Q128" s="6" t="str">
        <f>IF(AND(Table1[[#This Row],[Country_of_Residence]]&lt;&gt;Table1[[#This Row],[Country_of_Transaction]], OR(Table1[[#This Row],[Authentication_Type]]="Biometric", Table1[[#This Row],[Authentication_Type]]="OTP")), "safe location transaction", "unsafe location transaction")</f>
        <v>unsafe location transaction</v>
      </c>
      <c r="R128" s="6" t="str">
        <f>IF(AND(Table1[[#This Row],[Country_of_Residence]]&lt;&gt;Table1[[#This Row],[Country_of_Transaction]], OR(Table1[[#This Row],[Merchant_Category]]="Electronics", Table1[[#This Row],[Merchant_Category]]="Travel")), "unsafe merchant transaction", "safe merchant transaction")</f>
        <v>safe merchant transaction</v>
      </c>
    </row>
    <row r="129" spans="1:18">
      <c r="A129" t="s">
        <v>3083</v>
      </c>
      <c r="B129" t="s">
        <v>53</v>
      </c>
      <c r="C129">
        <v>1</v>
      </c>
      <c r="D129" t="s">
        <v>9</v>
      </c>
      <c r="E129" t="s">
        <v>5</v>
      </c>
      <c r="F129" s="2">
        <v>45954</v>
      </c>
      <c r="G129">
        <v>9806.8700000000008</v>
      </c>
      <c r="H129" s="1">
        <f>AVERAGEIF(Table1[Customer_ID], Table1[[#This Row],[Customer_ID]], Table1[Transaction_Amount])</f>
        <v>5215.4396000000024</v>
      </c>
      <c r="I129" t="s">
        <v>727</v>
      </c>
      <c r="J129" t="s">
        <v>36</v>
      </c>
      <c r="K129" t="s">
        <v>8</v>
      </c>
      <c r="L129">
        <v>2</v>
      </c>
      <c r="M129" t="s">
        <v>32</v>
      </c>
      <c r="N129" t="s">
        <v>33</v>
      </c>
      <c r="O129" t="s">
        <v>393</v>
      </c>
      <c r="P129" s="6" t="str">
        <f>IF(Table1[[#This Row],[Transaction_Amount]]&lt;=Table1[[#This Row],[avg_transaction_amount]], "usual transaction", "unusual transaction")</f>
        <v>unusual transaction</v>
      </c>
      <c r="Q129" s="6" t="str">
        <f>IF(AND(Table1[[#This Row],[Country_of_Residence]]&lt;&gt;Table1[[#This Row],[Country_of_Transaction]], OR(Table1[[#This Row],[Authentication_Type]]="Biometric", Table1[[#This Row],[Authentication_Type]]="OTP")), "safe location transaction", "unsafe location transaction")</f>
        <v>safe location transaction</v>
      </c>
      <c r="R129" s="6" t="str">
        <f>IF(AND(Table1[[#This Row],[Country_of_Residence]]&lt;&gt;Table1[[#This Row],[Country_of_Transaction]], OR(Table1[[#This Row],[Merchant_Category]]="Electronics", Table1[[#This Row],[Merchant_Category]]="Travel")), "unsafe merchant transaction", "safe merchant transaction")</f>
        <v>safe merchant transaction</v>
      </c>
    </row>
    <row r="130" spans="1:18">
      <c r="A130" t="s">
        <v>3161</v>
      </c>
      <c r="B130" t="s">
        <v>53</v>
      </c>
      <c r="C130">
        <v>1</v>
      </c>
      <c r="D130" t="s">
        <v>9</v>
      </c>
      <c r="E130" t="s">
        <v>3</v>
      </c>
      <c r="F130" s="2">
        <v>45943</v>
      </c>
      <c r="G130">
        <v>8783.91</v>
      </c>
      <c r="H130" s="1">
        <f>AVERAGEIF(Table1[Customer_ID], Table1[[#This Row],[Customer_ID]], Table1[Transaction_Amount])</f>
        <v>5215.4396000000024</v>
      </c>
      <c r="I130" t="s">
        <v>798</v>
      </c>
      <c r="J130" t="s">
        <v>31</v>
      </c>
      <c r="K130" t="s">
        <v>12</v>
      </c>
      <c r="L130">
        <v>2</v>
      </c>
      <c r="M130" t="s">
        <v>47</v>
      </c>
      <c r="N130" t="s">
        <v>56</v>
      </c>
      <c r="O130" t="s">
        <v>393</v>
      </c>
      <c r="P130" s="6" t="str">
        <f>IF(Table1[[#This Row],[Transaction_Amount]]&lt;=Table1[[#This Row],[avg_transaction_amount]], "usual transaction", "unusual transaction")</f>
        <v>unusual transaction</v>
      </c>
      <c r="Q130" s="6" t="str">
        <f>IF(AND(Table1[[#This Row],[Country_of_Residence]]&lt;&gt;Table1[[#This Row],[Country_of_Transaction]], OR(Table1[[#This Row],[Authentication_Type]]="Biometric", Table1[[#This Row],[Authentication_Type]]="OTP")), "safe location transaction", "unsafe location transaction")</f>
        <v>unsafe location transaction</v>
      </c>
      <c r="R130" s="6" t="str">
        <f>IF(AND(Table1[[#This Row],[Country_of_Residence]]&lt;&gt;Table1[[#This Row],[Country_of_Transaction]], OR(Table1[[#This Row],[Merchant_Category]]="Electronics", Table1[[#This Row],[Merchant_Category]]="Travel")), "unsafe merchant transaction", "safe merchant transaction")</f>
        <v>safe merchant transaction</v>
      </c>
    </row>
    <row r="131" spans="1:18">
      <c r="A131" t="s">
        <v>3272</v>
      </c>
      <c r="B131" t="s">
        <v>53</v>
      </c>
      <c r="C131">
        <v>1</v>
      </c>
      <c r="D131" t="s">
        <v>9</v>
      </c>
      <c r="E131" t="s">
        <v>6</v>
      </c>
      <c r="F131" s="2">
        <v>45909</v>
      </c>
      <c r="G131">
        <v>1809.85</v>
      </c>
      <c r="H131" s="1">
        <f>AVERAGEIF(Table1[Customer_ID], Table1[[#This Row],[Customer_ID]], Table1[Transaction_Amount])</f>
        <v>5215.4396000000024</v>
      </c>
      <c r="I131" t="s">
        <v>900</v>
      </c>
      <c r="J131" t="s">
        <v>50</v>
      </c>
      <c r="K131" t="s">
        <v>8</v>
      </c>
      <c r="L131">
        <v>3</v>
      </c>
      <c r="M131" t="s">
        <v>32</v>
      </c>
      <c r="N131" t="s">
        <v>47</v>
      </c>
      <c r="O131" t="s">
        <v>393</v>
      </c>
      <c r="P131" s="6" t="str">
        <f>IF(Table1[[#This Row],[Transaction_Amount]]&lt;=Table1[[#This Row],[avg_transaction_amount]], "usual transaction", "unusual transaction")</f>
        <v>usual transaction</v>
      </c>
      <c r="Q131" s="6" t="str">
        <f>IF(AND(Table1[[#This Row],[Country_of_Residence]]&lt;&gt;Table1[[#This Row],[Country_of_Transaction]], OR(Table1[[#This Row],[Authentication_Type]]="Biometric", Table1[[#This Row],[Authentication_Type]]="OTP")), "safe location transaction", "unsafe location transaction")</f>
        <v>safe location transaction</v>
      </c>
      <c r="R131" s="6" t="str">
        <f>IF(AND(Table1[[#This Row],[Country_of_Residence]]&lt;&gt;Table1[[#This Row],[Country_of_Transaction]], OR(Table1[[#This Row],[Merchant_Category]]="Electronics", Table1[[#This Row],[Merchant_Category]]="Travel")), "unsafe merchant transaction", "safe merchant transaction")</f>
        <v>unsafe merchant transaction</v>
      </c>
    </row>
    <row r="132" spans="1:18">
      <c r="A132" t="s">
        <v>3276</v>
      </c>
      <c r="B132" t="s">
        <v>53</v>
      </c>
      <c r="C132">
        <v>1</v>
      </c>
      <c r="D132" t="s">
        <v>9</v>
      </c>
      <c r="E132" t="s">
        <v>5</v>
      </c>
      <c r="F132" s="2">
        <v>45668</v>
      </c>
      <c r="G132">
        <v>4636.05</v>
      </c>
      <c r="H132" s="1">
        <f>AVERAGEIF(Table1[Customer_ID], Table1[[#This Row],[Customer_ID]], Table1[Transaction_Amount])</f>
        <v>5215.4396000000024</v>
      </c>
      <c r="I132" t="s">
        <v>904</v>
      </c>
      <c r="J132" t="s">
        <v>41</v>
      </c>
      <c r="K132" t="s">
        <v>10</v>
      </c>
      <c r="L132">
        <v>2</v>
      </c>
      <c r="M132" t="s">
        <v>56</v>
      </c>
      <c r="N132" t="s">
        <v>56</v>
      </c>
      <c r="O132" t="s">
        <v>393</v>
      </c>
      <c r="P132" s="6" t="str">
        <f>IF(Table1[[#This Row],[Transaction_Amount]]&lt;=Table1[[#This Row],[avg_transaction_amount]], "usual transaction", "unusual transaction")</f>
        <v>usual transaction</v>
      </c>
      <c r="Q132" s="6" t="str">
        <f>IF(AND(Table1[[#This Row],[Country_of_Residence]]&lt;&gt;Table1[[#This Row],[Country_of_Transaction]], OR(Table1[[#This Row],[Authentication_Type]]="Biometric", Table1[[#This Row],[Authentication_Type]]="OTP")), "safe location transaction", "unsafe location transaction")</f>
        <v>unsafe location transaction</v>
      </c>
      <c r="R132" s="6" t="str">
        <f>IF(AND(Table1[[#This Row],[Country_of_Residence]]&lt;&gt;Table1[[#This Row],[Country_of_Transaction]], OR(Table1[[#This Row],[Merchant_Category]]="Electronics", Table1[[#This Row],[Merchant_Category]]="Travel")), "unsafe merchant transaction", "safe merchant transaction")</f>
        <v>safe merchant transaction</v>
      </c>
    </row>
    <row r="133" spans="1:18">
      <c r="A133" t="s">
        <v>3290</v>
      </c>
      <c r="B133" t="s">
        <v>53</v>
      </c>
      <c r="C133">
        <v>1</v>
      </c>
      <c r="D133" t="s">
        <v>9</v>
      </c>
      <c r="E133" t="s">
        <v>420</v>
      </c>
      <c r="F133" s="2">
        <v>45869</v>
      </c>
      <c r="G133">
        <v>2776.66</v>
      </c>
      <c r="H133" s="1">
        <f>AVERAGEIF(Table1[Customer_ID], Table1[[#This Row],[Customer_ID]], Table1[Transaction_Amount])</f>
        <v>5215.4396000000024</v>
      </c>
      <c r="I133" t="s">
        <v>918</v>
      </c>
      <c r="J133" t="s">
        <v>31</v>
      </c>
      <c r="K133" t="s">
        <v>12</v>
      </c>
      <c r="L133">
        <v>5</v>
      </c>
      <c r="M133" t="s">
        <v>37</v>
      </c>
      <c r="N133" t="s">
        <v>33</v>
      </c>
      <c r="O133" t="s">
        <v>392</v>
      </c>
      <c r="P133" s="6" t="str">
        <f>IF(Table1[[#This Row],[Transaction_Amount]]&lt;=Table1[[#This Row],[avg_transaction_amount]], "usual transaction", "unusual transaction")</f>
        <v>usual transaction</v>
      </c>
      <c r="Q133" s="6" t="str">
        <f>IF(AND(Table1[[#This Row],[Country_of_Residence]]&lt;&gt;Table1[[#This Row],[Country_of_Transaction]], OR(Table1[[#This Row],[Authentication_Type]]="Biometric", Table1[[#This Row],[Authentication_Type]]="OTP")), "safe location transaction", "unsafe location transaction")</f>
        <v>unsafe location transaction</v>
      </c>
      <c r="R133" s="6" t="str">
        <f>IF(AND(Table1[[#This Row],[Country_of_Residence]]&lt;&gt;Table1[[#This Row],[Country_of_Transaction]], OR(Table1[[#This Row],[Merchant_Category]]="Electronics", Table1[[#This Row],[Merchant_Category]]="Travel")), "unsafe merchant transaction", "safe merchant transaction")</f>
        <v>safe merchant transaction</v>
      </c>
    </row>
    <row r="134" spans="1:18">
      <c r="A134" t="s">
        <v>3389</v>
      </c>
      <c r="B134" t="s">
        <v>53</v>
      </c>
      <c r="C134">
        <v>1</v>
      </c>
      <c r="D134" t="s">
        <v>15</v>
      </c>
      <c r="E134" t="s">
        <v>6</v>
      </c>
      <c r="F134" s="2">
        <v>45759</v>
      </c>
      <c r="G134">
        <v>8273.42</v>
      </c>
      <c r="H134" s="1">
        <f>AVERAGEIF(Table1[Customer_ID], Table1[[#This Row],[Customer_ID]], Table1[Transaction_Amount])</f>
        <v>5215.4396000000024</v>
      </c>
      <c r="I134" t="s">
        <v>1010</v>
      </c>
      <c r="J134" t="s">
        <v>50</v>
      </c>
      <c r="K134" t="s">
        <v>12</v>
      </c>
      <c r="L134">
        <v>1</v>
      </c>
      <c r="M134" t="s">
        <v>37</v>
      </c>
      <c r="N134" t="s">
        <v>33</v>
      </c>
      <c r="O134" t="s">
        <v>392</v>
      </c>
      <c r="P134" s="6" t="str">
        <f>IF(Table1[[#This Row],[Transaction_Amount]]&lt;=Table1[[#This Row],[avg_transaction_amount]], "usual transaction", "unusual transaction")</f>
        <v>unusual transaction</v>
      </c>
      <c r="Q134" s="6" t="str">
        <f>IF(AND(Table1[[#This Row],[Country_of_Residence]]&lt;&gt;Table1[[#This Row],[Country_of_Transaction]], OR(Table1[[#This Row],[Authentication_Type]]="Biometric", Table1[[#This Row],[Authentication_Type]]="OTP")), "safe location transaction", "unsafe location transaction")</f>
        <v>unsafe location transaction</v>
      </c>
      <c r="R134" s="6" t="str">
        <f>IF(AND(Table1[[#This Row],[Country_of_Residence]]&lt;&gt;Table1[[#This Row],[Country_of_Transaction]], OR(Table1[[#This Row],[Merchant_Category]]="Electronics", Table1[[#This Row],[Merchant_Category]]="Travel")), "unsafe merchant transaction", "safe merchant transaction")</f>
        <v>unsafe merchant transaction</v>
      </c>
    </row>
    <row r="135" spans="1:18">
      <c r="A135" t="s">
        <v>3397</v>
      </c>
      <c r="B135" t="s">
        <v>53</v>
      </c>
      <c r="C135">
        <v>1</v>
      </c>
      <c r="D135" t="s">
        <v>15</v>
      </c>
      <c r="E135" t="s">
        <v>5</v>
      </c>
      <c r="F135" s="2">
        <v>46001</v>
      </c>
      <c r="G135">
        <v>156.84</v>
      </c>
      <c r="H135" s="1">
        <f>AVERAGEIF(Table1[Customer_ID], Table1[[#This Row],[Customer_ID]], Table1[Transaction_Amount])</f>
        <v>5215.4396000000024</v>
      </c>
      <c r="I135" t="s">
        <v>1018</v>
      </c>
      <c r="J135" t="s">
        <v>36</v>
      </c>
      <c r="K135" t="s">
        <v>8</v>
      </c>
      <c r="L135">
        <v>0</v>
      </c>
      <c r="M135" t="s">
        <v>32</v>
      </c>
      <c r="N135" t="s">
        <v>33</v>
      </c>
      <c r="O135" t="s">
        <v>392</v>
      </c>
      <c r="P135" s="6" t="str">
        <f>IF(Table1[[#This Row],[Transaction_Amount]]&lt;=Table1[[#This Row],[avg_transaction_amount]], "usual transaction", "unusual transaction")</f>
        <v>usual transaction</v>
      </c>
      <c r="Q135" s="6" t="str">
        <f>IF(AND(Table1[[#This Row],[Country_of_Residence]]&lt;&gt;Table1[[#This Row],[Country_of_Transaction]], OR(Table1[[#This Row],[Authentication_Type]]="Biometric", Table1[[#This Row],[Authentication_Type]]="OTP")), "safe location transaction", "unsafe location transaction")</f>
        <v>safe location transaction</v>
      </c>
      <c r="R135" s="6" t="str">
        <f>IF(AND(Table1[[#This Row],[Country_of_Residence]]&lt;&gt;Table1[[#This Row],[Country_of_Transaction]], OR(Table1[[#This Row],[Merchant_Category]]="Electronics", Table1[[#This Row],[Merchant_Category]]="Travel")), "unsafe merchant transaction", "safe merchant transaction")</f>
        <v>safe merchant transaction</v>
      </c>
    </row>
    <row r="136" spans="1:18">
      <c r="A136" t="s">
        <v>3402</v>
      </c>
      <c r="B136" t="s">
        <v>53</v>
      </c>
      <c r="C136">
        <v>1</v>
      </c>
      <c r="D136" t="s">
        <v>9</v>
      </c>
      <c r="E136" t="s">
        <v>5</v>
      </c>
      <c r="F136" s="2">
        <v>45945</v>
      </c>
      <c r="G136">
        <v>4186.0200000000004</v>
      </c>
      <c r="H136" s="1">
        <f>AVERAGEIF(Table1[Customer_ID], Table1[[#This Row],[Customer_ID]], Table1[Transaction_Amount])</f>
        <v>5215.4396000000024</v>
      </c>
      <c r="I136" t="s">
        <v>1023</v>
      </c>
      <c r="J136" t="s">
        <v>41</v>
      </c>
      <c r="K136" t="s">
        <v>12</v>
      </c>
      <c r="L136">
        <v>4</v>
      </c>
      <c r="M136" t="s">
        <v>56</v>
      </c>
      <c r="N136" t="s">
        <v>56</v>
      </c>
      <c r="O136" t="s">
        <v>392</v>
      </c>
      <c r="P136" s="6" t="str">
        <f>IF(Table1[[#This Row],[Transaction_Amount]]&lt;=Table1[[#This Row],[avg_transaction_amount]], "usual transaction", "unusual transaction")</f>
        <v>usual transaction</v>
      </c>
      <c r="Q136" s="6" t="str">
        <f>IF(AND(Table1[[#This Row],[Country_of_Residence]]&lt;&gt;Table1[[#This Row],[Country_of_Transaction]], OR(Table1[[#This Row],[Authentication_Type]]="Biometric", Table1[[#This Row],[Authentication_Type]]="OTP")), "safe location transaction", "unsafe location transaction")</f>
        <v>unsafe location transaction</v>
      </c>
      <c r="R136" s="6" t="str">
        <f>IF(AND(Table1[[#This Row],[Country_of_Residence]]&lt;&gt;Table1[[#This Row],[Country_of_Transaction]], OR(Table1[[#This Row],[Merchant_Category]]="Electronics", Table1[[#This Row],[Merchant_Category]]="Travel")), "unsafe merchant transaction", "safe merchant transaction")</f>
        <v>safe merchant transaction</v>
      </c>
    </row>
    <row r="137" spans="1:18">
      <c r="A137" t="s">
        <v>3415</v>
      </c>
      <c r="B137" t="s">
        <v>53</v>
      </c>
      <c r="C137">
        <v>1</v>
      </c>
      <c r="D137" t="s">
        <v>15</v>
      </c>
      <c r="E137" t="s">
        <v>6</v>
      </c>
      <c r="F137" s="2">
        <v>45881</v>
      </c>
      <c r="G137">
        <v>9925.1</v>
      </c>
      <c r="H137" s="1">
        <f>AVERAGEIF(Table1[Customer_ID], Table1[[#This Row],[Customer_ID]], Table1[Transaction_Amount])</f>
        <v>5215.4396000000024</v>
      </c>
      <c r="I137" t="s">
        <v>1035</v>
      </c>
      <c r="J137" t="s">
        <v>41</v>
      </c>
      <c r="K137" t="s">
        <v>8</v>
      </c>
      <c r="L137">
        <v>5</v>
      </c>
      <c r="M137" t="s">
        <v>51</v>
      </c>
      <c r="N137" t="s">
        <v>412</v>
      </c>
      <c r="O137" t="s">
        <v>393</v>
      </c>
      <c r="P137" s="6" t="str">
        <f>IF(Table1[[#This Row],[Transaction_Amount]]&lt;=Table1[[#This Row],[avg_transaction_amount]], "usual transaction", "unusual transaction")</f>
        <v>unusual transaction</v>
      </c>
      <c r="Q137" s="6" t="str">
        <f>IF(AND(Table1[[#This Row],[Country_of_Residence]]&lt;&gt;Table1[[#This Row],[Country_of_Transaction]], OR(Table1[[#This Row],[Authentication_Type]]="Biometric", Table1[[#This Row],[Authentication_Type]]="OTP")), "safe location transaction", "unsafe location transaction")</f>
        <v>safe location transaction</v>
      </c>
      <c r="R137" s="6" t="str">
        <f>IF(AND(Table1[[#This Row],[Country_of_Residence]]&lt;&gt;Table1[[#This Row],[Country_of_Transaction]], OR(Table1[[#This Row],[Merchant_Category]]="Electronics", Table1[[#This Row],[Merchant_Category]]="Travel")), "unsafe merchant transaction", "safe merchant transaction")</f>
        <v>safe merchant transaction</v>
      </c>
    </row>
    <row r="138" spans="1:18">
      <c r="A138" t="s">
        <v>3475</v>
      </c>
      <c r="B138" t="s">
        <v>53</v>
      </c>
      <c r="C138">
        <v>1</v>
      </c>
      <c r="D138" t="s">
        <v>15</v>
      </c>
      <c r="E138" t="s">
        <v>420</v>
      </c>
      <c r="F138" s="2">
        <v>45911</v>
      </c>
      <c r="G138">
        <v>9560.24</v>
      </c>
      <c r="H138" s="1">
        <f>AVERAGEIF(Table1[Customer_ID], Table1[[#This Row],[Customer_ID]], Table1[Transaction_Amount])</f>
        <v>5215.4396000000024</v>
      </c>
      <c r="I138" t="s">
        <v>1093</v>
      </c>
      <c r="J138" t="s">
        <v>41</v>
      </c>
      <c r="K138" t="s">
        <v>10</v>
      </c>
      <c r="L138">
        <v>1</v>
      </c>
      <c r="M138" t="s">
        <v>47</v>
      </c>
      <c r="N138" t="s">
        <v>33</v>
      </c>
      <c r="O138" t="s">
        <v>393</v>
      </c>
      <c r="P138" s="6" t="str">
        <f>IF(Table1[[#This Row],[Transaction_Amount]]&lt;=Table1[[#This Row],[avg_transaction_amount]], "usual transaction", "unusual transaction")</f>
        <v>unusual transaction</v>
      </c>
      <c r="Q138" s="6" t="str">
        <f>IF(AND(Table1[[#This Row],[Country_of_Residence]]&lt;&gt;Table1[[#This Row],[Country_of_Transaction]], OR(Table1[[#This Row],[Authentication_Type]]="Biometric", Table1[[#This Row],[Authentication_Type]]="OTP")), "safe location transaction", "unsafe location transaction")</f>
        <v>safe location transaction</v>
      </c>
      <c r="R138" s="6" t="str">
        <f>IF(AND(Table1[[#This Row],[Country_of_Residence]]&lt;&gt;Table1[[#This Row],[Country_of_Transaction]], OR(Table1[[#This Row],[Merchant_Category]]="Electronics", Table1[[#This Row],[Merchant_Category]]="Travel")), "unsafe merchant transaction", "safe merchant transaction")</f>
        <v>safe merchant transaction</v>
      </c>
    </row>
    <row r="139" spans="1:18">
      <c r="A139" t="s">
        <v>3539</v>
      </c>
      <c r="B139" t="s">
        <v>53</v>
      </c>
      <c r="C139">
        <v>1</v>
      </c>
      <c r="D139" t="s">
        <v>15</v>
      </c>
      <c r="E139" t="s">
        <v>420</v>
      </c>
      <c r="F139" s="2">
        <v>45745</v>
      </c>
      <c r="G139">
        <v>9903.08</v>
      </c>
      <c r="H139" s="1">
        <f>AVERAGEIF(Table1[Customer_ID], Table1[[#This Row],[Customer_ID]], Table1[Transaction_Amount])</f>
        <v>5215.4396000000024</v>
      </c>
      <c r="I139" t="s">
        <v>1154</v>
      </c>
      <c r="J139" t="s">
        <v>41</v>
      </c>
      <c r="K139" t="s">
        <v>8</v>
      </c>
      <c r="L139">
        <v>1</v>
      </c>
      <c r="M139" t="s">
        <v>412</v>
      </c>
      <c r="N139" t="s">
        <v>37</v>
      </c>
      <c r="O139" t="s">
        <v>392</v>
      </c>
      <c r="P139" s="6" t="str">
        <f>IF(Table1[[#This Row],[Transaction_Amount]]&lt;=Table1[[#This Row],[avg_transaction_amount]], "usual transaction", "unusual transaction")</f>
        <v>unusual transaction</v>
      </c>
      <c r="Q139" s="6" t="str">
        <f>IF(AND(Table1[[#This Row],[Country_of_Residence]]&lt;&gt;Table1[[#This Row],[Country_of_Transaction]], OR(Table1[[#This Row],[Authentication_Type]]="Biometric", Table1[[#This Row],[Authentication_Type]]="OTP")), "safe location transaction", "unsafe location transaction")</f>
        <v>safe location transaction</v>
      </c>
      <c r="R139" s="6" t="str">
        <f>IF(AND(Table1[[#This Row],[Country_of_Residence]]&lt;&gt;Table1[[#This Row],[Country_of_Transaction]], OR(Table1[[#This Row],[Merchant_Category]]="Electronics", Table1[[#This Row],[Merchant_Category]]="Travel")), "unsafe merchant transaction", "safe merchant transaction")</f>
        <v>safe merchant transaction</v>
      </c>
    </row>
    <row r="140" spans="1:18">
      <c r="A140" t="s">
        <v>3600</v>
      </c>
      <c r="B140" t="s">
        <v>53</v>
      </c>
      <c r="C140">
        <v>1</v>
      </c>
      <c r="D140" t="s">
        <v>9</v>
      </c>
      <c r="E140" t="s">
        <v>3</v>
      </c>
      <c r="F140" s="2">
        <v>45721</v>
      </c>
      <c r="G140">
        <v>6174.7</v>
      </c>
      <c r="H140" s="1">
        <f>AVERAGEIF(Table1[Customer_ID], Table1[[#This Row],[Customer_ID]], Table1[Transaction_Amount])</f>
        <v>5215.4396000000024</v>
      </c>
      <c r="I140" t="s">
        <v>1209</v>
      </c>
      <c r="J140" t="s">
        <v>50</v>
      </c>
      <c r="K140" t="s">
        <v>12</v>
      </c>
      <c r="L140">
        <v>3</v>
      </c>
      <c r="M140" t="s">
        <v>47</v>
      </c>
      <c r="N140" t="s">
        <v>412</v>
      </c>
      <c r="O140" t="s">
        <v>393</v>
      </c>
      <c r="P140" s="6" t="str">
        <f>IF(Table1[[#This Row],[Transaction_Amount]]&lt;=Table1[[#This Row],[avg_transaction_amount]], "usual transaction", "unusual transaction")</f>
        <v>unusual transaction</v>
      </c>
      <c r="Q140" s="6" t="str">
        <f>IF(AND(Table1[[#This Row],[Country_of_Residence]]&lt;&gt;Table1[[#This Row],[Country_of_Transaction]], OR(Table1[[#This Row],[Authentication_Type]]="Biometric", Table1[[#This Row],[Authentication_Type]]="OTP")), "safe location transaction", "unsafe location transaction")</f>
        <v>unsafe location transaction</v>
      </c>
      <c r="R140" s="6" t="str">
        <f>IF(AND(Table1[[#This Row],[Country_of_Residence]]&lt;&gt;Table1[[#This Row],[Country_of_Transaction]], OR(Table1[[#This Row],[Merchant_Category]]="Electronics", Table1[[#This Row],[Merchant_Category]]="Travel")), "unsafe merchant transaction", "safe merchant transaction")</f>
        <v>unsafe merchant transaction</v>
      </c>
    </row>
    <row r="141" spans="1:18">
      <c r="A141" t="s">
        <v>3653</v>
      </c>
      <c r="B141" t="s">
        <v>53</v>
      </c>
      <c r="C141">
        <v>1</v>
      </c>
      <c r="D141" t="s">
        <v>15</v>
      </c>
      <c r="E141" t="s">
        <v>6</v>
      </c>
      <c r="F141" s="2">
        <v>45725</v>
      </c>
      <c r="G141">
        <v>3726.86</v>
      </c>
      <c r="H141" s="1">
        <f>AVERAGEIF(Table1[Customer_ID], Table1[[#This Row],[Customer_ID]], Table1[Transaction_Amount])</f>
        <v>5215.4396000000024</v>
      </c>
      <c r="I141" t="s">
        <v>1231</v>
      </c>
      <c r="J141" t="s">
        <v>31</v>
      </c>
      <c r="K141" t="s">
        <v>10</v>
      </c>
      <c r="L141">
        <v>3</v>
      </c>
      <c r="M141" t="s">
        <v>412</v>
      </c>
      <c r="N141" t="s">
        <v>51</v>
      </c>
      <c r="O141" t="s">
        <v>392</v>
      </c>
      <c r="P141" s="6" t="str">
        <f>IF(Table1[[#This Row],[Transaction_Amount]]&lt;=Table1[[#This Row],[avg_transaction_amount]], "usual transaction", "unusual transaction")</f>
        <v>usual transaction</v>
      </c>
      <c r="Q141" s="6" t="str">
        <f>IF(AND(Table1[[#This Row],[Country_of_Residence]]&lt;&gt;Table1[[#This Row],[Country_of_Transaction]], OR(Table1[[#This Row],[Authentication_Type]]="Biometric", Table1[[#This Row],[Authentication_Type]]="OTP")), "safe location transaction", "unsafe location transaction")</f>
        <v>safe location transaction</v>
      </c>
      <c r="R141" s="6" t="str">
        <f>IF(AND(Table1[[#This Row],[Country_of_Residence]]&lt;&gt;Table1[[#This Row],[Country_of_Transaction]], OR(Table1[[#This Row],[Merchant_Category]]="Electronics", Table1[[#This Row],[Merchant_Category]]="Travel")), "unsafe merchant transaction", "safe merchant transaction")</f>
        <v>safe merchant transaction</v>
      </c>
    </row>
    <row r="142" spans="1:18">
      <c r="A142" t="s">
        <v>3679</v>
      </c>
      <c r="B142" t="s">
        <v>53</v>
      </c>
      <c r="C142">
        <v>1</v>
      </c>
      <c r="D142" t="s">
        <v>15</v>
      </c>
      <c r="E142" t="s">
        <v>420</v>
      </c>
      <c r="F142" s="2">
        <v>45920</v>
      </c>
      <c r="G142">
        <v>1510.17</v>
      </c>
      <c r="H142" s="1">
        <f>AVERAGEIF(Table1[Customer_ID], Table1[[#This Row],[Customer_ID]], Table1[Transaction_Amount])</f>
        <v>5215.4396000000024</v>
      </c>
      <c r="I142" t="s">
        <v>325</v>
      </c>
      <c r="J142" t="s">
        <v>50</v>
      </c>
      <c r="K142" t="s">
        <v>14</v>
      </c>
      <c r="L142">
        <v>3</v>
      </c>
      <c r="M142" t="s">
        <v>56</v>
      </c>
      <c r="N142" t="s">
        <v>412</v>
      </c>
      <c r="O142" t="s">
        <v>392</v>
      </c>
      <c r="P142" s="6" t="str">
        <f>IF(Table1[[#This Row],[Transaction_Amount]]&lt;=Table1[[#This Row],[avg_transaction_amount]], "usual transaction", "unusual transaction")</f>
        <v>usual transaction</v>
      </c>
      <c r="Q142" s="6" t="str">
        <f>IF(AND(Table1[[#This Row],[Country_of_Residence]]&lt;&gt;Table1[[#This Row],[Country_of_Transaction]], OR(Table1[[#This Row],[Authentication_Type]]="Biometric", Table1[[#This Row],[Authentication_Type]]="OTP")), "safe location transaction", "unsafe location transaction")</f>
        <v>unsafe location transaction</v>
      </c>
      <c r="R142" s="6" t="str">
        <f>IF(AND(Table1[[#This Row],[Country_of_Residence]]&lt;&gt;Table1[[#This Row],[Country_of_Transaction]], OR(Table1[[#This Row],[Merchant_Category]]="Electronics", Table1[[#This Row],[Merchant_Category]]="Travel")), "unsafe merchant transaction", "safe merchant transaction")</f>
        <v>unsafe merchant transaction</v>
      </c>
    </row>
    <row r="143" spans="1:18">
      <c r="A143" t="s">
        <v>3730</v>
      </c>
      <c r="B143" t="s">
        <v>53</v>
      </c>
      <c r="C143">
        <v>1</v>
      </c>
      <c r="D143" t="s">
        <v>15</v>
      </c>
      <c r="E143" t="s">
        <v>6</v>
      </c>
      <c r="F143" s="2">
        <v>45923</v>
      </c>
      <c r="G143">
        <v>1450.32</v>
      </c>
      <c r="H143" s="1">
        <f>AVERAGEIF(Table1[Customer_ID], Table1[[#This Row],[Customer_ID]], Table1[Transaction_Amount])</f>
        <v>5215.4396000000024</v>
      </c>
      <c r="I143" t="s">
        <v>1325</v>
      </c>
      <c r="J143" t="s">
        <v>36</v>
      </c>
      <c r="K143" t="s">
        <v>10</v>
      </c>
      <c r="L143">
        <v>0</v>
      </c>
      <c r="M143" t="s">
        <v>55</v>
      </c>
      <c r="N143" t="s">
        <v>37</v>
      </c>
      <c r="O143" t="s">
        <v>393</v>
      </c>
      <c r="P143" s="6" t="str">
        <f>IF(Table1[[#This Row],[Transaction_Amount]]&lt;=Table1[[#This Row],[avg_transaction_amount]], "usual transaction", "unusual transaction")</f>
        <v>usual transaction</v>
      </c>
      <c r="Q143" s="6" t="str">
        <f>IF(AND(Table1[[#This Row],[Country_of_Residence]]&lt;&gt;Table1[[#This Row],[Country_of_Transaction]], OR(Table1[[#This Row],[Authentication_Type]]="Biometric", Table1[[#This Row],[Authentication_Type]]="OTP")), "safe location transaction", "unsafe location transaction")</f>
        <v>safe location transaction</v>
      </c>
      <c r="R143" s="6" t="str">
        <f>IF(AND(Table1[[#This Row],[Country_of_Residence]]&lt;&gt;Table1[[#This Row],[Country_of_Transaction]], OR(Table1[[#This Row],[Merchant_Category]]="Electronics", Table1[[#This Row],[Merchant_Category]]="Travel")), "unsafe merchant transaction", "safe merchant transaction")</f>
        <v>safe merchant transaction</v>
      </c>
    </row>
    <row r="144" spans="1:18">
      <c r="A144" t="s">
        <v>3749</v>
      </c>
      <c r="B144" t="s">
        <v>53</v>
      </c>
      <c r="C144">
        <v>1</v>
      </c>
      <c r="D144" t="s">
        <v>15</v>
      </c>
      <c r="E144" t="s">
        <v>420</v>
      </c>
      <c r="F144" s="2">
        <v>45876</v>
      </c>
      <c r="G144">
        <v>3845.94</v>
      </c>
      <c r="H144" s="1">
        <f>AVERAGEIF(Table1[Customer_ID], Table1[[#This Row],[Customer_ID]], Table1[Transaction_Amount])</f>
        <v>5215.4396000000024</v>
      </c>
      <c r="I144" t="s">
        <v>1340</v>
      </c>
      <c r="J144" t="s">
        <v>36</v>
      </c>
      <c r="K144" t="s">
        <v>14</v>
      </c>
      <c r="L144">
        <v>1</v>
      </c>
      <c r="M144" t="s">
        <v>33</v>
      </c>
      <c r="N144" t="s">
        <v>32</v>
      </c>
      <c r="O144" t="s">
        <v>392</v>
      </c>
      <c r="P144" s="6" t="str">
        <f>IF(Table1[[#This Row],[Transaction_Amount]]&lt;=Table1[[#This Row],[avg_transaction_amount]], "usual transaction", "unusual transaction")</f>
        <v>usual transaction</v>
      </c>
      <c r="Q144" s="6" t="str">
        <f>IF(AND(Table1[[#This Row],[Country_of_Residence]]&lt;&gt;Table1[[#This Row],[Country_of_Transaction]], OR(Table1[[#This Row],[Authentication_Type]]="Biometric", Table1[[#This Row],[Authentication_Type]]="OTP")), "safe location transaction", "unsafe location transaction")</f>
        <v>unsafe location transaction</v>
      </c>
      <c r="R144" s="6" t="str">
        <f>IF(AND(Table1[[#This Row],[Country_of_Residence]]&lt;&gt;Table1[[#This Row],[Country_of_Transaction]], OR(Table1[[#This Row],[Merchant_Category]]="Electronics", Table1[[#This Row],[Merchant_Category]]="Travel")), "unsafe merchant transaction", "safe merchant transaction")</f>
        <v>safe merchant transaction</v>
      </c>
    </row>
    <row r="145" spans="1:18">
      <c r="A145" t="s">
        <v>3880</v>
      </c>
      <c r="B145" t="s">
        <v>53</v>
      </c>
      <c r="C145">
        <v>1</v>
      </c>
      <c r="D145" t="s">
        <v>15</v>
      </c>
      <c r="E145" t="s">
        <v>3</v>
      </c>
      <c r="F145" s="2">
        <v>45830</v>
      </c>
      <c r="G145">
        <v>8918.5499999999993</v>
      </c>
      <c r="H145" s="1">
        <f>AVERAGEIF(Table1[Customer_ID], Table1[[#This Row],[Customer_ID]], Table1[Transaction_Amount])</f>
        <v>5215.4396000000024</v>
      </c>
      <c r="I145" t="s">
        <v>1451</v>
      </c>
      <c r="J145" t="s">
        <v>50</v>
      </c>
      <c r="K145" t="s">
        <v>8</v>
      </c>
      <c r="L145">
        <v>1</v>
      </c>
      <c r="M145" t="s">
        <v>55</v>
      </c>
      <c r="N145" t="s">
        <v>55</v>
      </c>
      <c r="O145" t="s">
        <v>393</v>
      </c>
      <c r="P145" s="6" t="str">
        <f>IF(Table1[[#This Row],[Transaction_Amount]]&lt;=Table1[[#This Row],[avg_transaction_amount]], "usual transaction", "unusual transaction")</f>
        <v>unusual transaction</v>
      </c>
      <c r="Q145" s="6" t="str">
        <f>IF(AND(Table1[[#This Row],[Country_of_Residence]]&lt;&gt;Table1[[#This Row],[Country_of_Transaction]], OR(Table1[[#This Row],[Authentication_Type]]="Biometric", Table1[[#This Row],[Authentication_Type]]="OTP")), "safe location transaction", "unsafe location transaction")</f>
        <v>unsafe location transaction</v>
      </c>
      <c r="R145" s="6" t="str">
        <f>IF(AND(Table1[[#This Row],[Country_of_Residence]]&lt;&gt;Table1[[#This Row],[Country_of_Transaction]], OR(Table1[[#This Row],[Merchant_Category]]="Electronics", Table1[[#This Row],[Merchant_Category]]="Travel")), "unsafe merchant transaction", "safe merchant transaction")</f>
        <v>safe merchant transaction</v>
      </c>
    </row>
    <row r="146" spans="1:18">
      <c r="A146" t="s">
        <v>3904</v>
      </c>
      <c r="B146" t="s">
        <v>53</v>
      </c>
      <c r="C146">
        <v>1</v>
      </c>
      <c r="D146" t="s">
        <v>15</v>
      </c>
      <c r="E146" t="s">
        <v>420</v>
      </c>
      <c r="F146" s="2">
        <v>45949</v>
      </c>
      <c r="G146">
        <v>3063.96</v>
      </c>
      <c r="H146" s="1">
        <f>AVERAGEIF(Table1[Customer_ID], Table1[[#This Row],[Customer_ID]], Table1[Transaction_Amount])</f>
        <v>5215.4396000000024</v>
      </c>
      <c r="I146" t="s">
        <v>1471</v>
      </c>
      <c r="J146" t="s">
        <v>46</v>
      </c>
      <c r="K146" t="s">
        <v>8</v>
      </c>
      <c r="L146">
        <v>4</v>
      </c>
      <c r="M146" t="s">
        <v>37</v>
      </c>
      <c r="N146" t="s">
        <v>55</v>
      </c>
      <c r="O146" t="s">
        <v>392</v>
      </c>
      <c r="P146" s="6" t="str">
        <f>IF(Table1[[#This Row],[Transaction_Amount]]&lt;=Table1[[#This Row],[avg_transaction_amount]], "usual transaction", "unusual transaction")</f>
        <v>usual transaction</v>
      </c>
      <c r="Q146" s="6" t="str">
        <f>IF(AND(Table1[[#This Row],[Country_of_Residence]]&lt;&gt;Table1[[#This Row],[Country_of_Transaction]], OR(Table1[[#This Row],[Authentication_Type]]="Biometric", Table1[[#This Row],[Authentication_Type]]="OTP")), "safe location transaction", "unsafe location transaction")</f>
        <v>safe location transaction</v>
      </c>
      <c r="R146" s="6" t="str">
        <f>IF(AND(Table1[[#This Row],[Country_of_Residence]]&lt;&gt;Table1[[#This Row],[Country_of_Transaction]], OR(Table1[[#This Row],[Merchant_Category]]="Electronics", Table1[[#This Row],[Merchant_Category]]="Travel")), "unsafe merchant transaction", "safe merchant transaction")</f>
        <v>safe merchant transaction</v>
      </c>
    </row>
    <row r="147" spans="1:18">
      <c r="A147" t="s">
        <v>3958</v>
      </c>
      <c r="B147" t="s">
        <v>53</v>
      </c>
      <c r="C147">
        <v>1</v>
      </c>
      <c r="D147" t="s">
        <v>15</v>
      </c>
      <c r="E147" t="s">
        <v>3</v>
      </c>
      <c r="F147" s="2">
        <v>45908</v>
      </c>
      <c r="G147">
        <v>4786.32</v>
      </c>
      <c r="H147" s="1">
        <f>AVERAGEIF(Table1[Customer_ID], Table1[[#This Row],[Customer_ID]], Table1[Transaction_Amount])</f>
        <v>5215.4396000000024</v>
      </c>
      <c r="I147" t="s">
        <v>1520</v>
      </c>
      <c r="J147" t="s">
        <v>50</v>
      </c>
      <c r="K147" t="s">
        <v>10</v>
      </c>
      <c r="L147">
        <v>0</v>
      </c>
      <c r="M147" t="s">
        <v>33</v>
      </c>
      <c r="N147" t="s">
        <v>55</v>
      </c>
      <c r="O147" t="s">
        <v>393</v>
      </c>
      <c r="P147" s="6" t="str">
        <f>IF(Table1[[#This Row],[Transaction_Amount]]&lt;=Table1[[#This Row],[avg_transaction_amount]], "usual transaction", "unusual transaction")</f>
        <v>usual transaction</v>
      </c>
      <c r="Q147" s="6" t="str">
        <f>IF(AND(Table1[[#This Row],[Country_of_Residence]]&lt;&gt;Table1[[#This Row],[Country_of_Transaction]], OR(Table1[[#This Row],[Authentication_Type]]="Biometric", Table1[[#This Row],[Authentication_Type]]="OTP")), "safe location transaction", "unsafe location transaction")</f>
        <v>safe location transaction</v>
      </c>
      <c r="R147" s="6" t="str">
        <f>IF(AND(Table1[[#This Row],[Country_of_Residence]]&lt;&gt;Table1[[#This Row],[Country_of_Transaction]], OR(Table1[[#This Row],[Merchant_Category]]="Electronics", Table1[[#This Row],[Merchant_Category]]="Travel")), "unsafe merchant transaction", "safe merchant transaction")</f>
        <v>unsafe merchant transaction</v>
      </c>
    </row>
    <row r="148" spans="1:18">
      <c r="A148" t="s">
        <v>3980</v>
      </c>
      <c r="B148" t="s">
        <v>53</v>
      </c>
      <c r="C148">
        <v>1</v>
      </c>
      <c r="D148" t="s">
        <v>9</v>
      </c>
      <c r="E148" t="s">
        <v>5</v>
      </c>
      <c r="F148" s="2">
        <v>45936</v>
      </c>
      <c r="G148">
        <v>1906.56</v>
      </c>
      <c r="H148" s="1">
        <f>AVERAGEIF(Table1[Customer_ID], Table1[[#This Row],[Customer_ID]], Table1[Transaction_Amount])</f>
        <v>5215.4396000000024</v>
      </c>
      <c r="I148" t="s">
        <v>1539</v>
      </c>
      <c r="J148" t="s">
        <v>50</v>
      </c>
      <c r="K148" t="s">
        <v>12</v>
      </c>
      <c r="L148">
        <v>5</v>
      </c>
      <c r="M148" t="s">
        <v>412</v>
      </c>
      <c r="N148" t="s">
        <v>32</v>
      </c>
      <c r="O148" t="s">
        <v>393</v>
      </c>
      <c r="P148" s="6" t="str">
        <f>IF(Table1[[#This Row],[Transaction_Amount]]&lt;=Table1[[#This Row],[avg_transaction_amount]], "usual transaction", "unusual transaction")</f>
        <v>usual transaction</v>
      </c>
      <c r="Q148" s="6" t="str">
        <f>IF(AND(Table1[[#This Row],[Country_of_Residence]]&lt;&gt;Table1[[#This Row],[Country_of_Transaction]], OR(Table1[[#This Row],[Authentication_Type]]="Biometric", Table1[[#This Row],[Authentication_Type]]="OTP")), "safe location transaction", "unsafe location transaction")</f>
        <v>unsafe location transaction</v>
      </c>
      <c r="R148" s="6" t="str">
        <f>IF(AND(Table1[[#This Row],[Country_of_Residence]]&lt;&gt;Table1[[#This Row],[Country_of_Transaction]], OR(Table1[[#This Row],[Merchant_Category]]="Electronics", Table1[[#This Row],[Merchant_Category]]="Travel")), "unsafe merchant transaction", "safe merchant transaction")</f>
        <v>unsafe merchant transaction</v>
      </c>
    </row>
    <row r="149" spans="1:18">
      <c r="A149" t="s">
        <v>4081</v>
      </c>
      <c r="B149" t="s">
        <v>53</v>
      </c>
      <c r="C149">
        <v>1</v>
      </c>
      <c r="D149" t="s">
        <v>15</v>
      </c>
      <c r="E149" t="s">
        <v>3</v>
      </c>
      <c r="F149" s="2">
        <v>45946</v>
      </c>
      <c r="G149">
        <v>245.5</v>
      </c>
      <c r="H149" s="1">
        <f>AVERAGEIF(Table1[Customer_ID], Table1[[#This Row],[Customer_ID]], Table1[Transaction_Amount])</f>
        <v>5215.4396000000024</v>
      </c>
      <c r="I149" t="s">
        <v>1625</v>
      </c>
      <c r="J149" t="s">
        <v>41</v>
      </c>
      <c r="K149" t="s">
        <v>10</v>
      </c>
      <c r="L149">
        <v>2</v>
      </c>
      <c r="M149" t="s">
        <v>55</v>
      </c>
      <c r="N149" t="s">
        <v>32</v>
      </c>
      <c r="O149" t="s">
        <v>393</v>
      </c>
      <c r="P149" s="6" t="str">
        <f>IF(Table1[[#This Row],[Transaction_Amount]]&lt;=Table1[[#This Row],[avg_transaction_amount]], "usual transaction", "unusual transaction")</f>
        <v>usual transaction</v>
      </c>
      <c r="Q149" s="6" t="str">
        <f>IF(AND(Table1[[#This Row],[Country_of_Residence]]&lt;&gt;Table1[[#This Row],[Country_of_Transaction]], OR(Table1[[#This Row],[Authentication_Type]]="Biometric", Table1[[#This Row],[Authentication_Type]]="OTP")), "safe location transaction", "unsafe location transaction")</f>
        <v>safe location transaction</v>
      </c>
      <c r="R149" s="6" t="str">
        <f>IF(AND(Table1[[#This Row],[Country_of_Residence]]&lt;&gt;Table1[[#This Row],[Country_of_Transaction]], OR(Table1[[#This Row],[Merchant_Category]]="Electronics", Table1[[#This Row],[Merchant_Category]]="Travel")), "unsafe merchant transaction", "safe merchant transaction")</f>
        <v>safe merchant transaction</v>
      </c>
    </row>
    <row r="150" spans="1:18">
      <c r="A150" t="s">
        <v>4143</v>
      </c>
      <c r="B150" t="s">
        <v>53</v>
      </c>
      <c r="C150">
        <v>1</v>
      </c>
      <c r="D150" t="s">
        <v>15</v>
      </c>
      <c r="E150" t="s">
        <v>3</v>
      </c>
      <c r="F150" s="2">
        <v>45953</v>
      </c>
      <c r="G150">
        <v>3223.66</v>
      </c>
      <c r="H150" s="1">
        <f>AVERAGEIF(Table1[Customer_ID], Table1[[#This Row],[Customer_ID]], Table1[Transaction_Amount])</f>
        <v>5215.4396000000024</v>
      </c>
      <c r="I150" t="s">
        <v>1140</v>
      </c>
      <c r="J150" t="s">
        <v>50</v>
      </c>
      <c r="K150" t="s">
        <v>8</v>
      </c>
      <c r="L150">
        <v>0</v>
      </c>
      <c r="M150" t="s">
        <v>412</v>
      </c>
      <c r="N150" t="s">
        <v>412</v>
      </c>
      <c r="O150" t="s">
        <v>392</v>
      </c>
      <c r="P150" s="6" t="str">
        <f>IF(Table1[[#This Row],[Transaction_Amount]]&lt;=Table1[[#This Row],[avg_transaction_amount]], "usual transaction", "unusual transaction")</f>
        <v>usual transaction</v>
      </c>
      <c r="Q150" s="6" t="str">
        <f>IF(AND(Table1[[#This Row],[Country_of_Residence]]&lt;&gt;Table1[[#This Row],[Country_of_Transaction]], OR(Table1[[#This Row],[Authentication_Type]]="Biometric", Table1[[#This Row],[Authentication_Type]]="OTP")), "safe location transaction", "unsafe location transaction")</f>
        <v>unsafe location transaction</v>
      </c>
      <c r="R150" s="6" t="str">
        <f>IF(AND(Table1[[#This Row],[Country_of_Residence]]&lt;&gt;Table1[[#This Row],[Country_of_Transaction]], OR(Table1[[#This Row],[Merchant_Category]]="Electronics", Table1[[#This Row],[Merchant_Category]]="Travel")), "unsafe merchant transaction", "safe merchant transaction")</f>
        <v>safe merchant transaction</v>
      </c>
    </row>
    <row r="151" spans="1:18">
      <c r="A151" t="s">
        <v>4287</v>
      </c>
      <c r="B151" t="s">
        <v>53</v>
      </c>
      <c r="C151">
        <v>1</v>
      </c>
      <c r="D151" t="s">
        <v>15</v>
      </c>
      <c r="E151" t="s">
        <v>3</v>
      </c>
      <c r="F151" s="2">
        <v>45936</v>
      </c>
      <c r="G151">
        <v>3997.24</v>
      </c>
      <c r="H151" s="1">
        <f>AVERAGEIF(Table1[Customer_ID], Table1[[#This Row],[Customer_ID]], Table1[Transaction_Amount])</f>
        <v>5215.4396000000024</v>
      </c>
      <c r="I151" t="s">
        <v>1798</v>
      </c>
      <c r="J151" t="s">
        <v>41</v>
      </c>
      <c r="K151" t="s">
        <v>14</v>
      </c>
      <c r="L151">
        <v>2</v>
      </c>
      <c r="M151" t="s">
        <v>33</v>
      </c>
      <c r="N151" t="s">
        <v>32</v>
      </c>
      <c r="O151" t="s">
        <v>392</v>
      </c>
      <c r="P151" s="6" t="str">
        <f>IF(Table1[[#This Row],[Transaction_Amount]]&lt;=Table1[[#This Row],[avg_transaction_amount]], "usual transaction", "unusual transaction")</f>
        <v>usual transaction</v>
      </c>
      <c r="Q151" s="6" t="str">
        <f>IF(AND(Table1[[#This Row],[Country_of_Residence]]&lt;&gt;Table1[[#This Row],[Country_of_Transaction]], OR(Table1[[#This Row],[Authentication_Type]]="Biometric", Table1[[#This Row],[Authentication_Type]]="OTP")), "safe location transaction", "unsafe location transaction")</f>
        <v>unsafe location transaction</v>
      </c>
      <c r="R151" s="6" t="str">
        <f>IF(AND(Table1[[#This Row],[Country_of_Residence]]&lt;&gt;Table1[[#This Row],[Country_of_Transaction]], OR(Table1[[#This Row],[Merchant_Category]]="Electronics", Table1[[#This Row],[Merchant_Category]]="Travel")), "unsafe merchant transaction", "safe merchant transaction")</f>
        <v>safe merchant transaction</v>
      </c>
    </row>
    <row r="152" spans="1:18">
      <c r="A152" t="s">
        <v>4339</v>
      </c>
      <c r="B152" t="s">
        <v>53</v>
      </c>
      <c r="C152">
        <v>1</v>
      </c>
      <c r="D152" t="s">
        <v>9</v>
      </c>
      <c r="E152" t="s">
        <v>3</v>
      </c>
      <c r="F152" s="2">
        <v>46010</v>
      </c>
      <c r="G152">
        <v>1964.57</v>
      </c>
      <c r="H152" s="1">
        <f>AVERAGEIF(Table1[Customer_ID], Table1[[#This Row],[Customer_ID]], Table1[Transaction_Amount])</f>
        <v>5215.4396000000024</v>
      </c>
      <c r="I152" t="s">
        <v>1845</v>
      </c>
      <c r="J152" t="s">
        <v>31</v>
      </c>
      <c r="K152" t="s">
        <v>8</v>
      </c>
      <c r="L152">
        <v>0</v>
      </c>
      <c r="M152" t="s">
        <v>42</v>
      </c>
      <c r="N152" t="s">
        <v>33</v>
      </c>
      <c r="O152" t="s">
        <v>393</v>
      </c>
      <c r="P152" s="6" t="str">
        <f>IF(Table1[[#This Row],[Transaction_Amount]]&lt;=Table1[[#This Row],[avg_transaction_amount]], "usual transaction", "unusual transaction")</f>
        <v>usual transaction</v>
      </c>
      <c r="Q152" s="6" t="str">
        <f>IF(AND(Table1[[#This Row],[Country_of_Residence]]&lt;&gt;Table1[[#This Row],[Country_of_Transaction]], OR(Table1[[#This Row],[Authentication_Type]]="Biometric", Table1[[#This Row],[Authentication_Type]]="OTP")), "safe location transaction", "unsafe location transaction")</f>
        <v>safe location transaction</v>
      </c>
      <c r="R152" s="6" t="str">
        <f>IF(AND(Table1[[#This Row],[Country_of_Residence]]&lt;&gt;Table1[[#This Row],[Country_of_Transaction]], OR(Table1[[#This Row],[Merchant_Category]]="Electronics", Table1[[#This Row],[Merchant_Category]]="Travel")), "unsafe merchant transaction", "safe merchant transaction")</f>
        <v>safe merchant transaction</v>
      </c>
    </row>
    <row r="153" spans="1:18">
      <c r="A153" t="s">
        <v>4402</v>
      </c>
      <c r="B153" t="s">
        <v>53</v>
      </c>
      <c r="C153">
        <v>1</v>
      </c>
      <c r="D153" t="s">
        <v>15</v>
      </c>
      <c r="E153" t="s">
        <v>3</v>
      </c>
      <c r="F153" s="2">
        <v>45886</v>
      </c>
      <c r="G153">
        <v>4514.51</v>
      </c>
      <c r="H153" s="1">
        <f>AVERAGEIF(Table1[Customer_ID], Table1[[#This Row],[Customer_ID]], Table1[Transaction_Amount])</f>
        <v>5215.4396000000024</v>
      </c>
      <c r="I153" t="s">
        <v>1902</v>
      </c>
      <c r="J153" t="s">
        <v>46</v>
      </c>
      <c r="K153" t="s">
        <v>12</v>
      </c>
      <c r="L153">
        <v>3</v>
      </c>
      <c r="M153" t="s">
        <v>32</v>
      </c>
      <c r="N153" t="s">
        <v>55</v>
      </c>
      <c r="O153" t="s">
        <v>393</v>
      </c>
      <c r="P153" s="6" t="str">
        <f>IF(Table1[[#This Row],[Transaction_Amount]]&lt;=Table1[[#This Row],[avg_transaction_amount]], "usual transaction", "unusual transaction")</f>
        <v>usual transaction</v>
      </c>
      <c r="Q153" s="6" t="str">
        <f>IF(AND(Table1[[#This Row],[Country_of_Residence]]&lt;&gt;Table1[[#This Row],[Country_of_Transaction]], OR(Table1[[#This Row],[Authentication_Type]]="Biometric", Table1[[#This Row],[Authentication_Type]]="OTP")), "safe location transaction", "unsafe location transaction")</f>
        <v>unsafe location transaction</v>
      </c>
      <c r="R153" s="6" t="str">
        <f>IF(AND(Table1[[#This Row],[Country_of_Residence]]&lt;&gt;Table1[[#This Row],[Country_of_Transaction]], OR(Table1[[#This Row],[Merchant_Category]]="Electronics", Table1[[#This Row],[Merchant_Category]]="Travel")), "unsafe merchant transaction", "safe merchant transaction")</f>
        <v>safe merchant transaction</v>
      </c>
    </row>
    <row r="154" spans="1:18">
      <c r="A154" t="s">
        <v>4456</v>
      </c>
      <c r="B154" t="s">
        <v>53</v>
      </c>
      <c r="C154">
        <v>1</v>
      </c>
      <c r="D154" t="s">
        <v>9</v>
      </c>
      <c r="E154" t="s">
        <v>3</v>
      </c>
      <c r="F154" s="2">
        <v>45806</v>
      </c>
      <c r="G154">
        <v>6990.17</v>
      </c>
      <c r="H154" s="1">
        <f>AVERAGEIF(Table1[Customer_ID], Table1[[#This Row],[Customer_ID]], Table1[Transaction_Amount])</f>
        <v>5215.4396000000024</v>
      </c>
      <c r="I154" t="s">
        <v>1950</v>
      </c>
      <c r="J154" t="s">
        <v>36</v>
      </c>
      <c r="K154" t="s">
        <v>8</v>
      </c>
      <c r="L154">
        <v>0</v>
      </c>
      <c r="M154" t="s">
        <v>51</v>
      </c>
      <c r="N154" t="s">
        <v>412</v>
      </c>
      <c r="O154" t="s">
        <v>392</v>
      </c>
      <c r="P154" s="6" t="str">
        <f>IF(Table1[[#This Row],[Transaction_Amount]]&lt;=Table1[[#This Row],[avg_transaction_amount]], "usual transaction", "unusual transaction")</f>
        <v>unusual transaction</v>
      </c>
      <c r="Q154" s="6" t="str">
        <f>IF(AND(Table1[[#This Row],[Country_of_Residence]]&lt;&gt;Table1[[#This Row],[Country_of_Transaction]], OR(Table1[[#This Row],[Authentication_Type]]="Biometric", Table1[[#This Row],[Authentication_Type]]="OTP")), "safe location transaction", "unsafe location transaction")</f>
        <v>safe location transaction</v>
      </c>
      <c r="R154" s="6" t="str">
        <f>IF(AND(Table1[[#This Row],[Country_of_Residence]]&lt;&gt;Table1[[#This Row],[Country_of_Transaction]], OR(Table1[[#This Row],[Merchant_Category]]="Electronics", Table1[[#This Row],[Merchant_Category]]="Travel")), "unsafe merchant transaction", "safe merchant transaction")</f>
        <v>safe merchant transaction</v>
      </c>
    </row>
    <row r="155" spans="1:18">
      <c r="A155" t="s">
        <v>4503</v>
      </c>
      <c r="B155" t="s">
        <v>53</v>
      </c>
      <c r="C155">
        <v>1</v>
      </c>
      <c r="D155" t="s">
        <v>15</v>
      </c>
      <c r="E155" t="s">
        <v>3</v>
      </c>
      <c r="F155" s="2">
        <v>45934</v>
      </c>
      <c r="G155">
        <v>5985.98</v>
      </c>
      <c r="H155" s="1">
        <f>AVERAGEIF(Table1[Customer_ID], Table1[[#This Row],[Customer_ID]], Table1[Transaction_Amount])</f>
        <v>5215.4396000000024</v>
      </c>
      <c r="I155" t="s">
        <v>1990</v>
      </c>
      <c r="J155" t="s">
        <v>46</v>
      </c>
      <c r="K155" t="s">
        <v>10</v>
      </c>
      <c r="L155">
        <v>0</v>
      </c>
      <c r="M155" t="s">
        <v>55</v>
      </c>
      <c r="N155" t="s">
        <v>42</v>
      </c>
      <c r="O155" t="s">
        <v>393</v>
      </c>
      <c r="P155" s="6" t="str">
        <f>IF(Table1[[#This Row],[Transaction_Amount]]&lt;=Table1[[#This Row],[avg_transaction_amount]], "usual transaction", "unusual transaction")</f>
        <v>unusual transaction</v>
      </c>
      <c r="Q155" s="6" t="str">
        <f>IF(AND(Table1[[#This Row],[Country_of_Residence]]&lt;&gt;Table1[[#This Row],[Country_of_Transaction]], OR(Table1[[#This Row],[Authentication_Type]]="Biometric", Table1[[#This Row],[Authentication_Type]]="OTP")), "safe location transaction", "unsafe location transaction")</f>
        <v>safe location transaction</v>
      </c>
      <c r="R155" s="6" t="str">
        <f>IF(AND(Table1[[#This Row],[Country_of_Residence]]&lt;&gt;Table1[[#This Row],[Country_of_Transaction]], OR(Table1[[#This Row],[Merchant_Category]]="Electronics", Table1[[#This Row],[Merchant_Category]]="Travel")), "unsafe merchant transaction", "safe merchant transaction")</f>
        <v>safe merchant transaction</v>
      </c>
    </row>
    <row r="156" spans="1:18">
      <c r="A156" t="s">
        <v>4510</v>
      </c>
      <c r="B156" t="s">
        <v>53</v>
      </c>
      <c r="C156">
        <v>1</v>
      </c>
      <c r="D156" t="s">
        <v>15</v>
      </c>
      <c r="E156" t="s">
        <v>5</v>
      </c>
      <c r="F156" s="2">
        <v>45680</v>
      </c>
      <c r="G156">
        <v>3992.45</v>
      </c>
      <c r="H156" s="1">
        <f>AVERAGEIF(Table1[Customer_ID], Table1[[#This Row],[Customer_ID]], Table1[Transaction_Amount])</f>
        <v>5215.4396000000024</v>
      </c>
      <c r="I156" t="s">
        <v>1995</v>
      </c>
      <c r="J156" t="s">
        <v>31</v>
      </c>
      <c r="K156" t="s">
        <v>8</v>
      </c>
      <c r="L156">
        <v>2</v>
      </c>
      <c r="M156" t="s">
        <v>412</v>
      </c>
      <c r="N156" t="s">
        <v>33</v>
      </c>
      <c r="O156" t="s">
        <v>392</v>
      </c>
      <c r="P156" s="6" t="str">
        <f>IF(Table1[[#This Row],[Transaction_Amount]]&lt;=Table1[[#This Row],[avg_transaction_amount]], "usual transaction", "unusual transaction")</f>
        <v>usual transaction</v>
      </c>
      <c r="Q156" s="6" t="str">
        <f>IF(AND(Table1[[#This Row],[Country_of_Residence]]&lt;&gt;Table1[[#This Row],[Country_of_Transaction]], OR(Table1[[#This Row],[Authentication_Type]]="Biometric", Table1[[#This Row],[Authentication_Type]]="OTP")), "safe location transaction", "unsafe location transaction")</f>
        <v>safe location transaction</v>
      </c>
      <c r="R156" s="6" t="str">
        <f>IF(AND(Table1[[#This Row],[Country_of_Residence]]&lt;&gt;Table1[[#This Row],[Country_of_Transaction]], OR(Table1[[#This Row],[Merchant_Category]]="Electronics", Table1[[#This Row],[Merchant_Category]]="Travel")), "unsafe merchant transaction", "safe merchant transaction")</f>
        <v>safe merchant transaction</v>
      </c>
    </row>
    <row r="157" spans="1:18">
      <c r="A157" t="s">
        <v>4525</v>
      </c>
      <c r="B157" t="s">
        <v>53</v>
      </c>
      <c r="C157">
        <v>1</v>
      </c>
      <c r="D157" t="s">
        <v>15</v>
      </c>
      <c r="E157" t="s">
        <v>5</v>
      </c>
      <c r="F157" s="2">
        <v>45780</v>
      </c>
      <c r="G157">
        <v>1901.13</v>
      </c>
      <c r="H157" s="1">
        <f>AVERAGEIF(Table1[Customer_ID], Table1[[#This Row],[Customer_ID]], Table1[Transaction_Amount])</f>
        <v>5215.4396000000024</v>
      </c>
      <c r="I157" t="s">
        <v>376</v>
      </c>
      <c r="J157" t="s">
        <v>36</v>
      </c>
      <c r="K157" t="s">
        <v>8</v>
      </c>
      <c r="L157">
        <v>4</v>
      </c>
      <c r="M157" t="s">
        <v>42</v>
      </c>
      <c r="N157" t="s">
        <v>37</v>
      </c>
      <c r="O157" t="s">
        <v>392</v>
      </c>
      <c r="P157" s="6" t="str">
        <f>IF(Table1[[#This Row],[Transaction_Amount]]&lt;=Table1[[#This Row],[avg_transaction_amount]], "usual transaction", "unusual transaction")</f>
        <v>usual transaction</v>
      </c>
      <c r="Q157" s="6" t="str">
        <f>IF(AND(Table1[[#This Row],[Country_of_Residence]]&lt;&gt;Table1[[#This Row],[Country_of_Transaction]], OR(Table1[[#This Row],[Authentication_Type]]="Biometric", Table1[[#This Row],[Authentication_Type]]="OTP")), "safe location transaction", "unsafe location transaction")</f>
        <v>safe location transaction</v>
      </c>
      <c r="R157" s="6" t="str">
        <f>IF(AND(Table1[[#This Row],[Country_of_Residence]]&lt;&gt;Table1[[#This Row],[Country_of_Transaction]], OR(Table1[[#This Row],[Merchant_Category]]="Electronics", Table1[[#This Row],[Merchant_Category]]="Travel")), "unsafe merchant transaction", "safe merchant transaction")</f>
        <v>safe merchant transaction</v>
      </c>
    </row>
    <row r="158" spans="1:18">
      <c r="A158" t="s">
        <v>4622</v>
      </c>
      <c r="B158" t="s">
        <v>53</v>
      </c>
      <c r="C158">
        <v>1</v>
      </c>
      <c r="D158" t="s">
        <v>15</v>
      </c>
      <c r="E158" t="s">
        <v>3</v>
      </c>
      <c r="F158" s="2">
        <v>45863</v>
      </c>
      <c r="G158">
        <v>785.44</v>
      </c>
      <c r="H158" s="1">
        <f>AVERAGEIF(Table1[Customer_ID], Table1[[#This Row],[Customer_ID]], Table1[Transaction_Amount])</f>
        <v>5215.4396000000024</v>
      </c>
      <c r="I158" t="s">
        <v>2086</v>
      </c>
      <c r="J158" t="s">
        <v>41</v>
      </c>
      <c r="K158" t="s">
        <v>10</v>
      </c>
      <c r="L158">
        <v>0</v>
      </c>
      <c r="M158" t="s">
        <v>412</v>
      </c>
      <c r="N158" t="s">
        <v>37</v>
      </c>
      <c r="O158" t="s">
        <v>392</v>
      </c>
      <c r="P158" s="6" t="str">
        <f>IF(Table1[[#This Row],[Transaction_Amount]]&lt;=Table1[[#This Row],[avg_transaction_amount]], "usual transaction", "unusual transaction")</f>
        <v>usual transaction</v>
      </c>
      <c r="Q158" s="6" t="str">
        <f>IF(AND(Table1[[#This Row],[Country_of_Residence]]&lt;&gt;Table1[[#This Row],[Country_of_Transaction]], OR(Table1[[#This Row],[Authentication_Type]]="Biometric", Table1[[#This Row],[Authentication_Type]]="OTP")), "safe location transaction", "unsafe location transaction")</f>
        <v>safe location transaction</v>
      </c>
      <c r="R158" s="6" t="str">
        <f>IF(AND(Table1[[#This Row],[Country_of_Residence]]&lt;&gt;Table1[[#This Row],[Country_of_Transaction]], OR(Table1[[#This Row],[Merchant_Category]]="Electronics", Table1[[#This Row],[Merchant_Category]]="Travel")), "unsafe merchant transaction", "safe merchant transaction")</f>
        <v>safe merchant transaction</v>
      </c>
    </row>
    <row r="159" spans="1:18">
      <c r="A159" t="s">
        <v>4623</v>
      </c>
      <c r="B159" t="s">
        <v>53</v>
      </c>
      <c r="C159">
        <v>1</v>
      </c>
      <c r="D159" t="s">
        <v>9</v>
      </c>
      <c r="E159" t="s">
        <v>420</v>
      </c>
      <c r="F159" s="2">
        <v>45718</v>
      </c>
      <c r="G159">
        <v>1547.7</v>
      </c>
      <c r="H159" s="1">
        <f>AVERAGEIF(Table1[Customer_ID], Table1[[#This Row],[Customer_ID]], Table1[Transaction_Amount])</f>
        <v>5215.4396000000024</v>
      </c>
      <c r="I159" t="s">
        <v>2087</v>
      </c>
      <c r="J159" t="s">
        <v>31</v>
      </c>
      <c r="K159" t="s">
        <v>10</v>
      </c>
      <c r="L159">
        <v>4</v>
      </c>
      <c r="M159" t="s">
        <v>412</v>
      </c>
      <c r="N159" t="s">
        <v>55</v>
      </c>
      <c r="O159" t="s">
        <v>393</v>
      </c>
      <c r="P159" s="6" t="str">
        <f>IF(Table1[[#This Row],[Transaction_Amount]]&lt;=Table1[[#This Row],[avg_transaction_amount]], "usual transaction", "unusual transaction")</f>
        <v>usual transaction</v>
      </c>
      <c r="Q159" s="6" t="str">
        <f>IF(AND(Table1[[#This Row],[Country_of_Residence]]&lt;&gt;Table1[[#This Row],[Country_of_Transaction]], OR(Table1[[#This Row],[Authentication_Type]]="Biometric", Table1[[#This Row],[Authentication_Type]]="OTP")), "safe location transaction", "unsafe location transaction")</f>
        <v>safe location transaction</v>
      </c>
      <c r="R159" s="6" t="str">
        <f>IF(AND(Table1[[#This Row],[Country_of_Residence]]&lt;&gt;Table1[[#This Row],[Country_of_Transaction]], OR(Table1[[#This Row],[Merchant_Category]]="Electronics", Table1[[#This Row],[Merchant_Category]]="Travel")), "unsafe merchant transaction", "safe merchant transaction")</f>
        <v>safe merchant transaction</v>
      </c>
    </row>
    <row r="160" spans="1:18">
      <c r="A160" t="s">
        <v>4690</v>
      </c>
      <c r="B160" t="s">
        <v>53</v>
      </c>
      <c r="C160">
        <v>1</v>
      </c>
      <c r="D160" t="s">
        <v>9</v>
      </c>
      <c r="E160" t="s">
        <v>6</v>
      </c>
      <c r="F160" s="2">
        <v>45849</v>
      </c>
      <c r="G160">
        <v>7208.2</v>
      </c>
      <c r="H160" s="1">
        <f>AVERAGEIF(Table1[Customer_ID], Table1[[#This Row],[Customer_ID]], Table1[Transaction_Amount])</f>
        <v>5215.4396000000024</v>
      </c>
      <c r="I160" t="s">
        <v>2140</v>
      </c>
      <c r="J160" t="s">
        <v>50</v>
      </c>
      <c r="K160" t="s">
        <v>10</v>
      </c>
      <c r="L160">
        <v>4</v>
      </c>
      <c r="M160" t="s">
        <v>51</v>
      </c>
      <c r="N160" t="s">
        <v>56</v>
      </c>
      <c r="O160" t="s">
        <v>393</v>
      </c>
      <c r="P160" s="6" t="str">
        <f>IF(Table1[[#This Row],[Transaction_Amount]]&lt;=Table1[[#This Row],[avg_transaction_amount]], "usual transaction", "unusual transaction")</f>
        <v>unusual transaction</v>
      </c>
      <c r="Q160" s="6" t="str">
        <f>IF(AND(Table1[[#This Row],[Country_of_Residence]]&lt;&gt;Table1[[#This Row],[Country_of_Transaction]], OR(Table1[[#This Row],[Authentication_Type]]="Biometric", Table1[[#This Row],[Authentication_Type]]="OTP")), "safe location transaction", "unsafe location transaction")</f>
        <v>safe location transaction</v>
      </c>
      <c r="R160" s="6" t="str">
        <f>IF(AND(Table1[[#This Row],[Country_of_Residence]]&lt;&gt;Table1[[#This Row],[Country_of_Transaction]], OR(Table1[[#This Row],[Merchant_Category]]="Electronics", Table1[[#This Row],[Merchant_Category]]="Travel")), "unsafe merchant transaction", "safe merchant transaction")</f>
        <v>unsafe merchant transaction</v>
      </c>
    </row>
    <row r="161" spans="1:18">
      <c r="A161" t="s">
        <v>4804</v>
      </c>
      <c r="B161" t="s">
        <v>53</v>
      </c>
      <c r="C161">
        <v>1</v>
      </c>
      <c r="D161" t="s">
        <v>9</v>
      </c>
      <c r="E161" t="s">
        <v>5</v>
      </c>
      <c r="F161" s="2">
        <v>45727</v>
      </c>
      <c r="G161">
        <v>7632.12</v>
      </c>
      <c r="H161" s="1">
        <f>AVERAGEIF(Table1[Customer_ID], Table1[[#This Row],[Customer_ID]], Table1[Transaction_Amount])</f>
        <v>5215.4396000000024</v>
      </c>
      <c r="I161" t="s">
        <v>2225</v>
      </c>
      <c r="J161" t="s">
        <v>36</v>
      </c>
      <c r="K161" t="s">
        <v>12</v>
      </c>
      <c r="L161">
        <v>2</v>
      </c>
      <c r="M161" t="s">
        <v>37</v>
      </c>
      <c r="N161" t="s">
        <v>56</v>
      </c>
      <c r="O161" t="s">
        <v>393</v>
      </c>
      <c r="P161" s="6" t="str">
        <f>IF(Table1[[#This Row],[Transaction_Amount]]&lt;=Table1[[#This Row],[avg_transaction_amount]], "usual transaction", "unusual transaction")</f>
        <v>unusual transaction</v>
      </c>
      <c r="Q161" s="6" t="str">
        <f>IF(AND(Table1[[#This Row],[Country_of_Residence]]&lt;&gt;Table1[[#This Row],[Country_of_Transaction]], OR(Table1[[#This Row],[Authentication_Type]]="Biometric", Table1[[#This Row],[Authentication_Type]]="OTP")), "safe location transaction", "unsafe location transaction")</f>
        <v>unsafe location transaction</v>
      </c>
      <c r="R161" s="6" t="str">
        <f>IF(AND(Table1[[#This Row],[Country_of_Residence]]&lt;&gt;Table1[[#This Row],[Country_of_Transaction]], OR(Table1[[#This Row],[Merchant_Category]]="Electronics", Table1[[#This Row],[Merchant_Category]]="Travel")), "unsafe merchant transaction", "safe merchant transaction")</f>
        <v>safe merchant transaction</v>
      </c>
    </row>
    <row r="162" spans="1:18">
      <c r="A162" t="s">
        <v>4901</v>
      </c>
      <c r="B162" t="s">
        <v>53</v>
      </c>
      <c r="C162">
        <v>1</v>
      </c>
      <c r="D162" t="s">
        <v>9</v>
      </c>
      <c r="E162" t="s">
        <v>3</v>
      </c>
      <c r="F162" s="2">
        <v>45994</v>
      </c>
      <c r="G162">
        <v>2855.29</v>
      </c>
      <c r="H162" s="1">
        <f>AVERAGEIF(Table1[Customer_ID], Table1[[#This Row],[Customer_ID]], Table1[Transaction_Amount])</f>
        <v>5215.4396000000024</v>
      </c>
      <c r="I162" t="s">
        <v>2301</v>
      </c>
      <c r="J162" t="s">
        <v>41</v>
      </c>
      <c r="K162" t="s">
        <v>8</v>
      </c>
      <c r="L162">
        <v>4</v>
      </c>
      <c r="M162" t="s">
        <v>55</v>
      </c>
      <c r="N162" t="s">
        <v>412</v>
      </c>
      <c r="O162" t="s">
        <v>392</v>
      </c>
      <c r="P162" s="6" t="str">
        <f>IF(Table1[[#This Row],[Transaction_Amount]]&lt;=Table1[[#This Row],[avg_transaction_amount]], "usual transaction", "unusual transaction")</f>
        <v>usual transaction</v>
      </c>
      <c r="Q162" s="6" t="str">
        <f>IF(AND(Table1[[#This Row],[Country_of_Residence]]&lt;&gt;Table1[[#This Row],[Country_of_Transaction]], OR(Table1[[#This Row],[Authentication_Type]]="Biometric", Table1[[#This Row],[Authentication_Type]]="OTP")), "safe location transaction", "unsafe location transaction")</f>
        <v>safe location transaction</v>
      </c>
      <c r="R162" s="6" t="str">
        <f>IF(AND(Table1[[#This Row],[Country_of_Residence]]&lt;&gt;Table1[[#This Row],[Country_of_Transaction]], OR(Table1[[#This Row],[Merchant_Category]]="Electronics", Table1[[#This Row],[Merchant_Category]]="Travel")), "unsafe merchant transaction", "safe merchant transaction")</f>
        <v>safe merchant transaction</v>
      </c>
    </row>
    <row r="163" spans="1:18">
      <c r="A163" t="s">
        <v>4968</v>
      </c>
      <c r="B163" t="s">
        <v>53</v>
      </c>
      <c r="C163">
        <v>1</v>
      </c>
      <c r="D163" t="s">
        <v>9</v>
      </c>
      <c r="E163" t="s">
        <v>3</v>
      </c>
      <c r="F163" s="2">
        <v>45683</v>
      </c>
      <c r="G163">
        <v>832.54</v>
      </c>
      <c r="H163" s="1">
        <f>AVERAGEIF(Table1[Customer_ID], Table1[[#This Row],[Customer_ID]], Table1[Transaction_Amount])</f>
        <v>5215.4396000000024</v>
      </c>
      <c r="I163" t="s">
        <v>2354</v>
      </c>
      <c r="J163" t="s">
        <v>41</v>
      </c>
      <c r="K163" t="s">
        <v>12</v>
      </c>
      <c r="L163">
        <v>3</v>
      </c>
      <c r="M163" t="s">
        <v>33</v>
      </c>
      <c r="N163" t="s">
        <v>33</v>
      </c>
      <c r="O163" t="s">
        <v>392</v>
      </c>
      <c r="P163" s="6" t="str">
        <f>IF(Table1[[#This Row],[Transaction_Amount]]&lt;=Table1[[#This Row],[avg_transaction_amount]], "usual transaction", "unusual transaction")</f>
        <v>usual transaction</v>
      </c>
      <c r="Q163" s="6" t="str">
        <f>IF(AND(Table1[[#This Row],[Country_of_Residence]]&lt;&gt;Table1[[#This Row],[Country_of_Transaction]], OR(Table1[[#This Row],[Authentication_Type]]="Biometric", Table1[[#This Row],[Authentication_Type]]="OTP")), "safe location transaction", "unsafe location transaction")</f>
        <v>unsafe location transaction</v>
      </c>
      <c r="R163" s="6" t="str">
        <f>IF(AND(Table1[[#This Row],[Country_of_Residence]]&lt;&gt;Table1[[#This Row],[Country_of_Transaction]], OR(Table1[[#This Row],[Merchant_Category]]="Electronics", Table1[[#This Row],[Merchant_Category]]="Travel")), "unsafe merchant transaction", "safe merchant transaction")</f>
        <v>safe merchant transaction</v>
      </c>
    </row>
    <row r="164" spans="1:18">
      <c r="A164" t="s">
        <v>5000</v>
      </c>
      <c r="B164" t="s">
        <v>53</v>
      </c>
      <c r="C164">
        <v>1</v>
      </c>
      <c r="D164" t="s">
        <v>15</v>
      </c>
      <c r="E164" t="s">
        <v>5</v>
      </c>
      <c r="F164" s="2">
        <v>45883</v>
      </c>
      <c r="G164">
        <v>3915.55</v>
      </c>
      <c r="H164" s="1">
        <f>AVERAGEIF(Table1[Customer_ID], Table1[[#This Row],[Customer_ID]], Table1[Transaction_Amount])</f>
        <v>5215.4396000000024</v>
      </c>
      <c r="I164" t="s">
        <v>2382</v>
      </c>
      <c r="J164" t="s">
        <v>36</v>
      </c>
      <c r="K164" t="s">
        <v>8</v>
      </c>
      <c r="L164">
        <v>4</v>
      </c>
      <c r="M164" t="s">
        <v>37</v>
      </c>
      <c r="N164" t="s">
        <v>33</v>
      </c>
      <c r="O164" t="s">
        <v>393</v>
      </c>
      <c r="P164" s="6" t="str">
        <f>IF(Table1[[#This Row],[Transaction_Amount]]&lt;=Table1[[#This Row],[avg_transaction_amount]], "usual transaction", "unusual transaction")</f>
        <v>usual transaction</v>
      </c>
      <c r="Q164" s="6" t="str">
        <f>IF(AND(Table1[[#This Row],[Country_of_Residence]]&lt;&gt;Table1[[#This Row],[Country_of_Transaction]], OR(Table1[[#This Row],[Authentication_Type]]="Biometric", Table1[[#This Row],[Authentication_Type]]="OTP")), "safe location transaction", "unsafe location transaction")</f>
        <v>safe location transaction</v>
      </c>
      <c r="R164" s="6" t="str">
        <f>IF(AND(Table1[[#This Row],[Country_of_Residence]]&lt;&gt;Table1[[#This Row],[Country_of_Transaction]], OR(Table1[[#This Row],[Merchant_Category]]="Electronics", Table1[[#This Row],[Merchant_Category]]="Travel")), "unsafe merchant transaction", "safe merchant transaction")</f>
        <v>safe merchant transaction</v>
      </c>
    </row>
    <row r="165" spans="1:18">
      <c r="A165" t="s">
        <v>5050</v>
      </c>
      <c r="B165" t="s">
        <v>53</v>
      </c>
      <c r="C165">
        <v>1</v>
      </c>
      <c r="D165" t="s">
        <v>9</v>
      </c>
      <c r="E165" t="s">
        <v>6</v>
      </c>
      <c r="F165" s="2">
        <v>45750</v>
      </c>
      <c r="G165">
        <v>7990.02</v>
      </c>
      <c r="H165" s="1">
        <f>AVERAGEIF(Table1[Customer_ID], Table1[[#This Row],[Customer_ID]], Table1[Transaction_Amount])</f>
        <v>5215.4396000000024</v>
      </c>
      <c r="I165" t="s">
        <v>956</v>
      </c>
      <c r="J165" t="s">
        <v>46</v>
      </c>
      <c r="K165" t="s">
        <v>8</v>
      </c>
      <c r="L165">
        <v>5</v>
      </c>
      <c r="M165" t="s">
        <v>33</v>
      </c>
      <c r="N165" t="s">
        <v>56</v>
      </c>
      <c r="O165" t="s">
        <v>392</v>
      </c>
      <c r="P165" s="6" t="str">
        <f>IF(Table1[[#This Row],[Transaction_Amount]]&lt;=Table1[[#This Row],[avg_transaction_amount]], "usual transaction", "unusual transaction")</f>
        <v>unusual transaction</v>
      </c>
      <c r="Q165" s="6" t="str">
        <f>IF(AND(Table1[[#This Row],[Country_of_Residence]]&lt;&gt;Table1[[#This Row],[Country_of_Transaction]], OR(Table1[[#This Row],[Authentication_Type]]="Biometric", Table1[[#This Row],[Authentication_Type]]="OTP")), "safe location transaction", "unsafe location transaction")</f>
        <v>safe location transaction</v>
      </c>
      <c r="R165" s="6" t="str">
        <f>IF(AND(Table1[[#This Row],[Country_of_Residence]]&lt;&gt;Table1[[#This Row],[Country_of_Transaction]], OR(Table1[[#This Row],[Merchant_Category]]="Electronics", Table1[[#This Row],[Merchant_Category]]="Travel")), "unsafe merchant transaction", "safe merchant transaction")</f>
        <v>safe merchant transaction</v>
      </c>
    </row>
    <row r="166" spans="1:18">
      <c r="A166" t="s">
        <v>5082</v>
      </c>
      <c r="B166" t="s">
        <v>53</v>
      </c>
      <c r="C166">
        <v>1</v>
      </c>
      <c r="D166" t="s">
        <v>9</v>
      </c>
      <c r="E166" t="s">
        <v>3</v>
      </c>
      <c r="F166" s="2">
        <v>45761</v>
      </c>
      <c r="G166">
        <v>3380.15</v>
      </c>
      <c r="H166" s="1">
        <f>AVERAGEIF(Table1[Customer_ID], Table1[[#This Row],[Customer_ID]], Table1[Transaction_Amount])</f>
        <v>5215.4396000000024</v>
      </c>
      <c r="I166" t="s">
        <v>1359</v>
      </c>
      <c r="J166" t="s">
        <v>36</v>
      </c>
      <c r="K166" t="s">
        <v>14</v>
      </c>
      <c r="L166">
        <v>3</v>
      </c>
      <c r="M166" t="s">
        <v>51</v>
      </c>
      <c r="N166" t="s">
        <v>32</v>
      </c>
      <c r="O166" t="s">
        <v>392</v>
      </c>
      <c r="P166" s="6" t="str">
        <f>IF(Table1[[#This Row],[Transaction_Amount]]&lt;=Table1[[#This Row],[avg_transaction_amount]], "usual transaction", "unusual transaction")</f>
        <v>usual transaction</v>
      </c>
      <c r="Q166" s="6" t="str">
        <f>IF(AND(Table1[[#This Row],[Country_of_Residence]]&lt;&gt;Table1[[#This Row],[Country_of_Transaction]], OR(Table1[[#This Row],[Authentication_Type]]="Biometric", Table1[[#This Row],[Authentication_Type]]="OTP")), "safe location transaction", "unsafe location transaction")</f>
        <v>unsafe location transaction</v>
      </c>
      <c r="R166" s="6" t="str">
        <f>IF(AND(Table1[[#This Row],[Country_of_Residence]]&lt;&gt;Table1[[#This Row],[Country_of_Transaction]], OR(Table1[[#This Row],[Merchant_Category]]="Electronics", Table1[[#This Row],[Merchant_Category]]="Travel")), "unsafe merchant transaction", "safe merchant transaction")</f>
        <v>safe merchant transaction</v>
      </c>
    </row>
    <row r="167" spans="1:18">
      <c r="A167" t="s">
        <v>5170</v>
      </c>
      <c r="B167" t="s">
        <v>53</v>
      </c>
      <c r="C167">
        <v>1</v>
      </c>
      <c r="D167" t="s">
        <v>9</v>
      </c>
      <c r="E167" t="s">
        <v>3</v>
      </c>
      <c r="F167" s="2">
        <v>45659</v>
      </c>
      <c r="G167">
        <v>6767.6</v>
      </c>
      <c r="H167" s="1">
        <f>AVERAGEIF(Table1[Customer_ID], Table1[[#This Row],[Customer_ID]], Table1[Transaction_Amount])</f>
        <v>5215.4396000000024</v>
      </c>
      <c r="I167" t="s">
        <v>2506</v>
      </c>
      <c r="J167" t="s">
        <v>31</v>
      </c>
      <c r="K167" t="s">
        <v>8</v>
      </c>
      <c r="L167">
        <v>0</v>
      </c>
      <c r="M167" t="s">
        <v>32</v>
      </c>
      <c r="N167" t="s">
        <v>37</v>
      </c>
      <c r="O167" t="s">
        <v>393</v>
      </c>
      <c r="P167" s="6" t="str">
        <f>IF(Table1[[#This Row],[Transaction_Amount]]&lt;=Table1[[#This Row],[avg_transaction_amount]], "usual transaction", "unusual transaction")</f>
        <v>unusual transaction</v>
      </c>
      <c r="Q167" s="6" t="str">
        <f>IF(AND(Table1[[#This Row],[Country_of_Residence]]&lt;&gt;Table1[[#This Row],[Country_of_Transaction]], OR(Table1[[#This Row],[Authentication_Type]]="Biometric", Table1[[#This Row],[Authentication_Type]]="OTP")), "safe location transaction", "unsafe location transaction")</f>
        <v>safe location transaction</v>
      </c>
      <c r="R167" s="6" t="str">
        <f>IF(AND(Table1[[#This Row],[Country_of_Residence]]&lt;&gt;Table1[[#This Row],[Country_of_Transaction]], OR(Table1[[#This Row],[Merchant_Category]]="Electronics", Table1[[#This Row],[Merchant_Category]]="Travel")), "unsafe merchant transaction", "safe merchant transaction")</f>
        <v>safe merchant transaction</v>
      </c>
    </row>
    <row r="168" spans="1:18">
      <c r="A168" t="s">
        <v>5212</v>
      </c>
      <c r="B168" t="s">
        <v>53</v>
      </c>
      <c r="C168">
        <v>1</v>
      </c>
      <c r="D168" t="s">
        <v>9</v>
      </c>
      <c r="E168" t="s">
        <v>5</v>
      </c>
      <c r="F168" s="2">
        <v>45837</v>
      </c>
      <c r="G168">
        <v>9850.8799999999992</v>
      </c>
      <c r="H168" s="1">
        <f>AVERAGEIF(Table1[Customer_ID], Table1[[#This Row],[Customer_ID]], Table1[Transaction_Amount])</f>
        <v>5215.4396000000024</v>
      </c>
      <c r="I168" t="s">
        <v>2539</v>
      </c>
      <c r="J168" t="s">
        <v>41</v>
      </c>
      <c r="K168" t="s">
        <v>10</v>
      </c>
      <c r="L168">
        <v>5</v>
      </c>
      <c r="M168" t="s">
        <v>412</v>
      </c>
      <c r="N168" t="s">
        <v>412</v>
      </c>
      <c r="O168" t="s">
        <v>393</v>
      </c>
      <c r="P168" s="6" t="str">
        <f>IF(Table1[[#This Row],[Transaction_Amount]]&lt;=Table1[[#This Row],[avg_transaction_amount]], "usual transaction", "unusual transaction")</f>
        <v>unusual transaction</v>
      </c>
      <c r="Q168" s="6" t="str">
        <f>IF(AND(Table1[[#This Row],[Country_of_Residence]]&lt;&gt;Table1[[#This Row],[Country_of_Transaction]], OR(Table1[[#This Row],[Authentication_Type]]="Biometric", Table1[[#This Row],[Authentication_Type]]="OTP")), "safe location transaction", "unsafe location transaction")</f>
        <v>unsafe location transaction</v>
      </c>
      <c r="R168" s="6" t="str">
        <f>IF(AND(Table1[[#This Row],[Country_of_Residence]]&lt;&gt;Table1[[#This Row],[Country_of_Transaction]], OR(Table1[[#This Row],[Merchant_Category]]="Electronics", Table1[[#This Row],[Merchant_Category]]="Travel")), "unsafe merchant transaction", "safe merchant transaction")</f>
        <v>safe merchant transaction</v>
      </c>
    </row>
    <row r="169" spans="1:18">
      <c r="A169" t="s">
        <v>5412</v>
      </c>
      <c r="B169" t="s">
        <v>53</v>
      </c>
      <c r="C169">
        <v>1</v>
      </c>
      <c r="D169" t="s">
        <v>9</v>
      </c>
      <c r="E169" t="s">
        <v>3</v>
      </c>
      <c r="F169" s="2">
        <v>45691</v>
      </c>
      <c r="G169">
        <v>8057.66</v>
      </c>
      <c r="H169" s="1">
        <f>AVERAGEIF(Table1[Customer_ID], Table1[[#This Row],[Customer_ID]], Table1[Transaction_Amount])</f>
        <v>5215.4396000000024</v>
      </c>
      <c r="I169" t="s">
        <v>2688</v>
      </c>
      <c r="J169" t="s">
        <v>31</v>
      </c>
      <c r="K169" t="s">
        <v>12</v>
      </c>
      <c r="L169">
        <v>0</v>
      </c>
      <c r="M169" t="s">
        <v>55</v>
      </c>
      <c r="N169" t="s">
        <v>51</v>
      </c>
      <c r="O169" t="s">
        <v>393</v>
      </c>
      <c r="P169" s="6" t="str">
        <f>IF(Table1[[#This Row],[Transaction_Amount]]&lt;=Table1[[#This Row],[avg_transaction_amount]], "usual transaction", "unusual transaction")</f>
        <v>unusual transaction</v>
      </c>
      <c r="Q169" s="6" t="str">
        <f>IF(AND(Table1[[#This Row],[Country_of_Residence]]&lt;&gt;Table1[[#This Row],[Country_of_Transaction]], OR(Table1[[#This Row],[Authentication_Type]]="Biometric", Table1[[#This Row],[Authentication_Type]]="OTP")), "safe location transaction", "unsafe location transaction")</f>
        <v>unsafe location transaction</v>
      </c>
      <c r="R169" s="6" t="str">
        <f>IF(AND(Table1[[#This Row],[Country_of_Residence]]&lt;&gt;Table1[[#This Row],[Country_of_Transaction]], OR(Table1[[#This Row],[Merchant_Category]]="Electronics", Table1[[#This Row],[Merchant_Category]]="Travel")), "unsafe merchant transaction", "safe merchant transaction")</f>
        <v>safe merchant transaction</v>
      </c>
    </row>
    <row r="170" spans="1:18">
      <c r="A170" t="s">
        <v>5441</v>
      </c>
      <c r="B170" t="s">
        <v>53</v>
      </c>
      <c r="C170">
        <v>1</v>
      </c>
      <c r="D170" t="s">
        <v>15</v>
      </c>
      <c r="E170" t="s">
        <v>3</v>
      </c>
      <c r="F170" s="2">
        <v>45880</v>
      </c>
      <c r="G170">
        <v>3095.89</v>
      </c>
      <c r="H170" s="1">
        <f>AVERAGEIF(Table1[Customer_ID], Table1[[#This Row],[Customer_ID]], Table1[Transaction_Amount])</f>
        <v>5215.4396000000024</v>
      </c>
      <c r="I170" t="s">
        <v>789</v>
      </c>
      <c r="J170" t="s">
        <v>41</v>
      </c>
      <c r="K170" t="s">
        <v>12</v>
      </c>
      <c r="L170">
        <v>3</v>
      </c>
      <c r="M170" t="s">
        <v>37</v>
      </c>
      <c r="N170" t="s">
        <v>33</v>
      </c>
      <c r="O170" t="s">
        <v>393</v>
      </c>
      <c r="P170" s="6" t="str">
        <f>IF(Table1[[#This Row],[Transaction_Amount]]&lt;=Table1[[#This Row],[avg_transaction_amount]], "usual transaction", "unusual transaction")</f>
        <v>usual transaction</v>
      </c>
      <c r="Q170" s="6" t="str">
        <f>IF(AND(Table1[[#This Row],[Country_of_Residence]]&lt;&gt;Table1[[#This Row],[Country_of_Transaction]], OR(Table1[[#This Row],[Authentication_Type]]="Biometric", Table1[[#This Row],[Authentication_Type]]="OTP")), "safe location transaction", "unsafe location transaction")</f>
        <v>unsafe location transaction</v>
      </c>
      <c r="R170" s="6" t="str">
        <f>IF(AND(Table1[[#This Row],[Country_of_Residence]]&lt;&gt;Table1[[#This Row],[Country_of_Transaction]], OR(Table1[[#This Row],[Merchant_Category]]="Electronics", Table1[[#This Row],[Merchant_Category]]="Travel")), "unsafe merchant transaction", "safe merchant transaction")</f>
        <v>safe merchant transaction</v>
      </c>
    </row>
    <row r="171" spans="1:18">
      <c r="A171" t="s">
        <v>70</v>
      </c>
      <c r="B171" t="s">
        <v>71</v>
      </c>
      <c r="C171">
        <v>1</v>
      </c>
      <c r="D171" t="s">
        <v>13</v>
      </c>
      <c r="E171" t="s">
        <v>6</v>
      </c>
      <c r="F171" s="2">
        <v>45669.379861111098</v>
      </c>
      <c r="G171">
        <v>6817.68</v>
      </c>
      <c r="H171" s="1">
        <f>AVERAGEIF(Table1[Customer_ID], Table1[[#This Row],[Customer_ID]], Table1[Transaction_Amount])</f>
        <v>4963.9629090909084</v>
      </c>
      <c r="I171" t="s">
        <v>72</v>
      </c>
      <c r="J171" t="s">
        <v>59</v>
      </c>
      <c r="K171" t="s">
        <v>12</v>
      </c>
      <c r="L171">
        <v>3</v>
      </c>
      <c r="M171" t="s">
        <v>73</v>
      </c>
      <c r="N171" t="s">
        <v>74</v>
      </c>
      <c r="O171" t="s">
        <v>392</v>
      </c>
      <c r="P171" t="str">
        <f>IF(Table1[[#This Row],[Transaction_Amount]]&lt;=Table1[[#This Row],[avg_transaction_amount]], "usual transaction", "unusual transaction")</f>
        <v>unusual transaction</v>
      </c>
      <c r="Q171" t="str">
        <f>IF(AND(Table1[[#This Row],[Country_of_Residence]]&lt;&gt;Table1[[#This Row],[Country_of_Transaction]], OR(Table1[[#This Row],[Authentication_Type]]="Biometric", Table1[[#This Row],[Authentication_Type]]="OTP")), "safe location transaction", "unsafe location transaction")</f>
        <v>unsafe location transaction</v>
      </c>
      <c r="R171" t="str">
        <f>IF(AND(Table1[[#This Row],[Country_of_Residence]]&lt;&gt;Table1[[#This Row],[Country_of_Transaction]], OR(Table1[[#This Row],[Merchant_Category]]="Electronics", Table1[[#This Row],[Merchant_Category]]="Travel")), "unsafe merchant transaction", "safe merchant transaction")</f>
        <v>unsafe merchant transaction</v>
      </c>
    </row>
    <row r="172" spans="1:18">
      <c r="A172" t="s">
        <v>78</v>
      </c>
      <c r="B172" t="s">
        <v>71</v>
      </c>
      <c r="C172">
        <v>1</v>
      </c>
      <c r="D172" t="s">
        <v>9</v>
      </c>
      <c r="E172" t="s">
        <v>6</v>
      </c>
      <c r="F172" s="2">
        <v>45822.703472222202</v>
      </c>
      <c r="G172">
        <v>7265.09</v>
      </c>
      <c r="H172" s="1">
        <f>AVERAGEIF(Table1[Customer_ID], Table1[[#This Row],[Customer_ID]], Table1[Transaction_Amount])</f>
        <v>4963.9629090909084</v>
      </c>
      <c r="I172" t="s">
        <v>79</v>
      </c>
      <c r="J172" t="s">
        <v>59</v>
      </c>
      <c r="K172" t="s">
        <v>14</v>
      </c>
      <c r="L172">
        <v>3</v>
      </c>
      <c r="M172" t="s">
        <v>73</v>
      </c>
      <c r="N172" t="s">
        <v>80</v>
      </c>
      <c r="O172" t="s">
        <v>393</v>
      </c>
      <c r="P172" t="str">
        <f>IF(Table1[[#This Row],[Transaction_Amount]]&lt;=Table1[[#This Row],[avg_transaction_amount]], "usual transaction", "unusual transaction")</f>
        <v>unusual transaction</v>
      </c>
      <c r="Q172" t="str">
        <f>IF(AND(Table1[[#This Row],[Country_of_Residence]]&lt;&gt;Table1[[#This Row],[Country_of_Transaction]], OR(Table1[[#This Row],[Authentication_Type]]="Biometric", Table1[[#This Row],[Authentication_Type]]="OTP")), "safe location transaction", "unsafe location transaction")</f>
        <v>unsafe location transaction</v>
      </c>
      <c r="R172" t="str">
        <f>IF(AND(Table1[[#This Row],[Country_of_Residence]]&lt;&gt;Table1[[#This Row],[Country_of_Transaction]], OR(Table1[[#This Row],[Merchant_Category]]="Electronics", Table1[[#This Row],[Merchant_Category]]="Travel")), "unsafe merchant transaction", "safe merchant transaction")</f>
        <v>unsafe merchant transaction</v>
      </c>
    </row>
    <row r="173" spans="1:18">
      <c r="A173" t="s">
        <v>75</v>
      </c>
      <c r="B173" t="s">
        <v>71</v>
      </c>
      <c r="C173">
        <v>1</v>
      </c>
      <c r="D173" t="s">
        <v>9</v>
      </c>
      <c r="E173" t="s">
        <v>3</v>
      </c>
      <c r="F173" s="2">
        <v>45774.068749999999</v>
      </c>
      <c r="G173">
        <v>1144.97</v>
      </c>
      <c r="H173" s="1">
        <f>AVERAGEIF(Table1[Customer_ID], Table1[[#This Row],[Customer_ID]], Table1[Transaction_Amount])</f>
        <v>4963.9629090909084</v>
      </c>
      <c r="I173" t="s">
        <v>76</v>
      </c>
      <c r="J173" t="s">
        <v>41</v>
      </c>
      <c r="K173" t="s">
        <v>8</v>
      </c>
      <c r="L173">
        <v>5</v>
      </c>
      <c r="M173" t="s">
        <v>73</v>
      </c>
      <c r="N173" t="s">
        <v>77</v>
      </c>
      <c r="O173" t="s">
        <v>392</v>
      </c>
      <c r="P173" t="str">
        <f>IF(Table1[[#This Row],[Transaction_Amount]]&lt;=Table1[[#This Row],[avg_transaction_amount]], "usual transaction", "unusual transaction")</f>
        <v>usual transaction</v>
      </c>
      <c r="Q173" t="str">
        <f>IF(AND(Table1[[#This Row],[Country_of_Residence]]&lt;&gt;Table1[[#This Row],[Country_of_Transaction]], OR(Table1[[#This Row],[Authentication_Type]]="Biometric", Table1[[#This Row],[Authentication_Type]]="OTP")), "safe location transaction", "unsafe location transaction")</f>
        <v>safe location transaction</v>
      </c>
      <c r="R173" t="str">
        <f>IF(AND(Table1[[#This Row],[Country_of_Residence]]&lt;&gt;Table1[[#This Row],[Country_of_Transaction]], OR(Table1[[#This Row],[Merchant_Category]]="Electronics", Table1[[#This Row],[Merchant_Category]]="Travel")), "unsafe merchant transaction", "safe merchant transaction")</f>
        <v>safe merchant transaction</v>
      </c>
    </row>
    <row r="174" spans="1:18">
      <c r="A174" t="s">
        <v>2868</v>
      </c>
      <c r="B174" t="s">
        <v>71</v>
      </c>
      <c r="C174">
        <v>1</v>
      </c>
      <c r="D174" t="s">
        <v>9</v>
      </c>
      <c r="E174" t="s">
        <v>3</v>
      </c>
      <c r="F174" s="2">
        <v>45916</v>
      </c>
      <c r="G174">
        <v>4532.7</v>
      </c>
      <c r="H174" s="1">
        <f>AVERAGEIF(Table1[Customer_ID], Table1[[#This Row],[Customer_ID]], Table1[Transaction_Amount])</f>
        <v>4963.9629090909084</v>
      </c>
      <c r="I174" t="s">
        <v>520</v>
      </c>
      <c r="J174" t="s">
        <v>31</v>
      </c>
      <c r="K174" t="s">
        <v>12</v>
      </c>
      <c r="L174">
        <v>5</v>
      </c>
      <c r="M174" t="s">
        <v>47</v>
      </c>
      <c r="N174" t="s">
        <v>47</v>
      </c>
      <c r="O174" t="s">
        <v>392</v>
      </c>
      <c r="P174" s="6" t="str">
        <f>IF(Table1[[#This Row],[Transaction_Amount]]&lt;=Table1[[#This Row],[avg_transaction_amount]], "usual transaction", "unusual transaction")</f>
        <v>usual transaction</v>
      </c>
      <c r="Q174" s="6" t="str">
        <f>IF(AND(Table1[[#This Row],[Country_of_Residence]]&lt;&gt;Table1[[#This Row],[Country_of_Transaction]], OR(Table1[[#This Row],[Authentication_Type]]="Biometric", Table1[[#This Row],[Authentication_Type]]="OTP")), "safe location transaction", "unsafe location transaction")</f>
        <v>unsafe location transaction</v>
      </c>
      <c r="R174" s="6" t="str">
        <f>IF(AND(Table1[[#This Row],[Country_of_Residence]]&lt;&gt;Table1[[#This Row],[Country_of_Transaction]], OR(Table1[[#This Row],[Merchant_Category]]="Electronics", Table1[[#This Row],[Merchant_Category]]="Travel")), "unsafe merchant transaction", "safe merchant transaction")</f>
        <v>safe merchant transaction</v>
      </c>
    </row>
    <row r="175" spans="1:18">
      <c r="A175" t="s">
        <v>2913</v>
      </c>
      <c r="B175" t="s">
        <v>71</v>
      </c>
      <c r="C175">
        <v>1</v>
      </c>
      <c r="D175" t="s">
        <v>9</v>
      </c>
      <c r="E175" t="s">
        <v>3</v>
      </c>
      <c r="F175" s="2">
        <v>46006</v>
      </c>
      <c r="G175">
        <v>1046.97</v>
      </c>
      <c r="H175" s="1">
        <f>AVERAGEIF(Table1[Customer_ID], Table1[[#This Row],[Customer_ID]], Table1[Transaction_Amount])</f>
        <v>4963.9629090909084</v>
      </c>
      <c r="I175" t="s">
        <v>563</v>
      </c>
      <c r="J175" t="s">
        <v>41</v>
      </c>
      <c r="K175" t="s">
        <v>12</v>
      </c>
      <c r="L175">
        <v>3</v>
      </c>
      <c r="M175" t="s">
        <v>47</v>
      </c>
      <c r="N175" t="s">
        <v>47</v>
      </c>
      <c r="O175" t="s">
        <v>392</v>
      </c>
      <c r="P175" s="6" t="str">
        <f>IF(Table1[[#This Row],[Transaction_Amount]]&lt;=Table1[[#This Row],[avg_transaction_amount]], "usual transaction", "unusual transaction")</f>
        <v>usual transaction</v>
      </c>
      <c r="Q175" s="6" t="str">
        <f>IF(AND(Table1[[#This Row],[Country_of_Residence]]&lt;&gt;Table1[[#This Row],[Country_of_Transaction]], OR(Table1[[#This Row],[Authentication_Type]]="Biometric", Table1[[#This Row],[Authentication_Type]]="OTP")), "safe location transaction", "unsafe location transaction")</f>
        <v>unsafe location transaction</v>
      </c>
      <c r="R175" s="6" t="str">
        <f>IF(AND(Table1[[#This Row],[Country_of_Residence]]&lt;&gt;Table1[[#This Row],[Country_of_Transaction]], OR(Table1[[#This Row],[Merchant_Category]]="Electronics", Table1[[#This Row],[Merchant_Category]]="Travel")), "unsafe merchant transaction", "safe merchant transaction")</f>
        <v>safe merchant transaction</v>
      </c>
    </row>
    <row r="176" spans="1:18">
      <c r="A176" t="s">
        <v>3012</v>
      </c>
      <c r="B176" t="s">
        <v>71</v>
      </c>
      <c r="C176">
        <v>1</v>
      </c>
      <c r="D176" t="s">
        <v>15</v>
      </c>
      <c r="E176" t="s">
        <v>420</v>
      </c>
      <c r="F176" s="2">
        <v>46014</v>
      </c>
      <c r="G176">
        <v>1057.52</v>
      </c>
      <c r="H176" s="1">
        <f>AVERAGEIF(Table1[Customer_ID], Table1[[#This Row],[Customer_ID]], Table1[Transaction_Amount])</f>
        <v>4963.9629090909084</v>
      </c>
      <c r="I176" t="s">
        <v>659</v>
      </c>
      <c r="J176" t="s">
        <v>50</v>
      </c>
      <c r="K176" t="s">
        <v>14</v>
      </c>
      <c r="L176">
        <v>2</v>
      </c>
      <c r="M176" t="s">
        <v>55</v>
      </c>
      <c r="N176" t="s">
        <v>32</v>
      </c>
      <c r="O176" t="s">
        <v>392</v>
      </c>
      <c r="P176" s="6" t="str">
        <f>IF(Table1[[#This Row],[Transaction_Amount]]&lt;=Table1[[#This Row],[avg_transaction_amount]], "usual transaction", "unusual transaction")</f>
        <v>usual transaction</v>
      </c>
      <c r="Q176" s="6" t="str">
        <f>IF(AND(Table1[[#This Row],[Country_of_Residence]]&lt;&gt;Table1[[#This Row],[Country_of_Transaction]], OR(Table1[[#This Row],[Authentication_Type]]="Biometric", Table1[[#This Row],[Authentication_Type]]="OTP")), "safe location transaction", "unsafe location transaction")</f>
        <v>unsafe location transaction</v>
      </c>
      <c r="R176" s="6" t="str">
        <f>IF(AND(Table1[[#This Row],[Country_of_Residence]]&lt;&gt;Table1[[#This Row],[Country_of_Transaction]], OR(Table1[[#This Row],[Merchant_Category]]="Electronics", Table1[[#This Row],[Merchant_Category]]="Travel")), "unsafe merchant transaction", "safe merchant transaction")</f>
        <v>unsafe merchant transaction</v>
      </c>
    </row>
    <row r="177" spans="1:18">
      <c r="A177" t="s">
        <v>3021</v>
      </c>
      <c r="B177" t="s">
        <v>71</v>
      </c>
      <c r="C177">
        <v>1</v>
      </c>
      <c r="D177" t="s">
        <v>9</v>
      </c>
      <c r="E177" t="s">
        <v>3</v>
      </c>
      <c r="F177" s="2">
        <v>45830</v>
      </c>
      <c r="G177">
        <v>7470.21</v>
      </c>
      <c r="H177" s="1">
        <f>AVERAGEIF(Table1[Customer_ID], Table1[[#This Row],[Customer_ID]], Table1[Transaction_Amount])</f>
        <v>4963.9629090909084</v>
      </c>
      <c r="I177" t="s">
        <v>668</v>
      </c>
      <c r="J177" t="s">
        <v>50</v>
      </c>
      <c r="K177" t="s">
        <v>8</v>
      </c>
      <c r="L177">
        <v>5</v>
      </c>
      <c r="M177" t="s">
        <v>32</v>
      </c>
      <c r="N177" t="s">
        <v>55</v>
      </c>
      <c r="O177" t="s">
        <v>392</v>
      </c>
      <c r="P177" s="6" t="str">
        <f>IF(Table1[[#This Row],[Transaction_Amount]]&lt;=Table1[[#This Row],[avg_transaction_amount]], "usual transaction", "unusual transaction")</f>
        <v>unusual transaction</v>
      </c>
      <c r="Q177" s="6" t="str">
        <f>IF(AND(Table1[[#This Row],[Country_of_Residence]]&lt;&gt;Table1[[#This Row],[Country_of_Transaction]], OR(Table1[[#This Row],[Authentication_Type]]="Biometric", Table1[[#This Row],[Authentication_Type]]="OTP")), "safe location transaction", "unsafe location transaction")</f>
        <v>safe location transaction</v>
      </c>
      <c r="R177" s="6" t="str">
        <f>IF(AND(Table1[[#This Row],[Country_of_Residence]]&lt;&gt;Table1[[#This Row],[Country_of_Transaction]], OR(Table1[[#This Row],[Merchant_Category]]="Electronics", Table1[[#This Row],[Merchant_Category]]="Travel")), "unsafe merchant transaction", "safe merchant transaction")</f>
        <v>unsafe merchant transaction</v>
      </c>
    </row>
    <row r="178" spans="1:18">
      <c r="A178" t="s">
        <v>3023</v>
      </c>
      <c r="B178" t="s">
        <v>71</v>
      </c>
      <c r="C178">
        <v>1</v>
      </c>
      <c r="D178" t="s">
        <v>9</v>
      </c>
      <c r="E178" t="s">
        <v>420</v>
      </c>
      <c r="F178" s="2">
        <v>45727</v>
      </c>
      <c r="G178">
        <v>5176.93</v>
      </c>
      <c r="H178" s="1">
        <f>AVERAGEIF(Table1[Customer_ID], Table1[[#This Row],[Customer_ID]], Table1[Transaction_Amount])</f>
        <v>4963.9629090909084</v>
      </c>
      <c r="I178" t="s">
        <v>670</v>
      </c>
      <c r="J178" t="s">
        <v>46</v>
      </c>
      <c r="K178" t="s">
        <v>12</v>
      </c>
      <c r="L178">
        <v>1</v>
      </c>
      <c r="M178" t="s">
        <v>412</v>
      </c>
      <c r="N178" t="s">
        <v>55</v>
      </c>
      <c r="O178" t="s">
        <v>392</v>
      </c>
      <c r="P178" s="6" t="str">
        <f>IF(Table1[[#This Row],[Transaction_Amount]]&lt;=Table1[[#This Row],[avg_transaction_amount]], "usual transaction", "unusual transaction")</f>
        <v>unusual transaction</v>
      </c>
      <c r="Q178" s="6" t="str">
        <f>IF(AND(Table1[[#This Row],[Country_of_Residence]]&lt;&gt;Table1[[#This Row],[Country_of_Transaction]], OR(Table1[[#This Row],[Authentication_Type]]="Biometric", Table1[[#This Row],[Authentication_Type]]="OTP")), "safe location transaction", "unsafe location transaction")</f>
        <v>unsafe location transaction</v>
      </c>
      <c r="R178" s="6" t="str">
        <f>IF(AND(Table1[[#This Row],[Country_of_Residence]]&lt;&gt;Table1[[#This Row],[Country_of_Transaction]], OR(Table1[[#This Row],[Merchant_Category]]="Electronics", Table1[[#This Row],[Merchant_Category]]="Travel")), "unsafe merchant transaction", "safe merchant transaction")</f>
        <v>safe merchant transaction</v>
      </c>
    </row>
    <row r="179" spans="1:18">
      <c r="A179" t="s">
        <v>3255</v>
      </c>
      <c r="B179" t="s">
        <v>71</v>
      </c>
      <c r="C179">
        <v>1</v>
      </c>
      <c r="D179" t="s">
        <v>15</v>
      </c>
      <c r="E179" t="s">
        <v>6</v>
      </c>
      <c r="F179" s="2">
        <v>45979</v>
      </c>
      <c r="G179">
        <v>2934.07</v>
      </c>
      <c r="H179" s="1">
        <f>AVERAGEIF(Table1[Customer_ID], Table1[[#This Row],[Customer_ID]], Table1[Transaction_Amount])</f>
        <v>4963.9629090909084</v>
      </c>
      <c r="I179" t="s">
        <v>886</v>
      </c>
      <c r="J179" t="s">
        <v>41</v>
      </c>
      <c r="K179" t="s">
        <v>12</v>
      </c>
      <c r="L179">
        <v>4</v>
      </c>
      <c r="M179" t="s">
        <v>51</v>
      </c>
      <c r="N179" t="s">
        <v>51</v>
      </c>
      <c r="O179" t="s">
        <v>393</v>
      </c>
      <c r="P179" s="6" t="str">
        <f>IF(Table1[[#This Row],[Transaction_Amount]]&lt;=Table1[[#This Row],[avg_transaction_amount]], "usual transaction", "unusual transaction")</f>
        <v>usual transaction</v>
      </c>
      <c r="Q179" s="6" t="str">
        <f>IF(AND(Table1[[#This Row],[Country_of_Residence]]&lt;&gt;Table1[[#This Row],[Country_of_Transaction]], OR(Table1[[#This Row],[Authentication_Type]]="Biometric", Table1[[#This Row],[Authentication_Type]]="OTP")), "safe location transaction", "unsafe location transaction")</f>
        <v>unsafe location transaction</v>
      </c>
      <c r="R179" s="6" t="str">
        <f>IF(AND(Table1[[#This Row],[Country_of_Residence]]&lt;&gt;Table1[[#This Row],[Country_of_Transaction]], OR(Table1[[#This Row],[Merchant_Category]]="Electronics", Table1[[#This Row],[Merchant_Category]]="Travel")), "unsafe merchant transaction", "safe merchant transaction")</f>
        <v>safe merchant transaction</v>
      </c>
    </row>
    <row r="180" spans="1:18">
      <c r="A180" t="s">
        <v>3275</v>
      </c>
      <c r="B180" t="s">
        <v>71</v>
      </c>
      <c r="C180">
        <v>1</v>
      </c>
      <c r="D180" t="s">
        <v>9</v>
      </c>
      <c r="E180" t="s">
        <v>3</v>
      </c>
      <c r="F180" s="2">
        <v>46010</v>
      </c>
      <c r="G180">
        <v>6629.34</v>
      </c>
      <c r="H180" s="1">
        <f>AVERAGEIF(Table1[Customer_ID], Table1[[#This Row],[Customer_ID]], Table1[Transaction_Amount])</f>
        <v>4963.9629090909084</v>
      </c>
      <c r="I180" t="s">
        <v>903</v>
      </c>
      <c r="J180" t="s">
        <v>31</v>
      </c>
      <c r="K180" t="s">
        <v>14</v>
      </c>
      <c r="L180">
        <v>1</v>
      </c>
      <c r="M180" t="s">
        <v>412</v>
      </c>
      <c r="N180" t="s">
        <v>33</v>
      </c>
      <c r="O180" t="s">
        <v>393</v>
      </c>
      <c r="P180" s="6" t="str">
        <f>IF(Table1[[#This Row],[Transaction_Amount]]&lt;=Table1[[#This Row],[avg_transaction_amount]], "usual transaction", "unusual transaction")</f>
        <v>unusual transaction</v>
      </c>
      <c r="Q180" s="6" t="str">
        <f>IF(AND(Table1[[#This Row],[Country_of_Residence]]&lt;&gt;Table1[[#This Row],[Country_of_Transaction]], OR(Table1[[#This Row],[Authentication_Type]]="Biometric", Table1[[#This Row],[Authentication_Type]]="OTP")), "safe location transaction", "unsafe location transaction")</f>
        <v>unsafe location transaction</v>
      </c>
      <c r="R180" s="6" t="str">
        <f>IF(AND(Table1[[#This Row],[Country_of_Residence]]&lt;&gt;Table1[[#This Row],[Country_of_Transaction]], OR(Table1[[#This Row],[Merchant_Category]]="Electronics", Table1[[#This Row],[Merchant_Category]]="Travel")), "unsafe merchant transaction", "safe merchant transaction")</f>
        <v>safe merchant transaction</v>
      </c>
    </row>
    <row r="181" spans="1:18">
      <c r="A181" t="s">
        <v>3365</v>
      </c>
      <c r="B181" t="s">
        <v>71</v>
      </c>
      <c r="C181">
        <v>1</v>
      </c>
      <c r="D181" t="s">
        <v>15</v>
      </c>
      <c r="E181" t="s">
        <v>6</v>
      </c>
      <c r="F181" s="2">
        <v>45689</v>
      </c>
      <c r="G181">
        <v>9171.31</v>
      </c>
      <c r="H181" s="1">
        <f>AVERAGEIF(Table1[Customer_ID], Table1[[#This Row],[Customer_ID]], Table1[Transaction_Amount])</f>
        <v>4963.9629090909084</v>
      </c>
      <c r="I181" t="s">
        <v>989</v>
      </c>
      <c r="J181" t="s">
        <v>50</v>
      </c>
      <c r="K181" t="s">
        <v>8</v>
      </c>
      <c r="L181">
        <v>0</v>
      </c>
      <c r="M181" t="s">
        <v>32</v>
      </c>
      <c r="N181" t="s">
        <v>412</v>
      </c>
      <c r="O181" t="s">
        <v>392</v>
      </c>
      <c r="P181" s="6" t="str">
        <f>IF(Table1[[#This Row],[Transaction_Amount]]&lt;=Table1[[#This Row],[avg_transaction_amount]], "usual transaction", "unusual transaction")</f>
        <v>unusual transaction</v>
      </c>
      <c r="Q181" s="6" t="str">
        <f>IF(AND(Table1[[#This Row],[Country_of_Residence]]&lt;&gt;Table1[[#This Row],[Country_of_Transaction]], OR(Table1[[#This Row],[Authentication_Type]]="Biometric", Table1[[#This Row],[Authentication_Type]]="OTP")), "safe location transaction", "unsafe location transaction")</f>
        <v>safe location transaction</v>
      </c>
      <c r="R181" s="6" t="str">
        <f>IF(AND(Table1[[#This Row],[Country_of_Residence]]&lt;&gt;Table1[[#This Row],[Country_of_Transaction]], OR(Table1[[#This Row],[Merchant_Category]]="Electronics", Table1[[#This Row],[Merchant_Category]]="Travel")), "unsafe merchant transaction", "safe merchant transaction")</f>
        <v>unsafe merchant transaction</v>
      </c>
    </row>
    <row r="182" spans="1:18">
      <c r="A182" t="s">
        <v>3407</v>
      </c>
      <c r="B182" t="s">
        <v>71</v>
      </c>
      <c r="C182">
        <v>1</v>
      </c>
      <c r="D182" t="s">
        <v>15</v>
      </c>
      <c r="E182" t="s">
        <v>6</v>
      </c>
      <c r="F182" s="2">
        <v>45850</v>
      </c>
      <c r="G182">
        <v>1418.68</v>
      </c>
      <c r="H182" s="1">
        <f>AVERAGEIF(Table1[Customer_ID], Table1[[#This Row],[Customer_ID]], Table1[Transaction_Amount])</f>
        <v>4963.9629090909084</v>
      </c>
      <c r="I182" t="s">
        <v>1027</v>
      </c>
      <c r="J182" t="s">
        <v>46</v>
      </c>
      <c r="K182" t="s">
        <v>8</v>
      </c>
      <c r="L182">
        <v>5</v>
      </c>
      <c r="M182" t="s">
        <v>51</v>
      </c>
      <c r="N182" t="s">
        <v>42</v>
      </c>
      <c r="O182" t="s">
        <v>393</v>
      </c>
      <c r="P182" s="6" t="str">
        <f>IF(Table1[[#This Row],[Transaction_Amount]]&lt;=Table1[[#This Row],[avg_transaction_amount]], "usual transaction", "unusual transaction")</f>
        <v>usual transaction</v>
      </c>
      <c r="Q182" s="6" t="str">
        <f>IF(AND(Table1[[#This Row],[Country_of_Residence]]&lt;&gt;Table1[[#This Row],[Country_of_Transaction]], OR(Table1[[#This Row],[Authentication_Type]]="Biometric", Table1[[#This Row],[Authentication_Type]]="OTP")), "safe location transaction", "unsafe location transaction")</f>
        <v>safe location transaction</v>
      </c>
      <c r="R182" s="6" t="str">
        <f>IF(AND(Table1[[#This Row],[Country_of_Residence]]&lt;&gt;Table1[[#This Row],[Country_of_Transaction]], OR(Table1[[#This Row],[Merchant_Category]]="Electronics", Table1[[#This Row],[Merchant_Category]]="Travel")), "unsafe merchant transaction", "safe merchant transaction")</f>
        <v>safe merchant transaction</v>
      </c>
    </row>
    <row r="183" spans="1:18">
      <c r="A183" t="s">
        <v>3458</v>
      </c>
      <c r="B183" t="s">
        <v>71</v>
      </c>
      <c r="C183">
        <v>1</v>
      </c>
      <c r="D183" t="s">
        <v>9</v>
      </c>
      <c r="E183" t="s">
        <v>3</v>
      </c>
      <c r="F183" s="2">
        <v>45831</v>
      </c>
      <c r="G183">
        <v>4256.09</v>
      </c>
      <c r="H183" s="1">
        <f>AVERAGEIF(Table1[Customer_ID], Table1[[#This Row],[Customer_ID]], Table1[Transaction_Amount])</f>
        <v>4963.9629090909084</v>
      </c>
      <c r="I183" t="s">
        <v>1076</v>
      </c>
      <c r="J183" t="s">
        <v>41</v>
      </c>
      <c r="K183" t="s">
        <v>10</v>
      </c>
      <c r="L183">
        <v>2</v>
      </c>
      <c r="M183" t="s">
        <v>37</v>
      </c>
      <c r="N183" t="s">
        <v>47</v>
      </c>
      <c r="O183" t="s">
        <v>393</v>
      </c>
      <c r="P183" s="6" t="str">
        <f>IF(Table1[[#This Row],[Transaction_Amount]]&lt;=Table1[[#This Row],[avg_transaction_amount]], "usual transaction", "unusual transaction")</f>
        <v>usual transaction</v>
      </c>
      <c r="Q183" s="6" t="str">
        <f>IF(AND(Table1[[#This Row],[Country_of_Residence]]&lt;&gt;Table1[[#This Row],[Country_of_Transaction]], OR(Table1[[#This Row],[Authentication_Type]]="Biometric", Table1[[#This Row],[Authentication_Type]]="OTP")), "safe location transaction", "unsafe location transaction")</f>
        <v>safe location transaction</v>
      </c>
      <c r="R183" s="6" t="str">
        <f>IF(AND(Table1[[#This Row],[Country_of_Residence]]&lt;&gt;Table1[[#This Row],[Country_of_Transaction]], OR(Table1[[#This Row],[Merchant_Category]]="Electronics", Table1[[#This Row],[Merchant_Category]]="Travel")), "unsafe merchant transaction", "safe merchant transaction")</f>
        <v>safe merchant transaction</v>
      </c>
    </row>
    <row r="184" spans="1:18">
      <c r="A184" t="s">
        <v>3470</v>
      </c>
      <c r="B184" t="s">
        <v>71</v>
      </c>
      <c r="C184">
        <v>1</v>
      </c>
      <c r="D184" t="s">
        <v>9</v>
      </c>
      <c r="E184" t="s">
        <v>6</v>
      </c>
      <c r="F184" s="2">
        <v>45804</v>
      </c>
      <c r="G184">
        <v>1858.43</v>
      </c>
      <c r="H184" s="1">
        <f>AVERAGEIF(Table1[Customer_ID], Table1[[#This Row],[Customer_ID]], Table1[Transaction_Amount])</f>
        <v>4963.9629090909084</v>
      </c>
      <c r="I184" t="s">
        <v>1088</v>
      </c>
      <c r="J184" t="s">
        <v>41</v>
      </c>
      <c r="K184" t="s">
        <v>10</v>
      </c>
      <c r="L184">
        <v>3</v>
      </c>
      <c r="M184" t="s">
        <v>42</v>
      </c>
      <c r="N184" t="s">
        <v>37</v>
      </c>
      <c r="O184" t="s">
        <v>393</v>
      </c>
      <c r="P184" s="6" t="str">
        <f>IF(Table1[[#This Row],[Transaction_Amount]]&lt;=Table1[[#This Row],[avg_transaction_amount]], "usual transaction", "unusual transaction")</f>
        <v>usual transaction</v>
      </c>
      <c r="Q184" s="6" t="str">
        <f>IF(AND(Table1[[#This Row],[Country_of_Residence]]&lt;&gt;Table1[[#This Row],[Country_of_Transaction]], OR(Table1[[#This Row],[Authentication_Type]]="Biometric", Table1[[#This Row],[Authentication_Type]]="OTP")), "safe location transaction", "unsafe location transaction")</f>
        <v>safe location transaction</v>
      </c>
      <c r="R184" s="6" t="str">
        <f>IF(AND(Table1[[#This Row],[Country_of_Residence]]&lt;&gt;Table1[[#This Row],[Country_of_Transaction]], OR(Table1[[#This Row],[Merchant_Category]]="Electronics", Table1[[#This Row],[Merchant_Category]]="Travel")), "unsafe merchant transaction", "safe merchant transaction")</f>
        <v>safe merchant transaction</v>
      </c>
    </row>
    <row r="185" spans="1:18">
      <c r="A185" t="s">
        <v>3495</v>
      </c>
      <c r="B185" t="s">
        <v>71</v>
      </c>
      <c r="C185">
        <v>1</v>
      </c>
      <c r="D185" t="s">
        <v>15</v>
      </c>
      <c r="E185" t="s">
        <v>420</v>
      </c>
      <c r="F185" s="2">
        <v>45962</v>
      </c>
      <c r="G185">
        <v>7028.95</v>
      </c>
      <c r="H185" s="1">
        <f>AVERAGEIF(Table1[Customer_ID], Table1[[#This Row],[Customer_ID]], Table1[Transaction_Amount])</f>
        <v>4963.9629090909084</v>
      </c>
      <c r="I185" t="s">
        <v>1111</v>
      </c>
      <c r="J185" t="s">
        <v>46</v>
      </c>
      <c r="K185" t="s">
        <v>14</v>
      </c>
      <c r="L185">
        <v>1</v>
      </c>
      <c r="M185" t="s">
        <v>32</v>
      </c>
      <c r="N185" t="s">
        <v>55</v>
      </c>
      <c r="O185" t="s">
        <v>392</v>
      </c>
      <c r="P185" s="6" t="str">
        <f>IF(Table1[[#This Row],[Transaction_Amount]]&lt;=Table1[[#This Row],[avg_transaction_amount]], "usual transaction", "unusual transaction")</f>
        <v>unusual transaction</v>
      </c>
      <c r="Q185" s="6" t="str">
        <f>IF(AND(Table1[[#This Row],[Country_of_Residence]]&lt;&gt;Table1[[#This Row],[Country_of_Transaction]], OR(Table1[[#This Row],[Authentication_Type]]="Biometric", Table1[[#This Row],[Authentication_Type]]="OTP")), "safe location transaction", "unsafe location transaction")</f>
        <v>unsafe location transaction</v>
      </c>
      <c r="R185" s="6" t="str">
        <f>IF(AND(Table1[[#This Row],[Country_of_Residence]]&lt;&gt;Table1[[#This Row],[Country_of_Transaction]], OR(Table1[[#This Row],[Merchant_Category]]="Electronics", Table1[[#This Row],[Merchant_Category]]="Travel")), "unsafe merchant transaction", "safe merchant transaction")</f>
        <v>safe merchant transaction</v>
      </c>
    </row>
    <row r="186" spans="1:18">
      <c r="A186" t="s">
        <v>3580</v>
      </c>
      <c r="B186" t="s">
        <v>71</v>
      </c>
      <c r="C186">
        <v>1</v>
      </c>
      <c r="D186" t="s">
        <v>15</v>
      </c>
      <c r="E186" t="s">
        <v>420</v>
      </c>
      <c r="F186" s="2">
        <v>45849</v>
      </c>
      <c r="G186">
        <v>6138.44</v>
      </c>
      <c r="H186" s="1">
        <f>AVERAGEIF(Table1[Customer_ID], Table1[[#This Row],[Customer_ID]], Table1[Transaction_Amount])</f>
        <v>4963.9629090909084</v>
      </c>
      <c r="I186" t="s">
        <v>1190</v>
      </c>
      <c r="J186" t="s">
        <v>46</v>
      </c>
      <c r="K186" t="s">
        <v>14</v>
      </c>
      <c r="L186">
        <v>0</v>
      </c>
      <c r="M186" t="s">
        <v>47</v>
      </c>
      <c r="N186" t="s">
        <v>56</v>
      </c>
      <c r="O186" t="s">
        <v>392</v>
      </c>
      <c r="P186" s="6" t="str">
        <f>IF(Table1[[#This Row],[Transaction_Amount]]&lt;=Table1[[#This Row],[avg_transaction_amount]], "usual transaction", "unusual transaction")</f>
        <v>unusual transaction</v>
      </c>
      <c r="Q186" s="6" t="str">
        <f>IF(AND(Table1[[#This Row],[Country_of_Residence]]&lt;&gt;Table1[[#This Row],[Country_of_Transaction]], OR(Table1[[#This Row],[Authentication_Type]]="Biometric", Table1[[#This Row],[Authentication_Type]]="OTP")), "safe location transaction", "unsafe location transaction")</f>
        <v>unsafe location transaction</v>
      </c>
      <c r="R186" s="6" t="str">
        <f>IF(AND(Table1[[#This Row],[Country_of_Residence]]&lt;&gt;Table1[[#This Row],[Country_of_Transaction]], OR(Table1[[#This Row],[Merchant_Category]]="Electronics", Table1[[#This Row],[Merchant_Category]]="Travel")), "unsafe merchant transaction", "safe merchant transaction")</f>
        <v>safe merchant transaction</v>
      </c>
    </row>
    <row r="187" spans="1:18">
      <c r="A187" t="s">
        <v>3638</v>
      </c>
      <c r="B187" t="s">
        <v>71</v>
      </c>
      <c r="C187">
        <v>1</v>
      </c>
      <c r="D187" t="s">
        <v>9</v>
      </c>
      <c r="E187" t="s">
        <v>5</v>
      </c>
      <c r="F187" s="2">
        <v>45735</v>
      </c>
      <c r="G187">
        <v>7685.71</v>
      </c>
      <c r="H187" s="1">
        <f>AVERAGEIF(Table1[Customer_ID], Table1[[#This Row],[Customer_ID]], Table1[Transaction_Amount])</f>
        <v>4963.9629090909084</v>
      </c>
      <c r="I187" t="s">
        <v>1243</v>
      </c>
      <c r="J187" t="s">
        <v>41</v>
      </c>
      <c r="K187" t="s">
        <v>8</v>
      </c>
      <c r="L187">
        <v>0</v>
      </c>
      <c r="M187" t="s">
        <v>37</v>
      </c>
      <c r="N187" t="s">
        <v>55</v>
      </c>
      <c r="O187" t="s">
        <v>393</v>
      </c>
      <c r="P187" s="6" t="str">
        <f>IF(Table1[[#This Row],[Transaction_Amount]]&lt;=Table1[[#This Row],[avg_transaction_amount]], "usual transaction", "unusual transaction")</f>
        <v>unusual transaction</v>
      </c>
      <c r="Q187" s="6" t="str">
        <f>IF(AND(Table1[[#This Row],[Country_of_Residence]]&lt;&gt;Table1[[#This Row],[Country_of_Transaction]], OR(Table1[[#This Row],[Authentication_Type]]="Biometric", Table1[[#This Row],[Authentication_Type]]="OTP")), "safe location transaction", "unsafe location transaction")</f>
        <v>safe location transaction</v>
      </c>
      <c r="R187" s="6" t="str">
        <f>IF(AND(Table1[[#This Row],[Country_of_Residence]]&lt;&gt;Table1[[#This Row],[Country_of_Transaction]], OR(Table1[[#This Row],[Merchant_Category]]="Electronics", Table1[[#This Row],[Merchant_Category]]="Travel")), "unsafe merchant transaction", "safe merchant transaction")</f>
        <v>safe merchant transaction</v>
      </c>
    </row>
    <row r="188" spans="1:18">
      <c r="A188" t="s">
        <v>3644</v>
      </c>
      <c r="B188" t="s">
        <v>71</v>
      </c>
      <c r="C188">
        <v>1</v>
      </c>
      <c r="D188" t="s">
        <v>15</v>
      </c>
      <c r="E188" t="s">
        <v>5</v>
      </c>
      <c r="F188" s="2">
        <v>45983</v>
      </c>
      <c r="G188">
        <v>6268.48</v>
      </c>
      <c r="H188" s="1">
        <f>AVERAGEIF(Table1[Customer_ID], Table1[[#This Row],[Customer_ID]], Table1[Transaction_Amount])</f>
        <v>4963.9629090909084</v>
      </c>
      <c r="I188" t="s">
        <v>1249</v>
      </c>
      <c r="J188" t="s">
        <v>50</v>
      </c>
      <c r="K188" t="s">
        <v>10</v>
      </c>
      <c r="L188">
        <v>1</v>
      </c>
      <c r="M188" t="s">
        <v>37</v>
      </c>
      <c r="N188" t="s">
        <v>37</v>
      </c>
      <c r="O188" t="s">
        <v>393</v>
      </c>
      <c r="P188" s="6" t="str">
        <f>IF(Table1[[#This Row],[Transaction_Amount]]&lt;=Table1[[#This Row],[avg_transaction_amount]], "usual transaction", "unusual transaction")</f>
        <v>unusual transaction</v>
      </c>
      <c r="Q188" s="6" t="str">
        <f>IF(AND(Table1[[#This Row],[Country_of_Residence]]&lt;&gt;Table1[[#This Row],[Country_of_Transaction]], OR(Table1[[#This Row],[Authentication_Type]]="Biometric", Table1[[#This Row],[Authentication_Type]]="OTP")), "safe location transaction", "unsafe location transaction")</f>
        <v>unsafe location transaction</v>
      </c>
      <c r="R188" s="6" t="str">
        <f>IF(AND(Table1[[#This Row],[Country_of_Residence]]&lt;&gt;Table1[[#This Row],[Country_of_Transaction]], OR(Table1[[#This Row],[Merchant_Category]]="Electronics", Table1[[#This Row],[Merchant_Category]]="Travel")), "unsafe merchant transaction", "safe merchant transaction")</f>
        <v>safe merchant transaction</v>
      </c>
    </row>
    <row r="189" spans="1:18">
      <c r="A189" t="s">
        <v>3666</v>
      </c>
      <c r="B189" t="s">
        <v>71</v>
      </c>
      <c r="C189">
        <v>1</v>
      </c>
      <c r="D189" t="s">
        <v>15</v>
      </c>
      <c r="E189" t="s">
        <v>5</v>
      </c>
      <c r="F189" s="2">
        <v>45892</v>
      </c>
      <c r="G189">
        <v>9704.74</v>
      </c>
      <c r="H189" s="1">
        <f>AVERAGEIF(Table1[Customer_ID], Table1[[#This Row],[Customer_ID]], Table1[Transaction_Amount])</f>
        <v>4963.9629090909084</v>
      </c>
      <c r="I189" t="s">
        <v>1268</v>
      </c>
      <c r="J189" t="s">
        <v>36</v>
      </c>
      <c r="K189" t="s">
        <v>10</v>
      </c>
      <c r="L189">
        <v>5</v>
      </c>
      <c r="M189" t="s">
        <v>42</v>
      </c>
      <c r="N189" t="s">
        <v>55</v>
      </c>
      <c r="O189" t="s">
        <v>392</v>
      </c>
      <c r="P189" s="6" t="str">
        <f>IF(Table1[[#This Row],[Transaction_Amount]]&lt;=Table1[[#This Row],[avg_transaction_amount]], "usual transaction", "unusual transaction")</f>
        <v>unusual transaction</v>
      </c>
      <c r="Q189" s="6" t="str">
        <f>IF(AND(Table1[[#This Row],[Country_of_Residence]]&lt;&gt;Table1[[#This Row],[Country_of_Transaction]], OR(Table1[[#This Row],[Authentication_Type]]="Biometric", Table1[[#This Row],[Authentication_Type]]="OTP")), "safe location transaction", "unsafe location transaction")</f>
        <v>safe location transaction</v>
      </c>
      <c r="R189" s="6" t="str">
        <f>IF(AND(Table1[[#This Row],[Country_of_Residence]]&lt;&gt;Table1[[#This Row],[Country_of_Transaction]], OR(Table1[[#This Row],[Merchant_Category]]="Electronics", Table1[[#This Row],[Merchant_Category]]="Travel")), "unsafe merchant transaction", "safe merchant transaction")</f>
        <v>safe merchant transaction</v>
      </c>
    </row>
    <row r="190" spans="1:18">
      <c r="A190" t="s">
        <v>3716</v>
      </c>
      <c r="B190" t="s">
        <v>71</v>
      </c>
      <c r="C190">
        <v>1</v>
      </c>
      <c r="D190" t="s">
        <v>9</v>
      </c>
      <c r="E190" t="s">
        <v>420</v>
      </c>
      <c r="F190" s="2">
        <v>45803</v>
      </c>
      <c r="G190">
        <v>6414.31</v>
      </c>
      <c r="H190" s="1">
        <f>AVERAGEIF(Table1[Customer_ID], Table1[[#This Row],[Customer_ID]], Table1[Transaction_Amount])</f>
        <v>4963.9629090909084</v>
      </c>
      <c r="I190" t="s">
        <v>1313</v>
      </c>
      <c r="J190" t="s">
        <v>46</v>
      </c>
      <c r="K190" t="s">
        <v>10</v>
      </c>
      <c r="L190">
        <v>2</v>
      </c>
      <c r="M190" t="s">
        <v>56</v>
      </c>
      <c r="N190" t="s">
        <v>42</v>
      </c>
      <c r="O190" t="s">
        <v>392</v>
      </c>
      <c r="P190" s="6" t="str">
        <f>IF(Table1[[#This Row],[Transaction_Amount]]&lt;=Table1[[#This Row],[avg_transaction_amount]], "usual transaction", "unusual transaction")</f>
        <v>unusual transaction</v>
      </c>
      <c r="Q190" s="6" t="str">
        <f>IF(AND(Table1[[#This Row],[Country_of_Residence]]&lt;&gt;Table1[[#This Row],[Country_of_Transaction]], OR(Table1[[#This Row],[Authentication_Type]]="Biometric", Table1[[#This Row],[Authentication_Type]]="OTP")), "safe location transaction", "unsafe location transaction")</f>
        <v>safe location transaction</v>
      </c>
      <c r="R190" s="6" t="str">
        <f>IF(AND(Table1[[#This Row],[Country_of_Residence]]&lt;&gt;Table1[[#This Row],[Country_of_Transaction]], OR(Table1[[#This Row],[Merchant_Category]]="Electronics", Table1[[#This Row],[Merchant_Category]]="Travel")), "unsafe merchant transaction", "safe merchant transaction")</f>
        <v>safe merchant transaction</v>
      </c>
    </row>
    <row r="191" spans="1:18">
      <c r="A191" t="s">
        <v>3796</v>
      </c>
      <c r="B191" t="s">
        <v>71</v>
      </c>
      <c r="C191">
        <v>1</v>
      </c>
      <c r="D191" t="s">
        <v>15</v>
      </c>
      <c r="E191" t="s">
        <v>420</v>
      </c>
      <c r="F191" s="2">
        <v>45922</v>
      </c>
      <c r="G191">
        <v>2034.13</v>
      </c>
      <c r="H191" s="1">
        <f>AVERAGEIF(Table1[Customer_ID], Table1[[#This Row],[Customer_ID]], Table1[Transaction_Amount])</f>
        <v>4963.9629090909084</v>
      </c>
      <c r="I191" t="s">
        <v>1382</v>
      </c>
      <c r="J191" t="s">
        <v>36</v>
      </c>
      <c r="K191" t="s">
        <v>10</v>
      </c>
      <c r="L191">
        <v>5</v>
      </c>
      <c r="M191" t="s">
        <v>55</v>
      </c>
      <c r="N191" t="s">
        <v>56</v>
      </c>
      <c r="O191" t="s">
        <v>392</v>
      </c>
      <c r="P191" s="6" t="str">
        <f>IF(Table1[[#This Row],[Transaction_Amount]]&lt;=Table1[[#This Row],[avg_transaction_amount]], "usual transaction", "unusual transaction")</f>
        <v>usual transaction</v>
      </c>
      <c r="Q191" s="6" t="str">
        <f>IF(AND(Table1[[#This Row],[Country_of_Residence]]&lt;&gt;Table1[[#This Row],[Country_of_Transaction]], OR(Table1[[#This Row],[Authentication_Type]]="Biometric", Table1[[#This Row],[Authentication_Type]]="OTP")), "safe location transaction", "unsafe location transaction")</f>
        <v>safe location transaction</v>
      </c>
      <c r="R191" s="6" t="str">
        <f>IF(AND(Table1[[#This Row],[Country_of_Residence]]&lt;&gt;Table1[[#This Row],[Country_of_Transaction]], OR(Table1[[#This Row],[Merchant_Category]]="Electronics", Table1[[#This Row],[Merchant_Category]]="Travel")), "unsafe merchant transaction", "safe merchant transaction")</f>
        <v>safe merchant transaction</v>
      </c>
    </row>
    <row r="192" spans="1:18">
      <c r="A192" t="s">
        <v>3834</v>
      </c>
      <c r="B192" t="s">
        <v>71</v>
      </c>
      <c r="C192">
        <v>1</v>
      </c>
      <c r="D192" t="s">
        <v>15</v>
      </c>
      <c r="E192" t="s">
        <v>6</v>
      </c>
      <c r="F192" s="2">
        <v>45903</v>
      </c>
      <c r="G192">
        <v>6465.35</v>
      </c>
      <c r="H192" s="1">
        <f>AVERAGEIF(Table1[Customer_ID], Table1[[#This Row],[Customer_ID]], Table1[Transaction_Amount])</f>
        <v>4963.9629090909084</v>
      </c>
      <c r="I192" t="s">
        <v>767</v>
      </c>
      <c r="J192" t="s">
        <v>46</v>
      </c>
      <c r="K192" t="s">
        <v>12</v>
      </c>
      <c r="L192">
        <v>1</v>
      </c>
      <c r="M192" t="s">
        <v>42</v>
      </c>
      <c r="N192" t="s">
        <v>33</v>
      </c>
      <c r="O192" t="s">
        <v>393</v>
      </c>
      <c r="P192" s="6" t="str">
        <f>IF(Table1[[#This Row],[Transaction_Amount]]&lt;=Table1[[#This Row],[avg_transaction_amount]], "usual transaction", "unusual transaction")</f>
        <v>unusual transaction</v>
      </c>
      <c r="Q192" s="6" t="str">
        <f>IF(AND(Table1[[#This Row],[Country_of_Residence]]&lt;&gt;Table1[[#This Row],[Country_of_Transaction]], OR(Table1[[#This Row],[Authentication_Type]]="Biometric", Table1[[#This Row],[Authentication_Type]]="OTP")), "safe location transaction", "unsafe location transaction")</f>
        <v>unsafe location transaction</v>
      </c>
      <c r="R192" s="6" t="str">
        <f>IF(AND(Table1[[#This Row],[Country_of_Residence]]&lt;&gt;Table1[[#This Row],[Country_of_Transaction]], OR(Table1[[#This Row],[Merchant_Category]]="Electronics", Table1[[#This Row],[Merchant_Category]]="Travel")), "unsafe merchant transaction", "safe merchant transaction")</f>
        <v>safe merchant transaction</v>
      </c>
    </row>
    <row r="193" spans="1:18">
      <c r="A193" t="s">
        <v>3899</v>
      </c>
      <c r="B193" t="s">
        <v>71</v>
      </c>
      <c r="C193">
        <v>1</v>
      </c>
      <c r="D193" t="s">
        <v>15</v>
      </c>
      <c r="E193" t="s">
        <v>5</v>
      </c>
      <c r="F193" s="2">
        <v>45849</v>
      </c>
      <c r="G193">
        <v>2491.39</v>
      </c>
      <c r="H193" s="1">
        <f>AVERAGEIF(Table1[Customer_ID], Table1[[#This Row],[Customer_ID]], Table1[Transaction_Amount])</f>
        <v>4963.9629090909084</v>
      </c>
      <c r="I193" t="s">
        <v>1466</v>
      </c>
      <c r="J193" t="s">
        <v>36</v>
      </c>
      <c r="K193" t="s">
        <v>8</v>
      </c>
      <c r="L193">
        <v>5</v>
      </c>
      <c r="M193" t="s">
        <v>56</v>
      </c>
      <c r="N193" t="s">
        <v>32</v>
      </c>
      <c r="O193" t="s">
        <v>393</v>
      </c>
      <c r="P193" s="6" t="str">
        <f>IF(Table1[[#This Row],[Transaction_Amount]]&lt;=Table1[[#This Row],[avg_transaction_amount]], "usual transaction", "unusual transaction")</f>
        <v>usual transaction</v>
      </c>
      <c r="Q193" s="6" t="str">
        <f>IF(AND(Table1[[#This Row],[Country_of_Residence]]&lt;&gt;Table1[[#This Row],[Country_of_Transaction]], OR(Table1[[#This Row],[Authentication_Type]]="Biometric", Table1[[#This Row],[Authentication_Type]]="OTP")), "safe location transaction", "unsafe location transaction")</f>
        <v>safe location transaction</v>
      </c>
      <c r="R193" s="6" t="str">
        <f>IF(AND(Table1[[#This Row],[Country_of_Residence]]&lt;&gt;Table1[[#This Row],[Country_of_Transaction]], OR(Table1[[#This Row],[Merchant_Category]]="Electronics", Table1[[#This Row],[Merchant_Category]]="Travel")), "unsafe merchant transaction", "safe merchant transaction")</f>
        <v>safe merchant transaction</v>
      </c>
    </row>
    <row r="194" spans="1:18">
      <c r="A194" t="s">
        <v>3948</v>
      </c>
      <c r="B194" t="s">
        <v>71</v>
      </c>
      <c r="C194">
        <v>1</v>
      </c>
      <c r="D194" t="s">
        <v>9</v>
      </c>
      <c r="E194" t="s">
        <v>5</v>
      </c>
      <c r="F194" s="2">
        <v>45762</v>
      </c>
      <c r="G194">
        <v>7824.86</v>
      </c>
      <c r="H194" s="1">
        <f>AVERAGEIF(Table1[Customer_ID], Table1[[#This Row],[Customer_ID]], Table1[Transaction_Amount])</f>
        <v>4963.9629090909084</v>
      </c>
      <c r="I194" t="s">
        <v>1512</v>
      </c>
      <c r="J194" t="s">
        <v>50</v>
      </c>
      <c r="K194" t="s">
        <v>12</v>
      </c>
      <c r="L194">
        <v>2</v>
      </c>
      <c r="M194" t="s">
        <v>37</v>
      </c>
      <c r="N194" t="s">
        <v>42</v>
      </c>
      <c r="O194" t="s">
        <v>393</v>
      </c>
      <c r="P194" s="6" t="str">
        <f>IF(Table1[[#This Row],[Transaction_Amount]]&lt;=Table1[[#This Row],[avg_transaction_amount]], "usual transaction", "unusual transaction")</f>
        <v>unusual transaction</v>
      </c>
      <c r="Q194" s="6" t="str">
        <f>IF(AND(Table1[[#This Row],[Country_of_Residence]]&lt;&gt;Table1[[#This Row],[Country_of_Transaction]], OR(Table1[[#This Row],[Authentication_Type]]="Biometric", Table1[[#This Row],[Authentication_Type]]="OTP")), "safe location transaction", "unsafe location transaction")</f>
        <v>unsafe location transaction</v>
      </c>
      <c r="R194" s="6" t="str">
        <f>IF(AND(Table1[[#This Row],[Country_of_Residence]]&lt;&gt;Table1[[#This Row],[Country_of_Transaction]], OR(Table1[[#This Row],[Merchant_Category]]="Electronics", Table1[[#This Row],[Merchant_Category]]="Travel")), "unsafe merchant transaction", "safe merchant transaction")</f>
        <v>unsafe merchant transaction</v>
      </c>
    </row>
    <row r="195" spans="1:18">
      <c r="A195" t="s">
        <v>3966</v>
      </c>
      <c r="B195" t="s">
        <v>71</v>
      </c>
      <c r="C195">
        <v>1</v>
      </c>
      <c r="D195" t="s">
        <v>15</v>
      </c>
      <c r="E195" t="s">
        <v>6</v>
      </c>
      <c r="F195" s="2">
        <v>45933</v>
      </c>
      <c r="G195">
        <v>5108.74</v>
      </c>
      <c r="H195" s="1">
        <f>AVERAGEIF(Table1[Customer_ID], Table1[[#This Row],[Customer_ID]], Table1[Transaction_Amount])</f>
        <v>4963.9629090909084</v>
      </c>
      <c r="I195" t="s">
        <v>1527</v>
      </c>
      <c r="J195" t="s">
        <v>50</v>
      </c>
      <c r="K195" t="s">
        <v>10</v>
      </c>
      <c r="L195">
        <v>2</v>
      </c>
      <c r="M195" t="s">
        <v>37</v>
      </c>
      <c r="N195" t="s">
        <v>51</v>
      </c>
      <c r="O195" t="s">
        <v>392</v>
      </c>
      <c r="P195" s="6" t="str">
        <f>IF(Table1[[#This Row],[Transaction_Amount]]&lt;=Table1[[#This Row],[avg_transaction_amount]], "usual transaction", "unusual transaction")</f>
        <v>unusual transaction</v>
      </c>
      <c r="Q195" s="6" t="str">
        <f>IF(AND(Table1[[#This Row],[Country_of_Residence]]&lt;&gt;Table1[[#This Row],[Country_of_Transaction]], OR(Table1[[#This Row],[Authentication_Type]]="Biometric", Table1[[#This Row],[Authentication_Type]]="OTP")), "safe location transaction", "unsafe location transaction")</f>
        <v>safe location transaction</v>
      </c>
      <c r="R195" s="6" t="str">
        <f>IF(AND(Table1[[#This Row],[Country_of_Residence]]&lt;&gt;Table1[[#This Row],[Country_of_Transaction]], OR(Table1[[#This Row],[Merchant_Category]]="Electronics", Table1[[#This Row],[Merchant_Category]]="Travel")), "unsafe merchant transaction", "safe merchant transaction")</f>
        <v>unsafe merchant transaction</v>
      </c>
    </row>
    <row r="196" spans="1:18">
      <c r="A196" t="s">
        <v>4058</v>
      </c>
      <c r="B196" t="s">
        <v>71</v>
      </c>
      <c r="C196">
        <v>1</v>
      </c>
      <c r="D196" t="s">
        <v>15</v>
      </c>
      <c r="E196" t="s">
        <v>6</v>
      </c>
      <c r="F196" s="2">
        <v>45666</v>
      </c>
      <c r="G196">
        <v>7996.99</v>
      </c>
      <c r="H196" s="1">
        <f>AVERAGEIF(Table1[Customer_ID], Table1[[#This Row],[Customer_ID]], Table1[Transaction_Amount])</f>
        <v>4963.9629090909084</v>
      </c>
      <c r="I196" t="s">
        <v>1610</v>
      </c>
      <c r="J196" t="s">
        <v>46</v>
      </c>
      <c r="K196" t="s">
        <v>8</v>
      </c>
      <c r="L196">
        <v>5</v>
      </c>
      <c r="M196" t="s">
        <v>32</v>
      </c>
      <c r="N196" t="s">
        <v>51</v>
      </c>
      <c r="O196" t="s">
        <v>392</v>
      </c>
      <c r="P196" s="6" t="str">
        <f>IF(Table1[[#This Row],[Transaction_Amount]]&lt;=Table1[[#This Row],[avg_transaction_amount]], "usual transaction", "unusual transaction")</f>
        <v>unusual transaction</v>
      </c>
      <c r="Q196" s="6" t="str">
        <f>IF(AND(Table1[[#This Row],[Country_of_Residence]]&lt;&gt;Table1[[#This Row],[Country_of_Transaction]], OR(Table1[[#This Row],[Authentication_Type]]="Biometric", Table1[[#This Row],[Authentication_Type]]="OTP")), "safe location transaction", "unsafe location transaction")</f>
        <v>safe location transaction</v>
      </c>
      <c r="R196" s="6" t="str">
        <f>IF(AND(Table1[[#This Row],[Country_of_Residence]]&lt;&gt;Table1[[#This Row],[Country_of_Transaction]], OR(Table1[[#This Row],[Merchant_Category]]="Electronics", Table1[[#This Row],[Merchant_Category]]="Travel")), "unsafe merchant transaction", "safe merchant transaction")</f>
        <v>safe merchant transaction</v>
      </c>
    </row>
    <row r="197" spans="1:18">
      <c r="A197" t="s">
        <v>4071</v>
      </c>
      <c r="B197" t="s">
        <v>71</v>
      </c>
      <c r="C197">
        <v>1</v>
      </c>
      <c r="D197" t="s">
        <v>9</v>
      </c>
      <c r="E197" t="s">
        <v>420</v>
      </c>
      <c r="F197" s="2">
        <v>45946</v>
      </c>
      <c r="G197">
        <v>1290.71</v>
      </c>
      <c r="H197" s="1">
        <f>AVERAGEIF(Table1[Customer_ID], Table1[[#This Row],[Customer_ID]], Table1[Transaction_Amount])</f>
        <v>4963.9629090909084</v>
      </c>
      <c r="I197" t="s">
        <v>1618</v>
      </c>
      <c r="J197" t="s">
        <v>50</v>
      </c>
      <c r="K197" t="s">
        <v>8</v>
      </c>
      <c r="L197">
        <v>2</v>
      </c>
      <c r="M197" t="s">
        <v>32</v>
      </c>
      <c r="N197" t="s">
        <v>51</v>
      </c>
      <c r="O197" t="s">
        <v>393</v>
      </c>
      <c r="P197" s="6" t="str">
        <f>IF(Table1[[#This Row],[Transaction_Amount]]&lt;=Table1[[#This Row],[avg_transaction_amount]], "usual transaction", "unusual transaction")</f>
        <v>usual transaction</v>
      </c>
      <c r="Q197" s="6" t="str">
        <f>IF(AND(Table1[[#This Row],[Country_of_Residence]]&lt;&gt;Table1[[#This Row],[Country_of_Transaction]], OR(Table1[[#This Row],[Authentication_Type]]="Biometric", Table1[[#This Row],[Authentication_Type]]="OTP")), "safe location transaction", "unsafe location transaction")</f>
        <v>safe location transaction</v>
      </c>
      <c r="R197" s="6" t="str">
        <f>IF(AND(Table1[[#This Row],[Country_of_Residence]]&lt;&gt;Table1[[#This Row],[Country_of_Transaction]], OR(Table1[[#This Row],[Merchant_Category]]="Electronics", Table1[[#This Row],[Merchant_Category]]="Travel")), "unsafe merchant transaction", "safe merchant transaction")</f>
        <v>unsafe merchant transaction</v>
      </c>
    </row>
    <row r="198" spans="1:18">
      <c r="A198" t="s">
        <v>4113</v>
      </c>
      <c r="B198" t="s">
        <v>71</v>
      </c>
      <c r="C198">
        <v>1</v>
      </c>
      <c r="D198" t="s">
        <v>15</v>
      </c>
      <c r="E198" t="s">
        <v>3</v>
      </c>
      <c r="F198" s="2">
        <v>45900</v>
      </c>
      <c r="G198">
        <v>110.89</v>
      </c>
      <c r="H198" s="1">
        <f>AVERAGEIF(Table1[Customer_ID], Table1[[#This Row],[Customer_ID]], Table1[Transaction_Amount])</f>
        <v>4963.9629090909084</v>
      </c>
      <c r="I198" t="s">
        <v>1621</v>
      </c>
      <c r="J198" t="s">
        <v>36</v>
      </c>
      <c r="K198" t="s">
        <v>8</v>
      </c>
      <c r="L198">
        <v>5</v>
      </c>
      <c r="M198" t="s">
        <v>47</v>
      </c>
      <c r="N198" t="s">
        <v>33</v>
      </c>
      <c r="O198" t="s">
        <v>392</v>
      </c>
      <c r="P198" s="6" t="str">
        <f>IF(Table1[[#This Row],[Transaction_Amount]]&lt;=Table1[[#This Row],[avg_transaction_amount]], "usual transaction", "unusual transaction")</f>
        <v>usual transaction</v>
      </c>
      <c r="Q198" s="6" t="str">
        <f>IF(AND(Table1[[#This Row],[Country_of_Residence]]&lt;&gt;Table1[[#This Row],[Country_of_Transaction]], OR(Table1[[#This Row],[Authentication_Type]]="Biometric", Table1[[#This Row],[Authentication_Type]]="OTP")), "safe location transaction", "unsafe location transaction")</f>
        <v>safe location transaction</v>
      </c>
      <c r="R198" s="6" t="str">
        <f>IF(AND(Table1[[#This Row],[Country_of_Residence]]&lt;&gt;Table1[[#This Row],[Country_of_Transaction]], OR(Table1[[#This Row],[Merchant_Category]]="Electronics", Table1[[#This Row],[Merchant_Category]]="Travel")), "unsafe merchant transaction", "safe merchant transaction")</f>
        <v>safe merchant transaction</v>
      </c>
    </row>
    <row r="199" spans="1:18">
      <c r="A199" t="s">
        <v>4142</v>
      </c>
      <c r="B199" t="s">
        <v>71</v>
      </c>
      <c r="C199">
        <v>1</v>
      </c>
      <c r="D199" t="s">
        <v>9</v>
      </c>
      <c r="E199" t="s">
        <v>5</v>
      </c>
      <c r="F199" s="2">
        <v>45794</v>
      </c>
      <c r="G199">
        <v>8121.07</v>
      </c>
      <c r="H199" s="1">
        <f>AVERAGEIF(Table1[Customer_ID], Table1[[#This Row],[Customer_ID]], Table1[Transaction_Amount])</f>
        <v>4963.9629090909084</v>
      </c>
      <c r="I199" t="s">
        <v>92</v>
      </c>
      <c r="J199" t="s">
        <v>41</v>
      </c>
      <c r="K199" t="s">
        <v>14</v>
      </c>
      <c r="L199">
        <v>5</v>
      </c>
      <c r="M199" t="s">
        <v>37</v>
      </c>
      <c r="N199" t="s">
        <v>51</v>
      </c>
      <c r="O199" t="s">
        <v>393</v>
      </c>
      <c r="P199" s="6" t="str">
        <f>IF(Table1[[#This Row],[Transaction_Amount]]&lt;=Table1[[#This Row],[avg_transaction_amount]], "usual transaction", "unusual transaction")</f>
        <v>unusual transaction</v>
      </c>
      <c r="Q199" s="6" t="str">
        <f>IF(AND(Table1[[#This Row],[Country_of_Residence]]&lt;&gt;Table1[[#This Row],[Country_of_Transaction]], OR(Table1[[#This Row],[Authentication_Type]]="Biometric", Table1[[#This Row],[Authentication_Type]]="OTP")), "safe location transaction", "unsafe location transaction")</f>
        <v>unsafe location transaction</v>
      </c>
      <c r="R199" s="6" t="str">
        <f>IF(AND(Table1[[#This Row],[Country_of_Residence]]&lt;&gt;Table1[[#This Row],[Country_of_Transaction]], OR(Table1[[#This Row],[Merchant_Category]]="Electronics", Table1[[#This Row],[Merchant_Category]]="Travel")), "unsafe merchant transaction", "safe merchant transaction")</f>
        <v>safe merchant transaction</v>
      </c>
    </row>
    <row r="200" spans="1:18">
      <c r="A200" t="s">
        <v>4162</v>
      </c>
      <c r="B200" t="s">
        <v>71</v>
      </c>
      <c r="C200">
        <v>1</v>
      </c>
      <c r="D200" t="s">
        <v>15</v>
      </c>
      <c r="E200" t="s">
        <v>5</v>
      </c>
      <c r="F200" s="2">
        <v>45664</v>
      </c>
      <c r="G200">
        <v>146.74</v>
      </c>
      <c r="H200" s="1">
        <f>AVERAGEIF(Table1[Customer_ID], Table1[[#This Row],[Customer_ID]], Table1[Transaction_Amount])</f>
        <v>4963.9629090909084</v>
      </c>
      <c r="I200" t="s">
        <v>1689</v>
      </c>
      <c r="J200" t="s">
        <v>31</v>
      </c>
      <c r="K200" t="s">
        <v>14</v>
      </c>
      <c r="L200">
        <v>2</v>
      </c>
      <c r="M200" t="s">
        <v>42</v>
      </c>
      <c r="N200" t="s">
        <v>412</v>
      </c>
      <c r="O200" t="s">
        <v>392</v>
      </c>
      <c r="P200" s="6" t="str">
        <f>IF(Table1[[#This Row],[Transaction_Amount]]&lt;=Table1[[#This Row],[avg_transaction_amount]], "usual transaction", "unusual transaction")</f>
        <v>usual transaction</v>
      </c>
      <c r="Q200" s="6" t="str">
        <f>IF(AND(Table1[[#This Row],[Country_of_Residence]]&lt;&gt;Table1[[#This Row],[Country_of_Transaction]], OR(Table1[[#This Row],[Authentication_Type]]="Biometric", Table1[[#This Row],[Authentication_Type]]="OTP")), "safe location transaction", "unsafe location transaction")</f>
        <v>unsafe location transaction</v>
      </c>
      <c r="R200" s="6" t="str">
        <f>IF(AND(Table1[[#This Row],[Country_of_Residence]]&lt;&gt;Table1[[#This Row],[Country_of_Transaction]], OR(Table1[[#This Row],[Merchant_Category]]="Electronics", Table1[[#This Row],[Merchant_Category]]="Travel")), "unsafe merchant transaction", "safe merchant transaction")</f>
        <v>safe merchant transaction</v>
      </c>
    </row>
    <row r="201" spans="1:18">
      <c r="A201" t="s">
        <v>4179</v>
      </c>
      <c r="B201" t="s">
        <v>71</v>
      </c>
      <c r="C201">
        <v>1</v>
      </c>
      <c r="D201" t="s">
        <v>9</v>
      </c>
      <c r="E201" t="s">
        <v>6</v>
      </c>
      <c r="F201" s="2">
        <v>45978</v>
      </c>
      <c r="G201">
        <v>1817.44</v>
      </c>
      <c r="H201" s="1">
        <f>AVERAGEIF(Table1[Customer_ID], Table1[[#This Row],[Customer_ID]], Table1[Transaction_Amount])</f>
        <v>4963.9629090909084</v>
      </c>
      <c r="I201" t="s">
        <v>1701</v>
      </c>
      <c r="J201" t="s">
        <v>46</v>
      </c>
      <c r="K201" t="s">
        <v>10</v>
      </c>
      <c r="L201">
        <v>2</v>
      </c>
      <c r="M201" t="s">
        <v>32</v>
      </c>
      <c r="N201" t="s">
        <v>37</v>
      </c>
      <c r="O201" t="s">
        <v>393</v>
      </c>
      <c r="P201" s="6" t="str">
        <f>IF(Table1[[#This Row],[Transaction_Amount]]&lt;=Table1[[#This Row],[avg_transaction_amount]], "usual transaction", "unusual transaction")</f>
        <v>usual transaction</v>
      </c>
      <c r="Q201" s="6" t="str">
        <f>IF(AND(Table1[[#This Row],[Country_of_Residence]]&lt;&gt;Table1[[#This Row],[Country_of_Transaction]], OR(Table1[[#This Row],[Authentication_Type]]="Biometric", Table1[[#This Row],[Authentication_Type]]="OTP")), "safe location transaction", "unsafe location transaction")</f>
        <v>safe location transaction</v>
      </c>
      <c r="R201" s="6" t="str">
        <f>IF(AND(Table1[[#This Row],[Country_of_Residence]]&lt;&gt;Table1[[#This Row],[Country_of_Transaction]], OR(Table1[[#This Row],[Merchant_Category]]="Electronics", Table1[[#This Row],[Merchant_Category]]="Travel")), "unsafe merchant transaction", "safe merchant transaction")</f>
        <v>safe merchant transaction</v>
      </c>
    </row>
    <row r="202" spans="1:18">
      <c r="A202" t="s">
        <v>4251</v>
      </c>
      <c r="B202" t="s">
        <v>71</v>
      </c>
      <c r="C202">
        <v>1</v>
      </c>
      <c r="D202" t="s">
        <v>15</v>
      </c>
      <c r="E202" t="s">
        <v>420</v>
      </c>
      <c r="F202" s="2">
        <v>45736</v>
      </c>
      <c r="G202">
        <v>3893.86</v>
      </c>
      <c r="H202" s="1">
        <f>AVERAGEIF(Table1[Customer_ID], Table1[[#This Row],[Customer_ID]], Table1[Transaction_Amount])</f>
        <v>4963.9629090909084</v>
      </c>
      <c r="I202" t="s">
        <v>1766</v>
      </c>
      <c r="J202" t="s">
        <v>46</v>
      </c>
      <c r="K202" t="s">
        <v>14</v>
      </c>
      <c r="L202">
        <v>4</v>
      </c>
      <c r="M202" t="s">
        <v>32</v>
      </c>
      <c r="N202" t="s">
        <v>42</v>
      </c>
      <c r="O202" t="s">
        <v>392</v>
      </c>
      <c r="P202" s="6" t="str">
        <f>IF(Table1[[#This Row],[Transaction_Amount]]&lt;=Table1[[#This Row],[avg_transaction_amount]], "usual transaction", "unusual transaction")</f>
        <v>usual transaction</v>
      </c>
      <c r="Q202" s="6" t="str">
        <f>IF(AND(Table1[[#This Row],[Country_of_Residence]]&lt;&gt;Table1[[#This Row],[Country_of_Transaction]], OR(Table1[[#This Row],[Authentication_Type]]="Biometric", Table1[[#This Row],[Authentication_Type]]="OTP")), "safe location transaction", "unsafe location transaction")</f>
        <v>unsafe location transaction</v>
      </c>
      <c r="R202" s="6" t="str">
        <f>IF(AND(Table1[[#This Row],[Country_of_Residence]]&lt;&gt;Table1[[#This Row],[Country_of_Transaction]], OR(Table1[[#This Row],[Merchant_Category]]="Electronics", Table1[[#This Row],[Merchant_Category]]="Travel")), "unsafe merchant transaction", "safe merchant transaction")</f>
        <v>safe merchant transaction</v>
      </c>
    </row>
    <row r="203" spans="1:18">
      <c r="A203" t="s">
        <v>4272</v>
      </c>
      <c r="B203" t="s">
        <v>71</v>
      </c>
      <c r="C203">
        <v>1</v>
      </c>
      <c r="D203" t="s">
        <v>9</v>
      </c>
      <c r="E203" t="s">
        <v>3</v>
      </c>
      <c r="F203" s="2">
        <v>46010</v>
      </c>
      <c r="G203">
        <v>2232.4299999999998</v>
      </c>
      <c r="H203" s="1">
        <f>AVERAGEIF(Table1[Customer_ID], Table1[[#This Row],[Customer_ID]], Table1[Transaction_Amount])</f>
        <v>4963.9629090909084</v>
      </c>
      <c r="I203" t="s">
        <v>1785</v>
      </c>
      <c r="J203" t="s">
        <v>31</v>
      </c>
      <c r="K203" t="s">
        <v>10</v>
      </c>
      <c r="L203">
        <v>0</v>
      </c>
      <c r="M203" t="s">
        <v>51</v>
      </c>
      <c r="N203" t="s">
        <v>55</v>
      </c>
      <c r="O203" t="s">
        <v>392</v>
      </c>
      <c r="P203" s="6" t="str">
        <f>IF(Table1[[#This Row],[Transaction_Amount]]&lt;=Table1[[#This Row],[avg_transaction_amount]], "usual transaction", "unusual transaction")</f>
        <v>usual transaction</v>
      </c>
      <c r="Q203" s="6" t="str">
        <f>IF(AND(Table1[[#This Row],[Country_of_Residence]]&lt;&gt;Table1[[#This Row],[Country_of_Transaction]], OR(Table1[[#This Row],[Authentication_Type]]="Biometric", Table1[[#This Row],[Authentication_Type]]="OTP")), "safe location transaction", "unsafe location transaction")</f>
        <v>safe location transaction</v>
      </c>
      <c r="R203" s="6" t="str">
        <f>IF(AND(Table1[[#This Row],[Country_of_Residence]]&lt;&gt;Table1[[#This Row],[Country_of_Transaction]], OR(Table1[[#This Row],[Merchant_Category]]="Electronics", Table1[[#This Row],[Merchant_Category]]="Travel")), "unsafe merchant transaction", "safe merchant transaction")</f>
        <v>safe merchant transaction</v>
      </c>
    </row>
    <row r="204" spans="1:18">
      <c r="A204" t="s">
        <v>4391</v>
      </c>
      <c r="B204" t="s">
        <v>71</v>
      </c>
      <c r="C204">
        <v>1</v>
      </c>
      <c r="D204" t="s">
        <v>9</v>
      </c>
      <c r="E204" t="s">
        <v>6</v>
      </c>
      <c r="F204" s="2">
        <v>45856</v>
      </c>
      <c r="G204">
        <v>7371.21</v>
      </c>
      <c r="H204" s="1">
        <f>AVERAGEIF(Table1[Customer_ID], Table1[[#This Row],[Customer_ID]], Table1[Transaction_Amount])</f>
        <v>4963.9629090909084</v>
      </c>
      <c r="I204" t="s">
        <v>1891</v>
      </c>
      <c r="J204" t="s">
        <v>36</v>
      </c>
      <c r="K204" t="s">
        <v>10</v>
      </c>
      <c r="L204">
        <v>1</v>
      </c>
      <c r="M204" t="s">
        <v>55</v>
      </c>
      <c r="N204" t="s">
        <v>51</v>
      </c>
      <c r="O204" t="s">
        <v>392</v>
      </c>
      <c r="P204" s="6" t="str">
        <f>IF(Table1[[#This Row],[Transaction_Amount]]&lt;=Table1[[#This Row],[avg_transaction_amount]], "usual transaction", "unusual transaction")</f>
        <v>unusual transaction</v>
      </c>
      <c r="Q204" s="6" t="str">
        <f>IF(AND(Table1[[#This Row],[Country_of_Residence]]&lt;&gt;Table1[[#This Row],[Country_of_Transaction]], OR(Table1[[#This Row],[Authentication_Type]]="Biometric", Table1[[#This Row],[Authentication_Type]]="OTP")), "safe location transaction", "unsafe location transaction")</f>
        <v>safe location transaction</v>
      </c>
      <c r="R204" s="6" t="str">
        <f>IF(AND(Table1[[#This Row],[Country_of_Residence]]&lt;&gt;Table1[[#This Row],[Country_of_Transaction]], OR(Table1[[#This Row],[Merchant_Category]]="Electronics", Table1[[#This Row],[Merchant_Category]]="Travel")), "unsafe merchant transaction", "safe merchant transaction")</f>
        <v>safe merchant transaction</v>
      </c>
    </row>
    <row r="205" spans="1:18">
      <c r="A205" t="s">
        <v>4439</v>
      </c>
      <c r="B205" t="s">
        <v>71</v>
      </c>
      <c r="C205">
        <v>1</v>
      </c>
      <c r="D205" t="s">
        <v>15</v>
      </c>
      <c r="E205" t="s">
        <v>6</v>
      </c>
      <c r="F205" s="2">
        <v>45692</v>
      </c>
      <c r="G205">
        <v>9630.59</v>
      </c>
      <c r="H205" s="1">
        <f>AVERAGEIF(Table1[Customer_ID], Table1[[#This Row],[Customer_ID]], Table1[Transaction_Amount])</f>
        <v>4963.9629090909084</v>
      </c>
      <c r="I205" t="s">
        <v>1933</v>
      </c>
      <c r="J205" t="s">
        <v>31</v>
      </c>
      <c r="K205" t="s">
        <v>10</v>
      </c>
      <c r="L205">
        <v>5</v>
      </c>
      <c r="M205" t="s">
        <v>55</v>
      </c>
      <c r="N205" t="s">
        <v>32</v>
      </c>
      <c r="O205" t="s">
        <v>392</v>
      </c>
      <c r="P205" s="6" t="str">
        <f>IF(Table1[[#This Row],[Transaction_Amount]]&lt;=Table1[[#This Row],[avg_transaction_amount]], "usual transaction", "unusual transaction")</f>
        <v>unusual transaction</v>
      </c>
      <c r="Q205" s="6" t="str">
        <f>IF(AND(Table1[[#This Row],[Country_of_Residence]]&lt;&gt;Table1[[#This Row],[Country_of_Transaction]], OR(Table1[[#This Row],[Authentication_Type]]="Biometric", Table1[[#This Row],[Authentication_Type]]="OTP")), "safe location transaction", "unsafe location transaction")</f>
        <v>safe location transaction</v>
      </c>
      <c r="R205" s="6" t="str">
        <f>IF(AND(Table1[[#This Row],[Country_of_Residence]]&lt;&gt;Table1[[#This Row],[Country_of_Transaction]], OR(Table1[[#This Row],[Merchant_Category]]="Electronics", Table1[[#This Row],[Merchant_Category]]="Travel")), "unsafe merchant transaction", "safe merchant transaction")</f>
        <v>safe merchant transaction</v>
      </c>
    </row>
    <row r="206" spans="1:18">
      <c r="A206" t="s">
        <v>4485</v>
      </c>
      <c r="B206" t="s">
        <v>71</v>
      </c>
      <c r="C206">
        <v>1</v>
      </c>
      <c r="D206" t="s">
        <v>9</v>
      </c>
      <c r="E206" t="s">
        <v>420</v>
      </c>
      <c r="F206" s="2">
        <v>45733</v>
      </c>
      <c r="G206">
        <v>6541.1</v>
      </c>
      <c r="H206" s="1">
        <f>AVERAGEIF(Table1[Customer_ID], Table1[[#This Row],[Customer_ID]], Table1[Transaction_Amount])</f>
        <v>4963.9629090909084</v>
      </c>
      <c r="I206" t="s">
        <v>1974</v>
      </c>
      <c r="J206" t="s">
        <v>50</v>
      </c>
      <c r="K206" t="s">
        <v>12</v>
      </c>
      <c r="L206">
        <v>0</v>
      </c>
      <c r="M206" t="s">
        <v>37</v>
      </c>
      <c r="N206" t="s">
        <v>32</v>
      </c>
      <c r="O206" t="s">
        <v>392</v>
      </c>
      <c r="P206" s="6" t="str">
        <f>IF(Table1[[#This Row],[Transaction_Amount]]&lt;=Table1[[#This Row],[avg_transaction_amount]], "usual transaction", "unusual transaction")</f>
        <v>unusual transaction</v>
      </c>
      <c r="Q206" s="6" t="str">
        <f>IF(AND(Table1[[#This Row],[Country_of_Residence]]&lt;&gt;Table1[[#This Row],[Country_of_Transaction]], OR(Table1[[#This Row],[Authentication_Type]]="Biometric", Table1[[#This Row],[Authentication_Type]]="OTP")), "safe location transaction", "unsafe location transaction")</f>
        <v>unsafe location transaction</v>
      </c>
      <c r="R206" s="6" t="str">
        <f>IF(AND(Table1[[#This Row],[Country_of_Residence]]&lt;&gt;Table1[[#This Row],[Country_of_Transaction]], OR(Table1[[#This Row],[Merchant_Category]]="Electronics", Table1[[#This Row],[Merchant_Category]]="Travel")), "unsafe merchant transaction", "safe merchant transaction")</f>
        <v>unsafe merchant transaction</v>
      </c>
    </row>
    <row r="207" spans="1:18">
      <c r="A207" t="s">
        <v>4502</v>
      </c>
      <c r="B207" t="s">
        <v>71</v>
      </c>
      <c r="C207">
        <v>1</v>
      </c>
      <c r="D207" t="s">
        <v>9</v>
      </c>
      <c r="E207" t="s">
        <v>5</v>
      </c>
      <c r="F207" s="2">
        <v>45792</v>
      </c>
      <c r="G207">
        <v>9328.7800000000007</v>
      </c>
      <c r="H207" s="1">
        <f>AVERAGEIF(Table1[Customer_ID], Table1[[#This Row],[Customer_ID]], Table1[Transaction_Amount])</f>
        <v>4963.9629090909084</v>
      </c>
      <c r="I207" t="s">
        <v>1989</v>
      </c>
      <c r="J207" t="s">
        <v>41</v>
      </c>
      <c r="K207" t="s">
        <v>10</v>
      </c>
      <c r="L207">
        <v>3</v>
      </c>
      <c r="M207" t="s">
        <v>47</v>
      </c>
      <c r="N207" t="s">
        <v>412</v>
      </c>
      <c r="O207" t="s">
        <v>393</v>
      </c>
      <c r="P207" s="6" t="str">
        <f>IF(Table1[[#This Row],[Transaction_Amount]]&lt;=Table1[[#This Row],[avg_transaction_amount]], "usual transaction", "unusual transaction")</f>
        <v>unusual transaction</v>
      </c>
      <c r="Q207" s="6" t="str">
        <f>IF(AND(Table1[[#This Row],[Country_of_Residence]]&lt;&gt;Table1[[#This Row],[Country_of_Transaction]], OR(Table1[[#This Row],[Authentication_Type]]="Biometric", Table1[[#This Row],[Authentication_Type]]="OTP")), "safe location transaction", "unsafe location transaction")</f>
        <v>safe location transaction</v>
      </c>
      <c r="R207" s="6" t="str">
        <f>IF(AND(Table1[[#This Row],[Country_of_Residence]]&lt;&gt;Table1[[#This Row],[Country_of_Transaction]], OR(Table1[[#This Row],[Merchant_Category]]="Electronics", Table1[[#This Row],[Merchant_Category]]="Travel")), "unsafe merchant transaction", "safe merchant transaction")</f>
        <v>safe merchant transaction</v>
      </c>
    </row>
    <row r="208" spans="1:18">
      <c r="A208" t="s">
        <v>4513</v>
      </c>
      <c r="B208" t="s">
        <v>71</v>
      </c>
      <c r="C208">
        <v>1</v>
      </c>
      <c r="D208" t="s">
        <v>15</v>
      </c>
      <c r="E208" t="s">
        <v>6</v>
      </c>
      <c r="F208" s="2">
        <v>45895</v>
      </c>
      <c r="G208">
        <v>6251.65</v>
      </c>
      <c r="H208" s="1">
        <f>AVERAGEIF(Table1[Customer_ID], Table1[[#This Row],[Customer_ID]], Table1[Transaction_Amount])</f>
        <v>4963.9629090909084</v>
      </c>
      <c r="I208" t="s">
        <v>1998</v>
      </c>
      <c r="J208" t="s">
        <v>50</v>
      </c>
      <c r="K208" t="s">
        <v>14</v>
      </c>
      <c r="L208">
        <v>2</v>
      </c>
      <c r="M208" t="s">
        <v>37</v>
      </c>
      <c r="N208" t="s">
        <v>42</v>
      </c>
      <c r="O208" t="s">
        <v>392</v>
      </c>
      <c r="P208" s="6" t="str">
        <f>IF(Table1[[#This Row],[Transaction_Amount]]&lt;=Table1[[#This Row],[avg_transaction_amount]], "usual transaction", "unusual transaction")</f>
        <v>unusual transaction</v>
      </c>
      <c r="Q208" s="6" t="str">
        <f>IF(AND(Table1[[#This Row],[Country_of_Residence]]&lt;&gt;Table1[[#This Row],[Country_of_Transaction]], OR(Table1[[#This Row],[Authentication_Type]]="Biometric", Table1[[#This Row],[Authentication_Type]]="OTP")), "safe location transaction", "unsafe location transaction")</f>
        <v>unsafe location transaction</v>
      </c>
      <c r="R208" s="6" t="str">
        <f>IF(AND(Table1[[#This Row],[Country_of_Residence]]&lt;&gt;Table1[[#This Row],[Country_of_Transaction]], OR(Table1[[#This Row],[Merchant_Category]]="Electronics", Table1[[#This Row],[Merchant_Category]]="Travel")), "unsafe merchant transaction", "safe merchant transaction")</f>
        <v>unsafe merchant transaction</v>
      </c>
    </row>
    <row r="209" spans="1:18">
      <c r="A209" t="s">
        <v>4532</v>
      </c>
      <c r="B209" t="s">
        <v>71</v>
      </c>
      <c r="C209">
        <v>1</v>
      </c>
      <c r="D209" t="s">
        <v>9</v>
      </c>
      <c r="E209" t="s">
        <v>5</v>
      </c>
      <c r="F209" s="2">
        <v>45744</v>
      </c>
      <c r="G209">
        <v>2418.5</v>
      </c>
      <c r="H209" s="1">
        <f>AVERAGEIF(Table1[Customer_ID], Table1[[#This Row],[Customer_ID]], Table1[Transaction_Amount])</f>
        <v>4963.9629090909084</v>
      </c>
      <c r="I209" t="s">
        <v>2011</v>
      </c>
      <c r="J209" t="s">
        <v>50</v>
      </c>
      <c r="K209" t="s">
        <v>12</v>
      </c>
      <c r="L209">
        <v>5</v>
      </c>
      <c r="M209" t="s">
        <v>37</v>
      </c>
      <c r="N209" t="s">
        <v>32</v>
      </c>
      <c r="O209" t="s">
        <v>392</v>
      </c>
      <c r="P209" s="6" t="str">
        <f>IF(Table1[[#This Row],[Transaction_Amount]]&lt;=Table1[[#This Row],[avg_transaction_amount]], "usual transaction", "unusual transaction")</f>
        <v>usual transaction</v>
      </c>
      <c r="Q209" s="6" t="str">
        <f>IF(AND(Table1[[#This Row],[Country_of_Residence]]&lt;&gt;Table1[[#This Row],[Country_of_Transaction]], OR(Table1[[#This Row],[Authentication_Type]]="Biometric", Table1[[#This Row],[Authentication_Type]]="OTP")), "safe location transaction", "unsafe location transaction")</f>
        <v>unsafe location transaction</v>
      </c>
      <c r="R209" s="6" t="str">
        <f>IF(AND(Table1[[#This Row],[Country_of_Residence]]&lt;&gt;Table1[[#This Row],[Country_of_Transaction]], OR(Table1[[#This Row],[Merchant_Category]]="Electronics", Table1[[#This Row],[Merchant_Category]]="Travel")), "unsafe merchant transaction", "safe merchant transaction")</f>
        <v>unsafe merchant transaction</v>
      </c>
    </row>
    <row r="210" spans="1:18">
      <c r="A210" t="s">
        <v>4541</v>
      </c>
      <c r="B210" t="s">
        <v>71</v>
      </c>
      <c r="C210">
        <v>1</v>
      </c>
      <c r="D210" t="s">
        <v>9</v>
      </c>
      <c r="E210" t="s">
        <v>3</v>
      </c>
      <c r="F210" s="2">
        <v>45856</v>
      </c>
      <c r="G210">
        <v>3331.79</v>
      </c>
      <c r="H210" s="1">
        <f>AVERAGEIF(Table1[Customer_ID], Table1[[#This Row],[Customer_ID]], Table1[Transaction_Amount])</f>
        <v>4963.9629090909084</v>
      </c>
      <c r="I210" t="s">
        <v>2020</v>
      </c>
      <c r="J210" t="s">
        <v>36</v>
      </c>
      <c r="K210" t="s">
        <v>10</v>
      </c>
      <c r="L210">
        <v>5</v>
      </c>
      <c r="M210" t="s">
        <v>55</v>
      </c>
      <c r="N210" t="s">
        <v>37</v>
      </c>
      <c r="O210" t="s">
        <v>393</v>
      </c>
      <c r="P210" s="6" t="str">
        <f>IF(Table1[[#This Row],[Transaction_Amount]]&lt;=Table1[[#This Row],[avg_transaction_amount]], "usual transaction", "unusual transaction")</f>
        <v>usual transaction</v>
      </c>
      <c r="Q210" s="6" t="str">
        <f>IF(AND(Table1[[#This Row],[Country_of_Residence]]&lt;&gt;Table1[[#This Row],[Country_of_Transaction]], OR(Table1[[#This Row],[Authentication_Type]]="Biometric", Table1[[#This Row],[Authentication_Type]]="OTP")), "safe location transaction", "unsafe location transaction")</f>
        <v>safe location transaction</v>
      </c>
      <c r="R210" s="6" t="str">
        <f>IF(AND(Table1[[#This Row],[Country_of_Residence]]&lt;&gt;Table1[[#This Row],[Country_of_Transaction]], OR(Table1[[#This Row],[Merchant_Category]]="Electronics", Table1[[#This Row],[Merchant_Category]]="Travel")), "unsafe merchant transaction", "safe merchant transaction")</f>
        <v>safe merchant transaction</v>
      </c>
    </row>
    <row r="211" spans="1:18">
      <c r="A211" t="s">
        <v>4568</v>
      </c>
      <c r="B211" t="s">
        <v>71</v>
      </c>
      <c r="C211">
        <v>1</v>
      </c>
      <c r="D211" t="s">
        <v>9</v>
      </c>
      <c r="E211" t="s">
        <v>6</v>
      </c>
      <c r="F211" s="2">
        <v>45959</v>
      </c>
      <c r="G211">
        <v>4574.08</v>
      </c>
      <c r="H211" s="1">
        <f>AVERAGEIF(Table1[Customer_ID], Table1[[#This Row],[Customer_ID]], Table1[Transaction_Amount])</f>
        <v>4963.9629090909084</v>
      </c>
      <c r="I211" t="s">
        <v>2041</v>
      </c>
      <c r="J211" t="s">
        <v>36</v>
      </c>
      <c r="K211" t="s">
        <v>12</v>
      </c>
      <c r="L211">
        <v>1</v>
      </c>
      <c r="M211" t="s">
        <v>37</v>
      </c>
      <c r="N211" t="s">
        <v>33</v>
      </c>
      <c r="O211" t="s">
        <v>393</v>
      </c>
      <c r="P211" s="6" t="str">
        <f>IF(Table1[[#This Row],[Transaction_Amount]]&lt;=Table1[[#This Row],[avg_transaction_amount]], "usual transaction", "unusual transaction")</f>
        <v>usual transaction</v>
      </c>
      <c r="Q211" s="6" t="str">
        <f>IF(AND(Table1[[#This Row],[Country_of_Residence]]&lt;&gt;Table1[[#This Row],[Country_of_Transaction]], OR(Table1[[#This Row],[Authentication_Type]]="Biometric", Table1[[#This Row],[Authentication_Type]]="OTP")), "safe location transaction", "unsafe location transaction")</f>
        <v>unsafe location transaction</v>
      </c>
      <c r="R211" s="6" t="str">
        <f>IF(AND(Table1[[#This Row],[Country_of_Residence]]&lt;&gt;Table1[[#This Row],[Country_of_Transaction]], OR(Table1[[#This Row],[Merchant_Category]]="Electronics", Table1[[#This Row],[Merchant_Category]]="Travel")), "unsafe merchant transaction", "safe merchant transaction")</f>
        <v>safe merchant transaction</v>
      </c>
    </row>
    <row r="212" spans="1:18">
      <c r="A212" t="s">
        <v>4633</v>
      </c>
      <c r="B212" t="s">
        <v>71</v>
      </c>
      <c r="C212">
        <v>1</v>
      </c>
      <c r="D212" t="s">
        <v>9</v>
      </c>
      <c r="E212" t="s">
        <v>420</v>
      </c>
      <c r="F212" s="2">
        <v>45889</v>
      </c>
      <c r="G212">
        <v>354.72</v>
      </c>
      <c r="H212" s="1">
        <f>AVERAGEIF(Table1[Customer_ID], Table1[[#This Row],[Customer_ID]], Table1[Transaction_Amount])</f>
        <v>4963.9629090909084</v>
      </c>
      <c r="I212" t="s">
        <v>2095</v>
      </c>
      <c r="J212" t="s">
        <v>46</v>
      </c>
      <c r="K212" t="s">
        <v>14</v>
      </c>
      <c r="L212">
        <v>2</v>
      </c>
      <c r="M212" t="s">
        <v>33</v>
      </c>
      <c r="N212" t="s">
        <v>37</v>
      </c>
      <c r="O212" t="s">
        <v>392</v>
      </c>
      <c r="P212" s="6" t="str">
        <f>IF(Table1[[#This Row],[Transaction_Amount]]&lt;=Table1[[#This Row],[avg_transaction_amount]], "usual transaction", "unusual transaction")</f>
        <v>usual transaction</v>
      </c>
      <c r="Q212" s="6" t="str">
        <f>IF(AND(Table1[[#This Row],[Country_of_Residence]]&lt;&gt;Table1[[#This Row],[Country_of_Transaction]], OR(Table1[[#This Row],[Authentication_Type]]="Biometric", Table1[[#This Row],[Authentication_Type]]="OTP")), "safe location transaction", "unsafe location transaction")</f>
        <v>unsafe location transaction</v>
      </c>
      <c r="R212" s="6" t="str">
        <f>IF(AND(Table1[[#This Row],[Country_of_Residence]]&lt;&gt;Table1[[#This Row],[Country_of_Transaction]], OR(Table1[[#This Row],[Merchant_Category]]="Electronics", Table1[[#This Row],[Merchant_Category]]="Travel")), "unsafe merchant transaction", "safe merchant transaction")</f>
        <v>safe merchant transaction</v>
      </c>
    </row>
    <row r="213" spans="1:18">
      <c r="A213" t="s">
        <v>4710</v>
      </c>
      <c r="B213" t="s">
        <v>71</v>
      </c>
      <c r="C213">
        <v>1</v>
      </c>
      <c r="D213" t="s">
        <v>15</v>
      </c>
      <c r="E213" t="s">
        <v>6</v>
      </c>
      <c r="F213" s="2">
        <v>45691</v>
      </c>
      <c r="G213">
        <v>615.79999999999995</v>
      </c>
      <c r="H213" s="1">
        <f>AVERAGEIF(Table1[Customer_ID], Table1[[#This Row],[Customer_ID]], Table1[Transaction_Amount])</f>
        <v>4963.9629090909084</v>
      </c>
      <c r="I213" t="s">
        <v>1258</v>
      </c>
      <c r="J213" t="s">
        <v>41</v>
      </c>
      <c r="K213" t="s">
        <v>10</v>
      </c>
      <c r="L213">
        <v>5</v>
      </c>
      <c r="M213" t="s">
        <v>412</v>
      </c>
      <c r="N213" t="s">
        <v>37</v>
      </c>
      <c r="O213" t="s">
        <v>392</v>
      </c>
      <c r="P213" s="6" t="str">
        <f>IF(Table1[[#This Row],[Transaction_Amount]]&lt;=Table1[[#This Row],[avg_transaction_amount]], "usual transaction", "unusual transaction")</f>
        <v>usual transaction</v>
      </c>
      <c r="Q213" s="6" t="str">
        <f>IF(AND(Table1[[#This Row],[Country_of_Residence]]&lt;&gt;Table1[[#This Row],[Country_of_Transaction]], OR(Table1[[#This Row],[Authentication_Type]]="Biometric", Table1[[#This Row],[Authentication_Type]]="OTP")), "safe location transaction", "unsafe location transaction")</f>
        <v>safe location transaction</v>
      </c>
      <c r="R213" s="6" t="str">
        <f>IF(AND(Table1[[#This Row],[Country_of_Residence]]&lt;&gt;Table1[[#This Row],[Country_of_Transaction]], OR(Table1[[#This Row],[Merchant_Category]]="Electronics", Table1[[#This Row],[Merchant_Category]]="Travel")), "unsafe merchant transaction", "safe merchant transaction")</f>
        <v>safe merchant transaction</v>
      </c>
    </row>
    <row r="214" spans="1:18">
      <c r="A214" t="s">
        <v>4760</v>
      </c>
      <c r="B214" t="s">
        <v>71</v>
      </c>
      <c r="C214">
        <v>1</v>
      </c>
      <c r="D214" t="s">
        <v>15</v>
      </c>
      <c r="E214" t="s">
        <v>3</v>
      </c>
      <c r="F214" s="2">
        <v>45708</v>
      </c>
      <c r="G214">
        <v>1050.47</v>
      </c>
      <c r="H214" s="1">
        <f>AVERAGEIF(Table1[Customer_ID], Table1[[#This Row],[Customer_ID]], Table1[Transaction_Amount])</f>
        <v>4963.9629090909084</v>
      </c>
      <c r="I214" t="s">
        <v>2193</v>
      </c>
      <c r="J214" t="s">
        <v>41</v>
      </c>
      <c r="K214" t="s">
        <v>12</v>
      </c>
      <c r="L214">
        <v>2</v>
      </c>
      <c r="M214" t="s">
        <v>55</v>
      </c>
      <c r="N214" t="s">
        <v>42</v>
      </c>
      <c r="O214" t="s">
        <v>392</v>
      </c>
      <c r="P214" s="6" t="str">
        <f>IF(Table1[[#This Row],[Transaction_Amount]]&lt;=Table1[[#This Row],[avg_transaction_amount]], "usual transaction", "unusual transaction")</f>
        <v>usual transaction</v>
      </c>
      <c r="Q214" s="6" t="str">
        <f>IF(AND(Table1[[#This Row],[Country_of_Residence]]&lt;&gt;Table1[[#This Row],[Country_of_Transaction]], OR(Table1[[#This Row],[Authentication_Type]]="Biometric", Table1[[#This Row],[Authentication_Type]]="OTP")), "safe location transaction", "unsafe location transaction")</f>
        <v>unsafe location transaction</v>
      </c>
      <c r="R214" s="6" t="str">
        <f>IF(AND(Table1[[#This Row],[Country_of_Residence]]&lt;&gt;Table1[[#This Row],[Country_of_Transaction]], OR(Table1[[#This Row],[Merchant_Category]]="Electronics", Table1[[#This Row],[Merchant_Category]]="Travel")), "unsafe merchant transaction", "safe merchant transaction")</f>
        <v>safe merchant transaction</v>
      </c>
    </row>
    <row r="215" spans="1:18">
      <c r="A215" t="s">
        <v>4922</v>
      </c>
      <c r="B215" t="s">
        <v>71</v>
      </c>
      <c r="C215">
        <v>1</v>
      </c>
      <c r="D215" t="s">
        <v>9</v>
      </c>
      <c r="E215" t="s">
        <v>3</v>
      </c>
      <c r="F215" s="2">
        <v>45724</v>
      </c>
      <c r="G215">
        <v>9466.2099999999991</v>
      </c>
      <c r="H215" s="1">
        <f>AVERAGEIF(Table1[Customer_ID], Table1[[#This Row],[Customer_ID]], Table1[Transaction_Amount])</f>
        <v>4963.9629090909084</v>
      </c>
      <c r="I215" t="s">
        <v>2317</v>
      </c>
      <c r="J215" t="s">
        <v>46</v>
      </c>
      <c r="K215" t="s">
        <v>12</v>
      </c>
      <c r="L215">
        <v>5</v>
      </c>
      <c r="M215" t="s">
        <v>412</v>
      </c>
      <c r="N215" t="s">
        <v>56</v>
      </c>
      <c r="O215" t="s">
        <v>392</v>
      </c>
      <c r="P215" s="6" t="str">
        <f>IF(Table1[[#This Row],[Transaction_Amount]]&lt;=Table1[[#This Row],[avg_transaction_amount]], "usual transaction", "unusual transaction")</f>
        <v>unusual transaction</v>
      </c>
      <c r="Q215" s="6" t="str">
        <f>IF(AND(Table1[[#This Row],[Country_of_Residence]]&lt;&gt;Table1[[#This Row],[Country_of_Transaction]], OR(Table1[[#This Row],[Authentication_Type]]="Biometric", Table1[[#This Row],[Authentication_Type]]="OTP")), "safe location transaction", "unsafe location transaction")</f>
        <v>unsafe location transaction</v>
      </c>
      <c r="R215" s="6" t="str">
        <f>IF(AND(Table1[[#This Row],[Country_of_Residence]]&lt;&gt;Table1[[#This Row],[Country_of_Transaction]], OR(Table1[[#This Row],[Merchant_Category]]="Electronics", Table1[[#This Row],[Merchant_Category]]="Travel")), "unsafe merchant transaction", "safe merchant transaction")</f>
        <v>safe merchant transaction</v>
      </c>
    </row>
    <row r="216" spans="1:18">
      <c r="A216" t="s">
        <v>4973</v>
      </c>
      <c r="B216" t="s">
        <v>71</v>
      </c>
      <c r="C216">
        <v>1</v>
      </c>
      <c r="D216" t="s">
        <v>9</v>
      </c>
      <c r="E216" t="s">
        <v>3</v>
      </c>
      <c r="F216" s="2">
        <v>45986</v>
      </c>
      <c r="G216">
        <v>7698.03</v>
      </c>
      <c r="H216" s="1">
        <f>AVERAGEIF(Table1[Customer_ID], Table1[[#This Row],[Customer_ID]], Table1[Transaction_Amount])</f>
        <v>4963.9629090909084</v>
      </c>
      <c r="I216" t="s">
        <v>2357</v>
      </c>
      <c r="J216" t="s">
        <v>50</v>
      </c>
      <c r="K216" t="s">
        <v>12</v>
      </c>
      <c r="L216">
        <v>3</v>
      </c>
      <c r="M216" t="s">
        <v>47</v>
      </c>
      <c r="N216" t="s">
        <v>32</v>
      </c>
      <c r="O216" t="s">
        <v>393</v>
      </c>
      <c r="P216" s="6" t="str">
        <f>IF(Table1[[#This Row],[Transaction_Amount]]&lt;=Table1[[#This Row],[avg_transaction_amount]], "usual transaction", "unusual transaction")</f>
        <v>unusual transaction</v>
      </c>
      <c r="Q216" s="6" t="str">
        <f>IF(AND(Table1[[#This Row],[Country_of_Residence]]&lt;&gt;Table1[[#This Row],[Country_of_Transaction]], OR(Table1[[#This Row],[Authentication_Type]]="Biometric", Table1[[#This Row],[Authentication_Type]]="OTP")), "safe location transaction", "unsafe location transaction")</f>
        <v>unsafe location transaction</v>
      </c>
      <c r="R216" s="6" t="str">
        <f>IF(AND(Table1[[#This Row],[Country_of_Residence]]&lt;&gt;Table1[[#This Row],[Country_of_Transaction]], OR(Table1[[#This Row],[Merchant_Category]]="Electronics", Table1[[#This Row],[Merchant_Category]]="Travel")), "unsafe merchant transaction", "safe merchant transaction")</f>
        <v>unsafe merchant transaction</v>
      </c>
    </row>
    <row r="217" spans="1:18">
      <c r="A217" t="s">
        <v>5072</v>
      </c>
      <c r="B217" t="s">
        <v>71</v>
      </c>
      <c r="C217">
        <v>1</v>
      </c>
      <c r="D217" t="s">
        <v>9</v>
      </c>
      <c r="E217" t="s">
        <v>5</v>
      </c>
      <c r="F217" s="2">
        <v>45971</v>
      </c>
      <c r="G217">
        <v>2111.6999999999998</v>
      </c>
      <c r="H217" s="1">
        <f>AVERAGEIF(Table1[Customer_ID], Table1[[#This Row],[Customer_ID]], Table1[Transaction_Amount])</f>
        <v>4963.9629090909084</v>
      </c>
      <c r="I217" t="s">
        <v>2429</v>
      </c>
      <c r="J217" t="s">
        <v>36</v>
      </c>
      <c r="K217" t="s">
        <v>8</v>
      </c>
      <c r="L217">
        <v>1</v>
      </c>
      <c r="M217" t="s">
        <v>32</v>
      </c>
      <c r="N217" t="s">
        <v>56</v>
      </c>
      <c r="O217" t="s">
        <v>392</v>
      </c>
      <c r="P217" s="6" t="str">
        <f>IF(Table1[[#This Row],[Transaction_Amount]]&lt;=Table1[[#This Row],[avg_transaction_amount]], "usual transaction", "unusual transaction")</f>
        <v>usual transaction</v>
      </c>
      <c r="Q217" s="6" t="str">
        <f>IF(AND(Table1[[#This Row],[Country_of_Residence]]&lt;&gt;Table1[[#This Row],[Country_of_Transaction]], OR(Table1[[#This Row],[Authentication_Type]]="Biometric", Table1[[#This Row],[Authentication_Type]]="OTP")), "safe location transaction", "unsafe location transaction")</f>
        <v>safe location transaction</v>
      </c>
      <c r="R217" s="6" t="str">
        <f>IF(AND(Table1[[#This Row],[Country_of_Residence]]&lt;&gt;Table1[[#This Row],[Country_of_Transaction]], OR(Table1[[#This Row],[Merchant_Category]]="Electronics", Table1[[#This Row],[Merchant_Category]]="Travel")), "unsafe merchant transaction", "safe merchant transaction")</f>
        <v>safe merchant transaction</v>
      </c>
    </row>
    <row r="218" spans="1:18">
      <c r="A218" t="s">
        <v>5142</v>
      </c>
      <c r="B218" t="s">
        <v>71</v>
      </c>
      <c r="C218">
        <v>1</v>
      </c>
      <c r="D218" t="s">
        <v>9</v>
      </c>
      <c r="E218" t="s">
        <v>6</v>
      </c>
      <c r="F218" s="2">
        <v>45841</v>
      </c>
      <c r="G218">
        <v>8272.44</v>
      </c>
      <c r="H218" s="1">
        <f>AVERAGEIF(Table1[Customer_ID], Table1[[#This Row],[Customer_ID]], Table1[Transaction_Amount])</f>
        <v>4963.9629090909084</v>
      </c>
      <c r="I218" t="s">
        <v>2481</v>
      </c>
      <c r="J218" t="s">
        <v>46</v>
      </c>
      <c r="K218" t="s">
        <v>12</v>
      </c>
      <c r="L218">
        <v>0</v>
      </c>
      <c r="M218" t="s">
        <v>56</v>
      </c>
      <c r="N218" t="s">
        <v>55</v>
      </c>
      <c r="O218" t="s">
        <v>392</v>
      </c>
      <c r="P218" s="6" t="str">
        <f>IF(Table1[[#This Row],[Transaction_Amount]]&lt;=Table1[[#This Row],[avg_transaction_amount]], "usual transaction", "unusual transaction")</f>
        <v>unusual transaction</v>
      </c>
      <c r="Q218" s="6" t="str">
        <f>IF(AND(Table1[[#This Row],[Country_of_Residence]]&lt;&gt;Table1[[#This Row],[Country_of_Transaction]], OR(Table1[[#This Row],[Authentication_Type]]="Biometric", Table1[[#This Row],[Authentication_Type]]="OTP")), "safe location transaction", "unsafe location transaction")</f>
        <v>unsafe location transaction</v>
      </c>
      <c r="R218" s="6" t="str">
        <f>IF(AND(Table1[[#This Row],[Country_of_Residence]]&lt;&gt;Table1[[#This Row],[Country_of_Transaction]], OR(Table1[[#This Row],[Merchant_Category]]="Electronics", Table1[[#This Row],[Merchant_Category]]="Travel")), "unsafe merchant transaction", "safe merchant transaction")</f>
        <v>safe merchant transaction</v>
      </c>
    </row>
    <row r="219" spans="1:18">
      <c r="A219" t="s">
        <v>5144</v>
      </c>
      <c r="B219" t="s">
        <v>71</v>
      </c>
      <c r="C219">
        <v>1</v>
      </c>
      <c r="D219" t="s">
        <v>15</v>
      </c>
      <c r="E219" t="s">
        <v>3</v>
      </c>
      <c r="F219" s="2">
        <v>45834</v>
      </c>
      <c r="G219">
        <v>4274.03</v>
      </c>
      <c r="H219" s="1">
        <f>AVERAGEIF(Table1[Customer_ID], Table1[[#This Row],[Customer_ID]], Table1[Transaction_Amount])</f>
        <v>4963.9629090909084</v>
      </c>
      <c r="I219" t="s">
        <v>2483</v>
      </c>
      <c r="J219" t="s">
        <v>36</v>
      </c>
      <c r="K219" t="s">
        <v>8</v>
      </c>
      <c r="L219">
        <v>3</v>
      </c>
      <c r="M219" t="s">
        <v>55</v>
      </c>
      <c r="N219" t="s">
        <v>42</v>
      </c>
      <c r="O219" t="s">
        <v>392</v>
      </c>
      <c r="P219" s="6" t="str">
        <f>IF(Table1[[#This Row],[Transaction_Amount]]&lt;=Table1[[#This Row],[avg_transaction_amount]], "usual transaction", "unusual transaction")</f>
        <v>usual transaction</v>
      </c>
      <c r="Q219" s="6" t="str">
        <f>IF(AND(Table1[[#This Row],[Country_of_Residence]]&lt;&gt;Table1[[#This Row],[Country_of_Transaction]], OR(Table1[[#This Row],[Authentication_Type]]="Biometric", Table1[[#This Row],[Authentication_Type]]="OTP")), "safe location transaction", "unsafe location transaction")</f>
        <v>safe location transaction</v>
      </c>
      <c r="R219" s="6" t="str">
        <f>IF(AND(Table1[[#This Row],[Country_of_Residence]]&lt;&gt;Table1[[#This Row],[Country_of_Transaction]], OR(Table1[[#This Row],[Merchant_Category]]="Electronics", Table1[[#This Row],[Merchant_Category]]="Travel")), "unsafe merchant transaction", "safe merchant transaction")</f>
        <v>safe merchant transaction</v>
      </c>
    </row>
    <row r="220" spans="1:18">
      <c r="A220" t="s">
        <v>5325</v>
      </c>
      <c r="B220" t="s">
        <v>71</v>
      </c>
      <c r="C220">
        <v>1</v>
      </c>
      <c r="D220" t="s">
        <v>9</v>
      </c>
      <c r="E220" t="s">
        <v>5</v>
      </c>
      <c r="F220" s="2">
        <v>45685</v>
      </c>
      <c r="G220">
        <v>2304.2399999999998</v>
      </c>
      <c r="H220" s="1">
        <f>AVERAGEIF(Table1[Customer_ID], Table1[[#This Row],[Customer_ID]], Table1[Transaction_Amount])</f>
        <v>4963.9629090909084</v>
      </c>
      <c r="I220" t="s">
        <v>2623</v>
      </c>
      <c r="J220" t="s">
        <v>46</v>
      </c>
      <c r="K220" t="s">
        <v>8</v>
      </c>
      <c r="L220">
        <v>3</v>
      </c>
      <c r="M220" t="s">
        <v>37</v>
      </c>
      <c r="N220" t="s">
        <v>33</v>
      </c>
      <c r="O220" t="s">
        <v>393</v>
      </c>
      <c r="P220" s="6" t="str">
        <f>IF(Table1[[#This Row],[Transaction_Amount]]&lt;=Table1[[#This Row],[avg_transaction_amount]], "usual transaction", "unusual transaction")</f>
        <v>usual transaction</v>
      </c>
      <c r="Q220" s="6" t="str">
        <f>IF(AND(Table1[[#This Row],[Country_of_Residence]]&lt;&gt;Table1[[#This Row],[Country_of_Transaction]], OR(Table1[[#This Row],[Authentication_Type]]="Biometric", Table1[[#This Row],[Authentication_Type]]="OTP")), "safe location transaction", "unsafe location transaction")</f>
        <v>safe location transaction</v>
      </c>
      <c r="R220" s="6" t="str">
        <f>IF(AND(Table1[[#This Row],[Country_of_Residence]]&lt;&gt;Table1[[#This Row],[Country_of_Transaction]], OR(Table1[[#This Row],[Merchant_Category]]="Electronics", Table1[[#This Row],[Merchant_Category]]="Travel")), "unsafe merchant transaction", "safe merchant transaction")</f>
        <v>safe merchant transaction</v>
      </c>
    </row>
    <row r="221" spans="1:18">
      <c r="A221" t="s">
        <v>5350</v>
      </c>
      <c r="B221" t="s">
        <v>71</v>
      </c>
      <c r="C221">
        <v>1</v>
      </c>
      <c r="D221" t="s">
        <v>15</v>
      </c>
      <c r="E221" t="s">
        <v>420</v>
      </c>
      <c r="F221" s="2">
        <v>45968</v>
      </c>
      <c r="G221">
        <v>6872.03</v>
      </c>
      <c r="H221" s="1">
        <f>AVERAGEIF(Table1[Customer_ID], Table1[[#This Row],[Customer_ID]], Table1[Transaction_Amount])</f>
        <v>4963.9629090909084</v>
      </c>
      <c r="I221" t="s">
        <v>2643</v>
      </c>
      <c r="J221" t="s">
        <v>46</v>
      </c>
      <c r="K221" t="s">
        <v>10</v>
      </c>
      <c r="L221">
        <v>3</v>
      </c>
      <c r="M221" t="s">
        <v>55</v>
      </c>
      <c r="N221" t="s">
        <v>56</v>
      </c>
      <c r="O221" t="s">
        <v>393</v>
      </c>
      <c r="P221" s="6" t="str">
        <f>IF(Table1[[#This Row],[Transaction_Amount]]&lt;=Table1[[#This Row],[avg_transaction_amount]], "usual transaction", "unusual transaction")</f>
        <v>unusual transaction</v>
      </c>
      <c r="Q221" s="6" t="str">
        <f>IF(AND(Table1[[#This Row],[Country_of_Residence]]&lt;&gt;Table1[[#This Row],[Country_of_Transaction]], OR(Table1[[#This Row],[Authentication_Type]]="Biometric", Table1[[#This Row],[Authentication_Type]]="OTP")), "safe location transaction", "unsafe location transaction")</f>
        <v>safe location transaction</v>
      </c>
      <c r="R221" s="6" t="str">
        <f>IF(AND(Table1[[#This Row],[Country_of_Residence]]&lt;&gt;Table1[[#This Row],[Country_of_Transaction]], OR(Table1[[#This Row],[Merchant_Category]]="Electronics", Table1[[#This Row],[Merchant_Category]]="Travel")), "unsafe merchant transaction", "safe merchant transaction")</f>
        <v>safe merchant transaction</v>
      </c>
    </row>
    <row r="222" spans="1:18">
      <c r="A222" t="s">
        <v>5370</v>
      </c>
      <c r="B222" t="s">
        <v>71</v>
      </c>
      <c r="C222">
        <v>1</v>
      </c>
      <c r="D222" t="s">
        <v>15</v>
      </c>
      <c r="E222" t="s">
        <v>420</v>
      </c>
      <c r="F222" s="2">
        <v>45960</v>
      </c>
      <c r="G222">
        <v>6208.06</v>
      </c>
      <c r="H222" s="1">
        <f>AVERAGEIF(Table1[Customer_ID], Table1[[#This Row],[Customer_ID]], Table1[Transaction_Amount])</f>
        <v>4963.9629090909084</v>
      </c>
      <c r="I222" t="s">
        <v>717</v>
      </c>
      <c r="J222" t="s">
        <v>36</v>
      </c>
      <c r="K222" t="s">
        <v>14</v>
      </c>
      <c r="L222">
        <v>3</v>
      </c>
      <c r="M222" t="s">
        <v>42</v>
      </c>
      <c r="N222" t="s">
        <v>37</v>
      </c>
      <c r="O222" t="s">
        <v>392</v>
      </c>
      <c r="P222" s="6" t="str">
        <f>IF(Table1[[#This Row],[Transaction_Amount]]&lt;=Table1[[#This Row],[avg_transaction_amount]], "usual transaction", "unusual transaction")</f>
        <v>unusual transaction</v>
      </c>
      <c r="Q222" s="6" t="str">
        <f>IF(AND(Table1[[#This Row],[Country_of_Residence]]&lt;&gt;Table1[[#This Row],[Country_of_Transaction]], OR(Table1[[#This Row],[Authentication_Type]]="Biometric", Table1[[#This Row],[Authentication_Type]]="OTP")), "safe location transaction", "unsafe location transaction")</f>
        <v>unsafe location transaction</v>
      </c>
      <c r="R222" s="6" t="str">
        <f>IF(AND(Table1[[#This Row],[Country_of_Residence]]&lt;&gt;Table1[[#This Row],[Country_of_Transaction]], OR(Table1[[#This Row],[Merchant_Category]]="Electronics", Table1[[#This Row],[Merchant_Category]]="Travel")), "unsafe merchant transaction", "safe merchant transaction")</f>
        <v>safe merchant transaction</v>
      </c>
    </row>
    <row r="223" spans="1:18">
      <c r="A223" t="s">
        <v>5379</v>
      </c>
      <c r="B223" t="s">
        <v>71</v>
      </c>
      <c r="C223">
        <v>1</v>
      </c>
      <c r="D223" t="s">
        <v>9</v>
      </c>
      <c r="E223" t="s">
        <v>3</v>
      </c>
      <c r="F223" s="2">
        <v>45858</v>
      </c>
      <c r="G223">
        <v>4442.8900000000003</v>
      </c>
      <c r="H223" s="1">
        <f>AVERAGEIF(Table1[Customer_ID], Table1[[#This Row],[Customer_ID]], Table1[Transaction_Amount])</f>
        <v>4963.9629090909084</v>
      </c>
      <c r="I223" t="s">
        <v>2663</v>
      </c>
      <c r="J223" t="s">
        <v>46</v>
      </c>
      <c r="K223" t="s">
        <v>10</v>
      </c>
      <c r="L223">
        <v>2</v>
      </c>
      <c r="M223" t="s">
        <v>32</v>
      </c>
      <c r="N223" t="s">
        <v>42</v>
      </c>
      <c r="O223" t="s">
        <v>392</v>
      </c>
      <c r="P223" s="6" t="str">
        <f>IF(Table1[[#This Row],[Transaction_Amount]]&lt;=Table1[[#This Row],[avg_transaction_amount]], "usual transaction", "unusual transaction")</f>
        <v>usual transaction</v>
      </c>
      <c r="Q223" s="6" t="str">
        <f>IF(AND(Table1[[#This Row],[Country_of_Residence]]&lt;&gt;Table1[[#This Row],[Country_of_Transaction]], OR(Table1[[#This Row],[Authentication_Type]]="Biometric", Table1[[#This Row],[Authentication_Type]]="OTP")), "safe location transaction", "unsafe location transaction")</f>
        <v>safe location transaction</v>
      </c>
      <c r="R223" s="6" t="str">
        <f>IF(AND(Table1[[#This Row],[Country_of_Residence]]&lt;&gt;Table1[[#This Row],[Country_of_Transaction]], OR(Table1[[#This Row],[Merchant_Category]]="Electronics", Table1[[#This Row],[Merchant_Category]]="Travel")), "unsafe merchant transaction", "safe merchant transaction")</f>
        <v>safe merchant transaction</v>
      </c>
    </row>
    <row r="224" spans="1:18">
      <c r="A224" t="s">
        <v>5421</v>
      </c>
      <c r="B224" t="s">
        <v>71</v>
      </c>
      <c r="C224">
        <v>1</v>
      </c>
      <c r="D224" t="s">
        <v>15</v>
      </c>
      <c r="E224" t="s">
        <v>5</v>
      </c>
      <c r="F224" s="2">
        <v>45758</v>
      </c>
      <c r="G224">
        <v>7401.87</v>
      </c>
      <c r="H224" s="1">
        <f>AVERAGEIF(Table1[Customer_ID], Table1[[#This Row],[Customer_ID]], Table1[Transaction_Amount])</f>
        <v>4963.9629090909084</v>
      </c>
      <c r="I224" t="s">
        <v>2694</v>
      </c>
      <c r="J224" t="s">
        <v>46</v>
      </c>
      <c r="K224" t="s">
        <v>10</v>
      </c>
      <c r="L224">
        <v>5</v>
      </c>
      <c r="M224" t="s">
        <v>51</v>
      </c>
      <c r="N224" t="s">
        <v>51</v>
      </c>
      <c r="O224" t="s">
        <v>393</v>
      </c>
      <c r="P224" s="6" t="str">
        <f>IF(Table1[[#This Row],[Transaction_Amount]]&lt;=Table1[[#This Row],[avg_transaction_amount]], "usual transaction", "unusual transaction")</f>
        <v>unusual transaction</v>
      </c>
      <c r="Q224" s="6" t="str">
        <f>IF(AND(Table1[[#This Row],[Country_of_Residence]]&lt;&gt;Table1[[#This Row],[Country_of_Transaction]], OR(Table1[[#This Row],[Authentication_Type]]="Biometric", Table1[[#This Row],[Authentication_Type]]="OTP")), "safe location transaction", "unsafe location transaction")</f>
        <v>unsafe location transaction</v>
      </c>
      <c r="R224" s="6" t="str">
        <f>IF(AND(Table1[[#This Row],[Country_of_Residence]]&lt;&gt;Table1[[#This Row],[Country_of_Transaction]], OR(Table1[[#This Row],[Merchant_Category]]="Electronics", Table1[[#This Row],[Merchant_Category]]="Travel")), "unsafe merchant transaction", "safe merchant transaction")</f>
        <v>safe merchant transaction</v>
      </c>
    </row>
    <row r="225" spans="1:18">
      <c r="A225" t="s">
        <v>5458</v>
      </c>
      <c r="B225" t="s">
        <v>71</v>
      </c>
      <c r="C225">
        <v>1</v>
      </c>
      <c r="D225" t="s">
        <v>9</v>
      </c>
      <c r="E225" t="s">
        <v>5</v>
      </c>
      <c r="F225" s="2">
        <v>45968</v>
      </c>
      <c r="G225">
        <v>8942.5499999999993</v>
      </c>
      <c r="H225" s="1">
        <f>AVERAGEIF(Table1[Customer_ID], Table1[[#This Row],[Customer_ID]], Table1[Transaction_Amount])</f>
        <v>4963.9629090909084</v>
      </c>
      <c r="I225" t="s">
        <v>2435</v>
      </c>
      <c r="J225" t="s">
        <v>41</v>
      </c>
      <c r="K225" t="s">
        <v>12</v>
      </c>
      <c r="L225">
        <v>3</v>
      </c>
      <c r="M225" t="s">
        <v>33</v>
      </c>
      <c r="N225" t="s">
        <v>412</v>
      </c>
      <c r="O225" t="s">
        <v>392</v>
      </c>
      <c r="P225" s="6" t="str">
        <f>IF(Table1[[#This Row],[Transaction_Amount]]&lt;=Table1[[#This Row],[avg_transaction_amount]], "usual transaction", "unusual transaction")</f>
        <v>unusual transaction</v>
      </c>
      <c r="Q225" s="6" t="str">
        <f>IF(AND(Table1[[#This Row],[Country_of_Residence]]&lt;&gt;Table1[[#This Row],[Country_of_Transaction]], OR(Table1[[#This Row],[Authentication_Type]]="Biometric", Table1[[#This Row],[Authentication_Type]]="OTP")), "safe location transaction", "unsafe location transaction")</f>
        <v>unsafe location transaction</v>
      </c>
      <c r="R225" s="6" t="str">
        <f>IF(AND(Table1[[#This Row],[Country_of_Residence]]&lt;&gt;Table1[[#This Row],[Country_of_Transaction]], OR(Table1[[#This Row],[Merchant_Category]]="Electronics", Table1[[#This Row],[Merchant_Category]]="Travel")), "unsafe merchant transaction", "safe merchant transaction")</f>
        <v>safe merchant transaction</v>
      </c>
    </row>
    <row r="226" spans="1:18">
      <c r="A226" t="s">
        <v>81</v>
      </c>
      <c r="B226" t="s">
        <v>82</v>
      </c>
      <c r="C226">
        <v>1</v>
      </c>
      <c r="D226" t="s">
        <v>11</v>
      </c>
      <c r="E226" t="s">
        <v>6</v>
      </c>
      <c r="F226" s="2">
        <v>45774.186111111099</v>
      </c>
      <c r="G226">
        <v>3286.08</v>
      </c>
      <c r="H226" s="1">
        <f>AVERAGEIF(Table1[Customer_ID], Table1[[#This Row],[Customer_ID]], Table1[Transaction_Amount])</f>
        <v>4446.326724137929</v>
      </c>
      <c r="I226" t="s">
        <v>83</v>
      </c>
      <c r="J226" t="s">
        <v>31</v>
      </c>
      <c r="K226" t="s">
        <v>14</v>
      </c>
      <c r="L226">
        <v>0</v>
      </c>
      <c r="M226" t="s">
        <v>84</v>
      </c>
      <c r="N226" t="s">
        <v>85</v>
      </c>
      <c r="O226" t="s">
        <v>393</v>
      </c>
      <c r="P226" t="str">
        <f>IF(Table1[[#This Row],[Transaction_Amount]]&lt;=Table1[[#This Row],[avg_transaction_amount]], "usual transaction", "unusual transaction")</f>
        <v>usual transaction</v>
      </c>
      <c r="Q226" t="str">
        <f>IF(AND(Table1[[#This Row],[Country_of_Residence]]&lt;&gt;Table1[[#This Row],[Country_of_Transaction]], OR(Table1[[#This Row],[Authentication_Type]]="Biometric", Table1[[#This Row],[Authentication_Type]]="OTP")), "safe location transaction", "unsafe location transaction")</f>
        <v>unsafe location transaction</v>
      </c>
      <c r="R226" t="str">
        <f>IF(AND(Table1[[#This Row],[Country_of_Residence]]&lt;&gt;Table1[[#This Row],[Country_of_Transaction]], OR(Table1[[#This Row],[Merchant_Category]]="Electronics", Table1[[#This Row],[Merchant_Category]]="Travel")), "unsafe merchant transaction", "safe merchant transaction")</f>
        <v>safe merchant transaction</v>
      </c>
    </row>
    <row r="227" spans="1:18">
      <c r="A227" t="s">
        <v>2786</v>
      </c>
      <c r="B227" t="s">
        <v>82</v>
      </c>
      <c r="C227">
        <v>1</v>
      </c>
      <c r="D227" t="s">
        <v>15</v>
      </c>
      <c r="E227" t="s">
        <v>5</v>
      </c>
      <c r="F227" s="2">
        <v>45693</v>
      </c>
      <c r="G227">
        <v>5399.46</v>
      </c>
      <c r="H227" s="1">
        <f>AVERAGEIF(Table1[Customer_ID], Table1[[#This Row],[Customer_ID]], Table1[Transaction_Amount])</f>
        <v>4446.326724137929</v>
      </c>
      <c r="I227" t="s">
        <v>435</v>
      </c>
      <c r="J227" t="s">
        <v>50</v>
      </c>
      <c r="K227" t="s">
        <v>12</v>
      </c>
      <c r="L227">
        <v>3</v>
      </c>
      <c r="M227" t="s">
        <v>33</v>
      </c>
      <c r="N227" t="s">
        <v>37</v>
      </c>
      <c r="O227" t="s">
        <v>392</v>
      </c>
      <c r="P227" s="6" t="str">
        <f>IF(Table1[[#This Row],[Transaction_Amount]]&lt;=Table1[[#This Row],[avg_transaction_amount]], "usual transaction", "unusual transaction")</f>
        <v>unusual transaction</v>
      </c>
      <c r="Q227" s="6" t="str">
        <f>IF(AND(Table1[[#This Row],[Country_of_Residence]]&lt;&gt;Table1[[#This Row],[Country_of_Transaction]], OR(Table1[[#This Row],[Authentication_Type]]="Biometric", Table1[[#This Row],[Authentication_Type]]="OTP")), "safe location transaction", "unsafe location transaction")</f>
        <v>unsafe location transaction</v>
      </c>
      <c r="R227" s="6" t="str">
        <f>IF(AND(Table1[[#This Row],[Country_of_Residence]]&lt;&gt;Table1[[#This Row],[Country_of_Transaction]], OR(Table1[[#This Row],[Merchant_Category]]="Electronics", Table1[[#This Row],[Merchant_Category]]="Travel")), "unsafe merchant transaction", "safe merchant transaction")</f>
        <v>unsafe merchant transaction</v>
      </c>
    </row>
    <row r="228" spans="1:18">
      <c r="A228" t="s">
        <v>2830</v>
      </c>
      <c r="B228" t="s">
        <v>82</v>
      </c>
      <c r="C228">
        <v>1</v>
      </c>
      <c r="D228" t="s">
        <v>9</v>
      </c>
      <c r="E228" t="s">
        <v>5</v>
      </c>
      <c r="F228" s="2">
        <v>45917</v>
      </c>
      <c r="G228">
        <v>2798.66</v>
      </c>
      <c r="H228" s="1">
        <f>AVERAGEIF(Table1[Customer_ID], Table1[[#This Row],[Customer_ID]], Table1[Transaction_Amount])</f>
        <v>4446.326724137929</v>
      </c>
      <c r="I228" t="s">
        <v>481</v>
      </c>
      <c r="J228" t="s">
        <v>50</v>
      </c>
      <c r="K228" t="s">
        <v>14</v>
      </c>
      <c r="L228">
        <v>4</v>
      </c>
      <c r="M228" t="s">
        <v>47</v>
      </c>
      <c r="N228" t="s">
        <v>42</v>
      </c>
      <c r="O228" t="s">
        <v>393</v>
      </c>
      <c r="P228" s="6" t="str">
        <f>IF(Table1[[#This Row],[Transaction_Amount]]&lt;=Table1[[#This Row],[avg_transaction_amount]], "usual transaction", "unusual transaction")</f>
        <v>usual transaction</v>
      </c>
      <c r="Q228" s="6" t="str">
        <f>IF(AND(Table1[[#This Row],[Country_of_Residence]]&lt;&gt;Table1[[#This Row],[Country_of_Transaction]], OR(Table1[[#This Row],[Authentication_Type]]="Biometric", Table1[[#This Row],[Authentication_Type]]="OTP")), "safe location transaction", "unsafe location transaction")</f>
        <v>unsafe location transaction</v>
      </c>
      <c r="R228" s="6" t="str">
        <f>IF(AND(Table1[[#This Row],[Country_of_Residence]]&lt;&gt;Table1[[#This Row],[Country_of_Transaction]], OR(Table1[[#This Row],[Merchant_Category]]="Electronics", Table1[[#This Row],[Merchant_Category]]="Travel")), "unsafe merchant transaction", "safe merchant transaction")</f>
        <v>unsafe merchant transaction</v>
      </c>
    </row>
    <row r="229" spans="1:18">
      <c r="A229" t="s">
        <v>2866</v>
      </c>
      <c r="B229" t="s">
        <v>82</v>
      </c>
      <c r="C229">
        <v>1</v>
      </c>
      <c r="D229" t="s">
        <v>9</v>
      </c>
      <c r="E229" t="s">
        <v>3</v>
      </c>
      <c r="F229" s="2">
        <v>45838</v>
      </c>
      <c r="G229">
        <v>4715.76</v>
      </c>
      <c r="H229" s="1">
        <f>AVERAGEIF(Table1[Customer_ID], Table1[[#This Row],[Customer_ID]], Table1[Transaction_Amount])</f>
        <v>4446.326724137929</v>
      </c>
      <c r="I229" t="s">
        <v>518</v>
      </c>
      <c r="J229" t="s">
        <v>50</v>
      </c>
      <c r="K229" t="s">
        <v>8</v>
      </c>
      <c r="L229">
        <v>3</v>
      </c>
      <c r="M229" t="s">
        <v>412</v>
      </c>
      <c r="N229" t="s">
        <v>412</v>
      </c>
      <c r="O229" t="s">
        <v>393</v>
      </c>
      <c r="P229" s="6" t="str">
        <f>IF(Table1[[#This Row],[Transaction_Amount]]&lt;=Table1[[#This Row],[avg_transaction_amount]], "usual transaction", "unusual transaction")</f>
        <v>unusual transaction</v>
      </c>
      <c r="Q229" s="6" t="str">
        <f>IF(AND(Table1[[#This Row],[Country_of_Residence]]&lt;&gt;Table1[[#This Row],[Country_of_Transaction]], OR(Table1[[#This Row],[Authentication_Type]]="Biometric", Table1[[#This Row],[Authentication_Type]]="OTP")), "safe location transaction", "unsafe location transaction")</f>
        <v>unsafe location transaction</v>
      </c>
      <c r="R229" s="6" t="str">
        <f>IF(AND(Table1[[#This Row],[Country_of_Residence]]&lt;&gt;Table1[[#This Row],[Country_of_Transaction]], OR(Table1[[#This Row],[Merchant_Category]]="Electronics", Table1[[#This Row],[Merchant_Category]]="Travel")), "unsafe merchant transaction", "safe merchant transaction")</f>
        <v>safe merchant transaction</v>
      </c>
    </row>
    <row r="230" spans="1:18">
      <c r="A230" t="s">
        <v>2921</v>
      </c>
      <c r="B230" t="s">
        <v>82</v>
      </c>
      <c r="C230">
        <v>1</v>
      </c>
      <c r="D230" t="s">
        <v>15</v>
      </c>
      <c r="E230" t="s">
        <v>6</v>
      </c>
      <c r="F230" s="2">
        <v>45742</v>
      </c>
      <c r="G230">
        <v>9176.58</v>
      </c>
      <c r="H230" s="1">
        <f>AVERAGEIF(Table1[Customer_ID], Table1[[#This Row],[Customer_ID]], Table1[Transaction_Amount])</f>
        <v>4446.326724137929</v>
      </c>
      <c r="I230" t="s">
        <v>570</v>
      </c>
      <c r="J230" t="s">
        <v>36</v>
      </c>
      <c r="K230" t="s">
        <v>10</v>
      </c>
      <c r="L230">
        <v>5</v>
      </c>
      <c r="M230" t="s">
        <v>55</v>
      </c>
      <c r="N230" t="s">
        <v>47</v>
      </c>
      <c r="O230" t="s">
        <v>392</v>
      </c>
      <c r="P230" s="6" t="str">
        <f>IF(Table1[[#This Row],[Transaction_Amount]]&lt;=Table1[[#This Row],[avg_transaction_amount]], "usual transaction", "unusual transaction")</f>
        <v>unusual transaction</v>
      </c>
      <c r="Q230" s="6" t="str">
        <f>IF(AND(Table1[[#This Row],[Country_of_Residence]]&lt;&gt;Table1[[#This Row],[Country_of_Transaction]], OR(Table1[[#This Row],[Authentication_Type]]="Biometric", Table1[[#This Row],[Authentication_Type]]="OTP")), "safe location transaction", "unsafe location transaction")</f>
        <v>safe location transaction</v>
      </c>
      <c r="R230" s="6" t="str">
        <f>IF(AND(Table1[[#This Row],[Country_of_Residence]]&lt;&gt;Table1[[#This Row],[Country_of_Transaction]], OR(Table1[[#This Row],[Merchant_Category]]="Electronics", Table1[[#This Row],[Merchant_Category]]="Travel")), "unsafe merchant transaction", "safe merchant transaction")</f>
        <v>safe merchant transaction</v>
      </c>
    </row>
    <row r="231" spans="1:18">
      <c r="A231" t="s">
        <v>2950</v>
      </c>
      <c r="B231" t="s">
        <v>82</v>
      </c>
      <c r="C231">
        <v>1</v>
      </c>
      <c r="D231" t="s">
        <v>9</v>
      </c>
      <c r="E231" t="s">
        <v>6</v>
      </c>
      <c r="F231" s="2">
        <v>45892</v>
      </c>
      <c r="G231">
        <v>3643.19</v>
      </c>
      <c r="H231" s="1">
        <f>AVERAGEIF(Table1[Customer_ID], Table1[[#This Row],[Customer_ID]], Table1[Transaction_Amount])</f>
        <v>4446.326724137929</v>
      </c>
      <c r="I231" t="s">
        <v>598</v>
      </c>
      <c r="J231" t="s">
        <v>50</v>
      </c>
      <c r="K231" t="s">
        <v>10</v>
      </c>
      <c r="L231">
        <v>3</v>
      </c>
      <c r="M231" t="s">
        <v>51</v>
      </c>
      <c r="N231" t="s">
        <v>56</v>
      </c>
      <c r="O231" t="s">
        <v>393</v>
      </c>
      <c r="P231" s="6" t="str">
        <f>IF(Table1[[#This Row],[Transaction_Amount]]&lt;=Table1[[#This Row],[avg_transaction_amount]], "usual transaction", "unusual transaction")</f>
        <v>usual transaction</v>
      </c>
      <c r="Q231" s="6" t="str">
        <f>IF(AND(Table1[[#This Row],[Country_of_Residence]]&lt;&gt;Table1[[#This Row],[Country_of_Transaction]], OR(Table1[[#This Row],[Authentication_Type]]="Biometric", Table1[[#This Row],[Authentication_Type]]="OTP")), "safe location transaction", "unsafe location transaction")</f>
        <v>safe location transaction</v>
      </c>
      <c r="R231" s="6" t="str">
        <f>IF(AND(Table1[[#This Row],[Country_of_Residence]]&lt;&gt;Table1[[#This Row],[Country_of_Transaction]], OR(Table1[[#This Row],[Merchant_Category]]="Electronics", Table1[[#This Row],[Merchant_Category]]="Travel")), "unsafe merchant transaction", "safe merchant transaction")</f>
        <v>unsafe merchant transaction</v>
      </c>
    </row>
    <row r="232" spans="1:18">
      <c r="A232" t="s">
        <v>3038</v>
      </c>
      <c r="B232" t="s">
        <v>82</v>
      </c>
      <c r="C232">
        <v>1</v>
      </c>
      <c r="D232" t="s">
        <v>9</v>
      </c>
      <c r="E232" t="s">
        <v>420</v>
      </c>
      <c r="F232" s="2">
        <v>45924</v>
      </c>
      <c r="G232">
        <v>8247.25</v>
      </c>
      <c r="H232" s="1">
        <f>AVERAGEIF(Table1[Customer_ID], Table1[[#This Row],[Customer_ID]], Table1[Transaction_Amount])</f>
        <v>4446.326724137929</v>
      </c>
      <c r="I232" t="s">
        <v>684</v>
      </c>
      <c r="J232" t="s">
        <v>50</v>
      </c>
      <c r="K232" t="s">
        <v>8</v>
      </c>
      <c r="L232">
        <v>5</v>
      </c>
      <c r="M232" t="s">
        <v>42</v>
      </c>
      <c r="N232" t="s">
        <v>51</v>
      </c>
      <c r="O232" t="s">
        <v>393</v>
      </c>
      <c r="P232" s="6" t="str">
        <f>IF(Table1[[#This Row],[Transaction_Amount]]&lt;=Table1[[#This Row],[avg_transaction_amount]], "usual transaction", "unusual transaction")</f>
        <v>unusual transaction</v>
      </c>
      <c r="Q232" s="6" t="str">
        <f>IF(AND(Table1[[#This Row],[Country_of_Residence]]&lt;&gt;Table1[[#This Row],[Country_of_Transaction]], OR(Table1[[#This Row],[Authentication_Type]]="Biometric", Table1[[#This Row],[Authentication_Type]]="OTP")), "safe location transaction", "unsafe location transaction")</f>
        <v>safe location transaction</v>
      </c>
      <c r="R232" s="6" t="str">
        <f>IF(AND(Table1[[#This Row],[Country_of_Residence]]&lt;&gt;Table1[[#This Row],[Country_of_Transaction]], OR(Table1[[#This Row],[Merchant_Category]]="Electronics", Table1[[#This Row],[Merchant_Category]]="Travel")), "unsafe merchant transaction", "safe merchant transaction")</f>
        <v>unsafe merchant transaction</v>
      </c>
    </row>
    <row r="233" spans="1:18">
      <c r="A233" t="s">
        <v>3103</v>
      </c>
      <c r="B233" t="s">
        <v>82</v>
      </c>
      <c r="C233">
        <v>1</v>
      </c>
      <c r="D233" t="s">
        <v>9</v>
      </c>
      <c r="E233" t="s">
        <v>5</v>
      </c>
      <c r="F233" s="2">
        <v>45769</v>
      </c>
      <c r="G233">
        <v>5567.79</v>
      </c>
      <c r="H233" s="1">
        <f>AVERAGEIF(Table1[Customer_ID], Table1[[#This Row],[Customer_ID]], Table1[Transaction_Amount])</f>
        <v>4446.326724137929</v>
      </c>
      <c r="I233" t="s">
        <v>673</v>
      </c>
      <c r="J233" t="s">
        <v>46</v>
      </c>
      <c r="K233" t="s">
        <v>12</v>
      </c>
      <c r="L233">
        <v>3</v>
      </c>
      <c r="M233" t="s">
        <v>55</v>
      </c>
      <c r="N233" t="s">
        <v>55</v>
      </c>
      <c r="O233" t="s">
        <v>392</v>
      </c>
      <c r="P233" s="6" t="str">
        <f>IF(Table1[[#This Row],[Transaction_Amount]]&lt;=Table1[[#This Row],[avg_transaction_amount]], "usual transaction", "unusual transaction")</f>
        <v>unusual transaction</v>
      </c>
      <c r="Q233" s="6" t="str">
        <f>IF(AND(Table1[[#This Row],[Country_of_Residence]]&lt;&gt;Table1[[#This Row],[Country_of_Transaction]], OR(Table1[[#This Row],[Authentication_Type]]="Biometric", Table1[[#This Row],[Authentication_Type]]="OTP")), "safe location transaction", "unsafe location transaction")</f>
        <v>unsafe location transaction</v>
      </c>
      <c r="R233" s="6" t="str">
        <f>IF(AND(Table1[[#This Row],[Country_of_Residence]]&lt;&gt;Table1[[#This Row],[Country_of_Transaction]], OR(Table1[[#This Row],[Merchant_Category]]="Electronics", Table1[[#This Row],[Merchant_Category]]="Travel")), "unsafe merchant transaction", "safe merchant transaction")</f>
        <v>safe merchant transaction</v>
      </c>
    </row>
    <row r="234" spans="1:18">
      <c r="A234" t="s">
        <v>3113</v>
      </c>
      <c r="B234" t="s">
        <v>82</v>
      </c>
      <c r="C234">
        <v>1</v>
      </c>
      <c r="D234" t="s">
        <v>9</v>
      </c>
      <c r="E234" t="s">
        <v>5</v>
      </c>
      <c r="F234" s="2">
        <v>45992</v>
      </c>
      <c r="G234">
        <v>837.16</v>
      </c>
      <c r="H234" s="1">
        <f>AVERAGEIF(Table1[Customer_ID], Table1[[#This Row],[Customer_ID]], Table1[Transaction_Amount])</f>
        <v>4446.326724137929</v>
      </c>
      <c r="I234" t="s">
        <v>755</v>
      </c>
      <c r="J234" t="s">
        <v>41</v>
      </c>
      <c r="K234" t="s">
        <v>8</v>
      </c>
      <c r="L234">
        <v>2</v>
      </c>
      <c r="M234" t="s">
        <v>47</v>
      </c>
      <c r="N234" t="s">
        <v>51</v>
      </c>
      <c r="O234" t="s">
        <v>393</v>
      </c>
      <c r="P234" s="6" t="str">
        <f>IF(Table1[[#This Row],[Transaction_Amount]]&lt;=Table1[[#This Row],[avg_transaction_amount]], "usual transaction", "unusual transaction")</f>
        <v>usual transaction</v>
      </c>
      <c r="Q234" s="6" t="str">
        <f>IF(AND(Table1[[#This Row],[Country_of_Residence]]&lt;&gt;Table1[[#This Row],[Country_of_Transaction]], OR(Table1[[#This Row],[Authentication_Type]]="Biometric", Table1[[#This Row],[Authentication_Type]]="OTP")), "safe location transaction", "unsafe location transaction")</f>
        <v>safe location transaction</v>
      </c>
      <c r="R234" s="6" t="str">
        <f>IF(AND(Table1[[#This Row],[Country_of_Residence]]&lt;&gt;Table1[[#This Row],[Country_of_Transaction]], OR(Table1[[#This Row],[Merchant_Category]]="Electronics", Table1[[#This Row],[Merchant_Category]]="Travel")), "unsafe merchant transaction", "safe merchant transaction")</f>
        <v>safe merchant transaction</v>
      </c>
    </row>
    <row r="235" spans="1:18">
      <c r="A235" t="s">
        <v>3174</v>
      </c>
      <c r="B235" t="s">
        <v>82</v>
      </c>
      <c r="C235">
        <v>1</v>
      </c>
      <c r="D235" t="s">
        <v>9</v>
      </c>
      <c r="E235" t="s">
        <v>3</v>
      </c>
      <c r="F235" s="2">
        <v>45716</v>
      </c>
      <c r="G235">
        <v>3112.34</v>
      </c>
      <c r="H235" s="1">
        <f>AVERAGEIF(Table1[Customer_ID], Table1[[#This Row],[Customer_ID]], Table1[Transaction_Amount])</f>
        <v>4446.326724137929</v>
      </c>
      <c r="I235" t="s">
        <v>809</v>
      </c>
      <c r="J235" t="s">
        <v>50</v>
      </c>
      <c r="K235" t="s">
        <v>8</v>
      </c>
      <c r="L235">
        <v>5</v>
      </c>
      <c r="M235" t="s">
        <v>412</v>
      </c>
      <c r="N235" t="s">
        <v>42</v>
      </c>
      <c r="O235" t="s">
        <v>392</v>
      </c>
      <c r="P235" s="6" t="str">
        <f>IF(Table1[[#This Row],[Transaction_Amount]]&lt;=Table1[[#This Row],[avg_transaction_amount]], "usual transaction", "unusual transaction")</f>
        <v>usual transaction</v>
      </c>
      <c r="Q235" s="6" t="str">
        <f>IF(AND(Table1[[#This Row],[Country_of_Residence]]&lt;&gt;Table1[[#This Row],[Country_of_Transaction]], OR(Table1[[#This Row],[Authentication_Type]]="Biometric", Table1[[#This Row],[Authentication_Type]]="OTP")), "safe location transaction", "unsafe location transaction")</f>
        <v>safe location transaction</v>
      </c>
      <c r="R235" s="6" t="str">
        <f>IF(AND(Table1[[#This Row],[Country_of_Residence]]&lt;&gt;Table1[[#This Row],[Country_of_Transaction]], OR(Table1[[#This Row],[Merchant_Category]]="Electronics", Table1[[#This Row],[Merchant_Category]]="Travel")), "unsafe merchant transaction", "safe merchant transaction")</f>
        <v>unsafe merchant transaction</v>
      </c>
    </row>
    <row r="236" spans="1:18">
      <c r="A236" t="s">
        <v>3183</v>
      </c>
      <c r="B236" t="s">
        <v>82</v>
      </c>
      <c r="C236">
        <v>1</v>
      </c>
      <c r="D236" t="s">
        <v>9</v>
      </c>
      <c r="E236" t="s">
        <v>3</v>
      </c>
      <c r="F236" s="2">
        <v>45724</v>
      </c>
      <c r="G236">
        <v>3148.21</v>
      </c>
      <c r="H236" s="1">
        <f>AVERAGEIF(Table1[Customer_ID], Table1[[#This Row],[Customer_ID]], Table1[Transaction_Amount])</f>
        <v>4446.326724137929</v>
      </c>
      <c r="I236" t="s">
        <v>818</v>
      </c>
      <c r="J236" t="s">
        <v>31</v>
      </c>
      <c r="K236" t="s">
        <v>10</v>
      </c>
      <c r="L236">
        <v>3</v>
      </c>
      <c r="M236" t="s">
        <v>412</v>
      </c>
      <c r="N236" t="s">
        <v>32</v>
      </c>
      <c r="O236" t="s">
        <v>393</v>
      </c>
      <c r="P236" s="6" t="str">
        <f>IF(Table1[[#This Row],[Transaction_Amount]]&lt;=Table1[[#This Row],[avg_transaction_amount]], "usual transaction", "unusual transaction")</f>
        <v>usual transaction</v>
      </c>
      <c r="Q236" s="6" t="str">
        <f>IF(AND(Table1[[#This Row],[Country_of_Residence]]&lt;&gt;Table1[[#This Row],[Country_of_Transaction]], OR(Table1[[#This Row],[Authentication_Type]]="Biometric", Table1[[#This Row],[Authentication_Type]]="OTP")), "safe location transaction", "unsafe location transaction")</f>
        <v>safe location transaction</v>
      </c>
      <c r="R236" s="6" t="str">
        <f>IF(AND(Table1[[#This Row],[Country_of_Residence]]&lt;&gt;Table1[[#This Row],[Country_of_Transaction]], OR(Table1[[#This Row],[Merchant_Category]]="Electronics", Table1[[#This Row],[Merchant_Category]]="Travel")), "unsafe merchant transaction", "safe merchant transaction")</f>
        <v>safe merchant transaction</v>
      </c>
    </row>
    <row r="237" spans="1:18">
      <c r="A237" t="s">
        <v>3226</v>
      </c>
      <c r="B237" t="s">
        <v>82</v>
      </c>
      <c r="C237">
        <v>1</v>
      </c>
      <c r="D237" t="s">
        <v>9</v>
      </c>
      <c r="E237" t="s">
        <v>420</v>
      </c>
      <c r="F237" s="2">
        <v>45759</v>
      </c>
      <c r="G237">
        <v>8956.0400000000009</v>
      </c>
      <c r="H237" s="1">
        <f>AVERAGEIF(Table1[Customer_ID], Table1[[#This Row],[Customer_ID]], Table1[Transaction_Amount])</f>
        <v>4446.326724137929</v>
      </c>
      <c r="I237" t="s">
        <v>859</v>
      </c>
      <c r="J237" t="s">
        <v>46</v>
      </c>
      <c r="K237" t="s">
        <v>10</v>
      </c>
      <c r="L237">
        <v>2</v>
      </c>
      <c r="M237" t="s">
        <v>55</v>
      </c>
      <c r="N237" t="s">
        <v>32</v>
      </c>
      <c r="O237" t="s">
        <v>392</v>
      </c>
      <c r="P237" s="6" t="str">
        <f>IF(Table1[[#This Row],[Transaction_Amount]]&lt;=Table1[[#This Row],[avg_transaction_amount]], "usual transaction", "unusual transaction")</f>
        <v>unusual transaction</v>
      </c>
      <c r="Q237" s="6" t="str">
        <f>IF(AND(Table1[[#This Row],[Country_of_Residence]]&lt;&gt;Table1[[#This Row],[Country_of_Transaction]], OR(Table1[[#This Row],[Authentication_Type]]="Biometric", Table1[[#This Row],[Authentication_Type]]="OTP")), "safe location transaction", "unsafe location transaction")</f>
        <v>safe location transaction</v>
      </c>
      <c r="R237" s="6" t="str">
        <f>IF(AND(Table1[[#This Row],[Country_of_Residence]]&lt;&gt;Table1[[#This Row],[Country_of_Transaction]], OR(Table1[[#This Row],[Merchant_Category]]="Electronics", Table1[[#This Row],[Merchant_Category]]="Travel")), "unsafe merchant transaction", "safe merchant transaction")</f>
        <v>safe merchant transaction</v>
      </c>
    </row>
    <row r="238" spans="1:18">
      <c r="A238" t="s">
        <v>3261</v>
      </c>
      <c r="B238" t="s">
        <v>82</v>
      </c>
      <c r="C238">
        <v>1</v>
      </c>
      <c r="D238" t="s">
        <v>15</v>
      </c>
      <c r="E238" t="s">
        <v>3</v>
      </c>
      <c r="F238" s="2">
        <v>45966</v>
      </c>
      <c r="G238">
        <v>3051.38</v>
      </c>
      <c r="H238" s="1">
        <f>AVERAGEIF(Table1[Customer_ID], Table1[[#This Row],[Customer_ID]], Table1[Transaction_Amount])</f>
        <v>4446.326724137929</v>
      </c>
      <c r="I238" t="s">
        <v>891</v>
      </c>
      <c r="J238" t="s">
        <v>46</v>
      </c>
      <c r="K238" t="s">
        <v>14</v>
      </c>
      <c r="L238">
        <v>0</v>
      </c>
      <c r="M238" t="s">
        <v>32</v>
      </c>
      <c r="N238" t="s">
        <v>42</v>
      </c>
      <c r="O238" t="s">
        <v>393</v>
      </c>
      <c r="P238" s="6" t="str">
        <f>IF(Table1[[#This Row],[Transaction_Amount]]&lt;=Table1[[#This Row],[avg_transaction_amount]], "usual transaction", "unusual transaction")</f>
        <v>usual transaction</v>
      </c>
      <c r="Q238" s="6" t="str">
        <f>IF(AND(Table1[[#This Row],[Country_of_Residence]]&lt;&gt;Table1[[#This Row],[Country_of_Transaction]], OR(Table1[[#This Row],[Authentication_Type]]="Biometric", Table1[[#This Row],[Authentication_Type]]="OTP")), "safe location transaction", "unsafe location transaction")</f>
        <v>unsafe location transaction</v>
      </c>
      <c r="R238" s="6" t="str">
        <f>IF(AND(Table1[[#This Row],[Country_of_Residence]]&lt;&gt;Table1[[#This Row],[Country_of_Transaction]], OR(Table1[[#This Row],[Merchant_Category]]="Electronics", Table1[[#This Row],[Merchant_Category]]="Travel")), "unsafe merchant transaction", "safe merchant transaction")</f>
        <v>safe merchant transaction</v>
      </c>
    </row>
    <row r="239" spans="1:18">
      <c r="A239" t="s">
        <v>3363</v>
      </c>
      <c r="B239" t="s">
        <v>82</v>
      </c>
      <c r="C239">
        <v>1</v>
      </c>
      <c r="D239" t="s">
        <v>9</v>
      </c>
      <c r="E239" t="s">
        <v>5</v>
      </c>
      <c r="F239" s="2">
        <v>45690</v>
      </c>
      <c r="G239">
        <v>9174.1</v>
      </c>
      <c r="H239" s="1">
        <f>AVERAGEIF(Table1[Customer_ID], Table1[[#This Row],[Customer_ID]], Table1[Transaction_Amount])</f>
        <v>4446.326724137929</v>
      </c>
      <c r="I239" t="s">
        <v>987</v>
      </c>
      <c r="J239" t="s">
        <v>31</v>
      </c>
      <c r="K239" t="s">
        <v>8</v>
      </c>
      <c r="L239">
        <v>3</v>
      </c>
      <c r="M239" t="s">
        <v>412</v>
      </c>
      <c r="N239" t="s">
        <v>51</v>
      </c>
      <c r="O239" t="s">
        <v>393</v>
      </c>
      <c r="P239" s="6" t="str">
        <f>IF(Table1[[#This Row],[Transaction_Amount]]&lt;=Table1[[#This Row],[avg_transaction_amount]], "usual transaction", "unusual transaction")</f>
        <v>unusual transaction</v>
      </c>
      <c r="Q239" s="6" t="str">
        <f>IF(AND(Table1[[#This Row],[Country_of_Residence]]&lt;&gt;Table1[[#This Row],[Country_of_Transaction]], OR(Table1[[#This Row],[Authentication_Type]]="Biometric", Table1[[#This Row],[Authentication_Type]]="OTP")), "safe location transaction", "unsafe location transaction")</f>
        <v>safe location transaction</v>
      </c>
      <c r="R239" s="6" t="str">
        <f>IF(AND(Table1[[#This Row],[Country_of_Residence]]&lt;&gt;Table1[[#This Row],[Country_of_Transaction]], OR(Table1[[#This Row],[Merchant_Category]]="Electronics", Table1[[#This Row],[Merchant_Category]]="Travel")), "unsafe merchant transaction", "safe merchant transaction")</f>
        <v>safe merchant transaction</v>
      </c>
    </row>
    <row r="240" spans="1:18">
      <c r="A240" t="s">
        <v>3383</v>
      </c>
      <c r="B240" t="s">
        <v>82</v>
      </c>
      <c r="C240">
        <v>1</v>
      </c>
      <c r="D240" t="s">
        <v>9</v>
      </c>
      <c r="E240" t="s">
        <v>6</v>
      </c>
      <c r="F240" s="2">
        <v>46003</v>
      </c>
      <c r="G240">
        <v>3634.36</v>
      </c>
      <c r="H240" s="1">
        <f>AVERAGEIF(Table1[Customer_ID], Table1[[#This Row],[Customer_ID]], Table1[Transaction_Amount])</f>
        <v>4446.326724137929</v>
      </c>
      <c r="I240" t="s">
        <v>1004</v>
      </c>
      <c r="J240" t="s">
        <v>50</v>
      </c>
      <c r="K240" t="s">
        <v>14</v>
      </c>
      <c r="L240">
        <v>1</v>
      </c>
      <c r="M240" t="s">
        <v>42</v>
      </c>
      <c r="N240" t="s">
        <v>33</v>
      </c>
      <c r="O240" t="s">
        <v>393</v>
      </c>
      <c r="P240" s="6" t="str">
        <f>IF(Table1[[#This Row],[Transaction_Amount]]&lt;=Table1[[#This Row],[avg_transaction_amount]], "usual transaction", "unusual transaction")</f>
        <v>usual transaction</v>
      </c>
      <c r="Q240" s="6" t="str">
        <f>IF(AND(Table1[[#This Row],[Country_of_Residence]]&lt;&gt;Table1[[#This Row],[Country_of_Transaction]], OR(Table1[[#This Row],[Authentication_Type]]="Biometric", Table1[[#This Row],[Authentication_Type]]="OTP")), "safe location transaction", "unsafe location transaction")</f>
        <v>unsafe location transaction</v>
      </c>
      <c r="R240" s="6" t="str">
        <f>IF(AND(Table1[[#This Row],[Country_of_Residence]]&lt;&gt;Table1[[#This Row],[Country_of_Transaction]], OR(Table1[[#This Row],[Merchant_Category]]="Electronics", Table1[[#This Row],[Merchant_Category]]="Travel")), "unsafe merchant transaction", "safe merchant transaction")</f>
        <v>unsafe merchant transaction</v>
      </c>
    </row>
    <row r="241" spans="1:18">
      <c r="A241" t="s">
        <v>3399</v>
      </c>
      <c r="B241" t="s">
        <v>82</v>
      </c>
      <c r="C241">
        <v>1</v>
      </c>
      <c r="D241" t="s">
        <v>9</v>
      </c>
      <c r="E241" t="s">
        <v>6</v>
      </c>
      <c r="F241" s="2">
        <v>45883</v>
      </c>
      <c r="G241">
        <v>6730.35</v>
      </c>
      <c r="H241" s="1">
        <f>AVERAGEIF(Table1[Customer_ID], Table1[[#This Row],[Customer_ID]], Table1[Transaction_Amount])</f>
        <v>4446.326724137929</v>
      </c>
      <c r="I241" t="s">
        <v>1020</v>
      </c>
      <c r="J241" t="s">
        <v>46</v>
      </c>
      <c r="K241" t="s">
        <v>10</v>
      </c>
      <c r="L241">
        <v>5</v>
      </c>
      <c r="M241" t="s">
        <v>33</v>
      </c>
      <c r="N241" t="s">
        <v>55</v>
      </c>
      <c r="O241" t="s">
        <v>393</v>
      </c>
      <c r="P241" s="6" t="str">
        <f>IF(Table1[[#This Row],[Transaction_Amount]]&lt;=Table1[[#This Row],[avg_transaction_amount]], "usual transaction", "unusual transaction")</f>
        <v>unusual transaction</v>
      </c>
      <c r="Q241" s="6" t="str">
        <f>IF(AND(Table1[[#This Row],[Country_of_Residence]]&lt;&gt;Table1[[#This Row],[Country_of_Transaction]], OR(Table1[[#This Row],[Authentication_Type]]="Biometric", Table1[[#This Row],[Authentication_Type]]="OTP")), "safe location transaction", "unsafe location transaction")</f>
        <v>safe location transaction</v>
      </c>
      <c r="R241" s="6" t="str">
        <f>IF(AND(Table1[[#This Row],[Country_of_Residence]]&lt;&gt;Table1[[#This Row],[Country_of_Transaction]], OR(Table1[[#This Row],[Merchant_Category]]="Electronics", Table1[[#This Row],[Merchant_Category]]="Travel")), "unsafe merchant transaction", "safe merchant transaction")</f>
        <v>safe merchant transaction</v>
      </c>
    </row>
    <row r="242" spans="1:18">
      <c r="A242" t="s">
        <v>3443</v>
      </c>
      <c r="B242" t="s">
        <v>82</v>
      </c>
      <c r="C242">
        <v>1</v>
      </c>
      <c r="D242" t="s">
        <v>15</v>
      </c>
      <c r="E242" t="s">
        <v>6</v>
      </c>
      <c r="F242" s="2">
        <v>45995</v>
      </c>
      <c r="G242">
        <v>5213.07</v>
      </c>
      <c r="H242" s="1">
        <f>AVERAGEIF(Table1[Customer_ID], Table1[[#This Row],[Customer_ID]], Table1[Transaction_Amount])</f>
        <v>4446.326724137929</v>
      </c>
      <c r="I242" t="s">
        <v>1062</v>
      </c>
      <c r="J242" t="s">
        <v>41</v>
      </c>
      <c r="K242" t="s">
        <v>12</v>
      </c>
      <c r="L242">
        <v>0</v>
      </c>
      <c r="M242" t="s">
        <v>33</v>
      </c>
      <c r="N242" t="s">
        <v>47</v>
      </c>
      <c r="O242" t="s">
        <v>393</v>
      </c>
      <c r="P242" s="6" t="str">
        <f>IF(Table1[[#This Row],[Transaction_Amount]]&lt;=Table1[[#This Row],[avg_transaction_amount]], "usual transaction", "unusual transaction")</f>
        <v>unusual transaction</v>
      </c>
      <c r="Q242" s="6" t="str">
        <f>IF(AND(Table1[[#This Row],[Country_of_Residence]]&lt;&gt;Table1[[#This Row],[Country_of_Transaction]], OR(Table1[[#This Row],[Authentication_Type]]="Biometric", Table1[[#This Row],[Authentication_Type]]="OTP")), "safe location transaction", "unsafe location transaction")</f>
        <v>unsafe location transaction</v>
      </c>
      <c r="R242" s="6" t="str">
        <f>IF(AND(Table1[[#This Row],[Country_of_Residence]]&lt;&gt;Table1[[#This Row],[Country_of_Transaction]], OR(Table1[[#This Row],[Merchant_Category]]="Electronics", Table1[[#This Row],[Merchant_Category]]="Travel")), "unsafe merchant transaction", "safe merchant transaction")</f>
        <v>safe merchant transaction</v>
      </c>
    </row>
    <row r="243" spans="1:18">
      <c r="A243" t="s">
        <v>3450</v>
      </c>
      <c r="B243" t="s">
        <v>82</v>
      </c>
      <c r="C243">
        <v>1</v>
      </c>
      <c r="D243" t="s">
        <v>9</v>
      </c>
      <c r="E243" t="s">
        <v>5</v>
      </c>
      <c r="F243" s="2">
        <v>45732</v>
      </c>
      <c r="G243">
        <v>3327.11</v>
      </c>
      <c r="H243" s="1">
        <f>AVERAGEIF(Table1[Customer_ID], Table1[[#This Row],[Customer_ID]], Table1[Transaction_Amount])</f>
        <v>4446.326724137929</v>
      </c>
      <c r="I243" t="s">
        <v>1068</v>
      </c>
      <c r="J243" t="s">
        <v>31</v>
      </c>
      <c r="K243" t="s">
        <v>10</v>
      </c>
      <c r="L243">
        <v>3</v>
      </c>
      <c r="M243" t="s">
        <v>55</v>
      </c>
      <c r="N243" t="s">
        <v>56</v>
      </c>
      <c r="O243" t="s">
        <v>392</v>
      </c>
      <c r="P243" s="6" t="str">
        <f>IF(Table1[[#This Row],[Transaction_Amount]]&lt;=Table1[[#This Row],[avg_transaction_amount]], "usual transaction", "unusual transaction")</f>
        <v>usual transaction</v>
      </c>
      <c r="Q243" s="6" t="str">
        <f>IF(AND(Table1[[#This Row],[Country_of_Residence]]&lt;&gt;Table1[[#This Row],[Country_of_Transaction]], OR(Table1[[#This Row],[Authentication_Type]]="Biometric", Table1[[#This Row],[Authentication_Type]]="OTP")), "safe location transaction", "unsafe location transaction")</f>
        <v>safe location transaction</v>
      </c>
      <c r="R243" s="6" t="str">
        <f>IF(AND(Table1[[#This Row],[Country_of_Residence]]&lt;&gt;Table1[[#This Row],[Country_of_Transaction]], OR(Table1[[#This Row],[Merchant_Category]]="Electronics", Table1[[#This Row],[Merchant_Category]]="Travel")), "unsafe merchant transaction", "safe merchant transaction")</f>
        <v>safe merchant transaction</v>
      </c>
    </row>
    <row r="244" spans="1:18">
      <c r="A244" t="s">
        <v>3483</v>
      </c>
      <c r="B244" t="s">
        <v>82</v>
      </c>
      <c r="C244">
        <v>1</v>
      </c>
      <c r="D244" t="s">
        <v>9</v>
      </c>
      <c r="E244" t="s">
        <v>420</v>
      </c>
      <c r="F244" s="2">
        <v>45709</v>
      </c>
      <c r="G244">
        <v>1478.05</v>
      </c>
      <c r="H244" s="1">
        <f>AVERAGEIF(Table1[Customer_ID], Table1[[#This Row],[Customer_ID]], Table1[Transaction_Amount])</f>
        <v>4446.326724137929</v>
      </c>
      <c r="I244" t="s">
        <v>1100</v>
      </c>
      <c r="J244" t="s">
        <v>46</v>
      </c>
      <c r="K244" t="s">
        <v>10</v>
      </c>
      <c r="L244">
        <v>4</v>
      </c>
      <c r="M244" t="s">
        <v>32</v>
      </c>
      <c r="N244" t="s">
        <v>56</v>
      </c>
      <c r="O244" t="s">
        <v>393</v>
      </c>
      <c r="P244" s="6" t="str">
        <f>IF(Table1[[#This Row],[Transaction_Amount]]&lt;=Table1[[#This Row],[avg_transaction_amount]], "usual transaction", "unusual transaction")</f>
        <v>usual transaction</v>
      </c>
      <c r="Q244" s="6" t="str">
        <f>IF(AND(Table1[[#This Row],[Country_of_Residence]]&lt;&gt;Table1[[#This Row],[Country_of_Transaction]], OR(Table1[[#This Row],[Authentication_Type]]="Biometric", Table1[[#This Row],[Authentication_Type]]="OTP")), "safe location transaction", "unsafe location transaction")</f>
        <v>safe location transaction</v>
      </c>
      <c r="R244" s="6" t="str">
        <f>IF(AND(Table1[[#This Row],[Country_of_Residence]]&lt;&gt;Table1[[#This Row],[Country_of_Transaction]], OR(Table1[[#This Row],[Merchant_Category]]="Electronics", Table1[[#This Row],[Merchant_Category]]="Travel")), "unsafe merchant transaction", "safe merchant transaction")</f>
        <v>safe merchant transaction</v>
      </c>
    </row>
    <row r="245" spans="1:18">
      <c r="A245" t="s">
        <v>3510</v>
      </c>
      <c r="B245" t="s">
        <v>82</v>
      </c>
      <c r="C245">
        <v>1</v>
      </c>
      <c r="D245" t="s">
        <v>15</v>
      </c>
      <c r="E245" t="s">
        <v>5</v>
      </c>
      <c r="F245" s="2">
        <v>45896</v>
      </c>
      <c r="G245">
        <v>2269.36</v>
      </c>
      <c r="H245" s="1">
        <f>AVERAGEIF(Table1[Customer_ID], Table1[[#This Row],[Customer_ID]], Table1[Transaction_Amount])</f>
        <v>4446.326724137929</v>
      </c>
      <c r="I245" t="s">
        <v>1125</v>
      </c>
      <c r="J245" t="s">
        <v>36</v>
      </c>
      <c r="K245" t="s">
        <v>10</v>
      </c>
      <c r="L245">
        <v>0</v>
      </c>
      <c r="M245" t="s">
        <v>42</v>
      </c>
      <c r="N245" t="s">
        <v>32</v>
      </c>
      <c r="O245" t="s">
        <v>393</v>
      </c>
      <c r="P245" s="6" t="str">
        <f>IF(Table1[[#This Row],[Transaction_Amount]]&lt;=Table1[[#This Row],[avg_transaction_amount]], "usual transaction", "unusual transaction")</f>
        <v>usual transaction</v>
      </c>
      <c r="Q245" s="6" t="str">
        <f>IF(AND(Table1[[#This Row],[Country_of_Residence]]&lt;&gt;Table1[[#This Row],[Country_of_Transaction]], OR(Table1[[#This Row],[Authentication_Type]]="Biometric", Table1[[#This Row],[Authentication_Type]]="OTP")), "safe location transaction", "unsafe location transaction")</f>
        <v>safe location transaction</v>
      </c>
      <c r="R245" s="6" t="str">
        <f>IF(AND(Table1[[#This Row],[Country_of_Residence]]&lt;&gt;Table1[[#This Row],[Country_of_Transaction]], OR(Table1[[#This Row],[Merchant_Category]]="Electronics", Table1[[#This Row],[Merchant_Category]]="Travel")), "unsafe merchant transaction", "safe merchant transaction")</f>
        <v>safe merchant transaction</v>
      </c>
    </row>
    <row r="246" spans="1:18">
      <c r="A246" t="s">
        <v>3529</v>
      </c>
      <c r="B246" t="s">
        <v>82</v>
      </c>
      <c r="C246">
        <v>1</v>
      </c>
      <c r="D246" t="s">
        <v>15</v>
      </c>
      <c r="E246" t="s">
        <v>420</v>
      </c>
      <c r="F246" s="2">
        <v>45709</v>
      </c>
      <c r="G246">
        <v>4967.74</v>
      </c>
      <c r="H246" s="1">
        <f>AVERAGEIF(Table1[Customer_ID], Table1[[#This Row],[Customer_ID]], Table1[Transaction_Amount])</f>
        <v>4446.326724137929</v>
      </c>
      <c r="I246" t="s">
        <v>1144</v>
      </c>
      <c r="J246" t="s">
        <v>36</v>
      </c>
      <c r="K246" t="s">
        <v>10</v>
      </c>
      <c r="L246">
        <v>3</v>
      </c>
      <c r="M246" t="s">
        <v>32</v>
      </c>
      <c r="N246" t="s">
        <v>55</v>
      </c>
      <c r="O246" t="s">
        <v>393</v>
      </c>
      <c r="P246" s="6" t="str">
        <f>IF(Table1[[#This Row],[Transaction_Amount]]&lt;=Table1[[#This Row],[avg_transaction_amount]], "usual transaction", "unusual transaction")</f>
        <v>unusual transaction</v>
      </c>
      <c r="Q246" s="6" t="str">
        <f>IF(AND(Table1[[#This Row],[Country_of_Residence]]&lt;&gt;Table1[[#This Row],[Country_of_Transaction]], OR(Table1[[#This Row],[Authentication_Type]]="Biometric", Table1[[#This Row],[Authentication_Type]]="OTP")), "safe location transaction", "unsafe location transaction")</f>
        <v>safe location transaction</v>
      </c>
      <c r="R246" s="6" t="str">
        <f>IF(AND(Table1[[#This Row],[Country_of_Residence]]&lt;&gt;Table1[[#This Row],[Country_of_Transaction]], OR(Table1[[#This Row],[Merchant_Category]]="Electronics", Table1[[#This Row],[Merchant_Category]]="Travel")), "unsafe merchant transaction", "safe merchant transaction")</f>
        <v>safe merchant transaction</v>
      </c>
    </row>
    <row r="247" spans="1:18">
      <c r="A247" t="s">
        <v>3544</v>
      </c>
      <c r="B247" t="s">
        <v>82</v>
      </c>
      <c r="C247">
        <v>1</v>
      </c>
      <c r="D247" t="s">
        <v>9</v>
      </c>
      <c r="E247" t="s">
        <v>5</v>
      </c>
      <c r="F247" s="2">
        <v>46015</v>
      </c>
      <c r="G247">
        <v>2674.08</v>
      </c>
      <c r="H247" s="1">
        <f>AVERAGEIF(Table1[Customer_ID], Table1[[#This Row],[Customer_ID]], Table1[Transaction_Amount])</f>
        <v>4446.326724137929</v>
      </c>
      <c r="I247" t="s">
        <v>1110</v>
      </c>
      <c r="J247" t="s">
        <v>41</v>
      </c>
      <c r="K247" t="s">
        <v>8</v>
      </c>
      <c r="L247">
        <v>0</v>
      </c>
      <c r="M247" t="s">
        <v>42</v>
      </c>
      <c r="N247" t="s">
        <v>51</v>
      </c>
      <c r="O247" t="s">
        <v>392</v>
      </c>
      <c r="P247" s="6" t="str">
        <f>IF(Table1[[#This Row],[Transaction_Amount]]&lt;=Table1[[#This Row],[avg_transaction_amount]], "usual transaction", "unusual transaction")</f>
        <v>usual transaction</v>
      </c>
      <c r="Q247" s="6" t="str">
        <f>IF(AND(Table1[[#This Row],[Country_of_Residence]]&lt;&gt;Table1[[#This Row],[Country_of_Transaction]], OR(Table1[[#This Row],[Authentication_Type]]="Biometric", Table1[[#This Row],[Authentication_Type]]="OTP")), "safe location transaction", "unsafe location transaction")</f>
        <v>safe location transaction</v>
      </c>
      <c r="R247" s="6" t="str">
        <f>IF(AND(Table1[[#This Row],[Country_of_Residence]]&lt;&gt;Table1[[#This Row],[Country_of_Transaction]], OR(Table1[[#This Row],[Merchant_Category]]="Electronics", Table1[[#This Row],[Merchant_Category]]="Travel")), "unsafe merchant transaction", "safe merchant transaction")</f>
        <v>safe merchant transaction</v>
      </c>
    </row>
    <row r="248" spans="1:18">
      <c r="A248" t="s">
        <v>3633</v>
      </c>
      <c r="B248" t="s">
        <v>82</v>
      </c>
      <c r="C248">
        <v>1</v>
      </c>
      <c r="D248" t="s">
        <v>9</v>
      </c>
      <c r="E248" t="s">
        <v>3</v>
      </c>
      <c r="F248" s="2">
        <v>45665</v>
      </c>
      <c r="G248">
        <v>5069.87</v>
      </c>
      <c r="H248" s="1">
        <f>AVERAGEIF(Table1[Customer_ID], Table1[[#This Row],[Customer_ID]], Table1[Transaction_Amount])</f>
        <v>4446.326724137929</v>
      </c>
      <c r="I248" t="s">
        <v>1238</v>
      </c>
      <c r="J248" t="s">
        <v>41</v>
      </c>
      <c r="K248" t="s">
        <v>12</v>
      </c>
      <c r="L248">
        <v>0</v>
      </c>
      <c r="M248" t="s">
        <v>56</v>
      </c>
      <c r="N248" t="s">
        <v>55</v>
      </c>
      <c r="O248" t="s">
        <v>393</v>
      </c>
      <c r="P248" s="6" t="str">
        <f>IF(Table1[[#This Row],[Transaction_Amount]]&lt;=Table1[[#This Row],[avg_transaction_amount]], "usual transaction", "unusual transaction")</f>
        <v>unusual transaction</v>
      </c>
      <c r="Q248" s="6" t="str">
        <f>IF(AND(Table1[[#This Row],[Country_of_Residence]]&lt;&gt;Table1[[#This Row],[Country_of_Transaction]], OR(Table1[[#This Row],[Authentication_Type]]="Biometric", Table1[[#This Row],[Authentication_Type]]="OTP")), "safe location transaction", "unsafe location transaction")</f>
        <v>unsafe location transaction</v>
      </c>
      <c r="R248" s="6" t="str">
        <f>IF(AND(Table1[[#This Row],[Country_of_Residence]]&lt;&gt;Table1[[#This Row],[Country_of_Transaction]], OR(Table1[[#This Row],[Merchant_Category]]="Electronics", Table1[[#This Row],[Merchant_Category]]="Travel")), "unsafe merchant transaction", "safe merchant transaction")</f>
        <v>safe merchant transaction</v>
      </c>
    </row>
    <row r="249" spans="1:18">
      <c r="A249" t="s">
        <v>3683</v>
      </c>
      <c r="B249" t="s">
        <v>82</v>
      </c>
      <c r="C249">
        <v>1</v>
      </c>
      <c r="D249" t="s">
        <v>9</v>
      </c>
      <c r="E249" t="s">
        <v>420</v>
      </c>
      <c r="F249" s="2">
        <v>45983</v>
      </c>
      <c r="G249">
        <v>6133.29</v>
      </c>
      <c r="H249" s="1">
        <f>AVERAGEIF(Table1[Customer_ID], Table1[[#This Row],[Customer_ID]], Table1[Transaction_Amount])</f>
        <v>4446.326724137929</v>
      </c>
      <c r="I249" t="s">
        <v>1283</v>
      </c>
      <c r="J249" t="s">
        <v>41</v>
      </c>
      <c r="K249" t="s">
        <v>8</v>
      </c>
      <c r="L249">
        <v>3</v>
      </c>
      <c r="M249" t="s">
        <v>33</v>
      </c>
      <c r="N249" t="s">
        <v>412</v>
      </c>
      <c r="O249" t="s">
        <v>393</v>
      </c>
      <c r="P249" s="6" t="str">
        <f>IF(Table1[[#This Row],[Transaction_Amount]]&lt;=Table1[[#This Row],[avg_transaction_amount]], "usual transaction", "unusual transaction")</f>
        <v>unusual transaction</v>
      </c>
      <c r="Q249" s="6" t="str">
        <f>IF(AND(Table1[[#This Row],[Country_of_Residence]]&lt;&gt;Table1[[#This Row],[Country_of_Transaction]], OR(Table1[[#This Row],[Authentication_Type]]="Biometric", Table1[[#This Row],[Authentication_Type]]="OTP")), "safe location transaction", "unsafe location transaction")</f>
        <v>safe location transaction</v>
      </c>
      <c r="R249" s="6" t="str">
        <f>IF(AND(Table1[[#This Row],[Country_of_Residence]]&lt;&gt;Table1[[#This Row],[Country_of_Transaction]], OR(Table1[[#This Row],[Merchant_Category]]="Electronics", Table1[[#This Row],[Merchant_Category]]="Travel")), "unsafe merchant transaction", "safe merchant transaction")</f>
        <v>safe merchant transaction</v>
      </c>
    </row>
    <row r="250" spans="1:18">
      <c r="A250" t="s">
        <v>3745</v>
      </c>
      <c r="B250" t="s">
        <v>82</v>
      </c>
      <c r="C250">
        <v>1</v>
      </c>
      <c r="D250" t="s">
        <v>9</v>
      </c>
      <c r="E250" t="s">
        <v>6</v>
      </c>
      <c r="F250" s="2">
        <v>45971</v>
      </c>
      <c r="G250">
        <v>2550.73</v>
      </c>
      <c r="H250" s="1">
        <f>AVERAGEIF(Table1[Customer_ID], Table1[[#This Row],[Customer_ID]], Table1[Transaction_Amount])</f>
        <v>4446.326724137929</v>
      </c>
      <c r="I250" t="s">
        <v>1337</v>
      </c>
      <c r="J250" t="s">
        <v>31</v>
      </c>
      <c r="K250" t="s">
        <v>8</v>
      </c>
      <c r="L250">
        <v>1</v>
      </c>
      <c r="M250" t="s">
        <v>42</v>
      </c>
      <c r="N250" t="s">
        <v>47</v>
      </c>
      <c r="O250" t="s">
        <v>392</v>
      </c>
      <c r="P250" s="6" t="str">
        <f>IF(Table1[[#This Row],[Transaction_Amount]]&lt;=Table1[[#This Row],[avg_transaction_amount]], "usual transaction", "unusual transaction")</f>
        <v>usual transaction</v>
      </c>
      <c r="Q250" s="6" t="str">
        <f>IF(AND(Table1[[#This Row],[Country_of_Residence]]&lt;&gt;Table1[[#This Row],[Country_of_Transaction]], OR(Table1[[#This Row],[Authentication_Type]]="Biometric", Table1[[#This Row],[Authentication_Type]]="OTP")), "safe location transaction", "unsafe location transaction")</f>
        <v>safe location transaction</v>
      </c>
      <c r="R250" s="6" t="str">
        <f>IF(AND(Table1[[#This Row],[Country_of_Residence]]&lt;&gt;Table1[[#This Row],[Country_of_Transaction]], OR(Table1[[#This Row],[Merchant_Category]]="Electronics", Table1[[#This Row],[Merchant_Category]]="Travel")), "unsafe merchant transaction", "safe merchant transaction")</f>
        <v>safe merchant transaction</v>
      </c>
    </row>
    <row r="251" spans="1:18">
      <c r="A251" t="s">
        <v>3809</v>
      </c>
      <c r="B251" t="s">
        <v>82</v>
      </c>
      <c r="C251">
        <v>1</v>
      </c>
      <c r="D251" t="s">
        <v>15</v>
      </c>
      <c r="E251" t="s">
        <v>3</v>
      </c>
      <c r="F251" s="2">
        <v>45662</v>
      </c>
      <c r="G251">
        <v>1582.36</v>
      </c>
      <c r="H251" s="1">
        <f>AVERAGEIF(Table1[Customer_ID], Table1[[#This Row],[Customer_ID]], Table1[Transaction_Amount])</f>
        <v>4446.326724137929</v>
      </c>
      <c r="I251" t="s">
        <v>1392</v>
      </c>
      <c r="J251" t="s">
        <v>50</v>
      </c>
      <c r="K251" t="s">
        <v>10</v>
      </c>
      <c r="L251">
        <v>1</v>
      </c>
      <c r="M251" t="s">
        <v>47</v>
      </c>
      <c r="N251" t="s">
        <v>51</v>
      </c>
      <c r="O251" t="s">
        <v>392</v>
      </c>
      <c r="P251" s="6" t="str">
        <f>IF(Table1[[#This Row],[Transaction_Amount]]&lt;=Table1[[#This Row],[avg_transaction_amount]], "usual transaction", "unusual transaction")</f>
        <v>usual transaction</v>
      </c>
      <c r="Q251" s="6" t="str">
        <f>IF(AND(Table1[[#This Row],[Country_of_Residence]]&lt;&gt;Table1[[#This Row],[Country_of_Transaction]], OR(Table1[[#This Row],[Authentication_Type]]="Biometric", Table1[[#This Row],[Authentication_Type]]="OTP")), "safe location transaction", "unsafe location transaction")</f>
        <v>safe location transaction</v>
      </c>
      <c r="R251" s="6" t="str">
        <f>IF(AND(Table1[[#This Row],[Country_of_Residence]]&lt;&gt;Table1[[#This Row],[Country_of_Transaction]], OR(Table1[[#This Row],[Merchant_Category]]="Electronics", Table1[[#This Row],[Merchant_Category]]="Travel")), "unsafe merchant transaction", "safe merchant transaction")</f>
        <v>unsafe merchant transaction</v>
      </c>
    </row>
    <row r="252" spans="1:18">
      <c r="A252" t="s">
        <v>3832</v>
      </c>
      <c r="B252" t="s">
        <v>82</v>
      </c>
      <c r="C252">
        <v>1</v>
      </c>
      <c r="D252" t="s">
        <v>15</v>
      </c>
      <c r="E252" t="s">
        <v>6</v>
      </c>
      <c r="F252" s="2">
        <v>45705</v>
      </c>
      <c r="G252">
        <v>1442.12</v>
      </c>
      <c r="H252" s="1">
        <f>AVERAGEIF(Table1[Customer_ID], Table1[[#This Row],[Customer_ID]], Table1[Transaction_Amount])</f>
        <v>4446.326724137929</v>
      </c>
      <c r="I252" t="s">
        <v>1411</v>
      </c>
      <c r="J252" t="s">
        <v>50</v>
      </c>
      <c r="K252" t="s">
        <v>10</v>
      </c>
      <c r="L252">
        <v>3</v>
      </c>
      <c r="M252" t="s">
        <v>51</v>
      </c>
      <c r="N252" t="s">
        <v>32</v>
      </c>
      <c r="O252" t="s">
        <v>393</v>
      </c>
      <c r="P252" s="6" t="str">
        <f>IF(Table1[[#This Row],[Transaction_Amount]]&lt;=Table1[[#This Row],[avg_transaction_amount]], "usual transaction", "unusual transaction")</f>
        <v>usual transaction</v>
      </c>
      <c r="Q252" s="6" t="str">
        <f>IF(AND(Table1[[#This Row],[Country_of_Residence]]&lt;&gt;Table1[[#This Row],[Country_of_Transaction]], OR(Table1[[#This Row],[Authentication_Type]]="Biometric", Table1[[#This Row],[Authentication_Type]]="OTP")), "safe location transaction", "unsafe location transaction")</f>
        <v>safe location transaction</v>
      </c>
      <c r="R252" s="6" t="str">
        <f>IF(AND(Table1[[#This Row],[Country_of_Residence]]&lt;&gt;Table1[[#This Row],[Country_of_Transaction]], OR(Table1[[#This Row],[Merchant_Category]]="Electronics", Table1[[#This Row],[Merchant_Category]]="Travel")), "unsafe merchant transaction", "safe merchant transaction")</f>
        <v>unsafe merchant transaction</v>
      </c>
    </row>
    <row r="253" spans="1:18">
      <c r="A253" t="s">
        <v>3864</v>
      </c>
      <c r="B253" t="s">
        <v>82</v>
      </c>
      <c r="C253">
        <v>1</v>
      </c>
      <c r="D253" t="s">
        <v>9</v>
      </c>
      <c r="E253" t="s">
        <v>420</v>
      </c>
      <c r="F253" s="2">
        <v>45863</v>
      </c>
      <c r="G253">
        <v>698.49</v>
      </c>
      <c r="H253" s="1">
        <f>AVERAGEIF(Table1[Customer_ID], Table1[[#This Row],[Customer_ID]], Table1[Transaction_Amount])</f>
        <v>4446.326724137929</v>
      </c>
      <c r="I253" t="s">
        <v>1438</v>
      </c>
      <c r="J253" t="s">
        <v>46</v>
      </c>
      <c r="K253" t="s">
        <v>10</v>
      </c>
      <c r="L253">
        <v>0</v>
      </c>
      <c r="M253" t="s">
        <v>42</v>
      </c>
      <c r="N253" t="s">
        <v>32</v>
      </c>
      <c r="O253" t="s">
        <v>392</v>
      </c>
      <c r="P253" s="6" t="str">
        <f>IF(Table1[[#This Row],[Transaction_Amount]]&lt;=Table1[[#This Row],[avg_transaction_amount]], "usual transaction", "unusual transaction")</f>
        <v>usual transaction</v>
      </c>
      <c r="Q253" s="6" t="str">
        <f>IF(AND(Table1[[#This Row],[Country_of_Residence]]&lt;&gt;Table1[[#This Row],[Country_of_Transaction]], OR(Table1[[#This Row],[Authentication_Type]]="Biometric", Table1[[#This Row],[Authentication_Type]]="OTP")), "safe location transaction", "unsafe location transaction")</f>
        <v>safe location transaction</v>
      </c>
      <c r="R253" s="6" t="str">
        <f>IF(AND(Table1[[#This Row],[Country_of_Residence]]&lt;&gt;Table1[[#This Row],[Country_of_Transaction]], OR(Table1[[#This Row],[Merchant_Category]]="Electronics", Table1[[#This Row],[Merchant_Category]]="Travel")), "unsafe merchant transaction", "safe merchant transaction")</f>
        <v>safe merchant transaction</v>
      </c>
    </row>
    <row r="254" spans="1:18">
      <c r="A254" t="s">
        <v>3905</v>
      </c>
      <c r="B254" t="s">
        <v>82</v>
      </c>
      <c r="C254">
        <v>1</v>
      </c>
      <c r="D254" t="s">
        <v>9</v>
      </c>
      <c r="E254" t="s">
        <v>3</v>
      </c>
      <c r="F254" s="2">
        <v>45770</v>
      </c>
      <c r="G254">
        <v>1675.74</v>
      </c>
      <c r="H254" s="1">
        <f>AVERAGEIF(Table1[Customer_ID], Table1[[#This Row],[Customer_ID]], Table1[Transaction_Amount])</f>
        <v>4446.326724137929</v>
      </c>
      <c r="I254" t="s">
        <v>968</v>
      </c>
      <c r="J254" t="s">
        <v>36</v>
      </c>
      <c r="K254" t="s">
        <v>10</v>
      </c>
      <c r="L254">
        <v>0</v>
      </c>
      <c r="M254" t="s">
        <v>47</v>
      </c>
      <c r="N254" t="s">
        <v>51</v>
      </c>
      <c r="O254" t="s">
        <v>393</v>
      </c>
      <c r="P254" s="6" t="str">
        <f>IF(Table1[[#This Row],[Transaction_Amount]]&lt;=Table1[[#This Row],[avg_transaction_amount]], "usual transaction", "unusual transaction")</f>
        <v>usual transaction</v>
      </c>
      <c r="Q254" s="6" t="str">
        <f>IF(AND(Table1[[#This Row],[Country_of_Residence]]&lt;&gt;Table1[[#This Row],[Country_of_Transaction]], OR(Table1[[#This Row],[Authentication_Type]]="Biometric", Table1[[#This Row],[Authentication_Type]]="OTP")), "safe location transaction", "unsafe location transaction")</f>
        <v>safe location transaction</v>
      </c>
      <c r="R254" s="6" t="str">
        <f>IF(AND(Table1[[#This Row],[Country_of_Residence]]&lt;&gt;Table1[[#This Row],[Country_of_Transaction]], OR(Table1[[#This Row],[Merchant_Category]]="Electronics", Table1[[#This Row],[Merchant_Category]]="Travel")), "unsafe merchant transaction", "safe merchant transaction")</f>
        <v>safe merchant transaction</v>
      </c>
    </row>
    <row r="255" spans="1:18">
      <c r="A255" t="s">
        <v>3928</v>
      </c>
      <c r="B255" t="s">
        <v>82</v>
      </c>
      <c r="C255">
        <v>1</v>
      </c>
      <c r="D255" t="s">
        <v>15</v>
      </c>
      <c r="E255" t="s">
        <v>6</v>
      </c>
      <c r="F255" s="2">
        <v>45691</v>
      </c>
      <c r="G255">
        <v>9829</v>
      </c>
      <c r="H255" s="1">
        <f>AVERAGEIF(Table1[Customer_ID], Table1[[#This Row],[Customer_ID]], Table1[Transaction_Amount])</f>
        <v>4446.326724137929</v>
      </c>
      <c r="I255" t="s">
        <v>1492</v>
      </c>
      <c r="J255" t="s">
        <v>31</v>
      </c>
      <c r="K255" t="s">
        <v>8</v>
      </c>
      <c r="L255">
        <v>2</v>
      </c>
      <c r="M255" t="s">
        <v>32</v>
      </c>
      <c r="N255" t="s">
        <v>33</v>
      </c>
      <c r="O255" t="s">
        <v>393</v>
      </c>
      <c r="P255" s="6" t="str">
        <f>IF(Table1[[#This Row],[Transaction_Amount]]&lt;=Table1[[#This Row],[avg_transaction_amount]], "usual transaction", "unusual transaction")</f>
        <v>unusual transaction</v>
      </c>
      <c r="Q255" s="6" t="str">
        <f>IF(AND(Table1[[#This Row],[Country_of_Residence]]&lt;&gt;Table1[[#This Row],[Country_of_Transaction]], OR(Table1[[#This Row],[Authentication_Type]]="Biometric", Table1[[#This Row],[Authentication_Type]]="OTP")), "safe location transaction", "unsafe location transaction")</f>
        <v>safe location transaction</v>
      </c>
      <c r="R255" s="6" t="str">
        <f>IF(AND(Table1[[#This Row],[Country_of_Residence]]&lt;&gt;Table1[[#This Row],[Country_of_Transaction]], OR(Table1[[#This Row],[Merchant_Category]]="Electronics", Table1[[#This Row],[Merchant_Category]]="Travel")), "unsafe merchant transaction", "safe merchant transaction")</f>
        <v>safe merchant transaction</v>
      </c>
    </row>
    <row r="256" spans="1:18">
      <c r="A256" t="s">
        <v>3990</v>
      </c>
      <c r="B256" t="s">
        <v>82</v>
      </c>
      <c r="C256">
        <v>1</v>
      </c>
      <c r="D256" t="s">
        <v>9</v>
      </c>
      <c r="E256" t="s">
        <v>420</v>
      </c>
      <c r="F256" s="2">
        <v>45697</v>
      </c>
      <c r="G256">
        <v>2439.42</v>
      </c>
      <c r="H256" s="1">
        <f>AVERAGEIF(Table1[Customer_ID], Table1[[#This Row],[Customer_ID]], Table1[Transaction_Amount])</f>
        <v>4446.326724137929</v>
      </c>
      <c r="I256" t="s">
        <v>1549</v>
      </c>
      <c r="J256" t="s">
        <v>31</v>
      </c>
      <c r="K256" t="s">
        <v>14</v>
      </c>
      <c r="L256">
        <v>1</v>
      </c>
      <c r="M256" t="s">
        <v>33</v>
      </c>
      <c r="N256" t="s">
        <v>33</v>
      </c>
      <c r="O256" t="s">
        <v>393</v>
      </c>
      <c r="P256" s="6" t="str">
        <f>IF(Table1[[#This Row],[Transaction_Amount]]&lt;=Table1[[#This Row],[avg_transaction_amount]], "usual transaction", "unusual transaction")</f>
        <v>usual transaction</v>
      </c>
      <c r="Q256" s="6" t="str">
        <f>IF(AND(Table1[[#This Row],[Country_of_Residence]]&lt;&gt;Table1[[#This Row],[Country_of_Transaction]], OR(Table1[[#This Row],[Authentication_Type]]="Biometric", Table1[[#This Row],[Authentication_Type]]="OTP")), "safe location transaction", "unsafe location transaction")</f>
        <v>unsafe location transaction</v>
      </c>
      <c r="R256" s="6" t="str">
        <f>IF(AND(Table1[[#This Row],[Country_of_Residence]]&lt;&gt;Table1[[#This Row],[Country_of_Transaction]], OR(Table1[[#This Row],[Merchant_Category]]="Electronics", Table1[[#This Row],[Merchant_Category]]="Travel")), "unsafe merchant transaction", "safe merchant transaction")</f>
        <v>safe merchant transaction</v>
      </c>
    </row>
    <row r="257" spans="1:18">
      <c r="A257" t="s">
        <v>4011</v>
      </c>
      <c r="B257" t="s">
        <v>82</v>
      </c>
      <c r="C257">
        <v>1</v>
      </c>
      <c r="D257" t="s">
        <v>9</v>
      </c>
      <c r="E257" t="s">
        <v>6</v>
      </c>
      <c r="F257" s="2">
        <v>45703</v>
      </c>
      <c r="G257">
        <v>9704.4500000000007</v>
      </c>
      <c r="H257" s="1">
        <f>AVERAGEIF(Table1[Customer_ID], Table1[[#This Row],[Customer_ID]], Table1[Transaction_Amount])</f>
        <v>4446.326724137929</v>
      </c>
      <c r="I257" t="s">
        <v>1567</v>
      </c>
      <c r="J257" t="s">
        <v>50</v>
      </c>
      <c r="K257" t="s">
        <v>12</v>
      </c>
      <c r="L257">
        <v>1</v>
      </c>
      <c r="M257" t="s">
        <v>51</v>
      </c>
      <c r="N257" t="s">
        <v>56</v>
      </c>
      <c r="O257" t="s">
        <v>392</v>
      </c>
      <c r="P257" s="6" t="str">
        <f>IF(Table1[[#This Row],[Transaction_Amount]]&lt;=Table1[[#This Row],[avg_transaction_amount]], "usual transaction", "unusual transaction")</f>
        <v>unusual transaction</v>
      </c>
      <c r="Q257" s="6" t="str">
        <f>IF(AND(Table1[[#This Row],[Country_of_Residence]]&lt;&gt;Table1[[#This Row],[Country_of_Transaction]], OR(Table1[[#This Row],[Authentication_Type]]="Biometric", Table1[[#This Row],[Authentication_Type]]="OTP")), "safe location transaction", "unsafe location transaction")</f>
        <v>unsafe location transaction</v>
      </c>
      <c r="R257" s="6" t="str">
        <f>IF(AND(Table1[[#This Row],[Country_of_Residence]]&lt;&gt;Table1[[#This Row],[Country_of_Transaction]], OR(Table1[[#This Row],[Merchant_Category]]="Electronics", Table1[[#This Row],[Merchant_Category]]="Travel")), "unsafe merchant transaction", "safe merchant transaction")</f>
        <v>unsafe merchant transaction</v>
      </c>
    </row>
    <row r="258" spans="1:18">
      <c r="A258" t="s">
        <v>4105</v>
      </c>
      <c r="B258" t="s">
        <v>82</v>
      </c>
      <c r="C258">
        <v>1</v>
      </c>
      <c r="D258" t="s">
        <v>15</v>
      </c>
      <c r="E258" t="s">
        <v>6</v>
      </c>
      <c r="F258" s="2">
        <v>45963</v>
      </c>
      <c r="G258">
        <v>4771.08</v>
      </c>
      <c r="H258" s="1">
        <f>AVERAGEIF(Table1[Customer_ID], Table1[[#This Row],[Customer_ID]], Table1[Transaction_Amount])</f>
        <v>4446.326724137929</v>
      </c>
      <c r="I258" t="s">
        <v>1643</v>
      </c>
      <c r="J258" t="s">
        <v>46</v>
      </c>
      <c r="K258" t="s">
        <v>8</v>
      </c>
      <c r="L258">
        <v>2</v>
      </c>
      <c r="M258" t="s">
        <v>55</v>
      </c>
      <c r="N258" t="s">
        <v>56</v>
      </c>
      <c r="O258" t="s">
        <v>392</v>
      </c>
      <c r="P258" s="6" t="str">
        <f>IF(Table1[[#This Row],[Transaction_Amount]]&lt;=Table1[[#This Row],[avg_transaction_amount]], "usual transaction", "unusual transaction")</f>
        <v>unusual transaction</v>
      </c>
      <c r="Q258" s="6" t="str">
        <f>IF(AND(Table1[[#This Row],[Country_of_Residence]]&lt;&gt;Table1[[#This Row],[Country_of_Transaction]], OR(Table1[[#This Row],[Authentication_Type]]="Biometric", Table1[[#This Row],[Authentication_Type]]="OTP")), "safe location transaction", "unsafe location transaction")</f>
        <v>safe location transaction</v>
      </c>
      <c r="R258" s="6" t="str">
        <f>IF(AND(Table1[[#This Row],[Country_of_Residence]]&lt;&gt;Table1[[#This Row],[Country_of_Transaction]], OR(Table1[[#This Row],[Merchant_Category]]="Electronics", Table1[[#This Row],[Merchant_Category]]="Travel")), "unsafe merchant transaction", "safe merchant transaction")</f>
        <v>safe merchant transaction</v>
      </c>
    </row>
    <row r="259" spans="1:18">
      <c r="A259" t="s">
        <v>4205</v>
      </c>
      <c r="B259" t="s">
        <v>82</v>
      </c>
      <c r="C259">
        <v>1</v>
      </c>
      <c r="D259" t="s">
        <v>15</v>
      </c>
      <c r="E259" t="s">
        <v>3</v>
      </c>
      <c r="F259" s="2">
        <v>45875</v>
      </c>
      <c r="G259">
        <v>3126.43</v>
      </c>
      <c r="H259" s="1">
        <f>AVERAGEIF(Table1[Customer_ID], Table1[[#This Row],[Customer_ID]], Table1[Transaction_Amount])</f>
        <v>4446.326724137929</v>
      </c>
      <c r="I259" t="s">
        <v>1725</v>
      </c>
      <c r="J259" t="s">
        <v>46</v>
      </c>
      <c r="K259" t="s">
        <v>10</v>
      </c>
      <c r="L259">
        <v>1</v>
      </c>
      <c r="M259" t="s">
        <v>56</v>
      </c>
      <c r="N259" t="s">
        <v>33</v>
      </c>
      <c r="O259" t="s">
        <v>392</v>
      </c>
      <c r="P259" s="6" t="str">
        <f>IF(Table1[[#This Row],[Transaction_Amount]]&lt;=Table1[[#This Row],[avg_transaction_amount]], "usual transaction", "unusual transaction")</f>
        <v>usual transaction</v>
      </c>
      <c r="Q259" s="6" t="str">
        <f>IF(AND(Table1[[#This Row],[Country_of_Residence]]&lt;&gt;Table1[[#This Row],[Country_of_Transaction]], OR(Table1[[#This Row],[Authentication_Type]]="Biometric", Table1[[#This Row],[Authentication_Type]]="OTP")), "safe location transaction", "unsafe location transaction")</f>
        <v>safe location transaction</v>
      </c>
      <c r="R259" s="6" t="str">
        <f>IF(AND(Table1[[#This Row],[Country_of_Residence]]&lt;&gt;Table1[[#This Row],[Country_of_Transaction]], OR(Table1[[#This Row],[Merchant_Category]]="Electronics", Table1[[#This Row],[Merchant_Category]]="Travel")), "unsafe merchant transaction", "safe merchant transaction")</f>
        <v>safe merchant transaction</v>
      </c>
    </row>
    <row r="260" spans="1:18">
      <c r="A260" t="s">
        <v>4219</v>
      </c>
      <c r="B260" t="s">
        <v>82</v>
      </c>
      <c r="C260">
        <v>1</v>
      </c>
      <c r="D260" t="s">
        <v>9</v>
      </c>
      <c r="E260" t="s">
        <v>5</v>
      </c>
      <c r="F260" s="2">
        <v>45877</v>
      </c>
      <c r="G260">
        <v>821.06</v>
      </c>
      <c r="H260" s="1">
        <f>AVERAGEIF(Table1[Customer_ID], Table1[[#This Row],[Customer_ID]], Table1[Transaction_Amount])</f>
        <v>4446.326724137929</v>
      </c>
      <c r="I260" t="s">
        <v>1739</v>
      </c>
      <c r="J260" t="s">
        <v>41</v>
      </c>
      <c r="K260" t="s">
        <v>10</v>
      </c>
      <c r="L260">
        <v>4</v>
      </c>
      <c r="M260" t="s">
        <v>56</v>
      </c>
      <c r="N260" t="s">
        <v>55</v>
      </c>
      <c r="O260" t="s">
        <v>393</v>
      </c>
      <c r="P260" s="6" t="str">
        <f>IF(Table1[[#This Row],[Transaction_Amount]]&lt;=Table1[[#This Row],[avg_transaction_amount]], "usual transaction", "unusual transaction")</f>
        <v>usual transaction</v>
      </c>
      <c r="Q260" s="6" t="str">
        <f>IF(AND(Table1[[#This Row],[Country_of_Residence]]&lt;&gt;Table1[[#This Row],[Country_of_Transaction]], OR(Table1[[#This Row],[Authentication_Type]]="Biometric", Table1[[#This Row],[Authentication_Type]]="OTP")), "safe location transaction", "unsafe location transaction")</f>
        <v>safe location transaction</v>
      </c>
      <c r="R260" s="6" t="str">
        <f>IF(AND(Table1[[#This Row],[Country_of_Residence]]&lt;&gt;Table1[[#This Row],[Country_of_Transaction]], OR(Table1[[#This Row],[Merchant_Category]]="Electronics", Table1[[#This Row],[Merchant_Category]]="Travel")), "unsafe merchant transaction", "safe merchant transaction")</f>
        <v>safe merchant transaction</v>
      </c>
    </row>
    <row r="261" spans="1:18">
      <c r="A261" t="s">
        <v>4221</v>
      </c>
      <c r="B261" t="s">
        <v>82</v>
      </c>
      <c r="C261">
        <v>1</v>
      </c>
      <c r="D261" t="s">
        <v>15</v>
      </c>
      <c r="E261" t="s">
        <v>6</v>
      </c>
      <c r="F261" s="2">
        <v>45996</v>
      </c>
      <c r="G261">
        <v>6246.36</v>
      </c>
      <c r="H261" s="1">
        <f>AVERAGEIF(Table1[Customer_ID], Table1[[#This Row],[Customer_ID]], Table1[Transaction_Amount])</f>
        <v>4446.326724137929</v>
      </c>
      <c r="I261" t="s">
        <v>1741</v>
      </c>
      <c r="J261" t="s">
        <v>50</v>
      </c>
      <c r="K261" t="s">
        <v>10</v>
      </c>
      <c r="L261">
        <v>1</v>
      </c>
      <c r="M261" t="s">
        <v>55</v>
      </c>
      <c r="N261" t="s">
        <v>56</v>
      </c>
      <c r="O261" t="s">
        <v>393</v>
      </c>
      <c r="P261" s="6" t="str">
        <f>IF(Table1[[#This Row],[Transaction_Amount]]&lt;=Table1[[#This Row],[avg_transaction_amount]], "usual transaction", "unusual transaction")</f>
        <v>unusual transaction</v>
      </c>
      <c r="Q261" s="6" t="str">
        <f>IF(AND(Table1[[#This Row],[Country_of_Residence]]&lt;&gt;Table1[[#This Row],[Country_of_Transaction]], OR(Table1[[#This Row],[Authentication_Type]]="Biometric", Table1[[#This Row],[Authentication_Type]]="OTP")), "safe location transaction", "unsafe location transaction")</f>
        <v>safe location transaction</v>
      </c>
      <c r="R261" s="6" t="str">
        <f>IF(AND(Table1[[#This Row],[Country_of_Residence]]&lt;&gt;Table1[[#This Row],[Country_of_Transaction]], OR(Table1[[#This Row],[Merchant_Category]]="Electronics", Table1[[#This Row],[Merchant_Category]]="Travel")), "unsafe merchant transaction", "safe merchant transaction")</f>
        <v>unsafe merchant transaction</v>
      </c>
    </row>
    <row r="262" spans="1:18">
      <c r="A262" t="s">
        <v>4326</v>
      </c>
      <c r="B262" t="s">
        <v>82</v>
      </c>
      <c r="C262">
        <v>1</v>
      </c>
      <c r="D262" t="s">
        <v>9</v>
      </c>
      <c r="E262" t="s">
        <v>5</v>
      </c>
      <c r="F262" s="2">
        <v>45982</v>
      </c>
      <c r="G262">
        <v>397.87</v>
      </c>
      <c r="H262" s="1">
        <f>AVERAGEIF(Table1[Customer_ID], Table1[[#This Row],[Customer_ID]], Table1[Transaction_Amount])</f>
        <v>4446.326724137929</v>
      </c>
      <c r="I262" t="s">
        <v>1833</v>
      </c>
      <c r="J262" t="s">
        <v>41</v>
      </c>
      <c r="K262" t="s">
        <v>14</v>
      </c>
      <c r="L262">
        <v>3</v>
      </c>
      <c r="M262" t="s">
        <v>37</v>
      </c>
      <c r="N262" t="s">
        <v>412</v>
      </c>
      <c r="O262" t="s">
        <v>393</v>
      </c>
      <c r="P262" s="6" t="str">
        <f>IF(Table1[[#This Row],[Transaction_Amount]]&lt;=Table1[[#This Row],[avg_transaction_amount]], "usual transaction", "unusual transaction")</f>
        <v>usual transaction</v>
      </c>
      <c r="Q262" s="6" t="str">
        <f>IF(AND(Table1[[#This Row],[Country_of_Residence]]&lt;&gt;Table1[[#This Row],[Country_of_Transaction]], OR(Table1[[#This Row],[Authentication_Type]]="Biometric", Table1[[#This Row],[Authentication_Type]]="OTP")), "safe location transaction", "unsafe location transaction")</f>
        <v>unsafe location transaction</v>
      </c>
      <c r="R262" s="6" t="str">
        <f>IF(AND(Table1[[#This Row],[Country_of_Residence]]&lt;&gt;Table1[[#This Row],[Country_of_Transaction]], OR(Table1[[#This Row],[Merchant_Category]]="Electronics", Table1[[#This Row],[Merchant_Category]]="Travel")), "unsafe merchant transaction", "safe merchant transaction")</f>
        <v>safe merchant transaction</v>
      </c>
    </row>
    <row r="263" spans="1:18">
      <c r="A263" t="s">
        <v>4412</v>
      </c>
      <c r="B263" t="s">
        <v>82</v>
      </c>
      <c r="C263">
        <v>1</v>
      </c>
      <c r="D263" t="s">
        <v>15</v>
      </c>
      <c r="E263" t="s">
        <v>6</v>
      </c>
      <c r="F263" s="2">
        <v>45699</v>
      </c>
      <c r="G263">
        <v>4533.24</v>
      </c>
      <c r="H263" s="1">
        <f>AVERAGEIF(Table1[Customer_ID], Table1[[#This Row],[Customer_ID]], Table1[Transaction_Amount])</f>
        <v>4446.326724137929</v>
      </c>
      <c r="I263" t="s">
        <v>1911</v>
      </c>
      <c r="J263" t="s">
        <v>36</v>
      </c>
      <c r="K263" t="s">
        <v>10</v>
      </c>
      <c r="L263">
        <v>2</v>
      </c>
      <c r="M263" t="s">
        <v>412</v>
      </c>
      <c r="N263" t="s">
        <v>412</v>
      </c>
      <c r="O263" t="s">
        <v>393</v>
      </c>
      <c r="P263" s="6" t="str">
        <f>IF(Table1[[#This Row],[Transaction_Amount]]&lt;=Table1[[#This Row],[avg_transaction_amount]], "usual transaction", "unusual transaction")</f>
        <v>unusual transaction</v>
      </c>
      <c r="Q263" s="6" t="str">
        <f>IF(AND(Table1[[#This Row],[Country_of_Residence]]&lt;&gt;Table1[[#This Row],[Country_of_Transaction]], OR(Table1[[#This Row],[Authentication_Type]]="Biometric", Table1[[#This Row],[Authentication_Type]]="OTP")), "safe location transaction", "unsafe location transaction")</f>
        <v>unsafe location transaction</v>
      </c>
      <c r="R263" s="6" t="str">
        <f>IF(AND(Table1[[#This Row],[Country_of_Residence]]&lt;&gt;Table1[[#This Row],[Country_of_Transaction]], OR(Table1[[#This Row],[Merchant_Category]]="Electronics", Table1[[#This Row],[Merchant_Category]]="Travel")), "unsafe merchant transaction", "safe merchant transaction")</f>
        <v>safe merchant transaction</v>
      </c>
    </row>
    <row r="264" spans="1:18">
      <c r="A264" t="s">
        <v>4447</v>
      </c>
      <c r="B264" t="s">
        <v>82</v>
      </c>
      <c r="C264">
        <v>1</v>
      </c>
      <c r="D264" t="s">
        <v>15</v>
      </c>
      <c r="E264" t="s">
        <v>420</v>
      </c>
      <c r="F264" s="2">
        <v>45668</v>
      </c>
      <c r="G264">
        <v>4760.1499999999996</v>
      </c>
      <c r="H264" s="1">
        <f>AVERAGEIF(Table1[Customer_ID], Table1[[#This Row],[Customer_ID]], Table1[Transaction_Amount])</f>
        <v>4446.326724137929</v>
      </c>
      <c r="I264" t="s">
        <v>1941</v>
      </c>
      <c r="J264" t="s">
        <v>41</v>
      </c>
      <c r="K264" t="s">
        <v>12</v>
      </c>
      <c r="L264">
        <v>1</v>
      </c>
      <c r="M264" t="s">
        <v>37</v>
      </c>
      <c r="N264" t="s">
        <v>42</v>
      </c>
      <c r="O264" t="s">
        <v>392</v>
      </c>
      <c r="P264" s="6" t="str">
        <f>IF(Table1[[#This Row],[Transaction_Amount]]&lt;=Table1[[#This Row],[avg_transaction_amount]], "usual transaction", "unusual transaction")</f>
        <v>unusual transaction</v>
      </c>
      <c r="Q264" s="6" t="str">
        <f>IF(AND(Table1[[#This Row],[Country_of_Residence]]&lt;&gt;Table1[[#This Row],[Country_of_Transaction]], OR(Table1[[#This Row],[Authentication_Type]]="Biometric", Table1[[#This Row],[Authentication_Type]]="OTP")), "safe location transaction", "unsafe location transaction")</f>
        <v>unsafe location transaction</v>
      </c>
      <c r="R264" s="6" t="str">
        <f>IF(AND(Table1[[#This Row],[Country_of_Residence]]&lt;&gt;Table1[[#This Row],[Country_of_Transaction]], OR(Table1[[#This Row],[Merchant_Category]]="Electronics", Table1[[#This Row],[Merchant_Category]]="Travel")), "unsafe merchant transaction", "safe merchant transaction")</f>
        <v>safe merchant transaction</v>
      </c>
    </row>
    <row r="265" spans="1:18">
      <c r="A265" t="s">
        <v>4491</v>
      </c>
      <c r="B265" t="s">
        <v>82</v>
      </c>
      <c r="C265">
        <v>1</v>
      </c>
      <c r="D265" t="s">
        <v>9</v>
      </c>
      <c r="E265" t="s">
        <v>420</v>
      </c>
      <c r="F265" s="2">
        <v>45707</v>
      </c>
      <c r="G265">
        <v>6583.65</v>
      </c>
      <c r="H265" s="1">
        <f>AVERAGEIF(Table1[Customer_ID], Table1[[#This Row],[Customer_ID]], Table1[Transaction_Amount])</f>
        <v>4446.326724137929</v>
      </c>
      <c r="I265" t="s">
        <v>1980</v>
      </c>
      <c r="J265" t="s">
        <v>36</v>
      </c>
      <c r="K265" t="s">
        <v>8</v>
      </c>
      <c r="L265">
        <v>3</v>
      </c>
      <c r="M265" t="s">
        <v>55</v>
      </c>
      <c r="N265" t="s">
        <v>42</v>
      </c>
      <c r="O265" t="s">
        <v>392</v>
      </c>
      <c r="P265" s="6" t="str">
        <f>IF(Table1[[#This Row],[Transaction_Amount]]&lt;=Table1[[#This Row],[avg_transaction_amount]], "usual transaction", "unusual transaction")</f>
        <v>unusual transaction</v>
      </c>
      <c r="Q265" s="6" t="str">
        <f>IF(AND(Table1[[#This Row],[Country_of_Residence]]&lt;&gt;Table1[[#This Row],[Country_of_Transaction]], OR(Table1[[#This Row],[Authentication_Type]]="Biometric", Table1[[#This Row],[Authentication_Type]]="OTP")), "safe location transaction", "unsafe location transaction")</f>
        <v>safe location transaction</v>
      </c>
      <c r="R265" s="6" t="str">
        <f>IF(AND(Table1[[#This Row],[Country_of_Residence]]&lt;&gt;Table1[[#This Row],[Country_of_Transaction]], OR(Table1[[#This Row],[Merchant_Category]]="Electronics", Table1[[#This Row],[Merchant_Category]]="Travel")), "unsafe merchant transaction", "safe merchant transaction")</f>
        <v>safe merchant transaction</v>
      </c>
    </row>
    <row r="266" spans="1:18">
      <c r="A266" t="s">
        <v>4495</v>
      </c>
      <c r="B266" t="s">
        <v>82</v>
      </c>
      <c r="C266">
        <v>1</v>
      </c>
      <c r="D266" t="s">
        <v>9</v>
      </c>
      <c r="E266" t="s">
        <v>3</v>
      </c>
      <c r="F266" s="2">
        <v>46010</v>
      </c>
      <c r="G266">
        <v>7785.05</v>
      </c>
      <c r="H266" s="1">
        <f>AVERAGEIF(Table1[Customer_ID], Table1[[#This Row],[Customer_ID]], Table1[Transaction_Amount])</f>
        <v>4446.326724137929</v>
      </c>
      <c r="I266" t="s">
        <v>1477</v>
      </c>
      <c r="J266" t="s">
        <v>31</v>
      </c>
      <c r="K266" t="s">
        <v>8</v>
      </c>
      <c r="L266">
        <v>5</v>
      </c>
      <c r="M266" t="s">
        <v>55</v>
      </c>
      <c r="N266" t="s">
        <v>42</v>
      </c>
      <c r="O266" t="s">
        <v>393</v>
      </c>
      <c r="P266" s="6" t="str">
        <f>IF(Table1[[#This Row],[Transaction_Amount]]&lt;=Table1[[#This Row],[avg_transaction_amount]], "usual transaction", "unusual transaction")</f>
        <v>unusual transaction</v>
      </c>
      <c r="Q266" s="6" t="str">
        <f>IF(AND(Table1[[#This Row],[Country_of_Residence]]&lt;&gt;Table1[[#This Row],[Country_of_Transaction]], OR(Table1[[#This Row],[Authentication_Type]]="Biometric", Table1[[#This Row],[Authentication_Type]]="OTP")), "safe location transaction", "unsafe location transaction")</f>
        <v>safe location transaction</v>
      </c>
      <c r="R266" s="6" t="str">
        <f>IF(AND(Table1[[#This Row],[Country_of_Residence]]&lt;&gt;Table1[[#This Row],[Country_of_Transaction]], OR(Table1[[#This Row],[Merchant_Category]]="Electronics", Table1[[#This Row],[Merchant_Category]]="Travel")), "unsafe merchant transaction", "safe merchant transaction")</f>
        <v>safe merchant transaction</v>
      </c>
    </row>
    <row r="267" spans="1:18">
      <c r="A267" t="s">
        <v>4593</v>
      </c>
      <c r="B267" t="s">
        <v>82</v>
      </c>
      <c r="C267">
        <v>1</v>
      </c>
      <c r="D267" t="s">
        <v>9</v>
      </c>
      <c r="E267" t="s">
        <v>3</v>
      </c>
      <c r="F267" s="2">
        <v>45849</v>
      </c>
      <c r="G267">
        <v>2564.27</v>
      </c>
      <c r="H267" s="1">
        <f>AVERAGEIF(Table1[Customer_ID], Table1[[#This Row],[Customer_ID]], Table1[Transaction_Amount])</f>
        <v>4446.326724137929</v>
      </c>
      <c r="I267" t="s">
        <v>2061</v>
      </c>
      <c r="J267" t="s">
        <v>50</v>
      </c>
      <c r="K267" t="s">
        <v>12</v>
      </c>
      <c r="L267">
        <v>1</v>
      </c>
      <c r="M267" t="s">
        <v>51</v>
      </c>
      <c r="N267" t="s">
        <v>32</v>
      </c>
      <c r="O267" t="s">
        <v>392</v>
      </c>
      <c r="P267" s="6" t="str">
        <f>IF(Table1[[#This Row],[Transaction_Amount]]&lt;=Table1[[#This Row],[avg_transaction_amount]], "usual transaction", "unusual transaction")</f>
        <v>usual transaction</v>
      </c>
      <c r="Q267" s="6" t="str">
        <f>IF(AND(Table1[[#This Row],[Country_of_Residence]]&lt;&gt;Table1[[#This Row],[Country_of_Transaction]], OR(Table1[[#This Row],[Authentication_Type]]="Biometric", Table1[[#This Row],[Authentication_Type]]="OTP")), "safe location transaction", "unsafe location transaction")</f>
        <v>unsafe location transaction</v>
      </c>
      <c r="R267" s="6" t="str">
        <f>IF(AND(Table1[[#This Row],[Country_of_Residence]]&lt;&gt;Table1[[#This Row],[Country_of_Transaction]], OR(Table1[[#This Row],[Merchant_Category]]="Electronics", Table1[[#This Row],[Merchant_Category]]="Travel")), "unsafe merchant transaction", "safe merchant transaction")</f>
        <v>unsafe merchant transaction</v>
      </c>
    </row>
    <row r="268" spans="1:18">
      <c r="A268" t="s">
        <v>4714</v>
      </c>
      <c r="B268" t="s">
        <v>82</v>
      </c>
      <c r="C268">
        <v>1</v>
      </c>
      <c r="D268" t="s">
        <v>15</v>
      </c>
      <c r="E268" t="s">
        <v>3</v>
      </c>
      <c r="F268" s="2">
        <v>45836</v>
      </c>
      <c r="G268">
        <v>9935.41</v>
      </c>
      <c r="H268" s="1">
        <f>AVERAGEIF(Table1[Customer_ID], Table1[[#This Row],[Customer_ID]], Table1[Transaction_Amount])</f>
        <v>4446.326724137929</v>
      </c>
      <c r="I268" t="s">
        <v>2031</v>
      </c>
      <c r="J268" t="s">
        <v>46</v>
      </c>
      <c r="K268" t="s">
        <v>12</v>
      </c>
      <c r="L268">
        <v>0</v>
      </c>
      <c r="M268" t="s">
        <v>56</v>
      </c>
      <c r="N268" t="s">
        <v>47</v>
      </c>
      <c r="O268" t="s">
        <v>392</v>
      </c>
      <c r="P268" s="6" t="str">
        <f>IF(Table1[[#This Row],[Transaction_Amount]]&lt;=Table1[[#This Row],[avg_transaction_amount]], "usual transaction", "unusual transaction")</f>
        <v>unusual transaction</v>
      </c>
      <c r="Q268" s="6" t="str">
        <f>IF(AND(Table1[[#This Row],[Country_of_Residence]]&lt;&gt;Table1[[#This Row],[Country_of_Transaction]], OR(Table1[[#This Row],[Authentication_Type]]="Biometric", Table1[[#This Row],[Authentication_Type]]="OTP")), "safe location transaction", "unsafe location transaction")</f>
        <v>unsafe location transaction</v>
      </c>
      <c r="R268" s="6" t="str">
        <f>IF(AND(Table1[[#This Row],[Country_of_Residence]]&lt;&gt;Table1[[#This Row],[Country_of_Transaction]], OR(Table1[[#This Row],[Merchant_Category]]="Electronics", Table1[[#This Row],[Merchant_Category]]="Travel")), "unsafe merchant transaction", "safe merchant transaction")</f>
        <v>safe merchant transaction</v>
      </c>
    </row>
    <row r="269" spans="1:18">
      <c r="A269" t="s">
        <v>4759</v>
      </c>
      <c r="B269" t="s">
        <v>82</v>
      </c>
      <c r="C269">
        <v>1</v>
      </c>
      <c r="D269" t="s">
        <v>15</v>
      </c>
      <c r="E269" t="s">
        <v>420</v>
      </c>
      <c r="F269" s="2">
        <v>45746</v>
      </c>
      <c r="G269">
        <v>8892.2199999999993</v>
      </c>
      <c r="H269" s="1">
        <f>AVERAGEIF(Table1[Customer_ID], Table1[[#This Row],[Customer_ID]], Table1[Transaction_Amount])</f>
        <v>4446.326724137929</v>
      </c>
      <c r="I269" t="s">
        <v>2107</v>
      </c>
      <c r="J269" t="s">
        <v>50</v>
      </c>
      <c r="K269" t="s">
        <v>10</v>
      </c>
      <c r="L269">
        <v>1</v>
      </c>
      <c r="M269" t="s">
        <v>55</v>
      </c>
      <c r="N269" t="s">
        <v>37</v>
      </c>
      <c r="O269" t="s">
        <v>393</v>
      </c>
      <c r="P269" s="6" t="str">
        <f>IF(Table1[[#This Row],[Transaction_Amount]]&lt;=Table1[[#This Row],[avg_transaction_amount]], "usual transaction", "unusual transaction")</f>
        <v>unusual transaction</v>
      </c>
      <c r="Q269" s="6" t="str">
        <f>IF(AND(Table1[[#This Row],[Country_of_Residence]]&lt;&gt;Table1[[#This Row],[Country_of_Transaction]], OR(Table1[[#This Row],[Authentication_Type]]="Biometric", Table1[[#This Row],[Authentication_Type]]="OTP")), "safe location transaction", "unsafe location transaction")</f>
        <v>safe location transaction</v>
      </c>
      <c r="R269" s="6" t="str">
        <f>IF(AND(Table1[[#This Row],[Country_of_Residence]]&lt;&gt;Table1[[#This Row],[Country_of_Transaction]], OR(Table1[[#This Row],[Merchant_Category]]="Electronics", Table1[[#This Row],[Merchant_Category]]="Travel")), "unsafe merchant transaction", "safe merchant transaction")</f>
        <v>unsafe merchant transaction</v>
      </c>
    </row>
    <row r="270" spans="1:18">
      <c r="A270" t="s">
        <v>4824</v>
      </c>
      <c r="B270" t="s">
        <v>82</v>
      </c>
      <c r="C270">
        <v>1</v>
      </c>
      <c r="D270" t="s">
        <v>9</v>
      </c>
      <c r="E270" t="s">
        <v>5</v>
      </c>
      <c r="F270" s="2">
        <v>45873</v>
      </c>
      <c r="G270">
        <v>646.29999999999995</v>
      </c>
      <c r="H270" s="1">
        <f>AVERAGEIF(Table1[Customer_ID], Table1[[#This Row],[Customer_ID]], Table1[Transaction_Amount])</f>
        <v>4446.326724137929</v>
      </c>
      <c r="I270" t="s">
        <v>2242</v>
      </c>
      <c r="J270" t="s">
        <v>41</v>
      </c>
      <c r="K270" t="s">
        <v>8</v>
      </c>
      <c r="L270">
        <v>2</v>
      </c>
      <c r="M270" t="s">
        <v>32</v>
      </c>
      <c r="N270" t="s">
        <v>32</v>
      </c>
      <c r="O270" t="s">
        <v>392</v>
      </c>
      <c r="P270" s="6" t="str">
        <f>IF(Table1[[#This Row],[Transaction_Amount]]&lt;=Table1[[#This Row],[avg_transaction_amount]], "usual transaction", "unusual transaction")</f>
        <v>usual transaction</v>
      </c>
      <c r="Q270" s="6" t="str">
        <f>IF(AND(Table1[[#This Row],[Country_of_Residence]]&lt;&gt;Table1[[#This Row],[Country_of_Transaction]], OR(Table1[[#This Row],[Authentication_Type]]="Biometric", Table1[[#This Row],[Authentication_Type]]="OTP")), "safe location transaction", "unsafe location transaction")</f>
        <v>unsafe location transaction</v>
      </c>
      <c r="R270" s="6" t="str">
        <f>IF(AND(Table1[[#This Row],[Country_of_Residence]]&lt;&gt;Table1[[#This Row],[Country_of_Transaction]], OR(Table1[[#This Row],[Merchant_Category]]="Electronics", Table1[[#This Row],[Merchant_Category]]="Travel")), "unsafe merchant transaction", "safe merchant transaction")</f>
        <v>safe merchant transaction</v>
      </c>
    </row>
    <row r="271" spans="1:18">
      <c r="A271" t="s">
        <v>4833</v>
      </c>
      <c r="B271" t="s">
        <v>82</v>
      </c>
      <c r="C271">
        <v>1</v>
      </c>
      <c r="D271" t="s">
        <v>15</v>
      </c>
      <c r="E271" t="s">
        <v>5</v>
      </c>
      <c r="F271" s="2">
        <v>45921</v>
      </c>
      <c r="G271">
        <v>5079.55</v>
      </c>
      <c r="H271" s="1">
        <f>AVERAGEIF(Table1[Customer_ID], Table1[[#This Row],[Customer_ID]], Table1[Transaction_Amount])</f>
        <v>4446.326724137929</v>
      </c>
      <c r="I271" t="s">
        <v>2250</v>
      </c>
      <c r="J271" t="s">
        <v>50</v>
      </c>
      <c r="K271" t="s">
        <v>8</v>
      </c>
      <c r="L271">
        <v>2</v>
      </c>
      <c r="M271" t="s">
        <v>33</v>
      </c>
      <c r="N271" t="s">
        <v>32</v>
      </c>
      <c r="O271" t="s">
        <v>393</v>
      </c>
      <c r="P271" s="6" t="str">
        <f>IF(Table1[[#This Row],[Transaction_Amount]]&lt;=Table1[[#This Row],[avg_transaction_amount]], "usual transaction", "unusual transaction")</f>
        <v>unusual transaction</v>
      </c>
      <c r="Q271" s="6" t="str">
        <f>IF(AND(Table1[[#This Row],[Country_of_Residence]]&lt;&gt;Table1[[#This Row],[Country_of_Transaction]], OR(Table1[[#This Row],[Authentication_Type]]="Biometric", Table1[[#This Row],[Authentication_Type]]="OTP")), "safe location transaction", "unsafe location transaction")</f>
        <v>safe location transaction</v>
      </c>
      <c r="R271" s="6" t="str">
        <f>IF(AND(Table1[[#This Row],[Country_of_Residence]]&lt;&gt;Table1[[#This Row],[Country_of_Transaction]], OR(Table1[[#This Row],[Merchant_Category]]="Electronics", Table1[[#This Row],[Merchant_Category]]="Travel")), "unsafe merchant transaction", "safe merchant transaction")</f>
        <v>unsafe merchant transaction</v>
      </c>
    </row>
    <row r="272" spans="1:18">
      <c r="A272" t="s">
        <v>4873</v>
      </c>
      <c r="B272" t="s">
        <v>82</v>
      </c>
      <c r="C272">
        <v>1</v>
      </c>
      <c r="D272" t="s">
        <v>9</v>
      </c>
      <c r="E272" t="s">
        <v>5</v>
      </c>
      <c r="F272" s="2">
        <v>45707</v>
      </c>
      <c r="G272">
        <v>1574.11</v>
      </c>
      <c r="H272" s="1">
        <f>AVERAGEIF(Table1[Customer_ID], Table1[[#This Row],[Customer_ID]], Table1[Transaction_Amount])</f>
        <v>4446.326724137929</v>
      </c>
      <c r="I272" t="s">
        <v>2278</v>
      </c>
      <c r="J272" t="s">
        <v>50</v>
      </c>
      <c r="K272" t="s">
        <v>12</v>
      </c>
      <c r="L272">
        <v>5</v>
      </c>
      <c r="M272" t="s">
        <v>32</v>
      </c>
      <c r="N272" t="s">
        <v>56</v>
      </c>
      <c r="O272" t="s">
        <v>393</v>
      </c>
      <c r="P272" s="6" t="str">
        <f>IF(Table1[[#This Row],[Transaction_Amount]]&lt;=Table1[[#This Row],[avg_transaction_amount]], "usual transaction", "unusual transaction")</f>
        <v>usual transaction</v>
      </c>
      <c r="Q272" s="6" t="str">
        <f>IF(AND(Table1[[#This Row],[Country_of_Residence]]&lt;&gt;Table1[[#This Row],[Country_of_Transaction]], OR(Table1[[#This Row],[Authentication_Type]]="Biometric", Table1[[#This Row],[Authentication_Type]]="OTP")), "safe location transaction", "unsafe location transaction")</f>
        <v>unsafe location transaction</v>
      </c>
      <c r="R272" s="6" t="str">
        <f>IF(AND(Table1[[#This Row],[Country_of_Residence]]&lt;&gt;Table1[[#This Row],[Country_of_Transaction]], OR(Table1[[#This Row],[Merchant_Category]]="Electronics", Table1[[#This Row],[Merchant_Category]]="Travel")), "unsafe merchant transaction", "safe merchant transaction")</f>
        <v>unsafe merchant transaction</v>
      </c>
    </row>
    <row r="273" spans="1:18">
      <c r="A273" t="s">
        <v>4938</v>
      </c>
      <c r="B273" t="s">
        <v>82</v>
      </c>
      <c r="C273">
        <v>1</v>
      </c>
      <c r="D273" t="s">
        <v>9</v>
      </c>
      <c r="E273" t="s">
        <v>3</v>
      </c>
      <c r="F273" s="2">
        <v>45975</v>
      </c>
      <c r="G273">
        <v>2715.52</v>
      </c>
      <c r="H273" s="1">
        <f>AVERAGEIF(Table1[Customer_ID], Table1[[#This Row],[Customer_ID]], Table1[Transaction_Amount])</f>
        <v>4446.326724137929</v>
      </c>
      <c r="I273" t="s">
        <v>2331</v>
      </c>
      <c r="J273" t="s">
        <v>31</v>
      </c>
      <c r="K273" t="s">
        <v>10</v>
      </c>
      <c r="L273">
        <v>2</v>
      </c>
      <c r="M273" t="s">
        <v>412</v>
      </c>
      <c r="N273" t="s">
        <v>32</v>
      </c>
      <c r="O273" t="s">
        <v>393</v>
      </c>
      <c r="P273" s="6" t="str">
        <f>IF(Table1[[#This Row],[Transaction_Amount]]&lt;=Table1[[#This Row],[avg_transaction_amount]], "usual transaction", "unusual transaction")</f>
        <v>usual transaction</v>
      </c>
      <c r="Q273" s="6" t="str">
        <f>IF(AND(Table1[[#This Row],[Country_of_Residence]]&lt;&gt;Table1[[#This Row],[Country_of_Transaction]], OR(Table1[[#This Row],[Authentication_Type]]="Biometric", Table1[[#This Row],[Authentication_Type]]="OTP")), "safe location transaction", "unsafe location transaction")</f>
        <v>safe location transaction</v>
      </c>
      <c r="R273" s="6" t="str">
        <f>IF(AND(Table1[[#This Row],[Country_of_Residence]]&lt;&gt;Table1[[#This Row],[Country_of_Transaction]], OR(Table1[[#This Row],[Merchant_Category]]="Electronics", Table1[[#This Row],[Merchant_Category]]="Travel")), "unsafe merchant transaction", "safe merchant transaction")</f>
        <v>safe merchant transaction</v>
      </c>
    </row>
    <row r="274" spans="1:18">
      <c r="A274" t="s">
        <v>5019</v>
      </c>
      <c r="B274" t="s">
        <v>82</v>
      </c>
      <c r="C274">
        <v>1</v>
      </c>
      <c r="D274" t="s">
        <v>15</v>
      </c>
      <c r="E274" t="s">
        <v>3</v>
      </c>
      <c r="F274" s="2">
        <v>45737</v>
      </c>
      <c r="G274">
        <v>6398.85</v>
      </c>
      <c r="H274" s="1">
        <f>AVERAGEIF(Table1[Customer_ID], Table1[[#This Row],[Customer_ID]], Table1[Transaction_Amount])</f>
        <v>4446.326724137929</v>
      </c>
      <c r="I274" t="s">
        <v>2395</v>
      </c>
      <c r="J274" t="s">
        <v>50</v>
      </c>
      <c r="K274" t="s">
        <v>10</v>
      </c>
      <c r="L274">
        <v>5</v>
      </c>
      <c r="M274" t="s">
        <v>56</v>
      </c>
      <c r="N274" t="s">
        <v>55</v>
      </c>
      <c r="O274" t="s">
        <v>393</v>
      </c>
      <c r="P274" s="6" t="str">
        <f>IF(Table1[[#This Row],[Transaction_Amount]]&lt;=Table1[[#This Row],[avg_transaction_amount]], "usual transaction", "unusual transaction")</f>
        <v>unusual transaction</v>
      </c>
      <c r="Q274" s="6" t="str">
        <f>IF(AND(Table1[[#This Row],[Country_of_Residence]]&lt;&gt;Table1[[#This Row],[Country_of_Transaction]], OR(Table1[[#This Row],[Authentication_Type]]="Biometric", Table1[[#This Row],[Authentication_Type]]="OTP")), "safe location transaction", "unsafe location transaction")</f>
        <v>safe location transaction</v>
      </c>
      <c r="R274" s="6" t="str">
        <f>IF(AND(Table1[[#This Row],[Country_of_Residence]]&lt;&gt;Table1[[#This Row],[Country_of_Transaction]], OR(Table1[[#This Row],[Merchant_Category]]="Electronics", Table1[[#This Row],[Merchant_Category]]="Travel")), "unsafe merchant transaction", "safe merchant transaction")</f>
        <v>unsafe merchant transaction</v>
      </c>
    </row>
    <row r="275" spans="1:18">
      <c r="A275" t="s">
        <v>5033</v>
      </c>
      <c r="B275" t="s">
        <v>82</v>
      </c>
      <c r="C275">
        <v>1</v>
      </c>
      <c r="D275" t="s">
        <v>9</v>
      </c>
      <c r="E275" t="s">
        <v>6</v>
      </c>
      <c r="F275" s="2">
        <v>45936</v>
      </c>
      <c r="G275">
        <v>6190.97</v>
      </c>
      <c r="H275" s="1">
        <f>AVERAGEIF(Table1[Customer_ID], Table1[[#This Row],[Customer_ID]], Table1[Transaction_Amount])</f>
        <v>4446.326724137929</v>
      </c>
      <c r="I275" t="s">
        <v>2404</v>
      </c>
      <c r="J275" t="s">
        <v>31</v>
      </c>
      <c r="K275" t="s">
        <v>8</v>
      </c>
      <c r="L275">
        <v>5</v>
      </c>
      <c r="M275" t="s">
        <v>42</v>
      </c>
      <c r="N275" t="s">
        <v>47</v>
      </c>
      <c r="O275" t="s">
        <v>393</v>
      </c>
      <c r="P275" s="6" t="str">
        <f>IF(Table1[[#This Row],[Transaction_Amount]]&lt;=Table1[[#This Row],[avg_transaction_amount]], "usual transaction", "unusual transaction")</f>
        <v>unusual transaction</v>
      </c>
      <c r="Q275" s="6" t="str">
        <f>IF(AND(Table1[[#This Row],[Country_of_Residence]]&lt;&gt;Table1[[#This Row],[Country_of_Transaction]], OR(Table1[[#This Row],[Authentication_Type]]="Biometric", Table1[[#This Row],[Authentication_Type]]="OTP")), "safe location transaction", "unsafe location transaction")</f>
        <v>safe location transaction</v>
      </c>
      <c r="R275" s="6" t="str">
        <f>IF(AND(Table1[[#This Row],[Country_of_Residence]]&lt;&gt;Table1[[#This Row],[Country_of_Transaction]], OR(Table1[[#This Row],[Merchant_Category]]="Electronics", Table1[[#This Row],[Merchant_Category]]="Travel")), "unsafe merchant transaction", "safe merchant transaction")</f>
        <v>safe merchant transaction</v>
      </c>
    </row>
    <row r="276" spans="1:18">
      <c r="A276" t="s">
        <v>5102</v>
      </c>
      <c r="B276" t="s">
        <v>82</v>
      </c>
      <c r="C276">
        <v>1</v>
      </c>
      <c r="D276" t="s">
        <v>15</v>
      </c>
      <c r="E276" t="s">
        <v>6</v>
      </c>
      <c r="F276" s="2">
        <v>45870</v>
      </c>
      <c r="G276">
        <v>2394.2199999999998</v>
      </c>
      <c r="H276" s="1">
        <f>AVERAGEIF(Table1[Customer_ID], Table1[[#This Row],[Customer_ID]], Table1[Transaction_Amount])</f>
        <v>4446.326724137929</v>
      </c>
      <c r="I276" t="s">
        <v>2452</v>
      </c>
      <c r="J276" t="s">
        <v>41</v>
      </c>
      <c r="K276" t="s">
        <v>8</v>
      </c>
      <c r="L276">
        <v>1</v>
      </c>
      <c r="M276" t="s">
        <v>47</v>
      </c>
      <c r="N276" t="s">
        <v>51</v>
      </c>
      <c r="O276" t="s">
        <v>392</v>
      </c>
      <c r="P276" s="6" t="str">
        <f>IF(Table1[[#This Row],[Transaction_Amount]]&lt;=Table1[[#This Row],[avg_transaction_amount]], "usual transaction", "unusual transaction")</f>
        <v>usual transaction</v>
      </c>
      <c r="Q276" s="6" t="str">
        <f>IF(AND(Table1[[#This Row],[Country_of_Residence]]&lt;&gt;Table1[[#This Row],[Country_of_Transaction]], OR(Table1[[#This Row],[Authentication_Type]]="Biometric", Table1[[#This Row],[Authentication_Type]]="OTP")), "safe location transaction", "unsafe location transaction")</f>
        <v>safe location transaction</v>
      </c>
      <c r="R276" s="6" t="str">
        <f>IF(AND(Table1[[#This Row],[Country_of_Residence]]&lt;&gt;Table1[[#This Row],[Country_of_Transaction]], OR(Table1[[#This Row],[Merchant_Category]]="Electronics", Table1[[#This Row],[Merchant_Category]]="Travel")), "unsafe merchant transaction", "safe merchant transaction")</f>
        <v>safe merchant transaction</v>
      </c>
    </row>
    <row r="277" spans="1:18">
      <c r="A277" t="s">
        <v>5154</v>
      </c>
      <c r="B277" t="s">
        <v>82</v>
      </c>
      <c r="C277">
        <v>1</v>
      </c>
      <c r="D277" t="s">
        <v>15</v>
      </c>
      <c r="E277" t="s">
        <v>3</v>
      </c>
      <c r="F277" s="2">
        <v>45815</v>
      </c>
      <c r="G277">
        <v>773.28</v>
      </c>
      <c r="H277" s="1">
        <f>AVERAGEIF(Table1[Customer_ID], Table1[[#This Row],[Customer_ID]], Table1[Transaction_Amount])</f>
        <v>4446.326724137929</v>
      </c>
      <c r="I277" t="s">
        <v>2491</v>
      </c>
      <c r="J277" t="s">
        <v>46</v>
      </c>
      <c r="K277" t="s">
        <v>8</v>
      </c>
      <c r="L277">
        <v>0</v>
      </c>
      <c r="M277" t="s">
        <v>32</v>
      </c>
      <c r="N277" t="s">
        <v>33</v>
      </c>
      <c r="O277" t="s">
        <v>392</v>
      </c>
      <c r="P277" s="6" t="str">
        <f>IF(Table1[[#This Row],[Transaction_Amount]]&lt;=Table1[[#This Row],[avg_transaction_amount]], "usual transaction", "unusual transaction")</f>
        <v>usual transaction</v>
      </c>
      <c r="Q277" s="6" t="str">
        <f>IF(AND(Table1[[#This Row],[Country_of_Residence]]&lt;&gt;Table1[[#This Row],[Country_of_Transaction]], OR(Table1[[#This Row],[Authentication_Type]]="Biometric", Table1[[#This Row],[Authentication_Type]]="OTP")), "safe location transaction", "unsafe location transaction")</f>
        <v>safe location transaction</v>
      </c>
      <c r="R277" s="6" t="str">
        <f>IF(AND(Table1[[#This Row],[Country_of_Residence]]&lt;&gt;Table1[[#This Row],[Country_of_Transaction]], OR(Table1[[#This Row],[Merchant_Category]]="Electronics", Table1[[#This Row],[Merchant_Category]]="Travel")), "unsafe merchant transaction", "safe merchant transaction")</f>
        <v>safe merchant transaction</v>
      </c>
    </row>
    <row r="278" spans="1:18">
      <c r="A278" t="s">
        <v>5336</v>
      </c>
      <c r="B278" t="s">
        <v>82</v>
      </c>
      <c r="C278">
        <v>1</v>
      </c>
      <c r="D278" t="s">
        <v>15</v>
      </c>
      <c r="E278" t="s">
        <v>3</v>
      </c>
      <c r="F278" s="2">
        <v>45863</v>
      </c>
      <c r="G278">
        <v>157.85</v>
      </c>
      <c r="H278" s="1">
        <f>AVERAGEIF(Table1[Customer_ID], Table1[[#This Row],[Customer_ID]], Table1[Transaction_Amount])</f>
        <v>4446.326724137929</v>
      </c>
      <c r="I278" t="s">
        <v>2632</v>
      </c>
      <c r="J278" t="s">
        <v>50</v>
      </c>
      <c r="K278" t="s">
        <v>14</v>
      </c>
      <c r="L278">
        <v>1</v>
      </c>
      <c r="M278" t="s">
        <v>47</v>
      </c>
      <c r="N278" t="s">
        <v>32</v>
      </c>
      <c r="O278" t="s">
        <v>393</v>
      </c>
      <c r="P278" s="6" t="str">
        <f>IF(Table1[[#This Row],[Transaction_Amount]]&lt;=Table1[[#This Row],[avg_transaction_amount]], "usual transaction", "unusual transaction")</f>
        <v>usual transaction</v>
      </c>
      <c r="Q278" s="6" t="str">
        <f>IF(AND(Table1[[#This Row],[Country_of_Residence]]&lt;&gt;Table1[[#This Row],[Country_of_Transaction]], OR(Table1[[#This Row],[Authentication_Type]]="Biometric", Table1[[#This Row],[Authentication_Type]]="OTP")), "safe location transaction", "unsafe location transaction")</f>
        <v>unsafe location transaction</v>
      </c>
      <c r="R278" s="6" t="str">
        <f>IF(AND(Table1[[#This Row],[Country_of_Residence]]&lt;&gt;Table1[[#This Row],[Country_of_Transaction]], OR(Table1[[#This Row],[Merchant_Category]]="Electronics", Table1[[#This Row],[Merchant_Category]]="Travel")), "unsafe merchant transaction", "safe merchant transaction")</f>
        <v>unsafe merchant transaction</v>
      </c>
    </row>
    <row r="279" spans="1:18">
      <c r="A279" t="s">
        <v>5433</v>
      </c>
      <c r="B279" t="s">
        <v>82</v>
      </c>
      <c r="C279">
        <v>1</v>
      </c>
      <c r="D279" t="s">
        <v>15</v>
      </c>
      <c r="E279" t="s">
        <v>3</v>
      </c>
      <c r="F279" s="2">
        <v>45961</v>
      </c>
      <c r="G279">
        <v>8225.11</v>
      </c>
      <c r="H279" s="1">
        <f>AVERAGEIF(Table1[Customer_ID], Table1[[#This Row],[Customer_ID]], Table1[Transaction_Amount])</f>
        <v>4446.326724137929</v>
      </c>
      <c r="I279" t="s">
        <v>2703</v>
      </c>
      <c r="J279" t="s">
        <v>31</v>
      </c>
      <c r="K279" t="s">
        <v>8</v>
      </c>
      <c r="L279">
        <v>0</v>
      </c>
      <c r="M279" t="s">
        <v>47</v>
      </c>
      <c r="N279" t="s">
        <v>32</v>
      </c>
      <c r="O279" t="s">
        <v>392</v>
      </c>
      <c r="P279" s="6" t="str">
        <f>IF(Table1[[#This Row],[Transaction_Amount]]&lt;=Table1[[#This Row],[avg_transaction_amount]], "usual transaction", "unusual transaction")</f>
        <v>unusual transaction</v>
      </c>
      <c r="Q279" s="6" t="str">
        <f>IF(AND(Table1[[#This Row],[Country_of_Residence]]&lt;&gt;Table1[[#This Row],[Country_of_Transaction]], OR(Table1[[#This Row],[Authentication_Type]]="Biometric", Table1[[#This Row],[Authentication_Type]]="OTP")), "safe location transaction", "unsafe location transaction")</f>
        <v>safe location transaction</v>
      </c>
      <c r="R279" s="6" t="str">
        <f>IF(AND(Table1[[#This Row],[Country_of_Residence]]&lt;&gt;Table1[[#This Row],[Country_of_Transaction]], OR(Table1[[#This Row],[Merchant_Category]]="Electronics", Table1[[#This Row],[Merchant_Category]]="Travel")), "unsafe merchant transaction", "safe merchant transaction")</f>
        <v>safe merchant transaction</v>
      </c>
    </row>
    <row r="280" spans="1:18">
      <c r="A280" t="s">
        <v>5469</v>
      </c>
      <c r="B280" t="s">
        <v>82</v>
      </c>
      <c r="C280">
        <v>1</v>
      </c>
      <c r="D280" t="s">
        <v>15</v>
      </c>
      <c r="E280" t="s">
        <v>3</v>
      </c>
      <c r="F280" s="2">
        <v>45878</v>
      </c>
      <c r="G280">
        <v>9671.7999999999993</v>
      </c>
      <c r="H280" s="1">
        <f>AVERAGEIF(Table1[Customer_ID], Table1[[#This Row],[Customer_ID]], Table1[Transaction_Amount])</f>
        <v>4446.326724137929</v>
      </c>
      <c r="I280" t="s">
        <v>2730</v>
      </c>
      <c r="J280" t="s">
        <v>50</v>
      </c>
      <c r="K280" t="s">
        <v>12</v>
      </c>
      <c r="L280">
        <v>2</v>
      </c>
      <c r="M280" t="s">
        <v>55</v>
      </c>
      <c r="N280" t="s">
        <v>47</v>
      </c>
      <c r="O280" t="s">
        <v>392</v>
      </c>
      <c r="P280" s="6" t="str">
        <f>IF(Table1[[#This Row],[Transaction_Amount]]&lt;=Table1[[#This Row],[avg_transaction_amount]], "usual transaction", "unusual transaction")</f>
        <v>unusual transaction</v>
      </c>
      <c r="Q280" s="6" t="str">
        <f>IF(AND(Table1[[#This Row],[Country_of_Residence]]&lt;&gt;Table1[[#This Row],[Country_of_Transaction]], OR(Table1[[#This Row],[Authentication_Type]]="Biometric", Table1[[#This Row],[Authentication_Type]]="OTP")), "safe location transaction", "unsafe location transaction")</f>
        <v>unsafe location transaction</v>
      </c>
      <c r="R280" s="6" t="str">
        <f>IF(AND(Table1[[#This Row],[Country_of_Residence]]&lt;&gt;Table1[[#This Row],[Country_of_Transaction]], OR(Table1[[#This Row],[Merchant_Category]]="Electronics", Table1[[#This Row],[Merchant_Category]]="Travel")), "unsafe merchant transaction", "safe merchant transaction")</f>
        <v>unsafe merchant transaction</v>
      </c>
    </row>
    <row r="281" spans="1:18">
      <c r="A281" t="s">
        <v>5479</v>
      </c>
      <c r="B281" t="s">
        <v>82</v>
      </c>
      <c r="C281">
        <v>1</v>
      </c>
      <c r="D281" t="s">
        <v>9</v>
      </c>
      <c r="E281" t="s">
        <v>6</v>
      </c>
      <c r="F281" s="2">
        <v>45979</v>
      </c>
      <c r="G281">
        <v>2776.84</v>
      </c>
      <c r="H281" s="1">
        <f>AVERAGEIF(Table1[Customer_ID], Table1[[#This Row],[Customer_ID]], Table1[Transaction_Amount])</f>
        <v>4446.326724137929</v>
      </c>
      <c r="I281" t="s">
        <v>2738</v>
      </c>
      <c r="J281" t="s">
        <v>31</v>
      </c>
      <c r="K281" t="s">
        <v>8</v>
      </c>
      <c r="L281">
        <v>1</v>
      </c>
      <c r="M281" t="s">
        <v>56</v>
      </c>
      <c r="N281" t="s">
        <v>55</v>
      </c>
      <c r="O281" t="s">
        <v>393</v>
      </c>
      <c r="P281" s="6" t="str">
        <f>IF(Table1[[#This Row],[Transaction_Amount]]&lt;=Table1[[#This Row],[avg_transaction_amount]], "usual transaction", "unusual transaction")</f>
        <v>usual transaction</v>
      </c>
      <c r="Q281" s="6" t="str">
        <f>IF(AND(Table1[[#This Row],[Country_of_Residence]]&lt;&gt;Table1[[#This Row],[Country_of_Transaction]], OR(Table1[[#This Row],[Authentication_Type]]="Biometric", Table1[[#This Row],[Authentication_Type]]="OTP")), "safe location transaction", "unsafe location transaction")</f>
        <v>safe location transaction</v>
      </c>
      <c r="R281" s="6" t="str">
        <f>IF(AND(Table1[[#This Row],[Country_of_Residence]]&lt;&gt;Table1[[#This Row],[Country_of_Transaction]], OR(Table1[[#This Row],[Merchant_Category]]="Electronics", Table1[[#This Row],[Merchant_Category]]="Travel")), "unsafe merchant transaction", "safe merchant transaction")</f>
        <v>safe merchant transaction</v>
      </c>
    </row>
    <row r="282" spans="1:18">
      <c r="A282" t="s">
        <v>5482</v>
      </c>
      <c r="B282" t="s">
        <v>82</v>
      </c>
      <c r="C282">
        <v>1</v>
      </c>
      <c r="D282" t="s">
        <v>9</v>
      </c>
      <c r="E282" t="s">
        <v>3</v>
      </c>
      <c r="F282" s="2">
        <v>45895</v>
      </c>
      <c r="G282">
        <v>3665.62</v>
      </c>
      <c r="H282" s="1">
        <f>AVERAGEIF(Table1[Customer_ID], Table1[[#This Row],[Customer_ID]], Table1[Transaction_Amount])</f>
        <v>4446.326724137929</v>
      </c>
      <c r="I282" t="s">
        <v>2741</v>
      </c>
      <c r="J282" t="s">
        <v>36</v>
      </c>
      <c r="K282" t="s">
        <v>10</v>
      </c>
      <c r="L282">
        <v>2</v>
      </c>
      <c r="M282" t="s">
        <v>51</v>
      </c>
      <c r="N282" t="s">
        <v>56</v>
      </c>
      <c r="O282" t="s">
        <v>392</v>
      </c>
      <c r="P282" s="6" t="str">
        <f>IF(Table1[[#This Row],[Transaction_Amount]]&lt;=Table1[[#This Row],[avg_transaction_amount]], "usual transaction", "unusual transaction")</f>
        <v>usual transaction</v>
      </c>
      <c r="Q282" s="6" t="str">
        <f>IF(AND(Table1[[#This Row],[Country_of_Residence]]&lt;&gt;Table1[[#This Row],[Country_of_Transaction]], OR(Table1[[#This Row],[Authentication_Type]]="Biometric", Table1[[#This Row],[Authentication_Type]]="OTP")), "safe location transaction", "unsafe location transaction")</f>
        <v>safe location transaction</v>
      </c>
      <c r="R282" s="6" t="str">
        <f>IF(AND(Table1[[#This Row],[Country_of_Residence]]&lt;&gt;Table1[[#This Row],[Country_of_Transaction]], OR(Table1[[#This Row],[Merchant_Category]]="Electronics", Table1[[#This Row],[Merchant_Category]]="Travel")), "unsafe merchant transaction", "safe merchant transaction")</f>
        <v>safe merchant transaction</v>
      </c>
    </row>
    <row r="283" spans="1:18">
      <c r="A283" t="s">
        <v>5493</v>
      </c>
      <c r="B283" t="s">
        <v>82</v>
      </c>
      <c r="C283">
        <v>1</v>
      </c>
      <c r="D283" t="s">
        <v>15</v>
      </c>
      <c r="E283" t="s">
        <v>5</v>
      </c>
      <c r="F283" s="2">
        <v>46007</v>
      </c>
      <c r="G283">
        <v>4666.55</v>
      </c>
      <c r="H283" s="1">
        <f>AVERAGEIF(Table1[Customer_ID], Table1[[#This Row],[Customer_ID]], Table1[Transaction_Amount])</f>
        <v>4446.326724137929</v>
      </c>
      <c r="I283" t="s">
        <v>2750</v>
      </c>
      <c r="J283" t="s">
        <v>31</v>
      </c>
      <c r="K283" t="s">
        <v>10</v>
      </c>
      <c r="L283">
        <v>5</v>
      </c>
      <c r="M283" t="s">
        <v>56</v>
      </c>
      <c r="N283" t="s">
        <v>42</v>
      </c>
      <c r="O283" t="s">
        <v>393</v>
      </c>
      <c r="P283" s="6" t="str">
        <f>IF(Table1[[#This Row],[Transaction_Amount]]&lt;=Table1[[#This Row],[avg_transaction_amount]], "usual transaction", "unusual transaction")</f>
        <v>unusual transaction</v>
      </c>
      <c r="Q283" s="6" t="str">
        <f>IF(AND(Table1[[#This Row],[Country_of_Residence]]&lt;&gt;Table1[[#This Row],[Country_of_Transaction]], OR(Table1[[#This Row],[Authentication_Type]]="Biometric", Table1[[#This Row],[Authentication_Type]]="OTP")), "safe location transaction", "unsafe location transaction")</f>
        <v>safe location transaction</v>
      </c>
      <c r="R283" s="6" t="str">
        <f>IF(AND(Table1[[#This Row],[Country_of_Residence]]&lt;&gt;Table1[[#This Row],[Country_of_Transaction]], OR(Table1[[#This Row],[Merchant_Category]]="Electronics", Table1[[#This Row],[Merchant_Category]]="Travel")), "unsafe merchant transaction", "safe merchant transaction")</f>
        <v>safe merchant transaction</v>
      </c>
    </row>
    <row r="284" spans="1:18">
      <c r="A284" t="s">
        <v>86</v>
      </c>
      <c r="B284" t="s">
        <v>87</v>
      </c>
      <c r="C284">
        <v>1</v>
      </c>
      <c r="D284" t="s">
        <v>13</v>
      </c>
      <c r="E284" t="s">
        <v>3</v>
      </c>
      <c r="F284" s="2">
        <v>45792.243750000001</v>
      </c>
      <c r="G284">
        <v>9967.93</v>
      </c>
      <c r="H284" s="1">
        <f>AVERAGEIF(Table1[Customer_ID], Table1[[#This Row],[Customer_ID]], Table1[Transaction_Amount])</f>
        <v>5156.1630909090918</v>
      </c>
      <c r="I284" t="s">
        <v>88</v>
      </c>
      <c r="J284" t="s">
        <v>59</v>
      </c>
      <c r="K284" t="s">
        <v>12</v>
      </c>
      <c r="L284">
        <v>3</v>
      </c>
      <c r="M284" t="s">
        <v>89</v>
      </c>
      <c r="N284" t="s">
        <v>90</v>
      </c>
      <c r="O284" t="s">
        <v>393</v>
      </c>
      <c r="P284" t="str">
        <f>IF(Table1[[#This Row],[Transaction_Amount]]&lt;=Table1[[#This Row],[avg_transaction_amount]], "usual transaction", "unusual transaction")</f>
        <v>unusual transaction</v>
      </c>
      <c r="Q284" t="str">
        <f>IF(AND(Table1[[#This Row],[Country_of_Residence]]&lt;&gt;Table1[[#This Row],[Country_of_Transaction]], OR(Table1[[#This Row],[Authentication_Type]]="Biometric", Table1[[#This Row],[Authentication_Type]]="OTP")), "safe location transaction", "unsafe location transaction")</f>
        <v>unsafe location transaction</v>
      </c>
      <c r="R284" t="str">
        <f>IF(AND(Table1[[#This Row],[Country_of_Residence]]&lt;&gt;Table1[[#This Row],[Country_of_Transaction]], OR(Table1[[#This Row],[Merchant_Category]]="Electronics", Table1[[#This Row],[Merchant_Category]]="Travel")), "unsafe merchant transaction", "safe merchant transaction")</f>
        <v>unsafe merchant transaction</v>
      </c>
    </row>
    <row r="285" spans="1:18">
      <c r="A285" t="s">
        <v>91</v>
      </c>
      <c r="B285" t="s">
        <v>87</v>
      </c>
      <c r="C285">
        <v>1</v>
      </c>
      <c r="D285" t="s">
        <v>13</v>
      </c>
      <c r="E285" t="s">
        <v>6</v>
      </c>
      <c r="F285" s="2">
        <v>45673.509722222203</v>
      </c>
      <c r="G285">
        <v>5743.25</v>
      </c>
      <c r="H285" s="1">
        <f>AVERAGEIF(Table1[Customer_ID], Table1[[#This Row],[Customer_ID]], Table1[Transaction_Amount])</f>
        <v>5156.1630909090918</v>
      </c>
      <c r="I285" t="s">
        <v>92</v>
      </c>
      <c r="J285" t="s">
        <v>59</v>
      </c>
      <c r="K285" t="s">
        <v>8</v>
      </c>
      <c r="L285">
        <v>1</v>
      </c>
      <c r="M285" t="s">
        <v>89</v>
      </c>
      <c r="N285" t="s">
        <v>93</v>
      </c>
      <c r="O285" t="s">
        <v>393</v>
      </c>
      <c r="P285" t="str">
        <f>IF(Table1[[#This Row],[Transaction_Amount]]&lt;=Table1[[#This Row],[avg_transaction_amount]], "usual transaction", "unusual transaction")</f>
        <v>unusual transaction</v>
      </c>
      <c r="Q285" t="str">
        <f>IF(AND(Table1[[#This Row],[Country_of_Residence]]&lt;&gt;Table1[[#This Row],[Country_of_Transaction]], OR(Table1[[#This Row],[Authentication_Type]]="Biometric", Table1[[#This Row],[Authentication_Type]]="OTP")), "safe location transaction", "unsafe location transaction")</f>
        <v>safe location transaction</v>
      </c>
      <c r="R285" t="str">
        <f>IF(AND(Table1[[#This Row],[Country_of_Residence]]&lt;&gt;Table1[[#This Row],[Country_of_Transaction]], OR(Table1[[#This Row],[Merchant_Category]]="Electronics", Table1[[#This Row],[Merchant_Category]]="Travel")), "unsafe merchant transaction", "safe merchant transaction")</f>
        <v>unsafe merchant transaction</v>
      </c>
    </row>
    <row r="286" spans="1:18">
      <c r="A286" t="s">
        <v>2766</v>
      </c>
      <c r="B286" t="s">
        <v>87</v>
      </c>
      <c r="C286">
        <v>1</v>
      </c>
      <c r="D286" t="s">
        <v>15</v>
      </c>
      <c r="E286" t="s">
        <v>6</v>
      </c>
      <c r="F286" s="2">
        <v>45990</v>
      </c>
      <c r="G286">
        <v>2225.4499999999998</v>
      </c>
      <c r="H286" s="1">
        <f>AVERAGEIF(Table1[Customer_ID], Table1[[#This Row],[Customer_ID]], Table1[Transaction_Amount])</f>
        <v>5156.1630909090918</v>
      </c>
      <c r="I286" t="s">
        <v>413</v>
      </c>
      <c r="J286" t="s">
        <v>36</v>
      </c>
      <c r="K286" t="s">
        <v>12</v>
      </c>
      <c r="L286">
        <v>3</v>
      </c>
      <c r="M286" t="s">
        <v>37</v>
      </c>
      <c r="N286" t="s">
        <v>412</v>
      </c>
      <c r="O286" t="s">
        <v>392</v>
      </c>
      <c r="P286" s="6" t="str">
        <f>IF(Table1[[#This Row],[Transaction_Amount]]&lt;=Table1[[#This Row],[avg_transaction_amount]], "usual transaction", "unusual transaction")</f>
        <v>usual transaction</v>
      </c>
      <c r="Q286" s="6" t="str">
        <f>IF(AND(Table1[[#This Row],[Country_of_Residence]]&lt;&gt;Table1[[#This Row],[Country_of_Transaction]], OR(Table1[[#This Row],[Authentication_Type]]="Biometric", Table1[[#This Row],[Authentication_Type]]="OTP")), "safe location transaction", "unsafe location transaction")</f>
        <v>unsafe location transaction</v>
      </c>
      <c r="R286" s="6" t="str">
        <f>IF(AND(Table1[[#This Row],[Country_of_Residence]]&lt;&gt;Table1[[#This Row],[Country_of_Transaction]], OR(Table1[[#This Row],[Merchant_Category]]="Electronics", Table1[[#This Row],[Merchant_Category]]="Travel")), "unsafe merchant transaction", "safe merchant transaction")</f>
        <v>safe merchant transaction</v>
      </c>
    </row>
    <row r="287" spans="1:18">
      <c r="A287" t="s">
        <v>2776</v>
      </c>
      <c r="B287" t="s">
        <v>87</v>
      </c>
      <c r="C287">
        <v>1</v>
      </c>
      <c r="D287" t="s">
        <v>15</v>
      </c>
      <c r="E287" t="s">
        <v>6</v>
      </c>
      <c r="F287" s="2">
        <v>45995</v>
      </c>
      <c r="G287">
        <v>7332.48</v>
      </c>
      <c r="H287" s="1">
        <f>AVERAGEIF(Table1[Customer_ID], Table1[[#This Row],[Customer_ID]], Table1[Transaction_Amount])</f>
        <v>5156.1630909090918</v>
      </c>
      <c r="I287" t="s">
        <v>425</v>
      </c>
      <c r="J287" t="s">
        <v>50</v>
      </c>
      <c r="K287" t="s">
        <v>8</v>
      </c>
      <c r="L287">
        <v>1</v>
      </c>
      <c r="M287" t="s">
        <v>33</v>
      </c>
      <c r="N287" t="s">
        <v>55</v>
      </c>
      <c r="O287" t="s">
        <v>393</v>
      </c>
      <c r="P287" s="6" t="str">
        <f>IF(Table1[[#This Row],[Transaction_Amount]]&lt;=Table1[[#This Row],[avg_transaction_amount]], "usual transaction", "unusual transaction")</f>
        <v>unusual transaction</v>
      </c>
      <c r="Q287" s="6" t="str">
        <f>IF(AND(Table1[[#This Row],[Country_of_Residence]]&lt;&gt;Table1[[#This Row],[Country_of_Transaction]], OR(Table1[[#This Row],[Authentication_Type]]="Biometric", Table1[[#This Row],[Authentication_Type]]="OTP")), "safe location transaction", "unsafe location transaction")</f>
        <v>safe location transaction</v>
      </c>
      <c r="R287" s="6" t="str">
        <f>IF(AND(Table1[[#This Row],[Country_of_Residence]]&lt;&gt;Table1[[#This Row],[Country_of_Transaction]], OR(Table1[[#This Row],[Merchant_Category]]="Electronics", Table1[[#This Row],[Merchant_Category]]="Travel")), "unsafe merchant transaction", "safe merchant transaction")</f>
        <v>unsafe merchant transaction</v>
      </c>
    </row>
    <row r="288" spans="1:18">
      <c r="A288" t="s">
        <v>2807</v>
      </c>
      <c r="B288" t="s">
        <v>87</v>
      </c>
      <c r="C288">
        <v>1</v>
      </c>
      <c r="D288" t="s">
        <v>15</v>
      </c>
      <c r="E288" t="s">
        <v>5</v>
      </c>
      <c r="F288" s="2">
        <v>45772</v>
      </c>
      <c r="G288">
        <v>4729.55</v>
      </c>
      <c r="H288" s="1">
        <f>AVERAGEIF(Table1[Customer_ID], Table1[[#This Row],[Customer_ID]], Table1[Transaction_Amount])</f>
        <v>5156.1630909090918</v>
      </c>
      <c r="I288" t="s">
        <v>458</v>
      </c>
      <c r="J288" t="s">
        <v>31</v>
      </c>
      <c r="K288" t="s">
        <v>10</v>
      </c>
      <c r="L288">
        <v>1</v>
      </c>
      <c r="M288" t="s">
        <v>55</v>
      </c>
      <c r="N288" t="s">
        <v>412</v>
      </c>
      <c r="O288" t="s">
        <v>392</v>
      </c>
      <c r="P288" s="6" t="str">
        <f>IF(Table1[[#This Row],[Transaction_Amount]]&lt;=Table1[[#This Row],[avg_transaction_amount]], "usual transaction", "unusual transaction")</f>
        <v>usual transaction</v>
      </c>
      <c r="Q288" s="6" t="str">
        <f>IF(AND(Table1[[#This Row],[Country_of_Residence]]&lt;&gt;Table1[[#This Row],[Country_of_Transaction]], OR(Table1[[#This Row],[Authentication_Type]]="Biometric", Table1[[#This Row],[Authentication_Type]]="OTP")), "safe location transaction", "unsafe location transaction")</f>
        <v>safe location transaction</v>
      </c>
      <c r="R288" s="6" t="str">
        <f>IF(AND(Table1[[#This Row],[Country_of_Residence]]&lt;&gt;Table1[[#This Row],[Country_of_Transaction]], OR(Table1[[#This Row],[Merchant_Category]]="Electronics", Table1[[#This Row],[Merchant_Category]]="Travel")), "unsafe merchant transaction", "safe merchant transaction")</f>
        <v>safe merchant transaction</v>
      </c>
    </row>
    <row r="289" spans="1:18">
      <c r="A289" t="s">
        <v>2825</v>
      </c>
      <c r="B289" t="s">
        <v>87</v>
      </c>
      <c r="C289">
        <v>1</v>
      </c>
      <c r="D289" t="s">
        <v>9</v>
      </c>
      <c r="E289" t="s">
        <v>3</v>
      </c>
      <c r="F289" s="2">
        <v>45740</v>
      </c>
      <c r="G289">
        <v>4726.6000000000004</v>
      </c>
      <c r="H289" s="1">
        <f>AVERAGEIF(Table1[Customer_ID], Table1[[#This Row],[Customer_ID]], Table1[Transaction_Amount])</f>
        <v>5156.1630909090918</v>
      </c>
      <c r="I289" t="s">
        <v>476</v>
      </c>
      <c r="J289" t="s">
        <v>36</v>
      </c>
      <c r="K289" t="s">
        <v>14</v>
      </c>
      <c r="L289">
        <v>5</v>
      </c>
      <c r="M289" t="s">
        <v>56</v>
      </c>
      <c r="N289" t="s">
        <v>33</v>
      </c>
      <c r="O289" t="s">
        <v>392</v>
      </c>
      <c r="P289" s="6" t="str">
        <f>IF(Table1[[#This Row],[Transaction_Amount]]&lt;=Table1[[#This Row],[avg_transaction_amount]], "usual transaction", "unusual transaction")</f>
        <v>usual transaction</v>
      </c>
      <c r="Q289" s="6" t="str">
        <f>IF(AND(Table1[[#This Row],[Country_of_Residence]]&lt;&gt;Table1[[#This Row],[Country_of_Transaction]], OR(Table1[[#This Row],[Authentication_Type]]="Biometric", Table1[[#This Row],[Authentication_Type]]="OTP")), "safe location transaction", "unsafe location transaction")</f>
        <v>unsafe location transaction</v>
      </c>
      <c r="R289" s="6" t="str">
        <f>IF(AND(Table1[[#This Row],[Country_of_Residence]]&lt;&gt;Table1[[#This Row],[Country_of_Transaction]], OR(Table1[[#This Row],[Merchant_Category]]="Electronics", Table1[[#This Row],[Merchant_Category]]="Travel")), "unsafe merchant transaction", "safe merchant transaction")</f>
        <v>safe merchant transaction</v>
      </c>
    </row>
    <row r="290" spans="1:18">
      <c r="A290" t="s">
        <v>2847</v>
      </c>
      <c r="B290" t="s">
        <v>87</v>
      </c>
      <c r="C290">
        <v>1</v>
      </c>
      <c r="D290" t="s">
        <v>15</v>
      </c>
      <c r="E290" t="s">
        <v>3</v>
      </c>
      <c r="F290" s="2">
        <v>45828</v>
      </c>
      <c r="G290">
        <v>6644.55</v>
      </c>
      <c r="H290" s="1">
        <f>AVERAGEIF(Table1[Customer_ID], Table1[[#This Row],[Customer_ID]], Table1[Transaction_Amount])</f>
        <v>5156.1630909090918</v>
      </c>
      <c r="I290" t="s">
        <v>498</v>
      </c>
      <c r="J290" t="s">
        <v>41</v>
      </c>
      <c r="K290" t="s">
        <v>12</v>
      </c>
      <c r="L290">
        <v>0</v>
      </c>
      <c r="M290" t="s">
        <v>33</v>
      </c>
      <c r="N290" t="s">
        <v>55</v>
      </c>
      <c r="O290" t="s">
        <v>392</v>
      </c>
      <c r="P290" s="6" t="str">
        <f>IF(Table1[[#This Row],[Transaction_Amount]]&lt;=Table1[[#This Row],[avg_transaction_amount]], "usual transaction", "unusual transaction")</f>
        <v>unusual transaction</v>
      </c>
      <c r="Q290" s="6" t="str">
        <f>IF(AND(Table1[[#This Row],[Country_of_Residence]]&lt;&gt;Table1[[#This Row],[Country_of_Transaction]], OR(Table1[[#This Row],[Authentication_Type]]="Biometric", Table1[[#This Row],[Authentication_Type]]="OTP")), "safe location transaction", "unsafe location transaction")</f>
        <v>unsafe location transaction</v>
      </c>
      <c r="R290" s="6" t="str">
        <f>IF(AND(Table1[[#This Row],[Country_of_Residence]]&lt;&gt;Table1[[#This Row],[Country_of_Transaction]], OR(Table1[[#This Row],[Merchant_Category]]="Electronics", Table1[[#This Row],[Merchant_Category]]="Travel")), "unsafe merchant transaction", "safe merchant transaction")</f>
        <v>safe merchant transaction</v>
      </c>
    </row>
    <row r="291" spans="1:18">
      <c r="A291" t="s">
        <v>3018</v>
      </c>
      <c r="B291" t="s">
        <v>87</v>
      </c>
      <c r="C291">
        <v>1</v>
      </c>
      <c r="D291" t="s">
        <v>15</v>
      </c>
      <c r="E291" t="s">
        <v>5</v>
      </c>
      <c r="F291" s="2">
        <v>45821</v>
      </c>
      <c r="G291">
        <v>9883.39</v>
      </c>
      <c r="H291" s="1">
        <f>AVERAGEIF(Table1[Customer_ID], Table1[[#This Row],[Customer_ID]], Table1[Transaction_Amount])</f>
        <v>5156.1630909090918</v>
      </c>
      <c r="I291" t="s">
        <v>665</v>
      </c>
      <c r="J291" t="s">
        <v>31</v>
      </c>
      <c r="K291" t="s">
        <v>8</v>
      </c>
      <c r="L291">
        <v>4</v>
      </c>
      <c r="M291" t="s">
        <v>56</v>
      </c>
      <c r="N291" t="s">
        <v>33</v>
      </c>
      <c r="O291" t="s">
        <v>393</v>
      </c>
      <c r="P291" s="6" t="str">
        <f>IF(Table1[[#This Row],[Transaction_Amount]]&lt;=Table1[[#This Row],[avg_transaction_amount]], "usual transaction", "unusual transaction")</f>
        <v>unusual transaction</v>
      </c>
      <c r="Q291" s="6" t="str">
        <f>IF(AND(Table1[[#This Row],[Country_of_Residence]]&lt;&gt;Table1[[#This Row],[Country_of_Transaction]], OR(Table1[[#This Row],[Authentication_Type]]="Biometric", Table1[[#This Row],[Authentication_Type]]="OTP")), "safe location transaction", "unsafe location transaction")</f>
        <v>safe location transaction</v>
      </c>
      <c r="R291" s="6" t="str">
        <f>IF(AND(Table1[[#This Row],[Country_of_Residence]]&lt;&gt;Table1[[#This Row],[Country_of_Transaction]], OR(Table1[[#This Row],[Merchant_Category]]="Electronics", Table1[[#This Row],[Merchant_Category]]="Travel")), "unsafe merchant transaction", "safe merchant transaction")</f>
        <v>safe merchant transaction</v>
      </c>
    </row>
    <row r="292" spans="1:18">
      <c r="A292" t="s">
        <v>3118</v>
      </c>
      <c r="B292" t="s">
        <v>87</v>
      </c>
      <c r="C292">
        <v>1</v>
      </c>
      <c r="D292" t="s">
        <v>9</v>
      </c>
      <c r="E292" t="s">
        <v>6</v>
      </c>
      <c r="F292" s="2">
        <v>45813</v>
      </c>
      <c r="G292">
        <v>4446.51</v>
      </c>
      <c r="H292" s="1">
        <f>AVERAGEIF(Table1[Customer_ID], Table1[[#This Row],[Customer_ID]], Table1[Transaction_Amount])</f>
        <v>5156.1630909090918</v>
      </c>
      <c r="I292" t="s">
        <v>759</v>
      </c>
      <c r="J292" t="s">
        <v>41</v>
      </c>
      <c r="K292" t="s">
        <v>12</v>
      </c>
      <c r="L292">
        <v>2</v>
      </c>
      <c r="M292" t="s">
        <v>37</v>
      </c>
      <c r="N292" t="s">
        <v>47</v>
      </c>
      <c r="O292" t="s">
        <v>392</v>
      </c>
      <c r="P292" s="6" t="str">
        <f>IF(Table1[[#This Row],[Transaction_Amount]]&lt;=Table1[[#This Row],[avg_transaction_amount]], "usual transaction", "unusual transaction")</f>
        <v>usual transaction</v>
      </c>
      <c r="Q292" s="6" t="str">
        <f>IF(AND(Table1[[#This Row],[Country_of_Residence]]&lt;&gt;Table1[[#This Row],[Country_of_Transaction]], OR(Table1[[#This Row],[Authentication_Type]]="Biometric", Table1[[#This Row],[Authentication_Type]]="OTP")), "safe location transaction", "unsafe location transaction")</f>
        <v>unsafe location transaction</v>
      </c>
      <c r="R292" s="6" t="str">
        <f>IF(AND(Table1[[#This Row],[Country_of_Residence]]&lt;&gt;Table1[[#This Row],[Country_of_Transaction]], OR(Table1[[#This Row],[Merchant_Category]]="Electronics", Table1[[#This Row],[Merchant_Category]]="Travel")), "unsafe merchant transaction", "safe merchant transaction")</f>
        <v>safe merchant transaction</v>
      </c>
    </row>
    <row r="293" spans="1:18">
      <c r="A293" t="s">
        <v>3124</v>
      </c>
      <c r="B293" t="s">
        <v>87</v>
      </c>
      <c r="C293">
        <v>1</v>
      </c>
      <c r="D293" t="s">
        <v>15</v>
      </c>
      <c r="E293" t="s">
        <v>5</v>
      </c>
      <c r="F293" s="2">
        <v>45858</v>
      </c>
      <c r="G293">
        <v>8443.2900000000009</v>
      </c>
      <c r="H293" s="1">
        <f>AVERAGEIF(Table1[Customer_ID], Table1[[#This Row],[Customer_ID]], Table1[Transaction_Amount])</f>
        <v>5156.1630909090918</v>
      </c>
      <c r="I293" t="s">
        <v>765</v>
      </c>
      <c r="J293" t="s">
        <v>36</v>
      </c>
      <c r="K293" t="s">
        <v>12</v>
      </c>
      <c r="L293">
        <v>1</v>
      </c>
      <c r="M293" t="s">
        <v>37</v>
      </c>
      <c r="N293" t="s">
        <v>56</v>
      </c>
      <c r="O293" t="s">
        <v>392</v>
      </c>
      <c r="P293" s="6" t="str">
        <f>IF(Table1[[#This Row],[Transaction_Amount]]&lt;=Table1[[#This Row],[avg_transaction_amount]], "usual transaction", "unusual transaction")</f>
        <v>unusual transaction</v>
      </c>
      <c r="Q293" s="6" t="str">
        <f>IF(AND(Table1[[#This Row],[Country_of_Residence]]&lt;&gt;Table1[[#This Row],[Country_of_Transaction]], OR(Table1[[#This Row],[Authentication_Type]]="Biometric", Table1[[#This Row],[Authentication_Type]]="OTP")), "safe location transaction", "unsafe location transaction")</f>
        <v>unsafe location transaction</v>
      </c>
      <c r="R293" s="6" t="str">
        <f>IF(AND(Table1[[#This Row],[Country_of_Residence]]&lt;&gt;Table1[[#This Row],[Country_of_Transaction]], OR(Table1[[#This Row],[Merchant_Category]]="Electronics", Table1[[#This Row],[Merchant_Category]]="Travel")), "unsafe merchant transaction", "safe merchant transaction")</f>
        <v>safe merchant transaction</v>
      </c>
    </row>
    <row r="294" spans="1:18">
      <c r="A294" t="s">
        <v>3169</v>
      </c>
      <c r="B294" t="s">
        <v>87</v>
      </c>
      <c r="C294">
        <v>1</v>
      </c>
      <c r="D294" t="s">
        <v>15</v>
      </c>
      <c r="E294" t="s">
        <v>6</v>
      </c>
      <c r="F294" s="2">
        <v>46002</v>
      </c>
      <c r="G294">
        <v>537.86</v>
      </c>
      <c r="H294" s="1">
        <f>AVERAGEIF(Table1[Customer_ID], Table1[[#This Row],[Customer_ID]], Table1[Transaction_Amount])</f>
        <v>5156.1630909090918</v>
      </c>
      <c r="I294" t="s">
        <v>804</v>
      </c>
      <c r="J294" t="s">
        <v>36</v>
      </c>
      <c r="K294" t="s">
        <v>14</v>
      </c>
      <c r="L294">
        <v>0</v>
      </c>
      <c r="M294" t="s">
        <v>32</v>
      </c>
      <c r="N294" t="s">
        <v>37</v>
      </c>
      <c r="O294" t="s">
        <v>393</v>
      </c>
      <c r="P294" s="6" t="str">
        <f>IF(Table1[[#This Row],[Transaction_Amount]]&lt;=Table1[[#This Row],[avg_transaction_amount]], "usual transaction", "unusual transaction")</f>
        <v>usual transaction</v>
      </c>
      <c r="Q294" s="6" t="str">
        <f>IF(AND(Table1[[#This Row],[Country_of_Residence]]&lt;&gt;Table1[[#This Row],[Country_of_Transaction]], OR(Table1[[#This Row],[Authentication_Type]]="Biometric", Table1[[#This Row],[Authentication_Type]]="OTP")), "safe location transaction", "unsafe location transaction")</f>
        <v>unsafe location transaction</v>
      </c>
      <c r="R294" s="6" t="str">
        <f>IF(AND(Table1[[#This Row],[Country_of_Residence]]&lt;&gt;Table1[[#This Row],[Country_of_Transaction]], OR(Table1[[#This Row],[Merchant_Category]]="Electronics", Table1[[#This Row],[Merchant_Category]]="Travel")), "unsafe merchant transaction", "safe merchant transaction")</f>
        <v>safe merchant transaction</v>
      </c>
    </row>
    <row r="295" spans="1:18">
      <c r="A295" t="s">
        <v>3179</v>
      </c>
      <c r="B295" t="s">
        <v>87</v>
      </c>
      <c r="C295">
        <v>1</v>
      </c>
      <c r="D295" t="s">
        <v>9</v>
      </c>
      <c r="E295" t="s">
        <v>6</v>
      </c>
      <c r="F295" s="2">
        <v>45755</v>
      </c>
      <c r="G295">
        <v>4465.55</v>
      </c>
      <c r="H295" s="1">
        <f>AVERAGEIF(Table1[Customer_ID], Table1[[#This Row],[Customer_ID]], Table1[Transaction_Amount])</f>
        <v>5156.1630909090918</v>
      </c>
      <c r="I295" t="s">
        <v>814</v>
      </c>
      <c r="J295" t="s">
        <v>41</v>
      </c>
      <c r="K295" t="s">
        <v>14</v>
      </c>
      <c r="L295">
        <v>2</v>
      </c>
      <c r="M295" t="s">
        <v>42</v>
      </c>
      <c r="N295" t="s">
        <v>32</v>
      </c>
      <c r="O295" t="s">
        <v>392</v>
      </c>
      <c r="P295" s="6" t="str">
        <f>IF(Table1[[#This Row],[Transaction_Amount]]&lt;=Table1[[#This Row],[avg_transaction_amount]], "usual transaction", "unusual transaction")</f>
        <v>usual transaction</v>
      </c>
      <c r="Q295" s="6" t="str">
        <f>IF(AND(Table1[[#This Row],[Country_of_Residence]]&lt;&gt;Table1[[#This Row],[Country_of_Transaction]], OR(Table1[[#This Row],[Authentication_Type]]="Biometric", Table1[[#This Row],[Authentication_Type]]="OTP")), "safe location transaction", "unsafe location transaction")</f>
        <v>unsafe location transaction</v>
      </c>
      <c r="R295" s="6" t="str">
        <f>IF(AND(Table1[[#This Row],[Country_of_Residence]]&lt;&gt;Table1[[#This Row],[Country_of_Transaction]], OR(Table1[[#This Row],[Merchant_Category]]="Electronics", Table1[[#This Row],[Merchant_Category]]="Travel")), "unsafe merchant transaction", "safe merchant transaction")</f>
        <v>safe merchant transaction</v>
      </c>
    </row>
    <row r="296" spans="1:18">
      <c r="A296" t="s">
        <v>3265</v>
      </c>
      <c r="B296" t="s">
        <v>87</v>
      </c>
      <c r="C296">
        <v>1</v>
      </c>
      <c r="D296" t="s">
        <v>9</v>
      </c>
      <c r="E296" t="s">
        <v>420</v>
      </c>
      <c r="F296" s="2">
        <v>45965</v>
      </c>
      <c r="G296">
        <v>3314.75</v>
      </c>
      <c r="H296" s="1">
        <f>AVERAGEIF(Table1[Customer_ID], Table1[[#This Row],[Customer_ID]], Table1[Transaction_Amount])</f>
        <v>5156.1630909090918</v>
      </c>
      <c r="I296" t="s">
        <v>893</v>
      </c>
      <c r="J296" t="s">
        <v>36</v>
      </c>
      <c r="K296" t="s">
        <v>12</v>
      </c>
      <c r="L296">
        <v>4</v>
      </c>
      <c r="M296" t="s">
        <v>56</v>
      </c>
      <c r="N296" t="s">
        <v>37</v>
      </c>
      <c r="O296" t="s">
        <v>393</v>
      </c>
      <c r="P296" s="6" t="str">
        <f>IF(Table1[[#This Row],[Transaction_Amount]]&lt;=Table1[[#This Row],[avg_transaction_amount]], "usual transaction", "unusual transaction")</f>
        <v>usual transaction</v>
      </c>
      <c r="Q296" s="6" t="str">
        <f>IF(AND(Table1[[#This Row],[Country_of_Residence]]&lt;&gt;Table1[[#This Row],[Country_of_Transaction]], OR(Table1[[#This Row],[Authentication_Type]]="Biometric", Table1[[#This Row],[Authentication_Type]]="OTP")), "safe location transaction", "unsafe location transaction")</f>
        <v>unsafe location transaction</v>
      </c>
      <c r="R296" s="6" t="str">
        <f>IF(AND(Table1[[#This Row],[Country_of_Residence]]&lt;&gt;Table1[[#This Row],[Country_of_Transaction]], OR(Table1[[#This Row],[Merchant_Category]]="Electronics", Table1[[#This Row],[Merchant_Category]]="Travel")), "unsafe merchant transaction", "safe merchant transaction")</f>
        <v>safe merchant transaction</v>
      </c>
    </row>
    <row r="297" spans="1:18">
      <c r="A297" t="s">
        <v>3295</v>
      </c>
      <c r="B297" t="s">
        <v>87</v>
      </c>
      <c r="C297">
        <v>1</v>
      </c>
      <c r="D297" t="s">
        <v>15</v>
      </c>
      <c r="E297" t="s">
        <v>3</v>
      </c>
      <c r="F297" s="2">
        <v>45927</v>
      </c>
      <c r="G297">
        <v>9582.43</v>
      </c>
      <c r="H297" s="1">
        <f>AVERAGEIF(Table1[Customer_ID], Table1[[#This Row],[Customer_ID]], Table1[Transaction_Amount])</f>
        <v>5156.1630909090918</v>
      </c>
      <c r="I297" t="s">
        <v>923</v>
      </c>
      <c r="J297" t="s">
        <v>36</v>
      </c>
      <c r="K297" t="s">
        <v>10</v>
      </c>
      <c r="L297">
        <v>1</v>
      </c>
      <c r="M297" t="s">
        <v>55</v>
      </c>
      <c r="N297" t="s">
        <v>55</v>
      </c>
      <c r="O297" t="s">
        <v>393</v>
      </c>
      <c r="P297" s="6" t="str">
        <f>IF(Table1[[#This Row],[Transaction_Amount]]&lt;=Table1[[#This Row],[avg_transaction_amount]], "usual transaction", "unusual transaction")</f>
        <v>unusual transaction</v>
      </c>
      <c r="Q297" s="6" t="str">
        <f>IF(AND(Table1[[#This Row],[Country_of_Residence]]&lt;&gt;Table1[[#This Row],[Country_of_Transaction]], OR(Table1[[#This Row],[Authentication_Type]]="Biometric", Table1[[#This Row],[Authentication_Type]]="OTP")), "safe location transaction", "unsafe location transaction")</f>
        <v>unsafe location transaction</v>
      </c>
      <c r="R297" s="6" t="str">
        <f>IF(AND(Table1[[#This Row],[Country_of_Residence]]&lt;&gt;Table1[[#This Row],[Country_of_Transaction]], OR(Table1[[#This Row],[Merchant_Category]]="Electronics", Table1[[#This Row],[Merchant_Category]]="Travel")), "unsafe merchant transaction", "safe merchant transaction")</f>
        <v>safe merchant transaction</v>
      </c>
    </row>
    <row r="298" spans="1:18">
      <c r="A298" t="s">
        <v>3304</v>
      </c>
      <c r="B298" t="s">
        <v>87</v>
      </c>
      <c r="C298">
        <v>1</v>
      </c>
      <c r="D298" t="s">
        <v>15</v>
      </c>
      <c r="E298" t="s">
        <v>5</v>
      </c>
      <c r="F298" s="2">
        <v>45946</v>
      </c>
      <c r="G298">
        <v>2077.15</v>
      </c>
      <c r="H298" s="1">
        <f>AVERAGEIF(Table1[Customer_ID], Table1[[#This Row],[Customer_ID]], Table1[Transaction_Amount])</f>
        <v>5156.1630909090918</v>
      </c>
      <c r="I298" t="s">
        <v>931</v>
      </c>
      <c r="J298" t="s">
        <v>41</v>
      </c>
      <c r="K298" t="s">
        <v>10</v>
      </c>
      <c r="L298">
        <v>4</v>
      </c>
      <c r="M298" t="s">
        <v>42</v>
      </c>
      <c r="N298" t="s">
        <v>56</v>
      </c>
      <c r="O298" t="s">
        <v>392</v>
      </c>
      <c r="P298" s="6" t="str">
        <f>IF(Table1[[#This Row],[Transaction_Amount]]&lt;=Table1[[#This Row],[avg_transaction_amount]], "usual transaction", "unusual transaction")</f>
        <v>usual transaction</v>
      </c>
      <c r="Q298" s="6" t="str">
        <f>IF(AND(Table1[[#This Row],[Country_of_Residence]]&lt;&gt;Table1[[#This Row],[Country_of_Transaction]], OR(Table1[[#This Row],[Authentication_Type]]="Biometric", Table1[[#This Row],[Authentication_Type]]="OTP")), "safe location transaction", "unsafe location transaction")</f>
        <v>safe location transaction</v>
      </c>
      <c r="R298" s="6" t="str">
        <f>IF(AND(Table1[[#This Row],[Country_of_Residence]]&lt;&gt;Table1[[#This Row],[Country_of_Transaction]], OR(Table1[[#This Row],[Merchant_Category]]="Electronics", Table1[[#This Row],[Merchant_Category]]="Travel")), "unsafe merchant transaction", "safe merchant transaction")</f>
        <v>safe merchant transaction</v>
      </c>
    </row>
    <row r="299" spans="1:18">
      <c r="A299" t="s">
        <v>3315</v>
      </c>
      <c r="B299" t="s">
        <v>87</v>
      </c>
      <c r="C299">
        <v>1</v>
      </c>
      <c r="D299" t="s">
        <v>15</v>
      </c>
      <c r="E299" t="s">
        <v>420</v>
      </c>
      <c r="F299" s="2">
        <v>45931</v>
      </c>
      <c r="G299">
        <v>7482.94</v>
      </c>
      <c r="H299" s="1">
        <f>AVERAGEIF(Table1[Customer_ID], Table1[[#This Row],[Customer_ID]], Table1[Transaction_Amount])</f>
        <v>5156.1630909090918</v>
      </c>
      <c r="I299" t="s">
        <v>933</v>
      </c>
      <c r="J299" t="s">
        <v>36</v>
      </c>
      <c r="K299" t="s">
        <v>10</v>
      </c>
      <c r="L299">
        <v>0</v>
      </c>
      <c r="M299" t="s">
        <v>42</v>
      </c>
      <c r="N299" t="s">
        <v>47</v>
      </c>
      <c r="O299" t="s">
        <v>393</v>
      </c>
      <c r="P299" s="6" t="str">
        <f>IF(Table1[[#This Row],[Transaction_Amount]]&lt;=Table1[[#This Row],[avg_transaction_amount]], "usual transaction", "unusual transaction")</f>
        <v>unusual transaction</v>
      </c>
      <c r="Q299" s="6" t="str">
        <f>IF(AND(Table1[[#This Row],[Country_of_Residence]]&lt;&gt;Table1[[#This Row],[Country_of_Transaction]], OR(Table1[[#This Row],[Authentication_Type]]="Biometric", Table1[[#This Row],[Authentication_Type]]="OTP")), "safe location transaction", "unsafe location transaction")</f>
        <v>safe location transaction</v>
      </c>
      <c r="R299" s="6" t="str">
        <f>IF(AND(Table1[[#This Row],[Country_of_Residence]]&lt;&gt;Table1[[#This Row],[Country_of_Transaction]], OR(Table1[[#This Row],[Merchant_Category]]="Electronics", Table1[[#This Row],[Merchant_Category]]="Travel")), "unsafe merchant transaction", "safe merchant transaction")</f>
        <v>safe merchant transaction</v>
      </c>
    </row>
    <row r="300" spans="1:18">
      <c r="A300" t="s">
        <v>3472</v>
      </c>
      <c r="B300" t="s">
        <v>87</v>
      </c>
      <c r="C300">
        <v>1</v>
      </c>
      <c r="D300" t="s">
        <v>15</v>
      </c>
      <c r="E300" t="s">
        <v>3</v>
      </c>
      <c r="F300" s="2">
        <v>45958</v>
      </c>
      <c r="G300">
        <v>8877.58</v>
      </c>
      <c r="H300" s="1">
        <f>AVERAGEIF(Table1[Customer_ID], Table1[[#This Row],[Customer_ID]], Table1[Transaction_Amount])</f>
        <v>5156.1630909090918</v>
      </c>
      <c r="I300" t="s">
        <v>1090</v>
      </c>
      <c r="J300" t="s">
        <v>46</v>
      </c>
      <c r="K300" t="s">
        <v>8</v>
      </c>
      <c r="L300">
        <v>0</v>
      </c>
      <c r="M300" t="s">
        <v>32</v>
      </c>
      <c r="N300" t="s">
        <v>33</v>
      </c>
      <c r="O300" t="s">
        <v>393</v>
      </c>
      <c r="P300" s="6" t="str">
        <f>IF(Table1[[#This Row],[Transaction_Amount]]&lt;=Table1[[#This Row],[avg_transaction_amount]], "usual transaction", "unusual transaction")</f>
        <v>unusual transaction</v>
      </c>
      <c r="Q300" s="6" t="str">
        <f>IF(AND(Table1[[#This Row],[Country_of_Residence]]&lt;&gt;Table1[[#This Row],[Country_of_Transaction]], OR(Table1[[#This Row],[Authentication_Type]]="Biometric", Table1[[#This Row],[Authentication_Type]]="OTP")), "safe location transaction", "unsafe location transaction")</f>
        <v>safe location transaction</v>
      </c>
      <c r="R300" s="6" t="str">
        <f>IF(AND(Table1[[#This Row],[Country_of_Residence]]&lt;&gt;Table1[[#This Row],[Country_of_Transaction]], OR(Table1[[#This Row],[Merchant_Category]]="Electronics", Table1[[#This Row],[Merchant_Category]]="Travel")), "unsafe merchant transaction", "safe merchant transaction")</f>
        <v>safe merchant transaction</v>
      </c>
    </row>
    <row r="301" spans="1:18">
      <c r="A301" t="s">
        <v>3479</v>
      </c>
      <c r="B301" t="s">
        <v>87</v>
      </c>
      <c r="C301">
        <v>1</v>
      </c>
      <c r="D301" t="s">
        <v>9</v>
      </c>
      <c r="E301" t="s">
        <v>6</v>
      </c>
      <c r="F301" s="2">
        <v>45867</v>
      </c>
      <c r="G301">
        <v>9466.9599999999991</v>
      </c>
      <c r="H301" s="1">
        <f>AVERAGEIF(Table1[Customer_ID], Table1[[#This Row],[Customer_ID]], Table1[Transaction_Amount])</f>
        <v>5156.1630909090918</v>
      </c>
      <c r="I301" t="s">
        <v>1097</v>
      </c>
      <c r="J301" t="s">
        <v>50</v>
      </c>
      <c r="K301" t="s">
        <v>10</v>
      </c>
      <c r="L301">
        <v>5</v>
      </c>
      <c r="M301" t="s">
        <v>412</v>
      </c>
      <c r="N301" t="s">
        <v>51</v>
      </c>
      <c r="O301" t="s">
        <v>392</v>
      </c>
      <c r="P301" s="6" t="str">
        <f>IF(Table1[[#This Row],[Transaction_Amount]]&lt;=Table1[[#This Row],[avg_transaction_amount]], "usual transaction", "unusual transaction")</f>
        <v>unusual transaction</v>
      </c>
      <c r="Q301" s="6" t="str">
        <f>IF(AND(Table1[[#This Row],[Country_of_Residence]]&lt;&gt;Table1[[#This Row],[Country_of_Transaction]], OR(Table1[[#This Row],[Authentication_Type]]="Biometric", Table1[[#This Row],[Authentication_Type]]="OTP")), "safe location transaction", "unsafe location transaction")</f>
        <v>safe location transaction</v>
      </c>
      <c r="R301" s="6" t="str">
        <f>IF(AND(Table1[[#This Row],[Country_of_Residence]]&lt;&gt;Table1[[#This Row],[Country_of_Transaction]], OR(Table1[[#This Row],[Merchant_Category]]="Electronics", Table1[[#This Row],[Merchant_Category]]="Travel")), "unsafe merchant transaction", "safe merchant transaction")</f>
        <v>unsafe merchant transaction</v>
      </c>
    </row>
    <row r="302" spans="1:18">
      <c r="A302" t="s">
        <v>3504</v>
      </c>
      <c r="B302" t="s">
        <v>87</v>
      </c>
      <c r="C302">
        <v>1</v>
      </c>
      <c r="D302" t="s">
        <v>15</v>
      </c>
      <c r="E302" t="s">
        <v>6</v>
      </c>
      <c r="F302" s="2">
        <v>46006</v>
      </c>
      <c r="G302">
        <v>8857.7800000000007</v>
      </c>
      <c r="H302" s="1">
        <f>AVERAGEIF(Table1[Customer_ID], Table1[[#This Row],[Customer_ID]], Table1[Transaction_Amount])</f>
        <v>5156.1630909090918</v>
      </c>
      <c r="I302" t="s">
        <v>1119</v>
      </c>
      <c r="J302" t="s">
        <v>46</v>
      </c>
      <c r="K302" t="s">
        <v>14</v>
      </c>
      <c r="L302">
        <v>3</v>
      </c>
      <c r="M302" t="s">
        <v>42</v>
      </c>
      <c r="N302" t="s">
        <v>51</v>
      </c>
      <c r="O302" t="s">
        <v>393</v>
      </c>
      <c r="P302" s="6" t="str">
        <f>IF(Table1[[#This Row],[Transaction_Amount]]&lt;=Table1[[#This Row],[avg_transaction_amount]], "usual transaction", "unusual transaction")</f>
        <v>unusual transaction</v>
      </c>
      <c r="Q302" s="6" t="str">
        <f>IF(AND(Table1[[#This Row],[Country_of_Residence]]&lt;&gt;Table1[[#This Row],[Country_of_Transaction]], OR(Table1[[#This Row],[Authentication_Type]]="Biometric", Table1[[#This Row],[Authentication_Type]]="OTP")), "safe location transaction", "unsafe location transaction")</f>
        <v>unsafe location transaction</v>
      </c>
      <c r="R302" s="6" t="str">
        <f>IF(AND(Table1[[#This Row],[Country_of_Residence]]&lt;&gt;Table1[[#This Row],[Country_of_Transaction]], OR(Table1[[#This Row],[Merchant_Category]]="Electronics", Table1[[#This Row],[Merchant_Category]]="Travel")), "unsafe merchant transaction", "safe merchant transaction")</f>
        <v>safe merchant transaction</v>
      </c>
    </row>
    <row r="303" spans="1:18">
      <c r="A303" t="s">
        <v>3564</v>
      </c>
      <c r="B303" t="s">
        <v>87</v>
      </c>
      <c r="C303">
        <v>1</v>
      </c>
      <c r="D303" t="s">
        <v>15</v>
      </c>
      <c r="E303" t="s">
        <v>420</v>
      </c>
      <c r="F303" s="2">
        <v>45957</v>
      </c>
      <c r="G303">
        <v>7146.31</v>
      </c>
      <c r="H303" s="1">
        <f>AVERAGEIF(Table1[Customer_ID], Table1[[#This Row],[Customer_ID]], Table1[Transaction_Amount])</f>
        <v>5156.1630909090918</v>
      </c>
      <c r="I303" t="s">
        <v>1177</v>
      </c>
      <c r="J303" t="s">
        <v>46</v>
      </c>
      <c r="K303" t="s">
        <v>10</v>
      </c>
      <c r="L303">
        <v>3</v>
      </c>
      <c r="M303" t="s">
        <v>51</v>
      </c>
      <c r="N303" t="s">
        <v>55</v>
      </c>
      <c r="O303" t="s">
        <v>393</v>
      </c>
      <c r="P303" s="6" t="str">
        <f>IF(Table1[[#This Row],[Transaction_Amount]]&lt;=Table1[[#This Row],[avg_transaction_amount]], "usual transaction", "unusual transaction")</f>
        <v>unusual transaction</v>
      </c>
      <c r="Q303" s="6" t="str">
        <f>IF(AND(Table1[[#This Row],[Country_of_Residence]]&lt;&gt;Table1[[#This Row],[Country_of_Transaction]], OR(Table1[[#This Row],[Authentication_Type]]="Biometric", Table1[[#This Row],[Authentication_Type]]="OTP")), "safe location transaction", "unsafe location transaction")</f>
        <v>safe location transaction</v>
      </c>
      <c r="R303" s="6" t="str">
        <f>IF(AND(Table1[[#This Row],[Country_of_Residence]]&lt;&gt;Table1[[#This Row],[Country_of_Transaction]], OR(Table1[[#This Row],[Merchant_Category]]="Electronics", Table1[[#This Row],[Merchant_Category]]="Travel")), "unsafe merchant transaction", "safe merchant transaction")</f>
        <v>safe merchant transaction</v>
      </c>
    </row>
    <row r="304" spans="1:18">
      <c r="A304" t="s">
        <v>3582</v>
      </c>
      <c r="B304" t="s">
        <v>87</v>
      </c>
      <c r="C304">
        <v>1</v>
      </c>
      <c r="D304" t="s">
        <v>15</v>
      </c>
      <c r="E304" t="s">
        <v>6</v>
      </c>
      <c r="F304" s="2">
        <v>45675</v>
      </c>
      <c r="G304">
        <v>5841.97</v>
      </c>
      <c r="H304" s="1">
        <f>AVERAGEIF(Table1[Customer_ID], Table1[[#This Row],[Customer_ID]], Table1[Transaction_Amount])</f>
        <v>5156.1630909090918</v>
      </c>
      <c r="I304" t="s">
        <v>959</v>
      </c>
      <c r="J304" t="s">
        <v>50</v>
      </c>
      <c r="K304" t="s">
        <v>8</v>
      </c>
      <c r="L304">
        <v>4</v>
      </c>
      <c r="M304" t="s">
        <v>33</v>
      </c>
      <c r="N304" t="s">
        <v>32</v>
      </c>
      <c r="O304" t="s">
        <v>393</v>
      </c>
      <c r="P304" s="6" t="str">
        <f>IF(Table1[[#This Row],[Transaction_Amount]]&lt;=Table1[[#This Row],[avg_transaction_amount]], "usual transaction", "unusual transaction")</f>
        <v>unusual transaction</v>
      </c>
      <c r="Q304" s="6" t="str">
        <f>IF(AND(Table1[[#This Row],[Country_of_Residence]]&lt;&gt;Table1[[#This Row],[Country_of_Transaction]], OR(Table1[[#This Row],[Authentication_Type]]="Biometric", Table1[[#This Row],[Authentication_Type]]="OTP")), "safe location transaction", "unsafe location transaction")</f>
        <v>safe location transaction</v>
      </c>
      <c r="R304" s="6" t="str">
        <f>IF(AND(Table1[[#This Row],[Country_of_Residence]]&lt;&gt;Table1[[#This Row],[Country_of_Transaction]], OR(Table1[[#This Row],[Merchant_Category]]="Electronics", Table1[[#This Row],[Merchant_Category]]="Travel")), "unsafe merchant transaction", "safe merchant transaction")</f>
        <v>unsafe merchant transaction</v>
      </c>
    </row>
    <row r="305" spans="1:18">
      <c r="A305" t="s">
        <v>3611</v>
      </c>
      <c r="B305" t="s">
        <v>87</v>
      </c>
      <c r="C305">
        <v>1</v>
      </c>
      <c r="D305" t="s">
        <v>15</v>
      </c>
      <c r="E305" t="s">
        <v>420</v>
      </c>
      <c r="F305" s="2">
        <v>45981</v>
      </c>
      <c r="G305">
        <v>4114.6000000000004</v>
      </c>
      <c r="H305" s="1">
        <f>AVERAGEIF(Table1[Customer_ID], Table1[[#This Row],[Customer_ID]], Table1[Transaction_Amount])</f>
        <v>5156.1630909090918</v>
      </c>
      <c r="I305" t="s">
        <v>839</v>
      </c>
      <c r="J305" t="s">
        <v>36</v>
      </c>
      <c r="K305" t="s">
        <v>10</v>
      </c>
      <c r="L305">
        <v>1</v>
      </c>
      <c r="M305" t="s">
        <v>32</v>
      </c>
      <c r="N305" t="s">
        <v>56</v>
      </c>
      <c r="O305" t="s">
        <v>393</v>
      </c>
      <c r="P305" s="6" t="str">
        <f>IF(Table1[[#This Row],[Transaction_Amount]]&lt;=Table1[[#This Row],[avg_transaction_amount]], "usual transaction", "unusual transaction")</f>
        <v>usual transaction</v>
      </c>
      <c r="Q305" s="6" t="str">
        <f>IF(AND(Table1[[#This Row],[Country_of_Residence]]&lt;&gt;Table1[[#This Row],[Country_of_Transaction]], OR(Table1[[#This Row],[Authentication_Type]]="Biometric", Table1[[#This Row],[Authentication_Type]]="OTP")), "safe location transaction", "unsafe location transaction")</f>
        <v>safe location transaction</v>
      </c>
      <c r="R305" s="6" t="str">
        <f>IF(AND(Table1[[#This Row],[Country_of_Residence]]&lt;&gt;Table1[[#This Row],[Country_of_Transaction]], OR(Table1[[#This Row],[Merchant_Category]]="Electronics", Table1[[#This Row],[Merchant_Category]]="Travel")), "unsafe merchant transaction", "safe merchant transaction")</f>
        <v>safe merchant transaction</v>
      </c>
    </row>
    <row r="306" spans="1:18">
      <c r="A306" t="s">
        <v>3671</v>
      </c>
      <c r="B306" t="s">
        <v>87</v>
      </c>
      <c r="C306">
        <v>1</v>
      </c>
      <c r="D306" t="s">
        <v>9</v>
      </c>
      <c r="E306" t="s">
        <v>6</v>
      </c>
      <c r="F306" s="2">
        <v>45803</v>
      </c>
      <c r="G306">
        <v>3428.89</v>
      </c>
      <c r="H306" s="1">
        <f>AVERAGEIF(Table1[Customer_ID], Table1[[#This Row],[Customer_ID]], Table1[Transaction_Amount])</f>
        <v>5156.1630909090918</v>
      </c>
      <c r="I306" t="s">
        <v>1272</v>
      </c>
      <c r="J306" t="s">
        <v>36</v>
      </c>
      <c r="K306" t="s">
        <v>10</v>
      </c>
      <c r="L306">
        <v>2</v>
      </c>
      <c r="M306" t="s">
        <v>56</v>
      </c>
      <c r="N306" t="s">
        <v>42</v>
      </c>
      <c r="O306" t="s">
        <v>392</v>
      </c>
      <c r="P306" s="6" t="str">
        <f>IF(Table1[[#This Row],[Transaction_Amount]]&lt;=Table1[[#This Row],[avg_transaction_amount]], "usual transaction", "unusual transaction")</f>
        <v>usual transaction</v>
      </c>
      <c r="Q306" s="6" t="str">
        <f>IF(AND(Table1[[#This Row],[Country_of_Residence]]&lt;&gt;Table1[[#This Row],[Country_of_Transaction]], OR(Table1[[#This Row],[Authentication_Type]]="Biometric", Table1[[#This Row],[Authentication_Type]]="OTP")), "safe location transaction", "unsafe location transaction")</f>
        <v>safe location transaction</v>
      </c>
      <c r="R306" s="6" t="str">
        <f>IF(AND(Table1[[#This Row],[Country_of_Residence]]&lt;&gt;Table1[[#This Row],[Country_of_Transaction]], OR(Table1[[#This Row],[Merchant_Category]]="Electronics", Table1[[#This Row],[Merchant_Category]]="Travel")), "unsafe merchant transaction", "safe merchant transaction")</f>
        <v>safe merchant transaction</v>
      </c>
    </row>
    <row r="307" spans="1:18">
      <c r="A307" t="s">
        <v>3706</v>
      </c>
      <c r="B307" t="s">
        <v>87</v>
      </c>
      <c r="C307">
        <v>1</v>
      </c>
      <c r="D307" t="s">
        <v>15</v>
      </c>
      <c r="E307" t="s">
        <v>420</v>
      </c>
      <c r="F307" s="2">
        <v>45811</v>
      </c>
      <c r="G307">
        <v>4786.5600000000004</v>
      </c>
      <c r="H307" s="1">
        <f>AVERAGEIF(Table1[Customer_ID], Table1[[#This Row],[Customer_ID]], Table1[Transaction_Amount])</f>
        <v>5156.1630909090918</v>
      </c>
      <c r="I307" t="s">
        <v>1303</v>
      </c>
      <c r="J307" t="s">
        <v>41</v>
      </c>
      <c r="K307" t="s">
        <v>8</v>
      </c>
      <c r="L307">
        <v>0</v>
      </c>
      <c r="M307" t="s">
        <v>47</v>
      </c>
      <c r="N307" t="s">
        <v>55</v>
      </c>
      <c r="O307" t="s">
        <v>393</v>
      </c>
      <c r="P307" s="6" t="str">
        <f>IF(Table1[[#This Row],[Transaction_Amount]]&lt;=Table1[[#This Row],[avg_transaction_amount]], "usual transaction", "unusual transaction")</f>
        <v>usual transaction</v>
      </c>
      <c r="Q307" s="6" t="str">
        <f>IF(AND(Table1[[#This Row],[Country_of_Residence]]&lt;&gt;Table1[[#This Row],[Country_of_Transaction]], OR(Table1[[#This Row],[Authentication_Type]]="Biometric", Table1[[#This Row],[Authentication_Type]]="OTP")), "safe location transaction", "unsafe location transaction")</f>
        <v>safe location transaction</v>
      </c>
      <c r="R307" s="6" t="str">
        <f>IF(AND(Table1[[#This Row],[Country_of_Residence]]&lt;&gt;Table1[[#This Row],[Country_of_Transaction]], OR(Table1[[#This Row],[Merchant_Category]]="Electronics", Table1[[#This Row],[Merchant_Category]]="Travel")), "unsafe merchant transaction", "safe merchant transaction")</f>
        <v>safe merchant transaction</v>
      </c>
    </row>
    <row r="308" spans="1:18">
      <c r="A308" t="s">
        <v>3768</v>
      </c>
      <c r="B308" t="s">
        <v>87</v>
      </c>
      <c r="C308">
        <v>1</v>
      </c>
      <c r="D308" t="s">
        <v>9</v>
      </c>
      <c r="E308" t="s">
        <v>420</v>
      </c>
      <c r="F308" s="2">
        <v>45853</v>
      </c>
      <c r="G308">
        <v>986.91</v>
      </c>
      <c r="H308" s="1">
        <f>AVERAGEIF(Table1[Customer_ID], Table1[[#This Row],[Customer_ID]], Table1[Transaction_Amount])</f>
        <v>5156.1630909090918</v>
      </c>
      <c r="I308" t="s">
        <v>1358</v>
      </c>
      <c r="J308" t="s">
        <v>46</v>
      </c>
      <c r="K308" t="s">
        <v>14</v>
      </c>
      <c r="L308">
        <v>1</v>
      </c>
      <c r="M308" t="s">
        <v>32</v>
      </c>
      <c r="N308" t="s">
        <v>37</v>
      </c>
      <c r="O308" t="s">
        <v>393</v>
      </c>
      <c r="P308" s="6" t="str">
        <f>IF(Table1[[#This Row],[Transaction_Amount]]&lt;=Table1[[#This Row],[avg_transaction_amount]], "usual transaction", "unusual transaction")</f>
        <v>usual transaction</v>
      </c>
      <c r="Q308" s="6" t="str">
        <f>IF(AND(Table1[[#This Row],[Country_of_Residence]]&lt;&gt;Table1[[#This Row],[Country_of_Transaction]], OR(Table1[[#This Row],[Authentication_Type]]="Biometric", Table1[[#This Row],[Authentication_Type]]="OTP")), "safe location transaction", "unsafe location transaction")</f>
        <v>unsafe location transaction</v>
      </c>
      <c r="R308" s="6" t="str">
        <f>IF(AND(Table1[[#This Row],[Country_of_Residence]]&lt;&gt;Table1[[#This Row],[Country_of_Transaction]], OR(Table1[[#This Row],[Merchant_Category]]="Electronics", Table1[[#This Row],[Merchant_Category]]="Travel")), "unsafe merchant transaction", "safe merchant transaction")</f>
        <v>safe merchant transaction</v>
      </c>
    </row>
    <row r="309" spans="1:18">
      <c r="A309" t="s">
        <v>3984</v>
      </c>
      <c r="B309" t="s">
        <v>87</v>
      </c>
      <c r="C309">
        <v>1</v>
      </c>
      <c r="D309" t="s">
        <v>9</v>
      </c>
      <c r="E309" t="s">
        <v>3</v>
      </c>
      <c r="F309" s="2">
        <v>45936</v>
      </c>
      <c r="G309">
        <v>991.02</v>
      </c>
      <c r="H309" s="1">
        <f>AVERAGEIF(Table1[Customer_ID], Table1[[#This Row],[Customer_ID]], Table1[Transaction_Amount])</f>
        <v>5156.1630909090918</v>
      </c>
      <c r="I309" t="s">
        <v>1543</v>
      </c>
      <c r="J309" t="s">
        <v>46</v>
      </c>
      <c r="K309" t="s">
        <v>10</v>
      </c>
      <c r="L309">
        <v>5</v>
      </c>
      <c r="M309" t="s">
        <v>55</v>
      </c>
      <c r="N309" t="s">
        <v>47</v>
      </c>
      <c r="O309" t="s">
        <v>392</v>
      </c>
      <c r="P309" s="6" t="str">
        <f>IF(Table1[[#This Row],[Transaction_Amount]]&lt;=Table1[[#This Row],[avg_transaction_amount]], "usual transaction", "unusual transaction")</f>
        <v>usual transaction</v>
      </c>
      <c r="Q309" s="6" t="str">
        <f>IF(AND(Table1[[#This Row],[Country_of_Residence]]&lt;&gt;Table1[[#This Row],[Country_of_Transaction]], OR(Table1[[#This Row],[Authentication_Type]]="Biometric", Table1[[#This Row],[Authentication_Type]]="OTP")), "safe location transaction", "unsafe location transaction")</f>
        <v>safe location transaction</v>
      </c>
      <c r="R309" s="6" t="str">
        <f>IF(AND(Table1[[#This Row],[Country_of_Residence]]&lt;&gt;Table1[[#This Row],[Country_of_Transaction]], OR(Table1[[#This Row],[Merchant_Category]]="Electronics", Table1[[#This Row],[Merchant_Category]]="Travel")), "unsafe merchant transaction", "safe merchant transaction")</f>
        <v>safe merchant transaction</v>
      </c>
    </row>
    <row r="310" spans="1:18">
      <c r="A310" t="s">
        <v>4061</v>
      </c>
      <c r="B310" t="s">
        <v>87</v>
      </c>
      <c r="C310">
        <v>1</v>
      </c>
      <c r="D310" t="s">
        <v>9</v>
      </c>
      <c r="E310" t="s">
        <v>3</v>
      </c>
      <c r="F310" s="2">
        <v>45982</v>
      </c>
      <c r="G310">
        <v>6106.54</v>
      </c>
      <c r="H310" s="1">
        <f>AVERAGEIF(Table1[Customer_ID], Table1[[#This Row],[Customer_ID]], Table1[Transaction_Amount])</f>
        <v>5156.1630909090918</v>
      </c>
      <c r="I310" t="s">
        <v>1612</v>
      </c>
      <c r="J310" t="s">
        <v>31</v>
      </c>
      <c r="K310" t="s">
        <v>12</v>
      </c>
      <c r="L310">
        <v>1</v>
      </c>
      <c r="M310" t="s">
        <v>32</v>
      </c>
      <c r="N310" t="s">
        <v>47</v>
      </c>
      <c r="O310" t="s">
        <v>393</v>
      </c>
      <c r="P310" s="6" t="str">
        <f>IF(Table1[[#This Row],[Transaction_Amount]]&lt;=Table1[[#This Row],[avg_transaction_amount]], "usual transaction", "unusual transaction")</f>
        <v>unusual transaction</v>
      </c>
      <c r="Q310" s="6" t="str">
        <f>IF(AND(Table1[[#This Row],[Country_of_Residence]]&lt;&gt;Table1[[#This Row],[Country_of_Transaction]], OR(Table1[[#This Row],[Authentication_Type]]="Biometric", Table1[[#This Row],[Authentication_Type]]="OTP")), "safe location transaction", "unsafe location transaction")</f>
        <v>unsafe location transaction</v>
      </c>
      <c r="R310" s="6" t="str">
        <f>IF(AND(Table1[[#This Row],[Country_of_Residence]]&lt;&gt;Table1[[#This Row],[Country_of_Transaction]], OR(Table1[[#This Row],[Merchant_Category]]="Electronics", Table1[[#This Row],[Merchant_Category]]="Travel")), "unsafe merchant transaction", "safe merchant transaction")</f>
        <v>safe merchant transaction</v>
      </c>
    </row>
    <row r="311" spans="1:18">
      <c r="A311" t="s">
        <v>4065</v>
      </c>
      <c r="B311" t="s">
        <v>87</v>
      </c>
      <c r="C311">
        <v>1</v>
      </c>
      <c r="D311" t="s">
        <v>9</v>
      </c>
      <c r="E311" t="s">
        <v>6</v>
      </c>
      <c r="F311" s="2">
        <v>45830</v>
      </c>
      <c r="G311">
        <v>2880.28</v>
      </c>
      <c r="H311" s="1">
        <f>AVERAGEIF(Table1[Customer_ID], Table1[[#This Row],[Customer_ID]], Table1[Transaction_Amount])</f>
        <v>5156.1630909090918</v>
      </c>
      <c r="I311" t="s">
        <v>1319</v>
      </c>
      <c r="J311" t="s">
        <v>46</v>
      </c>
      <c r="K311" t="s">
        <v>12</v>
      </c>
      <c r="L311">
        <v>4</v>
      </c>
      <c r="M311" t="s">
        <v>37</v>
      </c>
      <c r="N311" t="s">
        <v>56</v>
      </c>
      <c r="O311" t="s">
        <v>392</v>
      </c>
      <c r="P311" s="6" t="str">
        <f>IF(Table1[[#This Row],[Transaction_Amount]]&lt;=Table1[[#This Row],[avg_transaction_amount]], "usual transaction", "unusual transaction")</f>
        <v>usual transaction</v>
      </c>
      <c r="Q311" s="6" t="str">
        <f>IF(AND(Table1[[#This Row],[Country_of_Residence]]&lt;&gt;Table1[[#This Row],[Country_of_Transaction]], OR(Table1[[#This Row],[Authentication_Type]]="Biometric", Table1[[#This Row],[Authentication_Type]]="OTP")), "safe location transaction", "unsafe location transaction")</f>
        <v>unsafe location transaction</v>
      </c>
      <c r="R311" s="6" t="str">
        <f>IF(AND(Table1[[#This Row],[Country_of_Residence]]&lt;&gt;Table1[[#This Row],[Country_of_Transaction]], OR(Table1[[#This Row],[Merchant_Category]]="Electronics", Table1[[#This Row],[Merchant_Category]]="Travel")), "unsafe merchant transaction", "safe merchant transaction")</f>
        <v>safe merchant transaction</v>
      </c>
    </row>
    <row r="312" spans="1:18">
      <c r="A312" t="s">
        <v>4134</v>
      </c>
      <c r="B312" t="s">
        <v>87</v>
      </c>
      <c r="C312">
        <v>1</v>
      </c>
      <c r="D312" t="s">
        <v>9</v>
      </c>
      <c r="E312" t="s">
        <v>5</v>
      </c>
      <c r="F312" s="2">
        <v>45811</v>
      </c>
      <c r="G312">
        <v>784.57</v>
      </c>
      <c r="H312" s="1">
        <f>AVERAGEIF(Table1[Customer_ID], Table1[[#This Row],[Customer_ID]], Table1[Transaction_Amount])</f>
        <v>5156.1630909090918</v>
      </c>
      <c r="I312" t="s">
        <v>1666</v>
      </c>
      <c r="J312" t="s">
        <v>46</v>
      </c>
      <c r="K312" t="s">
        <v>14</v>
      </c>
      <c r="L312">
        <v>0</v>
      </c>
      <c r="M312" t="s">
        <v>47</v>
      </c>
      <c r="N312" t="s">
        <v>33</v>
      </c>
      <c r="O312" t="s">
        <v>393</v>
      </c>
      <c r="P312" s="6" t="str">
        <f>IF(Table1[[#This Row],[Transaction_Amount]]&lt;=Table1[[#This Row],[avg_transaction_amount]], "usual transaction", "unusual transaction")</f>
        <v>usual transaction</v>
      </c>
      <c r="Q312" s="6" t="str">
        <f>IF(AND(Table1[[#This Row],[Country_of_Residence]]&lt;&gt;Table1[[#This Row],[Country_of_Transaction]], OR(Table1[[#This Row],[Authentication_Type]]="Biometric", Table1[[#This Row],[Authentication_Type]]="OTP")), "safe location transaction", "unsafe location transaction")</f>
        <v>unsafe location transaction</v>
      </c>
      <c r="R312" s="6" t="str">
        <f>IF(AND(Table1[[#This Row],[Country_of_Residence]]&lt;&gt;Table1[[#This Row],[Country_of_Transaction]], OR(Table1[[#This Row],[Merchant_Category]]="Electronics", Table1[[#This Row],[Merchant_Category]]="Travel")), "unsafe merchant transaction", "safe merchant transaction")</f>
        <v>safe merchant transaction</v>
      </c>
    </row>
    <row r="313" spans="1:18">
      <c r="A313" t="s">
        <v>4141</v>
      </c>
      <c r="B313" t="s">
        <v>87</v>
      </c>
      <c r="C313">
        <v>1</v>
      </c>
      <c r="D313" t="s">
        <v>15</v>
      </c>
      <c r="E313" t="s">
        <v>420</v>
      </c>
      <c r="F313" s="2">
        <v>45794</v>
      </c>
      <c r="G313">
        <v>6105.09</v>
      </c>
      <c r="H313" s="1">
        <f>AVERAGEIF(Table1[Customer_ID], Table1[[#This Row],[Customer_ID]], Table1[Transaction_Amount])</f>
        <v>5156.1630909090918</v>
      </c>
      <c r="I313" t="s">
        <v>1671</v>
      </c>
      <c r="J313" t="s">
        <v>46</v>
      </c>
      <c r="K313" t="s">
        <v>8</v>
      </c>
      <c r="L313">
        <v>2</v>
      </c>
      <c r="M313" t="s">
        <v>33</v>
      </c>
      <c r="N313" t="s">
        <v>32</v>
      </c>
      <c r="O313" t="s">
        <v>393</v>
      </c>
      <c r="P313" s="6" t="str">
        <f>IF(Table1[[#This Row],[Transaction_Amount]]&lt;=Table1[[#This Row],[avg_transaction_amount]], "usual transaction", "unusual transaction")</f>
        <v>unusual transaction</v>
      </c>
      <c r="Q313" s="6" t="str">
        <f>IF(AND(Table1[[#This Row],[Country_of_Residence]]&lt;&gt;Table1[[#This Row],[Country_of_Transaction]], OR(Table1[[#This Row],[Authentication_Type]]="Biometric", Table1[[#This Row],[Authentication_Type]]="OTP")), "safe location transaction", "unsafe location transaction")</f>
        <v>safe location transaction</v>
      </c>
      <c r="R313" s="6" t="str">
        <f>IF(AND(Table1[[#This Row],[Country_of_Residence]]&lt;&gt;Table1[[#This Row],[Country_of_Transaction]], OR(Table1[[#This Row],[Merchant_Category]]="Electronics", Table1[[#This Row],[Merchant_Category]]="Travel")), "unsafe merchant transaction", "safe merchant transaction")</f>
        <v>safe merchant transaction</v>
      </c>
    </row>
    <row r="314" spans="1:18">
      <c r="A314" t="s">
        <v>4146</v>
      </c>
      <c r="B314" t="s">
        <v>87</v>
      </c>
      <c r="C314">
        <v>1</v>
      </c>
      <c r="D314" t="s">
        <v>9</v>
      </c>
      <c r="E314" t="s">
        <v>5</v>
      </c>
      <c r="F314" s="2">
        <v>45661</v>
      </c>
      <c r="G314">
        <v>1405.68</v>
      </c>
      <c r="H314" s="1">
        <f>AVERAGEIF(Table1[Customer_ID], Table1[[#This Row],[Customer_ID]], Table1[Transaction_Amount])</f>
        <v>5156.1630909090918</v>
      </c>
      <c r="I314" t="s">
        <v>1674</v>
      </c>
      <c r="J314" t="s">
        <v>31</v>
      </c>
      <c r="K314" t="s">
        <v>14</v>
      </c>
      <c r="L314">
        <v>4</v>
      </c>
      <c r="M314" t="s">
        <v>412</v>
      </c>
      <c r="N314" t="s">
        <v>32</v>
      </c>
      <c r="O314" t="s">
        <v>392</v>
      </c>
      <c r="P314" s="6" t="str">
        <f>IF(Table1[[#This Row],[Transaction_Amount]]&lt;=Table1[[#This Row],[avg_transaction_amount]], "usual transaction", "unusual transaction")</f>
        <v>usual transaction</v>
      </c>
      <c r="Q314" s="6" t="str">
        <f>IF(AND(Table1[[#This Row],[Country_of_Residence]]&lt;&gt;Table1[[#This Row],[Country_of_Transaction]], OR(Table1[[#This Row],[Authentication_Type]]="Biometric", Table1[[#This Row],[Authentication_Type]]="OTP")), "safe location transaction", "unsafe location transaction")</f>
        <v>unsafe location transaction</v>
      </c>
      <c r="R314" s="6" t="str">
        <f>IF(AND(Table1[[#This Row],[Country_of_Residence]]&lt;&gt;Table1[[#This Row],[Country_of_Transaction]], OR(Table1[[#This Row],[Merchant_Category]]="Electronics", Table1[[#This Row],[Merchant_Category]]="Travel")), "unsafe merchant transaction", "safe merchant transaction")</f>
        <v>safe merchant transaction</v>
      </c>
    </row>
    <row r="315" spans="1:18">
      <c r="A315" t="s">
        <v>4159</v>
      </c>
      <c r="B315" t="s">
        <v>87</v>
      </c>
      <c r="C315">
        <v>1</v>
      </c>
      <c r="D315" t="s">
        <v>9</v>
      </c>
      <c r="E315" t="s">
        <v>5</v>
      </c>
      <c r="F315" s="2">
        <v>45688</v>
      </c>
      <c r="G315">
        <v>6685.27</v>
      </c>
      <c r="H315" s="1">
        <f>AVERAGEIF(Table1[Customer_ID], Table1[[#This Row],[Customer_ID]], Table1[Transaction_Amount])</f>
        <v>5156.1630909090918</v>
      </c>
      <c r="I315" t="s">
        <v>1686</v>
      </c>
      <c r="J315" t="s">
        <v>36</v>
      </c>
      <c r="K315" t="s">
        <v>10</v>
      </c>
      <c r="L315">
        <v>0</v>
      </c>
      <c r="M315" t="s">
        <v>51</v>
      </c>
      <c r="N315" t="s">
        <v>32</v>
      </c>
      <c r="O315" t="s">
        <v>393</v>
      </c>
      <c r="P315" s="6" t="str">
        <f>IF(Table1[[#This Row],[Transaction_Amount]]&lt;=Table1[[#This Row],[avg_transaction_amount]], "usual transaction", "unusual transaction")</f>
        <v>unusual transaction</v>
      </c>
      <c r="Q315" s="6" t="str">
        <f>IF(AND(Table1[[#This Row],[Country_of_Residence]]&lt;&gt;Table1[[#This Row],[Country_of_Transaction]], OR(Table1[[#This Row],[Authentication_Type]]="Biometric", Table1[[#This Row],[Authentication_Type]]="OTP")), "safe location transaction", "unsafe location transaction")</f>
        <v>safe location transaction</v>
      </c>
      <c r="R315" s="6" t="str">
        <f>IF(AND(Table1[[#This Row],[Country_of_Residence]]&lt;&gt;Table1[[#This Row],[Country_of_Transaction]], OR(Table1[[#This Row],[Merchant_Category]]="Electronics", Table1[[#This Row],[Merchant_Category]]="Travel")), "unsafe merchant transaction", "safe merchant transaction")</f>
        <v>safe merchant transaction</v>
      </c>
    </row>
    <row r="316" spans="1:18">
      <c r="A316" t="s">
        <v>4248</v>
      </c>
      <c r="B316" t="s">
        <v>87</v>
      </c>
      <c r="C316">
        <v>1</v>
      </c>
      <c r="D316" t="s">
        <v>15</v>
      </c>
      <c r="E316" t="s">
        <v>5</v>
      </c>
      <c r="F316" s="2">
        <v>45907</v>
      </c>
      <c r="G316">
        <v>9418.5400000000009</v>
      </c>
      <c r="H316" s="1">
        <f>AVERAGEIF(Table1[Customer_ID], Table1[[#This Row],[Customer_ID]], Table1[Transaction_Amount])</f>
        <v>5156.1630909090918</v>
      </c>
      <c r="I316" t="s">
        <v>1763</v>
      </c>
      <c r="J316" t="s">
        <v>31</v>
      </c>
      <c r="K316" t="s">
        <v>12</v>
      </c>
      <c r="L316">
        <v>2</v>
      </c>
      <c r="M316" t="s">
        <v>42</v>
      </c>
      <c r="N316" t="s">
        <v>412</v>
      </c>
      <c r="O316" t="s">
        <v>392</v>
      </c>
      <c r="P316" s="6" t="str">
        <f>IF(Table1[[#This Row],[Transaction_Amount]]&lt;=Table1[[#This Row],[avg_transaction_amount]], "usual transaction", "unusual transaction")</f>
        <v>unusual transaction</v>
      </c>
      <c r="Q316" s="6" t="str">
        <f>IF(AND(Table1[[#This Row],[Country_of_Residence]]&lt;&gt;Table1[[#This Row],[Country_of_Transaction]], OR(Table1[[#This Row],[Authentication_Type]]="Biometric", Table1[[#This Row],[Authentication_Type]]="OTP")), "safe location transaction", "unsafe location transaction")</f>
        <v>unsafe location transaction</v>
      </c>
      <c r="R316" s="6" t="str">
        <f>IF(AND(Table1[[#This Row],[Country_of_Residence]]&lt;&gt;Table1[[#This Row],[Country_of_Transaction]], OR(Table1[[#This Row],[Merchant_Category]]="Electronics", Table1[[#This Row],[Merchant_Category]]="Travel")), "unsafe merchant transaction", "safe merchant transaction")</f>
        <v>safe merchant transaction</v>
      </c>
    </row>
    <row r="317" spans="1:18">
      <c r="A317" t="s">
        <v>4343</v>
      </c>
      <c r="B317" t="s">
        <v>87</v>
      </c>
      <c r="C317">
        <v>1</v>
      </c>
      <c r="D317" t="s">
        <v>9</v>
      </c>
      <c r="E317" t="s">
        <v>3</v>
      </c>
      <c r="F317" s="2">
        <v>45918</v>
      </c>
      <c r="G317">
        <v>1136.1099999999999</v>
      </c>
      <c r="H317" s="1">
        <f>AVERAGEIF(Table1[Customer_ID], Table1[[#This Row],[Customer_ID]], Table1[Transaction_Amount])</f>
        <v>5156.1630909090918</v>
      </c>
      <c r="I317" t="s">
        <v>1849</v>
      </c>
      <c r="J317" t="s">
        <v>36</v>
      </c>
      <c r="K317" t="s">
        <v>8</v>
      </c>
      <c r="L317">
        <v>1</v>
      </c>
      <c r="M317" t="s">
        <v>42</v>
      </c>
      <c r="N317" t="s">
        <v>32</v>
      </c>
      <c r="O317" t="s">
        <v>392</v>
      </c>
      <c r="P317" s="6" t="str">
        <f>IF(Table1[[#This Row],[Transaction_Amount]]&lt;=Table1[[#This Row],[avg_transaction_amount]], "usual transaction", "unusual transaction")</f>
        <v>usual transaction</v>
      </c>
      <c r="Q317" s="6" t="str">
        <f>IF(AND(Table1[[#This Row],[Country_of_Residence]]&lt;&gt;Table1[[#This Row],[Country_of_Transaction]], OR(Table1[[#This Row],[Authentication_Type]]="Biometric", Table1[[#This Row],[Authentication_Type]]="OTP")), "safe location transaction", "unsafe location transaction")</f>
        <v>safe location transaction</v>
      </c>
      <c r="R317" s="6" t="str">
        <f>IF(AND(Table1[[#This Row],[Country_of_Residence]]&lt;&gt;Table1[[#This Row],[Country_of_Transaction]], OR(Table1[[#This Row],[Merchant_Category]]="Electronics", Table1[[#This Row],[Merchant_Category]]="Travel")), "unsafe merchant transaction", "safe merchant transaction")</f>
        <v>safe merchant transaction</v>
      </c>
    </row>
    <row r="318" spans="1:18">
      <c r="A318" t="s">
        <v>4348</v>
      </c>
      <c r="B318" t="s">
        <v>87</v>
      </c>
      <c r="C318">
        <v>1</v>
      </c>
      <c r="D318" t="s">
        <v>9</v>
      </c>
      <c r="E318" t="s">
        <v>3</v>
      </c>
      <c r="F318" s="2">
        <v>46004</v>
      </c>
      <c r="G318">
        <v>6532.88</v>
      </c>
      <c r="H318" s="1">
        <f>AVERAGEIF(Table1[Customer_ID], Table1[[#This Row],[Customer_ID]], Table1[Transaction_Amount])</f>
        <v>5156.1630909090918</v>
      </c>
      <c r="I318" t="s">
        <v>1854</v>
      </c>
      <c r="J318" t="s">
        <v>50</v>
      </c>
      <c r="K318" t="s">
        <v>14</v>
      </c>
      <c r="L318">
        <v>4</v>
      </c>
      <c r="M318" t="s">
        <v>33</v>
      </c>
      <c r="N318" t="s">
        <v>51</v>
      </c>
      <c r="O318" t="s">
        <v>392</v>
      </c>
      <c r="P318" s="6" t="str">
        <f>IF(Table1[[#This Row],[Transaction_Amount]]&lt;=Table1[[#This Row],[avg_transaction_amount]], "usual transaction", "unusual transaction")</f>
        <v>unusual transaction</v>
      </c>
      <c r="Q318" s="6" t="str">
        <f>IF(AND(Table1[[#This Row],[Country_of_Residence]]&lt;&gt;Table1[[#This Row],[Country_of_Transaction]], OR(Table1[[#This Row],[Authentication_Type]]="Biometric", Table1[[#This Row],[Authentication_Type]]="OTP")), "safe location transaction", "unsafe location transaction")</f>
        <v>unsafe location transaction</v>
      </c>
      <c r="R318" s="6" t="str">
        <f>IF(AND(Table1[[#This Row],[Country_of_Residence]]&lt;&gt;Table1[[#This Row],[Country_of_Transaction]], OR(Table1[[#This Row],[Merchant_Category]]="Electronics", Table1[[#This Row],[Merchant_Category]]="Travel")), "unsafe merchant transaction", "safe merchant transaction")</f>
        <v>unsafe merchant transaction</v>
      </c>
    </row>
    <row r="319" spans="1:18">
      <c r="A319" t="s">
        <v>4382</v>
      </c>
      <c r="B319" t="s">
        <v>87</v>
      </c>
      <c r="C319">
        <v>1</v>
      </c>
      <c r="D319" t="s">
        <v>15</v>
      </c>
      <c r="E319" t="s">
        <v>6</v>
      </c>
      <c r="F319" s="2">
        <v>45810</v>
      </c>
      <c r="G319">
        <v>940.18</v>
      </c>
      <c r="H319" s="1">
        <f>AVERAGEIF(Table1[Customer_ID], Table1[[#This Row],[Customer_ID]], Table1[Transaction_Amount])</f>
        <v>5156.1630909090918</v>
      </c>
      <c r="I319" t="s">
        <v>1882</v>
      </c>
      <c r="J319" t="s">
        <v>46</v>
      </c>
      <c r="K319" t="s">
        <v>10</v>
      </c>
      <c r="L319">
        <v>5</v>
      </c>
      <c r="M319" t="s">
        <v>47</v>
      </c>
      <c r="N319" t="s">
        <v>32</v>
      </c>
      <c r="O319" t="s">
        <v>393</v>
      </c>
      <c r="P319" s="6" t="str">
        <f>IF(Table1[[#This Row],[Transaction_Amount]]&lt;=Table1[[#This Row],[avg_transaction_amount]], "usual transaction", "unusual transaction")</f>
        <v>usual transaction</v>
      </c>
      <c r="Q319" s="6" t="str">
        <f>IF(AND(Table1[[#This Row],[Country_of_Residence]]&lt;&gt;Table1[[#This Row],[Country_of_Transaction]], OR(Table1[[#This Row],[Authentication_Type]]="Biometric", Table1[[#This Row],[Authentication_Type]]="OTP")), "safe location transaction", "unsafe location transaction")</f>
        <v>safe location transaction</v>
      </c>
      <c r="R319" s="6" t="str">
        <f>IF(AND(Table1[[#This Row],[Country_of_Residence]]&lt;&gt;Table1[[#This Row],[Country_of_Transaction]], OR(Table1[[#This Row],[Merchant_Category]]="Electronics", Table1[[#This Row],[Merchant_Category]]="Travel")), "unsafe merchant transaction", "safe merchant transaction")</f>
        <v>safe merchant transaction</v>
      </c>
    </row>
    <row r="320" spans="1:18">
      <c r="A320" t="s">
        <v>4496</v>
      </c>
      <c r="B320" t="s">
        <v>87</v>
      </c>
      <c r="C320">
        <v>1</v>
      </c>
      <c r="D320" t="s">
        <v>9</v>
      </c>
      <c r="E320" t="s">
        <v>3</v>
      </c>
      <c r="F320" s="2">
        <v>45967</v>
      </c>
      <c r="G320">
        <v>2716.45</v>
      </c>
      <c r="H320" s="1">
        <f>AVERAGEIF(Table1[Customer_ID], Table1[[#This Row],[Customer_ID]], Table1[Transaction_Amount])</f>
        <v>5156.1630909090918</v>
      </c>
      <c r="I320" t="s">
        <v>1983</v>
      </c>
      <c r="J320" t="s">
        <v>41</v>
      </c>
      <c r="K320" t="s">
        <v>10</v>
      </c>
      <c r="L320">
        <v>2</v>
      </c>
      <c r="M320" t="s">
        <v>51</v>
      </c>
      <c r="N320" t="s">
        <v>33</v>
      </c>
      <c r="O320" t="s">
        <v>392</v>
      </c>
      <c r="P320" s="6" t="str">
        <f>IF(Table1[[#This Row],[Transaction_Amount]]&lt;=Table1[[#This Row],[avg_transaction_amount]], "usual transaction", "unusual transaction")</f>
        <v>usual transaction</v>
      </c>
      <c r="Q320" s="6" t="str">
        <f>IF(AND(Table1[[#This Row],[Country_of_Residence]]&lt;&gt;Table1[[#This Row],[Country_of_Transaction]], OR(Table1[[#This Row],[Authentication_Type]]="Biometric", Table1[[#This Row],[Authentication_Type]]="OTP")), "safe location transaction", "unsafe location transaction")</f>
        <v>safe location transaction</v>
      </c>
      <c r="R320" s="6" t="str">
        <f>IF(AND(Table1[[#This Row],[Country_of_Residence]]&lt;&gt;Table1[[#This Row],[Country_of_Transaction]], OR(Table1[[#This Row],[Merchant_Category]]="Electronics", Table1[[#This Row],[Merchant_Category]]="Travel")), "unsafe merchant transaction", "safe merchant transaction")</f>
        <v>safe merchant transaction</v>
      </c>
    </row>
    <row r="321" spans="1:18">
      <c r="A321" t="s">
        <v>4544</v>
      </c>
      <c r="B321" t="s">
        <v>87</v>
      </c>
      <c r="C321">
        <v>1</v>
      </c>
      <c r="D321" t="s">
        <v>15</v>
      </c>
      <c r="E321" t="s">
        <v>420</v>
      </c>
      <c r="F321" s="2">
        <v>45823</v>
      </c>
      <c r="G321">
        <v>3872.7</v>
      </c>
      <c r="H321" s="1">
        <f>AVERAGEIF(Table1[Customer_ID], Table1[[#This Row],[Customer_ID]], Table1[Transaction_Amount])</f>
        <v>5156.1630909090918</v>
      </c>
      <c r="I321" t="s">
        <v>2023</v>
      </c>
      <c r="J321" t="s">
        <v>36</v>
      </c>
      <c r="K321" t="s">
        <v>8</v>
      </c>
      <c r="L321">
        <v>2</v>
      </c>
      <c r="M321" t="s">
        <v>51</v>
      </c>
      <c r="N321" t="s">
        <v>47</v>
      </c>
      <c r="O321" t="s">
        <v>393</v>
      </c>
      <c r="P321" s="6" t="str">
        <f>IF(Table1[[#This Row],[Transaction_Amount]]&lt;=Table1[[#This Row],[avg_transaction_amount]], "usual transaction", "unusual transaction")</f>
        <v>usual transaction</v>
      </c>
      <c r="Q321" s="6" t="str">
        <f>IF(AND(Table1[[#This Row],[Country_of_Residence]]&lt;&gt;Table1[[#This Row],[Country_of_Transaction]], OR(Table1[[#This Row],[Authentication_Type]]="Biometric", Table1[[#This Row],[Authentication_Type]]="OTP")), "safe location transaction", "unsafe location transaction")</f>
        <v>safe location transaction</v>
      </c>
      <c r="R321" s="6" t="str">
        <f>IF(AND(Table1[[#This Row],[Country_of_Residence]]&lt;&gt;Table1[[#This Row],[Country_of_Transaction]], OR(Table1[[#This Row],[Merchant_Category]]="Electronics", Table1[[#This Row],[Merchant_Category]]="Travel")), "unsafe merchant transaction", "safe merchant transaction")</f>
        <v>safe merchant transaction</v>
      </c>
    </row>
    <row r="322" spans="1:18">
      <c r="A322" t="s">
        <v>4659</v>
      </c>
      <c r="B322" t="s">
        <v>87</v>
      </c>
      <c r="C322">
        <v>1</v>
      </c>
      <c r="D322" t="s">
        <v>15</v>
      </c>
      <c r="E322" t="s">
        <v>6</v>
      </c>
      <c r="F322" s="2">
        <v>46020</v>
      </c>
      <c r="G322">
        <v>6056.84</v>
      </c>
      <c r="H322" s="1">
        <f>AVERAGEIF(Table1[Customer_ID], Table1[[#This Row],[Customer_ID]], Table1[Transaction_Amount])</f>
        <v>5156.1630909090918</v>
      </c>
      <c r="I322" t="s">
        <v>2117</v>
      </c>
      <c r="J322" t="s">
        <v>36</v>
      </c>
      <c r="K322" t="s">
        <v>10</v>
      </c>
      <c r="L322">
        <v>3</v>
      </c>
      <c r="M322" t="s">
        <v>42</v>
      </c>
      <c r="N322" t="s">
        <v>42</v>
      </c>
      <c r="O322" t="s">
        <v>393</v>
      </c>
      <c r="P322" s="6" t="str">
        <f>IF(Table1[[#This Row],[Transaction_Amount]]&lt;=Table1[[#This Row],[avg_transaction_amount]], "usual transaction", "unusual transaction")</f>
        <v>unusual transaction</v>
      </c>
      <c r="Q322" s="6" t="str">
        <f>IF(AND(Table1[[#This Row],[Country_of_Residence]]&lt;&gt;Table1[[#This Row],[Country_of_Transaction]], OR(Table1[[#This Row],[Authentication_Type]]="Biometric", Table1[[#This Row],[Authentication_Type]]="OTP")), "safe location transaction", "unsafe location transaction")</f>
        <v>unsafe location transaction</v>
      </c>
      <c r="R322" s="6" t="str">
        <f>IF(AND(Table1[[#This Row],[Country_of_Residence]]&lt;&gt;Table1[[#This Row],[Country_of_Transaction]], OR(Table1[[#This Row],[Merchant_Category]]="Electronics", Table1[[#This Row],[Merchant_Category]]="Travel")), "unsafe merchant transaction", "safe merchant transaction")</f>
        <v>safe merchant transaction</v>
      </c>
    </row>
    <row r="323" spans="1:18">
      <c r="A323" t="s">
        <v>4719</v>
      </c>
      <c r="B323" t="s">
        <v>87</v>
      </c>
      <c r="C323">
        <v>1</v>
      </c>
      <c r="D323" t="s">
        <v>9</v>
      </c>
      <c r="E323" t="s">
        <v>6</v>
      </c>
      <c r="F323" s="2">
        <v>45753</v>
      </c>
      <c r="G323">
        <v>9498.5400000000009</v>
      </c>
      <c r="H323" s="1">
        <f>AVERAGEIF(Table1[Customer_ID], Table1[[#This Row],[Customer_ID]], Table1[Transaction_Amount])</f>
        <v>5156.1630909090918</v>
      </c>
      <c r="I323" t="s">
        <v>1366</v>
      </c>
      <c r="J323" t="s">
        <v>41</v>
      </c>
      <c r="K323" t="s">
        <v>10</v>
      </c>
      <c r="L323">
        <v>3</v>
      </c>
      <c r="M323" t="s">
        <v>37</v>
      </c>
      <c r="N323" t="s">
        <v>55</v>
      </c>
      <c r="O323" t="s">
        <v>393</v>
      </c>
      <c r="P323" s="6" t="str">
        <f>IF(Table1[[#This Row],[Transaction_Amount]]&lt;=Table1[[#This Row],[avg_transaction_amount]], "usual transaction", "unusual transaction")</f>
        <v>unusual transaction</v>
      </c>
      <c r="Q323" s="6" t="str">
        <f>IF(AND(Table1[[#This Row],[Country_of_Residence]]&lt;&gt;Table1[[#This Row],[Country_of_Transaction]], OR(Table1[[#This Row],[Authentication_Type]]="Biometric", Table1[[#This Row],[Authentication_Type]]="OTP")), "safe location transaction", "unsafe location transaction")</f>
        <v>safe location transaction</v>
      </c>
      <c r="R323" s="6" t="str">
        <f>IF(AND(Table1[[#This Row],[Country_of_Residence]]&lt;&gt;Table1[[#This Row],[Country_of_Transaction]], OR(Table1[[#This Row],[Merchant_Category]]="Electronics", Table1[[#This Row],[Merchant_Category]]="Travel")), "unsafe merchant transaction", "safe merchant transaction")</f>
        <v>safe merchant transaction</v>
      </c>
    </row>
    <row r="324" spans="1:18">
      <c r="A324" t="s">
        <v>4742</v>
      </c>
      <c r="B324" t="s">
        <v>87</v>
      </c>
      <c r="C324">
        <v>1</v>
      </c>
      <c r="D324" t="s">
        <v>9</v>
      </c>
      <c r="E324" t="s">
        <v>5</v>
      </c>
      <c r="F324" s="2">
        <v>45841</v>
      </c>
      <c r="G324">
        <v>4792.53</v>
      </c>
      <c r="H324" s="1">
        <f>AVERAGEIF(Table1[Customer_ID], Table1[[#This Row],[Customer_ID]], Table1[Transaction_Amount])</f>
        <v>5156.1630909090918</v>
      </c>
      <c r="I324" t="s">
        <v>2178</v>
      </c>
      <c r="J324" t="s">
        <v>36</v>
      </c>
      <c r="K324" t="s">
        <v>10</v>
      </c>
      <c r="L324">
        <v>3</v>
      </c>
      <c r="M324" t="s">
        <v>42</v>
      </c>
      <c r="N324" t="s">
        <v>47</v>
      </c>
      <c r="O324" t="s">
        <v>392</v>
      </c>
      <c r="P324" s="6" t="str">
        <f>IF(Table1[[#This Row],[Transaction_Amount]]&lt;=Table1[[#This Row],[avg_transaction_amount]], "usual transaction", "unusual transaction")</f>
        <v>usual transaction</v>
      </c>
      <c r="Q324" s="6" t="str">
        <f>IF(AND(Table1[[#This Row],[Country_of_Residence]]&lt;&gt;Table1[[#This Row],[Country_of_Transaction]], OR(Table1[[#This Row],[Authentication_Type]]="Biometric", Table1[[#This Row],[Authentication_Type]]="OTP")), "safe location transaction", "unsafe location transaction")</f>
        <v>safe location transaction</v>
      </c>
      <c r="R324" s="6" t="str">
        <f>IF(AND(Table1[[#This Row],[Country_of_Residence]]&lt;&gt;Table1[[#This Row],[Country_of_Transaction]], OR(Table1[[#This Row],[Merchant_Category]]="Electronics", Table1[[#This Row],[Merchant_Category]]="Travel")), "unsafe merchant transaction", "safe merchant transaction")</f>
        <v>safe merchant transaction</v>
      </c>
    </row>
    <row r="325" spans="1:18">
      <c r="A325" t="s">
        <v>4780</v>
      </c>
      <c r="B325" t="s">
        <v>87</v>
      </c>
      <c r="C325">
        <v>1</v>
      </c>
      <c r="D325" t="s">
        <v>15</v>
      </c>
      <c r="E325" t="s">
        <v>420</v>
      </c>
      <c r="F325" s="2">
        <v>45929</v>
      </c>
      <c r="G325">
        <v>5760.89</v>
      </c>
      <c r="H325" s="1">
        <f>AVERAGEIF(Table1[Customer_ID], Table1[[#This Row],[Customer_ID]], Table1[Transaction_Amount])</f>
        <v>5156.1630909090918</v>
      </c>
      <c r="I325" t="s">
        <v>2206</v>
      </c>
      <c r="J325" t="s">
        <v>31</v>
      </c>
      <c r="K325" t="s">
        <v>12</v>
      </c>
      <c r="L325">
        <v>5</v>
      </c>
      <c r="M325" t="s">
        <v>412</v>
      </c>
      <c r="N325" t="s">
        <v>47</v>
      </c>
      <c r="O325" t="s">
        <v>392</v>
      </c>
      <c r="P325" s="6" t="str">
        <f>IF(Table1[[#This Row],[Transaction_Amount]]&lt;=Table1[[#This Row],[avg_transaction_amount]], "usual transaction", "unusual transaction")</f>
        <v>unusual transaction</v>
      </c>
      <c r="Q325" s="6" t="str">
        <f>IF(AND(Table1[[#This Row],[Country_of_Residence]]&lt;&gt;Table1[[#This Row],[Country_of_Transaction]], OR(Table1[[#This Row],[Authentication_Type]]="Biometric", Table1[[#This Row],[Authentication_Type]]="OTP")), "safe location transaction", "unsafe location transaction")</f>
        <v>unsafe location transaction</v>
      </c>
      <c r="R325" s="6" t="str">
        <f>IF(AND(Table1[[#This Row],[Country_of_Residence]]&lt;&gt;Table1[[#This Row],[Country_of_Transaction]], OR(Table1[[#This Row],[Merchant_Category]]="Electronics", Table1[[#This Row],[Merchant_Category]]="Travel")), "unsafe merchant transaction", "safe merchant transaction")</f>
        <v>safe merchant transaction</v>
      </c>
    </row>
    <row r="326" spans="1:18">
      <c r="A326" t="s">
        <v>4798</v>
      </c>
      <c r="B326" t="s">
        <v>87</v>
      </c>
      <c r="C326">
        <v>1</v>
      </c>
      <c r="D326" t="s">
        <v>15</v>
      </c>
      <c r="E326" t="s">
        <v>3</v>
      </c>
      <c r="F326" s="2">
        <v>45976</v>
      </c>
      <c r="G326">
        <v>8355.91</v>
      </c>
      <c r="H326" s="1">
        <f>AVERAGEIF(Table1[Customer_ID], Table1[[#This Row],[Customer_ID]], Table1[Transaction_Amount])</f>
        <v>5156.1630909090918</v>
      </c>
      <c r="I326" t="s">
        <v>2221</v>
      </c>
      <c r="J326" t="s">
        <v>46</v>
      </c>
      <c r="K326" t="s">
        <v>14</v>
      </c>
      <c r="L326">
        <v>5</v>
      </c>
      <c r="M326" t="s">
        <v>42</v>
      </c>
      <c r="N326" t="s">
        <v>37</v>
      </c>
      <c r="O326" t="s">
        <v>392</v>
      </c>
      <c r="P326" s="6" t="str">
        <f>IF(Table1[[#This Row],[Transaction_Amount]]&lt;=Table1[[#This Row],[avg_transaction_amount]], "usual transaction", "unusual transaction")</f>
        <v>unusual transaction</v>
      </c>
      <c r="Q326" s="6" t="str">
        <f>IF(AND(Table1[[#This Row],[Country_of_Residence]]&lt;&gt;Table1[[#This Row],[Country_of_Transaction]], OR(Table1[[#This Row],[Authentication_Type]]="Biometric", Table1[[#This Row],[Authentication_Type]]="OTP")), "safe location transaction", "unsafe location transaction")</f>
        <v>unsafe location transaction</v>
      </c>
      <c r="R326" s="6" t="str">
        <f>IF(AND(Table1[[#This Row],[Country_of_Residence]]&lt;&gt;Table1[[#This Row],[Country_of_Transaction]], OR(Table1[[#This Row],[Merchant_Category]]="Electronics", Table1[[#This Row],[Merchant_Category]]="Travel")), "unsafe merchant transaction", "safe merchant transaction")</f>
        <v>safe merchant transaction</v>
      </c>
    </row>
    <row r="327" spans="1:18">
      <c r="A327" t="s">
        <v>4864</v>
      </c>
      <c r="B327" t="s">
        <v>87</v>
      </c>
      <c r="C327">
        <v>1</v>
      </c>
      <c r="D327" t="s">
        <v>9</v>
      </c>
      <c r="E327" t="s">
        <v>6</v>
      </c>
      <c r="F327" s="2">
        <v>45746</v>
      </c>
      <c r="G327">
        <v>7598.08</v>
      </c>
      <c r="H327" s="1">
        <f>AVERAGEIF(Table1[Customer_ID], Table1[[#This Row],[Customer_ID]], Table1[Transaction_Amount])</f>
        <v>5156.1630909090918</v>
      </c>
      <c r="I327" t="s">
        <v>2271</v>
      </c>
      <c r="J327" t="s">
        <v>46</v>
      </c>
      <c r="K327" t="s">
        <v>14</v>
      </c>
      <c r="L327">
        <v>4</v>
      </c>
      <c r="M327" t="s">
        <v>55</v>
      </c>
      <c r="N327" t="s">
        <v>37</v>
      </c>
      <c r="O327" t="s">
        <v>392</v>
      </c>
      <c r="P327" s="6" t="str">
        <f>IF(Table1[[#This Row],[Transaction_Amount]]&lt;=Table1[[#This Row],[avg_transaction_amount]], "usual transaction", "unusual transaction")</f>
        <v>unusual transaction</v>
      </c>
      <c r="Q327" s="6" t="str">
        <f>IF(AND(Table1[[#This Row],[Country_of_Residence]]&lt;&gt;Table1[[#This Row],[Country_of_Transaction]], OR(Table1[[#This Row],[Authentication_Type]]="Biometric", Table1[[#This Row],[Authentication_Type]]="OTP")), "safe location transaction", "unsafe location transaction")</f>
        <v>unsafe location transaction</v>
      </c>
      <c r="R327" s="6" t="str">
        <f>IF(AND(Table1[[#This Row],[Country_of_Residence]]&lt;&gt;Table1[[#This Row],[Country_of_Transaction]], OR(Table1[[#This Row],[Merchant_Category]]="Electronics", Table1[[#This Row],[Merchant_Category]]="Travel")), "unsafe merchant transaction", "safe merchant transaction")</f>
        <v>safe merchant transaction</v>
      </c>
    </row>
    <row r="328" spans="1:18">
      <c r="A328" t="s">
        <v>4942</v>
      </c>
      <c r="B328" t="s">
        <v>87</v>
      </c>
      <c r="C328">
        <v>1</v>
      </c>
      <c r="D328" t="s">
        <v>15</v>
      </c>
      <c r="E328" t="s">
        <v>420</v>
      </c>
      <c r="F328" s="2">
        <v>45829</v>
      </c>
      <c r="G328">
        <v>2860.1</v>
      </c>
      <c r="H328" s="1">
        <f>AVERAGEIF(Table1[Customer_ID], Table1[[#This Row],[Customer_ID]], Table1[Transaction_Amount])</f>
        <v>5156.1630909090918</v>
      </c>
      <c r="I328" t="s">
        <v>1202</v>
      </c>
      <c r="J328" t="s">
        <v>31</v>
      </c>
      <c r="K328" t="s">
        <v>14</v>
      </c>
      <c r="L328">
        <v>1</v>
      </c>
      <c r="M328" t="s">
        <v>37</v>
      </c>
      <c r="N328" t="s">
        <v>33</v>
      </c>
      <c r="O328" t="s">
        <v>393</v>
      </c>
      <c r="P328" s="6" t="str">
        <f>IF(Table1[[#This Row],[Transaction_Amount]]&lt;=Table1[[#This Row],[avg_transaction_amount]], "usual transaction", "unusual transaction")</f>
        <v>usual transaction</v>
      </c>
      <c r="Q328" s="6" t="str">
        <f>IF(AND(Table1[[#This Row],[Country_of_Residence]]&lt;&gt;Table1[[#This Row],[Country_of_Transaction]], OR(Table1[[#This Row],[Authentication_Type]]="Biometric", Table1[[#This Row],[Authentication_Type]]="OTP")), "safe location transaction", "unsafe location transaction")</f>
        <v>unsafe location transaction</v>
      </c>
      <c r="R328" s="6" t="str">
        <f>IF(AND(Table1[[#This Row],[Country_of_Residence]]&lt;&gt;Table1[[#This Row],[Country_of_Transaction]], OR(Table1[[#This Row],[Merchant_Category]]="Electronics", Table1[[#This Row],[Merchant_Category]]="Travel")), "unsafe merchant transaction", "safe merchant transaction")</f>
        <v>safe merchant transaction</v>
      </c>
    </row>
    <row r="329" spans="1:18">
      <c r="A329" t="s">
        <v>4970</v>
      </c>
      <c r="B329" t="s">
        <v>87</v>
      </c>
      <c r="C329">
        <v>1</v>
      </c>
      <c r="D329" t="s">
        <v>9</v>
      </c>
      <c r="E329" t="s">
        <v>3</v>
      </c>
      <c r="F329" s="2">
        <v>45837</v>
      </c>
      <c r="G329">
        <v>5298.05</v>
      </c>
      <c r="H329" s="1">
        <f>AVERAGEIF(Table1[Customer_ID], Table1[[#This Row],[Customer_ID]], Table1[Transaction_Amount])</f>
        <v>5156.1630909090918</v>
      </c>
      <c r="I329" t="s">
        <v>1592</v>
      </c>
      <c r="J329" t="s">
        <v>41</v>
      </c>
      <c r="K329" t="s">
        <v>8</v>
      </c>
      <c r="L329">
        <v>2</v>
      </c>
      <c r="M329" t="s">
        <v>56</v>
      </c>
      <c r="N329" t="s">
        <v>33</v>
      </c>
      <c r="O329" t="s">
        <v>392</v>
      </c>
      <c r="P329" s="6" t="str">
        <f>IF(Table1[[#This Row],[Transaction_Amount]]&lt;=Table1[[#This Row],[avg_transaction_amount]], "usual transaction", "unusual transaction")</f>
        <v>unusual transaction</v>
      </c>
      <c r="Q329" s="6" t="str">
        <f>IF(AND(Table1[[#This Row],[Country_of_Residence]]&lt;&gt;Table1[[#This Row],[Country_of_Transaction]], OR(Table1[[#This Row],[Authentication_Type]]="Biometric", Table1[[#This Row],[Authentication_Type]]="OTP")), "safe location transaction", "unsafe location transaction")</f>
        <v>safe location transaction</v>
      </c>
      <c r="R329" s="6" t="str">
        <f>IF(AND(Table1[[#This Row],[Country_of_Residence]]&lt;&gt;Table1[[#This Row],[Country_of_Transaction]], OR(Table1[[#This Row],[Merchant_Category]]="Electronics", Table1[[#This Row],[Merchant_Category]]="Travel")), "unsafe merchant transaction", "safe merchant transaction")</f>
        <v>safe merchant transaction</v>
      </c>
    </row>
    <row r="330" spans="1:18">
      <c r="A330" t="s">
        <v>4999</v>
      </c>
      <c r="B330" t="s">
        <v>87</v>
      </c>
      <c r="C330">
        <v>1</v>
      </c>
      <c r="D330" t="s">
        <v>15</v>
      </c>
      <c r="E330" t="s">
        <v>420</v>
      </c>
      <c r="F330" s="2">
        <v>45987</v>
      </c>
      <c r="G330">
        <v>6870.18</v>
      </c>
      <c r="H330" s="1">
        <f>AVERAGEIF(Table1[Customer_ID], Table1[[#This Row],[Customer_ID]], Table1[Transaction_Amount])</f>
        <v>5156.1630909090918</v>
      </c>
      <c r="I330" t="s">
        <v>2381</v>
      </c>
      <c r="J330" t="s">
        <v>36</v>
      </c>
      <c r="K330" t="s">
        <v>10</v>
      </c>
      <c r="L330">
        <v>1</v>
      </c>
      <c r="M330" t="s">
        <v>51</v>
      </c>
      <c r="N330" t="s">
        <v>55</v>
      </c>
      <c r="O330" t="s">
        <v>393</v>
      </c>
      <c r="P330" s="6" t="str">
        <f>IF(Table1[[#This Row],[Transaction_Amount]]&lt;=Table1[[#This Row],[avg_transaction_amount]], "usual transaction", "unusual transaction")</f>
        <v>unusual transaction</v>
      </c>
      <c r="Q330" s="6" t="str">
        <f>IF(AND(Table1[[#This Row],[Country_of_Residence]]&lt;&gt;Table1[[#This Row],[Country_of_Transaction]], OR(Table1[[#This Row],[Authentication_Type]]="Biometric", Table1[[#This Row],[Authentication_Type]]="OTP")), "safe location transaction", "unsafe location transaction")</f>
        <v>safe location transaction</v>
      </c>
      <c r="R330" s="6" t="str">
        <f>IF(AND(Table1[[#This Row],[Country_of_Residence]]&lt;&gt;Table1[[#This Row],[Country_of_Transaction]], OR(Table1[[#This Row],[Merchant_Category]]="Electronics", Table1[[#This Row],[Merchant_Category]]="Travel")), "unsafe merchant transaction", "safe merchant transaction")</f>
        <v>safe merchant transaction</v>
      </c>
    </row>
    <row r="331" spans="1:18">
      <c r="A331" t="s">
        <v>5032</v>
      </c>
      <c r="B331" t="s">
        <v>87</v>
      </c>
      <c r="C331">
        <v>1</v>
      </c>
      <c r="D331" t="s">
        <v>9</v>
      </c>
      <c r="E331" t="s">
        <v>5</v>
      </c>
      <c r="F331" s="2">
        <v>45806</v>
      </c>
      <c r="G331">
        <v>1759.06</v>
      </c>
      <c r="H331" s="1">
        <f>AVERAGEIF(Table1[Customer_ID], Table1[[#This Row],[Customer_ID]], Table1[Transaction_Amount])</f>
        <v>5156.1630909090918</v>
      </c>
      <c r="I331" t="s">
        <v>1069</v>
      </c>
      <c r="J331" t="s">
        <v>46</v>
      </c>
      <c r="K331" t="s">
        <v>12</v>
      </c>
      <c r="L331">
        <v>0</v>
      </c>
      <c r="M331" t="s">
        <v>47</v>
      </c>
      <c r="N331" t="s">
        <v>42</v>
      </c>
      <c r="O331" t="s">
        <v>392</v>
      </c>
      <c r="P331" s="6" t="str">
        <f>IF(Table1[[#This Row],[Transaction_Amount]]&lt;=Table1[[#This Row],[avg_transaction_amount]], "usual transaction", "unusual transaction")</f>
        <v>usual transaction</v>
      </c>
      <c r="Q331" s="6" t="str">
        <f>IF(AND(Table1[[#This Row],[Country_of_Residence]]&lt;&gt;Table1[[#This Row],[Country_of_Transaction]], OR(Table1[[#This Row],[Authentication_Type]]="Biometric", Table1[[#This Row],[Authentication_Type]]="OTP")), "safe location transaction", "unsafe location transaction")</f>
        <v>unsafe location transaction</v>
      </c>
      <c r="R331" s="6" t="str">
        <f>IF(AND(Table1[[#This Row],[Country_of_Residence]]&lt;&gt;Table1[[#This Row],[Country_of_Transaction]], OR(Table1[[#This Row],[Merchant_Category]]="Electronics", Table1[[#This Row],[Merchant_Category]]="Travel")), "unsafe merchant transaction", "safe merchant transaction")</f>
        <v>safe merchant transaction</v>
      </c>
    </row>
    <row r="332" spans="1:18">
      <c r="A332" t="s">
        <v>5035</v>
      </c>
      <c r="B332" t="s">
        <v>87</v>
      </c>
      <c r="C332">
        <v>1</v>
      </c>
      <c r="D332" t="s">
        <v>9</v>
      </c>
      <c r="E332" t="s">
        <v>5</v>
      </c>
      <c r="F332" s="2">
        <v>46021</v>
      </c>
      <c r="G332">
        <v>371.99</v>
      </c>
      <c r="H332" s="1">
        <f>AVERAGEIF(Table1[Customer_ID], Table1[[#This Row],[Customer_ID]], Table1[Transaction_Amount])</f>
        <v>5156.1630909090918</v>
      </c>
      <c r="I332" t="s">
        <v>2406</v>
      </c>
      <c r="J332" t="s">
        <v>36</v>
      </c>
      <c r="K332" t="s">
        <v>12</v>
      </c>
      <c r="L332">
        <v>1</v>
      </c>
      <c r="M332" t="s">
        <v>412</v>
      </c>
      <c r="N332" t="s">
        <v>412</v>
      </c>
      <c r="O332" t="s">
        <v>392</v>
      </c>
      <c r="P332" s="6" t="str">
        <f>IF(Table1[[#This Row],[Transaction_Amount]]&lt;=Table1[[#This Row],[avg_transaction_amount]], "usual transaction", "unusual transaction")</f>
        <v>usual transaction</v>
      </c>
      <c r="Q332" s="6" t="str">
        <f>IF(AND(Table1[[#This Row],[Country_of_Residence]]&lt;&gt;Table1[[#This Row],[Country_of_Transaction]], OR(Table1[[#This Row],[Authentication_Type]]="Biometric", Table1[[#This Row],[Authentication_Type]]="OTP")), "safe location transaction", "unsafe location transaction")</f>
        <v>unsafe location transaction</v>
      </c>
      <c r="R332" s="6" t="str">
        <f>IF(AND(Table1[[#This Row],[Country_of_Residence]]&lt;&gt;Table1[[#This Row],[Country_of_Transaction]], OR(Table1[[#This Row],[Merchant_Category]]="Electronics", Table1[[#This Row],[Merchant_Category]]="Travel")), "unsafe merchant transaction", "safe merchant transaction")</f>
        <v>safe merchant transaction</v>
      </c>
    </row>
    <row r="333" spans="1:18">
      <c r="A333" t="s">
        <v>5112</v>
      </c>
      <c r="B333" t="s">
        <v>87</v>
      </c>
      <c r="C333">
        <v>1</v>
      </c>
      <c r="D333" t="s">
        <v>15</v>
      </c>
      <c r="E333" t="s">
        <v>6</v>
      </c>
      <c r="F333" s="2">
        <v>45739</v>
      </c>
      <c r="G333">
        <v>7937.06</v>
      </c>
      <c r="H333" s="1">
        <f>AVERAGEIF(Table1[Customer_ID], Table1[[#This Row],[Customer_ID]], Table1[Transaction_Amount])</f>
        <v>5156.1630909090918</v>
      </c>
      <c r="I333" t="s">
        <v>2460</v>
      </c>
      <c r="J333" t="s">
        <v>36</v>
      </c>
      <c r="K333" t="s">
        <v>8</v>
      </c>
      <c r="L333">
        <v>4</v>
      </c>
      <c r="M333" t="s">
        <v>56</v>
      </c>
      <c r="N333" t="s">
        <v>37</v>
      </c>
      <c r="O333" t="s">
        <v>392</v>
      </c>
      <c r="P333" s="6" t="str">
        <f>IF(Table1[[#This Row],[Transaction_Amount]]&lt;=Table1[[#This Row],[avg_transaction_amount]], "usual transaction", "unusual transaction")</f>
        <v>unusual transaction</v>
      </c>
      <c r="Q333" s="6" t="str">
        <f>IF(AND(Table1[[#This Row],[Country_of_Residence]]&lt;&gt;Table1[[#This Row],[Country_of_Transaction]], OR(Table1[[#This Row],[Authentication_Type]]="Biometric", Table1[[#This Row],[Authentication_Type]]="OTP")), "safe location transaction", "unsafe location transaction")</f>
        <v>safe location transaction</v>
      </c>
      <c r="R333" s="6" t="str">
        <f>IF(AND(Table1[[#This Row],[Country_of_Residence]]&lt;&gt;Table1[[#This Row],[Country_of_Transaction]], OR(Table1[[#This Row],[Merchant_Category]]="Electronics", Table1[[#This Row],[Merchant_Category]]="Travel")), "unsafe merchant transaction", "safe merchant transaction")</f>
        <v>safe merchant transaction</v>
      </c>
    </row>
    <row r="334" spans="1:18">
      <c r="A334" t="s">
        <v>5166</v>
      </c>
      <c r="B334" t="s">
        <v>87</v>
      </c>
      <c r="C334">
        <v>1</v>
      </c>
      <c r="D334" t="s">
        <v>15</v>
      </c>
      <c r="E334" t="s">
        <v>6</v>
      </c>
      <c r="F334" s="2">
        <v>46007</v>
      </c>
      <c r="G334">
        <v>4477.3100000000004</v>
      </c>
      <c r="H334" s="1">
        <f>AVERAGEIF(Table1[Customer_ID], Table1[[#This Row],[Customer_ID]], Table1[Transaction_Amount])</f>
        <v>5156.1630909090918</v>
      </c>
      <c r="I334" t="s">
        <v>2502</v>
      </c>
      <c r="J334" t="s">
        <v>50</v>
      </c>
      <c r="K334" t="s">
        <v>8</v>
      </c>
      <c r="L334">
        <v>3</v>
      </c>
      <c r="M334" t="s">
        <v>32</v>
      </c>
      <c r="N334" t="s">
        <v>55</v>
      </c>
      <c r="O334" t="s">
        <v>392</v>
      </c>
      <c r="P334" s="6" t="str">
        <f>IF(Table1[[#This Row],[Transaction_Amount]]&lt;=Table1[[#This Row],[avg_transaction_amount]], "usual transaction", "unusual transaction")</f>
        <v>usual transaction</v>
      </c>
      <c r="Q334" s="6" t="str">
        <f>IF(AND(Table1[[#This Row],[Country_of_Residence]]&lt;&gt;Table1[[#This Row],[Country_of_Transaction]], OR(Table1[[#This Row],[Authentication_Type]]="Biometric", Table1[[#This Row],[Authentication_Type]]="OTP")), "safe location transaction", "unsafe location transaction")</f>
        <v>safe location transaction</v>
      </c>
      <c r="R334" s="6" t="str">
        <f>IF(AND(Table1[[#This Row],[Country_of_Residence]]&lt;&gt;Table1[[#This Row],[Country_of_Transaction]], OR(Table1[[#This Row],[Merchant_Category]]="Electronics", Table1[[#This Row],[Merchant_Category]]="Travel")), "unsafe merchant transaction", "safe merchant transaction")</f>
        <v>unsafe merchant transaction</v>
      </c>
    </row>
    <row r="335" spans="1:18">
      <c r="A335" t="s">
        <v>5183</v>
      </c>
      <c r="B335" t="s">
        <v>87</v>
      </c>
      <c r="C335">
        <v>1</v>
      </c>
      <c r="D335" t="s">
        <v>15</v>
      </c>
      <c r="E335" t="s">
        <v>5</v>
      </c>
      <c r="F335" s="2">
        <v>45896</v>
      </c>
      <c r="G335">
        <v>4355.17</v>
      </c>
      <c r="H335" s="1">
        <f>AVERAGEIF(Table1[Customer_ID], Table1[[#This Row],[Customer_ID]], Table1[Transaction_Amount])</f>
        <v>5156.1630909090918</v>
      </c>
      <c r="I335" t="s">
        <v>2517</v>
      </c>
      <c r="J335" t="s">
        <v>50</v>
      </c>
      <c r="K335" t="s">
        <v>10</v>
      </c>
      <c r="L335">
        <v>1</v>
      </c>
      <c r="M335" t="s">
        <v>51</v>
      </c>
      <c r="N335" t="s">
        <v>33</v>
      </c>
      <c r="O335" t="s">
        <v>392</v>
      </c>
      <c r="P335" s="6" t="str">
        <f>IF(Table1[[#This Row],[Transaction_Amount]]&lt;=Table1[[#This Row],[avg_transaction_amount]], "usual transaction", "unusual transaction")</f>
        <v>usual transaction</v>
      </c>
      <c r="Q335" s="6" t="str">
        <f>IF(AND(Table1[[#This Row],[Country_of_Residence]]&lt;&gt;Table1[[#This Row],[Country_of_Transaction]], OR(Table1[[#This Row],[Authentication_Type]]="Biometric", Table1[[#This Row],[Authentication_Type]]="OTP")), "safe location transaction", "unsafe location transaction")</f>
        <v>safe location transaction</v>
      </c>
      <c r="R335" s="6" t="str">
        <f>IF(AND(Table1[[#This Row],[Country_of_Residence]]&lt;&gt;Table1[[#This Row],[Country_of_Transaction]], OR(Table1[[#This Row],[Merchant_Category]]="Electronics", Table1[[#This Row],[Merchant_Category]]="Travel")), "unsafe merchant transaction", "safe merchant transaction")</f>
        <v>unsafe merchant transaction</v>
      </c>
    </row>
    <row r="336" spans="1:18">
      <c r="A336" t="s">
        <v>5217</v>
      </c>
      <c r="B336" t="s">
        <v>87</v>
      </c>
      <c r="C336">
        <v>1</v>
      </c>
      <c r="D336" t="s">
        <v>9</v>
      </c>
      <c r="E336" t="s">
        <v>3</v>
      </c>
      <c r="F336" s="2">
        <v>45905</v>
      </c>
      <c r="G336">
        <v>5041.58</v>
      </c>
      <c r="H336" s="1">
        <f>AVERAGEIF(Table1[Customer_ID], Table1[[#This Row],[Customer_ID]], Table1[Transaction_Amount])</f>
        <v>5156.1630909090918</v>
      </c>
      <c r="I336" t="s">
        <v>2543</v>
      </c>
      <c r="J336" t="s">
        <v>31</v>
      </c>
      <c r="K336" t="s">
        <v>14</v>
      </c>
      <c r="L336">
        <v>4</v>
      </c>
      <c r="M336" t="s">
        <v>42</v>
      </c>
      <c r="N336" t="s">
        <v>55</v>
      </c>
      <c r="O336" t="s">
        <v>392</v>
      </c>
      <c r="P336" s="6" t="str">
        <f>IF(Table1[[#This Row],[Transaction_Amount]]&lt;=Table1[[#This Row],[avg_transaction_amount]], "usual transaction", "unusual transaction")</f>
        <v>usual transaction</v>
      </c>
      <c r="Q336" s="6" t="str">
        <f>IF(AND(Table1[[#This Row],[Country_of_Residence]]&lt;&gt;Table1[[#This Row],[Country_of_Transaction]], OR(Table1[[#This Row],[Authentication_Type]]="Biometric", Table1[[#This Row],[Authentication_Type]]="OTP")), "safe location transaction", "unsafe location transaction")</f>
        <v>unsafe location transaction</v>
      </c>
      <c r="R336" s="6" t="str">
        <f>IF(AND(Table1[[#This Row],[Country_of_Residence]]&lt;&gt;Table1[[#This Row],[Country_of_Transaction]], OR(Table1[[#This Row],[Merchant_Category]]="Electronics", Table1[[#This Row],[Merchant_Category]]="Travel")), "unsafe merchant transaction", "safe merchant transaction")</f>
        <v>safe merchant transaction</v>
      </c>
    </row>
    <row r="337" spans="1:18">
      <c r="A337" t="s">
        <v>5250</v>
      </c>
      <c r="B337" t="s">
        <v>87</v>
      </c>
      <c r="C337">
        <v>1</v>
      </c>
      <c r="D337" t="s">
        <v>15</v>
      </c>
      <c r="E337" t="s">
        <v>5</v>
      </c>
      <c r="F337" s="2">
        <v>45773</v>
      </c>
      <c r="G337">
        <v>300.25</v>
      </c>
      <c r="H337" s="1">
        <f>AVERAGEIF(Table1[Customer_ID], Table1[[#This Row],[Customer_ID]], Table1[Transaction_Amount])</f>
        <v>5156.1630909090918</v>
      </c>
      <c r="I337" t="s">
        <v>2572</v>
      </c>
      <c r="J337" t="s">
        <v>41</v>
      </c>
      <c r="K337" t="s">
        <v>8</v>
      </c>
      <c r="L337">
        <v>2</v>
      </c>
      <c r="M337" t="s">
        <v>33</v>
      </c>
      <c r="N337" t="s">
        <v>51</v>
      </c>
      <c r="O337" t="s">
        <v>393</v>
      </c>
      <c r="P337" s="6" t="str">
        <f>IF(Table1[[#This Row],[Transaction_Amount]]&lt;=Table1[[#This Row],[avg_transaction_amount]], "usual transaction", "unusual transaction")</f>
        <v>usual transaction</v>
      </c>
      <c r="Q337" s="6" t="str">
        <f>IF(AND(Table1[[#This Row],[Country_of_Residence]]&lt;&gt;Table1[[#This Row],[Country_of_Transaction]], OR(Table1[[#This Row],[Authentication_Type]]="Biometric", Table1[[#This Row],[Authentication_Type]]="OTP")), "safe location transaction", "unsafe location transaction")</f>
        <v>safe location transaction</v>
      </c>
      <c r="R337" s="6" t="str">
        <f>IF(AND(Table1[[#This Row],[Country_of_Residence]]&lt;&gt;Table1[[#This Row],[Country_of_Transaction]], OR(Table1[[#This Row],[Merchant_Category]]="Electronics", Table1[[#This Row],[Merchant_Category]]="Travel")), "unsafe merchant transaction", "safe merchant transaction")</f>
        <v>safe merchant transaction</v>
      </c>
    </row>
    <row r="338" spans="1:18">
      <c r="A338" t="s">
        <v>5444</v>
      </c>
      <c r="B338" t="s">
        <v>87</v>
      </c>
      <c r="C338">
        <v>1</v>
      </c>
      <c r="D338" t="s">
        <v>15</v>
      </c>
      <c r="E338" t="s">
        <v>6</v>
      </c>
      <c r="F338" s="2">
        <v>45981</v>
      </c>
      <c r="G338">
        <v>7568.88</v>
      </c>
      <c r="H338" s="1">
        <f>AVERAGEIF(Table1[Customer_ID], Table1[[#This Row],[Customer_ID]], Table1[Transaction_Amount])</f>
        <v>5156.1630909090918</v>
      </c>
      <c r="I338" t="s">
        <v>2475</v>
      </c>
      <c r="J338" t="s">
        <v>36</v>
      </c>
      <c r="K338" t="s">
        <v>10</v>
      </c>
      <c r="L338">
        <v>3</v>
      </c>
      <c r="M338" t="s">
        <v>42</v>
      </c>
      <c r="N338" t="s">
        <v>56</v>
      </c>
      <c r="O338" t="s">
        <v>392</v>
      </c>
      <c r="P338" s="6" t="str">
        <f>IF(Table1[[#This Row],[Transaction_Amount]]&lt;=Table1[[#This Row],[avg_transaction_amount]], "usual transaction", "unusual transaction")</f>
        <v>unusual transaction</v>
      </c>
      <c r="Q338" s="6" t="str">
        <f>IF(AND(Table1[[#This Row],[Country_of_Residence]]&lt;&gt;Table1[[#This Row],[Country_of_Transaction]], OR(Table1[[#This Row],[Authentication_Type]]="Biometric", Table1[[#This Row],[Authentication_Type]]="OTP")), "safe location transaction", "unsafe location transaction")</f>
        <v>safe location transaction</v>
      </c>
      <c r="R338" s="6" t="str">
        <f>IF(AND(Table1[[#This Row],[Country_of_Residence]]&lt;&gt;Table1[[#This Row],[Country_of_Transaction]], OR(Table1[[#This Row],[Merchant_Category]]="Electronics", Table1[[#This Row],[Merchant_Category]]="Travel")), "unsafe merchant transaction", "safe merchant transaction")</f>
        <v>safe merchant transaction</v>
      </c>
    </row>
    <row r="339" spans="1:18">
      <c r="A339" t="s">
        <v>94</v>
      </c>
      <c r="B339" t="s">
        <v>95</v>
      </c>
      <c r="C339">
        <v>1</v>
      </c>
      <c r="D339" t="s">
        <v>11</v>
      </c>
      <c r="E339" t="s">
        <v>3</v>
      </c>
      <c r="F339" s="2">
        <v>45741.5625</v>
      </c>
      <c r="G339">
        <v>1133.69</v>
      </c>
      <c r="H339" s="1">
        <f>AVERAGEIF(Table1[Customer_ID], Table1[[#This Row],[Customer_ID]], Table1[Transaction_Amount])</f>
        <v>5075.1522222222229</v>
      </c>
      <c r="I339" t="s">
        <v>96</v>
      </c>
      <c r="J339" t="s">
        <v>41</v>
      </c>
      <c r="K339" t="s">
        <v>12</v>
      </c>
      <c r="L339">
        <v>5</v>
      </c>
      <c r="M339" t="s">
        <v>97</v>
      </c>
      <c r="N339" t="s">
        <v>98</v>
      </c>
      <c r="O339" t="s">
        <v>393</v>
      </c>
      <c r="P339" t="str">
        <f>IF(Table1[[#This Row],[Transaction_Amount]]&lt;=Table1[[#This Row],[avg_transaction_amount]], "usual transaction", "unusual transaction")</f>
        <v>usual transaction</v>
      </c>
      <c r="Q339" t="str">
        <f>IF(AND(Table1[[#This Row],[Country_of_Residence]]&lt;&gt;Table1[[#This Row],[Country_of_Transaction]], OR(Table1[[#This Row],[Authentication_Type]]="Biometric", Table1[[#This Row],[Authentication_Type]]="OTP")), "safe location transaction", "unsafe location transaction")</f>
        <v>unsafe location transaction</v>
      </c>
      <c r="R339" t="str">
        <f>IF(AND(Table1[[#This Row],[Country_of_Residence]]&lt;&gt;Table1[[#This Row],[Country_of_Transaction]], OR(Table1[[#This Row],[Merchant_Category]]="Electronics", Table1[[#This Row],[Merchant_Category]]="Travel")), "unsafe merchant transaction", "safe merchant transaction")</f>
        <v>safe merchant transaction</v>
      </c>
    </row>
    <row r="340" spans="1:18">
      <c r="A340" t="s">
        <v>99</v>
      </c>
      <c r="B340" t="s">
        <v>95</v>
      </c>
      <c r="C340">
        <v>1</v>
      </c>
      <c r="D340" t="s">
        <v>9</v>
      </c>
      <c r="E340" t="s">
        <v>5</v>
      </c>
      <c r="F340" s="2">
        <v>45809.891666666699</v>
      </c>
      <c r="G340">
        <v>1487.33</v>
      </c>
      <c r="H340" s="1">
        <f>AVERAGEIF(Table1[Customer_ID], Table1[[#This Row],[Customer_ID]], Table1[Transaction_Amount])</f>
        <v>5075.1522222222229</v>
      </c>
      <c r="I340" t="s">
        <v>100</v>
      </c>
      <c r="J340" t="s">
        <v>59</v>
      </c>
      <c r="K340" t="s">
        <v>8</v>
      </c>
      <c r="L340">
        <v>5</v>
      </c>
      <c r="M340" t="s">
        <v>97</v>
      </c>
      <c r="N340" t="s">
        <v>101</v>
      </c>
      <c r="O340" t="s">
        <v>393</v>
      </c>
      <c r="P340" t="str">
        <f>IF(Table1[[#This Row],[Transaction_Amount]]&lt;=Table1[[#This Row],[avg_transaction_amount]], "usual transaction", "unusual transaction")</f>
        <v>usual transaction</v>
      </c>
      <c r="Q340" t="str">
        <f>IF(AND(Table1[[#This Row],[Country_of_Residence]]&lt;&gt;Table1[[#This Row],[Country_of_Transaction]], OR(Table1[[#This Row],[Authentication_Type]]="Biometric", Table1[[#This Row],[Authentication_Type]]="OTP")), "safe location transaction", "unsafe location transaction")</f>
        <v>safe location transaction</v>
      </c>
      <c r="R340" t="str">
        <f>IF(AND(Table1[[#This Row],[Country_of_Residence]]&lt;&gt;Table1[[#This Row],[Country_of_Transaction]], OR(Table1[[#This Row],[Merchant_Category]]="Electronics", Table1[[#This Row],[Merchant_Category]]="Travel")), "unsafe merchant transaction", "safe merchant transaction")</f>
        <v>unsafe merchant transaction</v>
      </c>
    </row>
    <row r="341" spans="1:18">
      <c r="A341" t="s">
        <v>102</v>
      </c>
      <c r="B341" t="s">
        <v>95</v>
      </c>
      <c r="C341">
        <v>1</v>
      </c>
      <c r="D341" t="s">
        <v>11</v>
      </c>
      <c r="E341" t="s">
        <v>5</v>
      </c>
      <c r="F341" s="2">
        <v>45681.040972222203</v>
      </c>
      <c r="G341">
        <v>8815.84</v>
      </c>
      <c r="H341" s="1">
        <f>AVERAGEIF(Table1[Customer_ID], Table1[[#This Row],[Customer_ID]], Table1[Transaction_Amount])</f>
        <v>5075.1522222222229</v>
      </c>
      <c r="I341" t="s">
        <v>103</v>
      </c>
      <c r="J341" t="s">
        <v>36</v>
      </c>
      <c r="K341" t="s">
        <v>14</v>
      </c>
      <c r="L341">
        <v>2</v>
      </c>
      <c r="M341" t="s">
        <v>97</v>
      </c>
      <c r="N341" t="s">
        <v>104</v>
      </c>
      <c r="O341" t="s">
        <v>392</v>
      </c>
      <c r="P341" t="str">
        <f>IF(Table1[[#This Row],[Transaction_Amount]]&lt;=Table1[[#This Row],[avg_transaction_amount]], "usual transaction", "unusual transaction")</f>
        <v>unusual transaction</v>
      </c>
      <c r="Q341" t="str">
        <f>IF(AND(Table1[[#This Row],[Country_of_Residence]]&lt;&gt;Table1[[#This Row],[Country_of_Transaction]], OR(Table1[[#This Row],[Authentication_Type]]="Biometric", Table1[[#This Row],[Authentication_Type]]="OTP")), "safe location transaction", "unsafe location transaction")</f>
        <v>unsafe location transaction</v>
      </c>
      <c r="R341" t="str">
        <f>IF(AND(Table1[[#This Row],[Country_of_Residence]]&lt;&gt;Table1[[#This Row],[Country_of_Transaction]], OR(Table1[[#This Row],[Merchant_Category]]="Electronics", Table1[[#This Row],[Merchant_Category]]="Travel")), "unsafe merchant transaction", "safe merchant transaction")</f>
        <v>safe merchant transaction</v>
      </c>
    </row>
    <row r="342" spans="1:18">
      <c r="A342" t="s">
        <v>2863</v>
      </c>
      <c r="B342" t="s">
        <v>95</v>
      </c>
      <c r="C342">
        <v>1</v>
      </c>
      <c r="D342" t="s">
        <v>15</v>
      </c>
      <c r="E342" t="s">
        <v>420</v>
      </c>
      <c r="F342" s="2">
        <v>45816</v>
      </c>
      <c r="G342">
        <v>2471</v>
      </c>
      <c r="H342" s="1">
        <f>AVERAGEIF(Table1[Customer_ID], Table1[[#This Row],[Customer_ID]], Table1[Transaction_Amount])</f>
        <v>5075.1522222222229</v>
      </c>
      <c r="I342" t="s">
        <v>515</v>
      </c>
      <c r="J342" t="s">
        <v>46</v>
      </c>
      <c r="K342" t="s">
        <v>14</v>
      </c>
      <c r="L342">
        <v>1</v>
      </c>
      <c r="M342" t="s">
        <v>32</v>
      </c>
      <c r="N342" t="s">
        <v>33</v>
      </c>
      <c r="O342" t="s">
        <v>392</v>
      </c>
      <c r="P342" s="6" t="str">
        <f>IF(Table1[[#This Row],[Transaction_Amount]]&lt;=Table1[[#This Row],[avg_transaction_amount]], "usual transaction", "unusual transaction")</f>
        <v>usual transaction</v>
      </c>
      <c r="Q342" s="6" t="str">
        <f>IF(AND(Table1[[#This Row],[Country_of_Residence]]&lt;&gt;Table1[[#This Row],[Country_of_Transaction]], OR(Table1[[#This Row],[Authentication_Type]]="Biometric", Table1[[#This Row],[Authentication_Type]]="OTP")), "safe location transaction", "unsafe location transaction")</f>
        <v>unsafe location transaction</v>
      </c>
      <c r="R342" s="6" t="str">
        <f>IF(AND(Table1[[#This Row],[Country_of_Residence]]&lt;&gt;Table1[[#This Row],[Country_of_Transaction]], OR(Table1[[#This Row],[Merchant_Category]]="Electronics", Table1[[#This Row],[Merchant_Category]]="Travel")), "unsafe merchant transaction", "safe merchant transaction")</f>
        <v>safe merchant transaction</v>
      </c>
    </row>
    <row r="343" spans="1:18">
      <c r="A343" t="s">
        <v>2956</v>
      </c>
      <c r="B343" t="s">
        <v>95</v>
      </c>
      <c r="C343">
        <v>1</v>
      </c>
      <c r="D343" t="s">
        <v>15</v>
      </c>
      <c r="E343" t="s">
        <v>420</v>
      </c>
      <c r="F343" s="2">
        <v>45849</v>
      </c>
      <c r="G343">
        <v>154.94999999999999</v>
      </c>
      <c r="H343" s="1">
        <f>AVERAGEIF(Table1[Customer_ID], Table1[[#This Row],[Customer_ID]], Table1[Transaction_Amount])</f>
        <v>5075.1522222222229</v>
      </c>
      <c r="I343" t="s">
        <v>604</v>
      </c>
      <c r="J343" t="s">
        <v>41</v>
      </c>
      <c r="K343" t="s">
        <v>12</v>
      </c>
      <c r="L343">
        <v>2</v>
      </c>
      <c r="M343" t="s">
        <v>412</v>
      </c>
      <c r="N343" t="s">
        <v>47</v>
      </c>
      <c r="O343" t="s">
        <v>392</v>
      </c>
      <c r="P343" s="6" t="str">
        <f>IF(Table1[[#This Row],[Transaction_Amount]]&lt;=Table1[[#This Row],[avg_transaction_amount]], "usual transaction", "unusual transaction")</f>
        <v>usual transaction</v>
      </c>
      <c r="Q343" s="6" t="str">
        <f>IF(AND(Table1[[#This Row],[Country_of_Residence]]&lt;&gt;Table1[[#This Row],[Country_of_Transaction]], OR(Table1[[#This Row],[Authentication_Type]]="Biometric", Table1[[#This Row],[Authentication_Type]]="OTP")), "safe location transaction", "unsafe location transaction")</f>
        <v>unsafe location transaction</v>
      </c>
      <c r="R343" s="6" t="str">
        <f>IF(AND(Table1[[#This Row],[Country_of_Residence]]&lt;&gt;Table1[[#This Row],[Country_of_Transaction]], OR(Table1[[#This Row],[Merchant_Category]]="Electronics", Table1[[#This Row],[Merchant_Category]]="Travel")), "unsafe merchant transaction", "safe merchant transaction")</f>
        <v>safe merchant transaction</v>
      </c>
    </row>
    <row r="344" spans="1:18">
      <c r="A344" t="s">
        <v>2958</v>
      </c>
      <c r="B344" t="s">
        <v>95</v>
      </c>
      <c r="C344">
        <v>1</v>
      </c>
      <c r="D344" t="s">
        <v>9</v>
      </c>
      <c r="E344" t="s">
        <v>3</v>
      </c>
      <c r="F344" s="2">
        <v>45811</v>
      </c>
      <c r="G344">
        <v>4409.75</v>
      </c>
      <c r="H344" s="1">
        <f>AVERAGEIF(Table1[Customer_ID], Table1[[#This Row],[Customer_ID]], Table1[Transaction_Amount])</f>
        <v>5075.1522222222229</v>
      </c>
      <c r="I344" t="s">
        <v>606</v>
      </c>
      <c r="J344" t="s">
        <v>31</v>
      </c>
      <c r="K344" t="s">
        <v>14</v>
      </c>
      <c r="L344">
        <v>5</v>
      </c>
      <c r="M344" t="s">
        <v>32</v>
      </c>
      <c r="N344" t="s">
        <v>42</v>
      </c>
      <c r="O344" t="s">
        <v>392</v>
      </c>
      <c r="P344" s="6" t="str">
        <f>IF(Table1[[#This Row],[Transaction_Amount]]&lt;=Table1[[#This Row],[avg_transaction_amount]], "usual transaction", "unusual transaction")</f>
        <v>usual transaction</v>
      </c>
      <c r="Q344" s="6" t="str">
        <f>IF(AND(Table1[[#This Row],[Country_of_Residence]]&lt;&gt;Table1[[#This Row],[Country_of_Transaction]], OR(Table1[[#This Row],[Authentication_Type]]="Biometric", Table1[[#This Row],[Authentication_Type]]="OTP")), "safe location transaction", "unsafe location transaction")</f>
        <v>unsafe location transaction</v>
      </c>
      <c r="R344" s="6" t="str">
        <f>IF(AND(Table1[[#This Row],[Country_of_Residence]]&lt;&gt;Table1[[#This Row],[Country_of_Transaction]], OR(Table1[[#This Row],[Merchant_Category]]="Electronics", Table1[[#This Row],[Merchant_Category]]="Travel")), "unsafe merchant transaction", "safe merchant transaction")</f>
        <v>safe merchant transaction</v>
      </c>
    </row>
    <row r="345" spans="1:18">
      <c r="A345" t="s">
        <v>3010</v>
      </c>
      <c r="B345" t="s">
        <v>95</v>
      </c>
      <c r="C345">
        <v>1</v>
      </c>
      <c r="D345" t="s">
        <v>15</v>
      </c>
      <c r="E345" t="s">
        <v>6</v>
      </c>
      <c r="F345" s="2">
        <v>45889</v>
      </c>
      <c r="G345">
        <v>8296.6299999999992</v>
      </c>
      <c r="H345" s="1">
        <f>AVERAGEIF(Table1[Customer_ID], Table1[[#This Row],[Customer_ID]], Table1[Transaction_Amount])</f>
        <v>5075.1522222222229</v>
      </c>
      <c r="I345" t="s">
        <v>657</v>
      </c>
      <c r="J345" t="s">
        <v>50</v>
      </c>
      <c r="K345" t="s">
        <v>10</v>
      </c>
      <c r="L345">
        <v>2</v>
      </c>
      <c r="M345" t="s">
        <v>37</v>
      </c>
      <c r="N345" t="s">
        <v>32</v>
      </c>
      <c r="O345" t="s">
        <v>392</v>
      </c>
      <c r="P345" s="6" t="str">
        <f>IF(Table1[[#This Row],[Transaction_Amount]]&lt;=Table1[[#This Row],[avg_transaction_amount]], "usual transaction", "unusual transaction")</f>
        <v>unusual transaction</v>
      </c>
      <c r="Q345" s="6" t="str">
        <f>IF(AND(Table1[[#This Row],[Country_of_Residence]]&lt;&gt;Table1[[#This Row],[Country_of_Transaction]], OR(Table1[[#This Row],[Authentication_Type]]="Biometric", Table1[[#This Row],[Authentication_Type]]="OTP")), "safe location transaction", "unsafe location transaction")</f>
        <v>safe location transaction</v>
      </c>
      <c r="R345" s="6" t="str">
        <f>IF(AND(Table1[[#This Row],[Country_of_Residence]]&lt;&gt;Table1[[#This Row],[Country_of_Transaction]], OR(Table1[[#This Row],[Merchant_Category]]="Electronics", Table1[[#This Row],[Merchant_Category]]="Travel")), "unsafe merchant transaction", "safe merchant transaction")</f>
        <v>unsafe merchant transaction</v>
      </c>
    </row>
    <row r="346" spans="1:18">
      <c r="A346" t="s">
        <v>3054</v>
      </c>
      <c r="B346" t="s">
        <v>95</v>
      </c>
      <c r="C346">
        <v>1</v>
      </c>
      <c r="D346" t="s">
        <v>9</v>
      </c>
      <c r="E346" t="s">
        <v>5</v>
      </c>
      <c r="F346" s="2">
        <v>45982</v>
      </c>
      <c r="G346">
        <v>7605.23</v>
      </c>
      <c r="H346" s="1">
        <f>AVERAGEIF(Table1[Customer_ID], Table1[[#This Row],[Customer_ID]], Table1[Transaction_Amount])</f>
        <v>5075.1522222222229</v>
      </c>
      <c r="I346" t="s">
        <v>699</v>
      </c>
      <c r="J346" t="s">
        <v>41</v>
      </c>
      <c r="K346" t="s">
        <v>14</v>
      </c>
      <c r="L346">
        <v>5</v>
      </c>
      <c r="M346" t="s">
        <v>32</v>
      </c>
      <c r="N346" t="s">
        <v>412</v>
      </c>
      <c r="O346" t="s">
        <v>392</v>
      </c>
      <c r="P346" s="6" t="str">
        <f>IF(Table1[[#This Row],[Transaction_Amount]]&lt;=Table1[[#This Row],[avg_transaction_amount]], "usual transaction", "unusual transaction")</f>
        <v>unusual transaction</v>
      </c>
      <c r="Q346" s="6" t="str">
        <f>IF(AND(Table1[[#This Row],[Country_of_Residence]]&lt;&gt;Table1[[#This Row],[Country_of_Transaction]], OR(Table1[[#This Row],[Authentication_Type]]="Biometric", Table1[[#This Row],[Authentication_Type]]="OTP")), "safe location transaction", "unsafe location transaction")</f>
        <v>unsafe location transaction</v>
      </c>
      <c r="R346" s="6" t="str">
        <f>IF(AND(Table1[[#This Row],[Country_of_Residence]]&lt;&gt;Table1[[#This Row],[Country_of_Transaction]], OR(Table1[[#This Row],[Merchant_Category]]="Electronics", Table1[[#This Row],[Merchant_Category]]="Travel")), "unsafe merchant transaction", "safe merchant transaction")</f>
        <v>safe merchant transaction</v>
      </c>
    </row>
    <row r="347" spans="1:18">
      <c r="A347" t="s">
        <v>3069</v>
      </c>
      <c r="B347" t="s">
        <v>95</v>
      </c>
      <c r="C347">
        <v>1</v>
      </c>
      <c r="D347" t="s">
        <v>15</v>
      </c>
      <c r="E347" t="s">
        <v>3</v>
      </c>
      <c r="F347" s="2">
        <v>45765</v>
      </c>
      <c r="G347">
        <v>1715.58</v>
      </c>
      <c r="H347" s="1">
        <f>AVERAGEIF(Table1[Customer_ID], Table1[[#This Row],[Customer_ID]], Table1[Transaction_Amount])</f>
        <v>5075.1522222222229</v>
      </c>
      <c r="I347" t="s">
        <v>233</v>
      </c>
      <c r="J347" t="s">
        <v>36</v>
      </c>
      <c r="K347" t="s">
        <v>10</v>
      </c>
      <c r="L347">
        <v>1</v>
      </c>
      <c r="M347" t="s">
        <v>33</v>
      </c>
      <c r="N347" t="s">
        <v>56</v>
      </c>
      <c r="O347" t="s">
        <v>392</v>
      </c>
      <c r="P347" s="6" t="str">
        <f>IF(Table1[[#This Row],[Transaction_Amount]]&lt;=Table1[[#This Row],[avg_transaction_amount]], "usual transaction", "unusual transaction")</f>
        <v>usual transaction</v>
      </c>
      <c r="Q347" s="6" t="str">
        <f>IF(AND(Table1[[#This Row],[Country_of_Residence]]&lt;&gt;Table1[[#This Row],[Country_of_Transaction]], OR(Table1[[#This Row],[Authentication_Type]]="Biometric", Table1[[#This Row],[Authentication_Type]]="OTP")), "safe location transaction", "unsafe location transaction")</f>
        <v>safe location transaction</v>
      </c>
      <c r="R347" s="6" t="str">
        <f>IF(AND(Table1[[#This Row],[Country_of_Residence]]&lt;&gt;Table1[[#This Row],[Country_of_Transaction]], OR(Table1[[#This Row],[Merchant_Category]]="Electronics", Table1[[#This Row],[Merchant_Category]]="Travel")), "unsafe merchant transaction", "safe merchant transaction")</f>
        <v>safe merchant transaction</v>
      </c>
    </row>
    <row r="348" spans="1:18">
      <c r="A348" t="s">
        <v>3185</v>
      </c>
      <c r="B348" t="s">
        <v>95</v>
      </c>
      <c r="C348">
        <v>1</v>
      </c>
      <c r="D348" t="s">
        <v>9</v>
      </c>
      <c r="E348" t="s">
        <v>420</v>
      </c>
      <c r="F348" s="2">
        <v>45776</v>
      </c>
      <c r="G348">
        <v>4583.0600000000004</v>
      </c>
      <c r="H348" s="1">
        <f>AVERAGEIF(Table1[Customer_ID], Table1[[#This Row],[Customer_ID]], Table1[Transaction_Amount])</f>
        <v>5075.1522222222229</v>
      </c>
      <c r="I348" t="s">
        <v>820</v>
      </c>
      <c r="J348" t="s">
        <v>41</v>
      </c>
      <c r="K348" t="s">
        <v>14</v>
      </c>
      <c r="L348">
        <v>2</v>
      </c>
      <c r="M348" t="s">
        <v>56</v>
      </c>
      <c r="N348" t="s">
        <v>42</v>
      </c>
      <c r="O348" t="s">
        <v>393</v>
      </c>
      <c r="P348" s="6" t="str">
        <f>IF(Table1[[#This Row],[Transaction_Amount]]&lt;=Table1[[#This Row],[avg_transaction_amount]], "usual transaction", "unusual transaction")</f>
        <v>usual transaction</v>
      </c>
      <c r="Q348" s="6" t="str">
        <f>IF(AND(Table1[[#This Row],[Country_of_Residence]]&lt;&gt;Table1[[#This Row],[Country_of_Transaction]], OR(Table1[[#This Row],[Authentication_Type]]="Biometric", Table1[[#This Row],[Authentication_Type]]="OTP")), "safe location transaction", "unsafe location transaction")</f>
        <v>unsafe location transaction</v>
      </c>
      <c r="R348" s="6" t="str">
        <f>IF(AND(Table1[[#This Row],[Country_of_Residence]]&lt;&gt;Table1[[#This Row],[Country_of_Transaction]], OR(Table1[[#This Row],[Merchant_Category]]="Electronics", Table1[[#This Row],[Merchant_Category]]="Travel")), "unsafe merchant transaction", "safe merchant transaction")</f>
        <v>safe merchant transaction</v>
      </c>
    </row>
    <row r="349" spans="1:18">
      <c r="A349" t="s">
        <v>3324</v>
      </c>
      <c r="B349" t="s">
        <v>95</v>
      </c>
      <c r="C349">
        <v>1</v>
      </c>
      <c r="D349" t="s">
        <v>9</v>
      </c>
      <c r="E349" t="s">
        <v>5</v>
      </c>
      <c r="F349" s="2">
        <v>45778</v>
      </c>
      <c r="G349">
        <v>7945.15</v>
      </c>
      <c r="H349" s="1">
        <f>AVERAGEIF(Table1[Customer_ID], Table1[[#This Row],[Customer_ID]], Table1[Transaction_Amount])</f>
        <v>5075.1522222222229</v>
      </c>
      <c r="I349" t="s">
        <v>171</v>
      </c>
      <c r="J349" t="s">
        <v>31</v>
      </c>
      <c r="K349" t="s">
        <v>14</v>
      </c>
      <c r="L349">
        <v>2</v>
      </c>
      <c r="M349" t="s">
        <v>51</v>
      </c>
      <c r="N349" t="s">
        <v>42</v>
      </c>
      <c r="O349" t="s">
        <v>392</v>
      </c>
      <c r="P349" s="6" t="str">
        <f>IF(Table1[[#This Row],[Transaction_Amount]]&lt;=Table1[[#This Row],[avg_transaction_amount]], "usual transaction", "unusual transaction")</f>
        <v>unusual transaction</v>
      </c>
      <c r="Q349" s="6" t="str">
        <f>IF(AND(Table1[[#This Row],[Country_of_Residence]]&lt;&gt;Table1[[#This Row],[Country_of_Transaction]], OR(Table1[[#This Row],[Authentication_Type]]="Biometric", Table1[[#This Row],[Authentication_Type]]="OTP")), "safe location transaction", "unsafe location transaction")</f>
        <v>unsafe location transaction</v>
      </c>
      <c r="R349" s="6" t="str">
        <f>IF(AND(Table1[[#This Row],[Country_of_Residence]]&lt;&gt;Table1[[#This Row],[Country_of_Transaction]], OR(Table1[[#This Row],[Merchant_Category]]="Electronics", Table1[[#This Row],[Merchant_Category]]="Travel")), "unsafe merchant transaction", "safe merchant transaction")</f>
        <v>safe merchant transaction</v>
      </c>
    </row>
    <row r="350" spans="1:18">
      <c r="A350" t="s">
        <v>3337</v>
      </c>
      <c r="B350" t="s">
        <v>95</v>
      </c>
      <c r="C350">
        <v>1</v>
      </c>
      <c r="D350" t="s">
        <v>9</v>
      </c>
      <c r="E350" t="s">
        <v>3</v>
      </c>
      <c r="F350" s="2">
        <v>45705</v>
      </c>
      <c r="G350">
        <v>1508.2</v>
      </c>
      <c r="H350" s="1">
        <f>AVERAGEIF(Table1[Customer_ID], Table1[[#This Row],[Customer_ID]], Table1[Transaction_Amount])</f>
        <v>5075.1522222222229</v>
      </c>
      <c r="I350" t="s">
        <v>961</v>
      </c>
      <c r="J350" t="s">
        <v>46</v>
      </c>
      <c r="K350" t="s">
        <v>8</v>
      </c>
      <c r="L350">
        <v>1</v>
      </c>
      <c r="M350" t="s">
        <v>47</v>
      </c>
      <c r="N350" t="s">
        <v>32</v>
      </c>
      <c r="O350" t="s">
        <v>393</v>
      </c>
      <c r="P350" s="6" t="str">
        <f>IF(Table1[[#This Row],[Transaction_Amount]]&lt;=Table1[[#This Row],[avg_transaction_amount]], "usual transaction", "unusual transaction")</f>
        <v>usual transaction</v>
      </c>
      <c r="Q350" s="6" t="str">
        <f>IF(AND(Table1[[#This Row],[Country_of_Residence]]&lt;&gt;Table1[[#This Row],[Country_of_Transaction]], OR(Table1[[#This Row],[Authentication_Type]]="Biometric", Table1[[#This Row],[Authentication_Type]]="OTP")), "safe location transaction", "unsafe location transaction")</f>
        <v>safe location transaction</v>
      </c>
      <c r="R350" s="6" t="str">
        <f>IF(AND(Table1[[#This Row],[Country_of_Residence]]&lt;&gt;Table1[[#This Row],[Country_of_Transaction]], OR(Table1[[#This Row],[Merchant_Category]]="Electronics", Table1[[#This Row],[Merchant_Category]]="Travel")), "unsafe merchant transaction", "safe merchant transaction")</f>
        <v>safe merchant transaction</v>
      </c>
    </row>
    <row r="351" spans="1:18">
      <c r="A351" t="s">
        <v>3405</v>
      </c>
      <c r="B351" t="s">
        <v>95</v>
      </c>
      <c r="C351">
        <v>1</v>
      </c>
      <c r="D351" t="s">
        <v>9</v>
      </c>
      <c r="E351" t="s">
        <v>6</v>
      </c>
      <c r="F351" s="2">
        <v>45828</v>
      </c>
      <c r="G351">
        <v>6018.68</v>
      </c>
      <c r="H351" s="1">
        <f>AVERAGEIF(Table1[Customer_ID], Table1[[#This Row],[Customer_ID]], Table1[Transaction_Amount])</f>
        <v>5075.1522222222229</v>
      </c>
      <c r="I351" t="s">
        <v>1026</v>
      </c>
      <c r="J351" t="s">
        <v>36</v>
      </c>
      <c r="K351" t="s">
        <v>10</v>
      </c>
      <c r="L351">
        <v>2</v>
      </c>
      <c r="M351" t="s">
        <v>412</v>
      </c>
      <c r="N351" t="s">
        <v>47</v>
      </c>
      <c r="O351" t="s">
        <v>393</v>
      </c>
      <c r="P351" s="6" t="str">
        <f>IF(Table1[[#This Row],[Transaction_Amount]]&lt;=Table1[[#This Row],[avg_transaction_amount]], "usual transaction", "unusual transaction")</f>
        <v>unusual transaction</v>
      </c>
      <c r="Q351" s="6" t="str">
        <f>IF(AND(Table1[[#This Row],[Country_of_Residence]]&lt;&gt;Table1[[#This Row],[Country_of_Transaction]], OR(Table1[[#This Row],[Authentication_Type]]="Biometric", Table1[[#This Row],[Authentication_Type]]="OTP")), "safe location transaction", "unsafe location transaction")</f>
        <v>safe location transaction</v>
      </c>
      <c r="R351" s="6" t="str">
        <f>IF(AND(Table1[[#This Row],[Country_of_Residence]]&lt;&gt;Table1[[#This Row],[Country_of_Transaction]], OR(Table1[[#This Row],[Merchant_Category]]="Electronics", Table1[[#This Row],[Merchant_Category]]="Travel")), "unsafe merchant transaction", "safe merchant transaction")</f>
        <v>safe merchant transaction</v>
      </c>
    </row>
    <row r="352" spans="1:18">
      <c r="A352" t="s">
        <v>3538</v>
      </c>
      <c r="B352" t="s">
        <v>95</v>
      </c>
      <c r="C352">
        <v>1</v>
      </c>
      <c r="D352" t="s">
        <v>15</v>
      </c>
      <c r="E352" t="s">
        <v>420</v>
      </c>
      <c r="F352" s="2">
        <v>46007</v>
      </c>
      <c r="G352">
        <v>5631.54</v>
      </c>
      <c r="H352" s="1">
        <f>AVERAGEIF(Table1[Customer_ID], Table1[[#This Row],[Customer_ID]], Table1[Transaction_Amount])</f>
        <v>5075.1522222222229</v>
      </c>
      <c r="I352" t="s">
        <v>1153</v>
      </c>
      <c r="J352" t="s">
        <v>50</v>
      </c>
      <c r="K352" t="s">
        <v>12</v>
      </c>
      <c r="L352">
        <v>1</v>
      </c>
      <c r="M352" t="s">
        <v>412</v>
      </c>
      <c r="N352" t="s">
        <v>47</v>
      </c>
      <c r="O352" t="s">
        <v>393</v>
      </c>
      <c r="P352" s="6" t="str">
        <f>IF(Table1[[#This Row],[Transaction_Amount]]&lt;=Table1[[#This Row],[avg_transaction_amount]], "usual transaction", "unusual transaction")</f>
        <v>unusual transaction</v>
      </c>
      <c r="Q352" s="6" t="str">
        <f>IF(AND(Table1[[#This Row],[Country_of_Residence]]&lt;&gt;Table1[[#This Row],[Country_of_Transaction]], OR(Table1[[#This Row],[Authentication_Type]]="Biometric", Table1[[#This Row],[Authentication_Type]]="OTP")), "safe location transaction", "unsafe location transaction")</f>
        <v>unsafe location transaction</v>
      </c>
      <c r="R352" s="6" t="str">
        <f>IF(AND(Table1[[#This Row],[Country_of_Residence]]&lt;&gt;Table1[[#This Row],[Country_of_Transaction]], OR(Table1[[#This Row],[Merchant_Category]]="Electronics", Table1[[#This Row],[Merchant_Category]]="Travel")), "unsafe merchant transaction", "safe merchant transaction")</f>
        <v>unsafe merchant transaction</v>
      </c>
    </row>
    <row r="353" spans="1:18">
      <c r="A353" t="s">
        <v>3541</v>
      </c>
      <c r="B353" t="s">
        <v>95</v>
      </c>
      <c r="C353">
        <v>1</v>
      </c>
      <c r="D353" t="s">
        <v>9</v>
      </c>
      <c r="E353" t="s">
        <v>5</v>
      </c>
      <c r="F353" s="2">
        <v>45820</v>
      </c>
      <c r="G353">
        <v>8307.01</v>
      </c>
      <c r="H353" s="1">
        <f>AVERAGEIF(Table1[Customer_ID], Table1[[#This Row],[Customer_ID]], Table1[Transaction_Amount])</f>
        <v>5075.1522222222229</v>
      </c>
      <c r="I353" t="s">
        <v>1156</v>
      </c>
      <c r="J353" t="s">
        <v>31</v>
      </c>
      <c r="K353" t="s">
        <v>14</v>
      </c>
      <c r="L353">
        <v>3</v>
      </c>
      <c r="M353" t="s">
        <v>412</v>
      </c>
      <c r="N353" t="s">
        <v>56</v>
      </c>
      <c r="O353" t="s">
        <v>393</v>
      </c>
      <c r="P353" s="6" t="str">
        <f>IF(Table1[[#This Row],[Transaction_Amount]]&lt;=Table1[[#This Row],[avg_transaction_amount]], "usual transaction", "unusual transaction")</f>
        <v>unusual transaction</v>
      </c>
      <c r="Q353" s="6" t="str">
        <f>IF(AND(Table1[[#This Row],[Country_of_Residence]]&lt;&gt;Table1[[#This Row],[Country_of_Transaction]], OR(Table1[[#This Row],[Authentication_Type]]="Biometric", Table1[[#This Row],[Authentication_Type]]="OTP")), "safe location transaction", "unsafe location transaction")</f>
        <v>unsafe location transaction</v>
      </c>
      <c r="R353" s="6" t="str">
        <f>IF(AND(Table1[[#This Row],[Country_of_Residence]]&lt;&gt;Table1[[#This Row],[Country_of_Transaction]], OR(Table1[[#This Row],[Merchant_Category]]="Electronics", Table1[[#This Row],[Merchant_Category]]="Travel")), "unsafe merchant transaction", "safe merchant transaction")</f>
        <v>safe merchant transaction</v>
      </c>
    </row>
    <row r="354" spans="1:18">
      <c r="A354" t="s">
        <v>3572</v>
      </c>
      <c r="B354" t="s">
        <v>95</v>
      </c>
      <c r="C354">
        <v>1</v>
      </c>
      <c r="D354" t="s">
        <v>9</v>
      </c>
      <c r="E354" t="s">
        <v>420</v>
      </c>
      <c r="F354" s="2">
        <v>45686</v>
      </c>
      <c r="G354">
        <v>4763.74</v>
      </c>
      <c r="H354" s="1">
        <f>AVERAGEIF(Table1[Customer_ID], Table1[[#This Row],[Customer_ID]], Table1[Transaction_Amount])</f>
        <v>5075.1522222222229</v>
      </c>
      <c r="I354" t="s">
        <v>1183</v>
      </c>
      <c r="J354" t="s">
        <v>36</v>
      </c>
      <c r="K354" t="s">
        <v>8</v>
      </c>
      <c r="L354">
        <v>1</v>
      </c>
      <c r="M354" t="s">
        <v>55</v>
      </c>
      <c r="N354" t="s">
        <v>33</v>
      </c>
      <c r="O354" t="s">
        <v>393</v>
      </c>
      <c r="P354" s="6" t="str">
        <f>IF(Table1[[#This Row],[Transaction_Amount]]&lt;=Table1[[#This Row],[avg_transaction_amount]], "usual transaction", "unusual transaction")</f>
        <v>usual transaction</v>
      </c>
      <c r="Q354" s="6" t="str">
        <f>IF(AND(Table1[[#This Row],[Country_of_Residence]]&lt;&gt;Table1[[#This Row],[Country_of_Transaction]], OR(Table1[[#This Row],[Authentication_Type]]="Biometric", Table1[[#This Row],[Authentication_Type]]="OTP")), "safe location transaction", "unsafe location transaction")</f>
        <v>safe location transaction</v>
      </c>
      <c r="R354" s="6" t="str">
        <f>IF(AND(Table1[[#This Row],[Country_of_Residence]]&lt;&gt;Table1[[#This Row],[Country_of_Transaction]], OR(Table1[[#This Row],[Merchant_Category]]="Electronics", Table1[[#This Row],[Merchant_Category]]="Travel")), "unsafe merchant transaction", "safe merchant transaction")</f>
        <v>safe merchant transaction</v>
      </c>
    </row>
    <row r="355" spans="1:18">
      <c r="A355" t="s">
        <v>3668</v>
      </c>
      <c r="B355" t="s">
        <v>95</v>
      </c>
      <c r="C355">
        <v>1</v>
      </c>
      <c r="D355" t="s">
        <v>15</v>
      </c>
      <c r="E355" t="s">
        <v>420</v>
      </c>
      <c r="F355" s="2">
        <v>46000</v>
      </c>
      <c r="G355">
        <v>4734.47</v>
      </c>
      <c r="H355" s="1">
        <f>AVERAGEIF(Table1[Customer_ID], Table1[[#This Row],[Customer_ID]], Table1[Transaction_Amount])</f>
        <v>5075.1522222222229</v>
      </c>
      <c r="I355" t="s">
        <v>1270</v>
      </c>
      <c r="J355" t="s">
        <v>46</v>
      </c>
      <c r="K355" t="s">
        <v>10</v>
      </c>
      <c r="L355">
        <v>3</v>
      </c>
      <c r="M355" t="s">
        <v>42</v>
      </c>
      <c r="N355" t="s">
        <v>51</v>
      </c>
      <c r="O355" t="s">
        <v>392</v>
      </c>
      <c r="P355" s="6" t="str">
        <f>IF(Table1[[#This Row],[Transaction_Amount]]&lt;=Table1[[#This Row],[avg_transaction_amount]], "usual transaction", "unusual transaction")</f>
        <v>usual transaction</v>
      </c>
      <c r="Q355" s="6" t="str">
        <f>IF(AND(Table1[[#This Row],[Country_of_Residence]]&lt;&gt;Table1[[#This Row],[Country_of_Transaction]], OR(Table1[[#This Row],[Authentication_Type]]="Biometric", Table1[[#This Row],[Authentication_Type]]="OTP")), "safe location transaction", "unsafe location transaction")</f>
        <v>safe location transaction</v>
      </c>
      <c r="R355" s="6" t="str">
        <f>IF(AND(Table1[[#This Row],[Country_of_Residence]]&lt;&gt;Table1[[#This Row],[Country_of_Transaction]], OR(Table1[[#This Row],[Merchant_Category]]="Electronics", Table1[[#This Row],[Merchant_Category]]="Travel")), "unsafe merchant transaction", "safe merchant transaction")</f>
        <v>safe merchant transaction</v>
      </c>
    </row>
    <row r="356" spans="1:18">
      <c r="A356" t="s">
        <v>3687</v>
      </c>
      <c r="B356" t="s">
        <v>95</v>
      </c>
      <c r="C356">
        <v>1</v>
      </c>
      <c r="D356" t="s">
        <v>15</v>
      </c>
      <c r="E356" t="s">
        <v>5</v>
      </c>
      <c r="F356" s="2">
        <v>45749</v>
      </c>
      <c r="G356">
        <v>3987.71</v>
      </c>
      <c r="H356" s="1">
        <f>AVERAGEIF(Table1[Customer_ID], Table1[[#This Row],[Customer_ID]], Table1[Transaction_Amount])</f>
        <v>5075.1522222222229</v>
      </c>
      <c r="I356" t="s">
        <v>1287</v>
      </c>
      <c r="J356" t="s">
        <v>41</v>
      </c>
      <c r="K356" t="s">
        <v>8</v>
      </c>
      <c r="L356">
        <v>2</v>
      </c>
      <c r="M356" t="s">
        <v>55</v>
      </c>
      <c r="N356" t="s">
        <v>56</v>
      </c>
      <c r="O356" t="s">
        <v>393</v>
      </c>
      <c r="P356" s="6" t="str">
        <f>IF(Table1[[#This Row],[Transaction_Amount]]&lt;=Table1[[#This Row],[avg_transaction_amount]], "usual transaction", "unusual transaction")</f>
        <v>usual transaction</v>
      </c>
      <c r="Q356" s="6" t="str">
        <f>IF(AND(Table1[[#This Row],[Country_of_Residence]]&lt;&gt;Table1[[#This Row],[Country_of_Transaction]], OR(Table1[[#This Row],[Authentication_Type]]="Biometric", Table1[[#This Row],[Authentication_Type]]="OTP")), "safe location transaction", "unsafe location transaction")</f>
        <v>safe location transaction</v>
      </c>
      <c r="R356" s="6" t="str">
        <f>IF(AND(Table1[[#This Row],[Country_of_Residence]]&lt;&gt;Table1[[#This Row],[Country_of_Transaction]], OR(Table1[[#This Row],[Merchant_Category]]="Electronics", Table1[[#This Row],[Merchant_Category]]="Travel")), "unsafe merchant transaction", "safe merchant transaction")</f>
        <v>safe merchant transaction</v>
      </c>
    </row>
    <row r="357" spans="1:18">
      <c r="A357" t="s">
        <v>3729</v>
      </c>
      <c r="B357" t="s">
        <v>95</v>
      </c>
      <c r="C357">
        <v>1</v>
      </c>
      <c r="D357" t="s">
        <v>15</v>
      </c>
      <c r="E357" t="s">
        <v>420</v>
      </c>
      <c r="F357" s="2">
        <v>45991</v>
      </c>
      <c r="G357">
        <v>3579.08</v>
      </c>
      <c r="H357" s="1">
        <f>AVERAGEIF(Table1[Customer_ID], Table1[[#This Row],[Customer_ID]], Table1[Transaction_Amount])</f>
        <v>5075.1522222222229</v>
      </c>
      <c r="I357" t="s">
        <v>1235</v>
      </c>
      <c r="J357" t="s">
        <v>31</v>
      </c>
      <c r="K357" t="s">
        <v>8</v>
      </c>
      <c r="L357">
        <v>3</v>
      </c>
      <c r="M357" t="s">
        <v>412</v>
      </c>
      <c r="N357" t="s">
        <v>37</v>
      </c>
      <c r="O357" t="s">
        <v>393</v>
      </c>
      <c r="P357" s="6" t="str">
        <f>IF(Table1[[#This Row],[Transaction_Amount]]&lt;=Table1[[#This Row],[avg_transaction_amount]], "usual transaction", "unusual transaction")</f>
        <v>usual transaction</v>
      </c>
      <c r="Q357" s="6" t="str">
        <f>IF(AND(Table1[[#This Row],[Country_of_Residence]]&lt;&gt;Table1[[#This Row],[Country_of_Transaction]], OR(Table1[[#This Row],[Authentication_Type]]="Biometric", Table1[[#This Row],[Authentication_Type]]="OTP")), "safe location transaction", "unsafe location transaction")</f>
        <v>safe location transaction</v>
      </c>
      <c r="R357" s="6" t="str">
        <f>IF(AND(Table1[[#This Row],[Country_of_Residence]]&lt;&gt;Table1[[#This Row],[Country_of_Transaction]], OR(Table1[[#This Row],[Merchant_Category]]="Electronics", Table1[[#This Row],[Merchant_Category]]="Travel")), "unsafe merchant transaction", "safe merchant transaction")</f>
        <v>safe merchant transaction</v>
      </c>
    </row>
    <row r="358" spans="1:18">
      <c r="A358" t="s">
        <v>3741</v>
      </c>
      <c r="B358" t="s">
        <v>95</v>
      </c>
      <c r="C358">
        <v>1</v>
      </c>
      <c r="D358" t="s">
        <v>15</v>
      </c>
      <c r="E358" t="s">
        <v>3</v>
      </c>
      <c r="F358" s="2">
        <v>45939</v>
      </c>
      <c r="G358">
        <v>2309.89</v>
      </c>
      <c r="H358" s="1">
        <f>AVERAGEIF(Table1[Customer_ID], Table1[[#This Row],[Customer_ID]], Table1[Transaction_Amount])</f>
        <v>5075.1522222222229</v>
      </c>
      <c r="I358" t="s">
        <v>1334</v>
      </c>
      <c r="J358" t="s">
        <v>46</v>
      </c>
      <c r="K358" t="s">
        <v>14</v>
      </c>
      <c r="L358">
        <v>2</v>
      </c>
      <c r="M358" t="s">
        <v>47</v>
      </c>
      <c r="N358" t="s">
        <v>56</v>
      </c>
      <c r="O358" t="s">
        <v>392</v>
      </c>
      <c r="P358" s="6" t="str">
        <f>IF(Table1[[#This Row],[Transaction_Amount]]&lt;=Table1[[#This Row],[avg_transaction_amount]], "usual transaction", "unusual transaction")</f>
        <v>usual transaction</v>
      </c>
      <c r="Q358" s="6" t="str">
        <f>IF(AND(Table1[[#This Row],[Country_of_Residence]]&lt;&gt;Table1[[#This Row],[Country_of_Transaction]], OR(Table1[[#This Row],[Authentication_Type]]="Biometric", Table1[[#This Row],[Authentication_Type]]="OTP")), "safe location transaction", "unsafe location transaction")</f>
        <v>unsafe location transaction</v>
      </c>
      <c r="R358" s="6" t="str">
        <f>IF(AND(Table1[[#This Row],[Country_of_Residence]]&lt;&gt;Table1[[#This Row],[Country_of_Transaction]], OR(Table1[[#This Row],[Merchant_Category]]="Electronics", Table1[[#This Row],[Merchant_Category]]="Travel")), "unsafe merchant transaction", "safe merchant transaction")</f>
        <v>safe merchant transaction</v>
      </c>
    </row>
    <row r="359" spans="1:18">
      <c r="A359" t="s">
        <v>3839</v>
      </c>
      <c r="B359" t="s">
        <v>95</v>
      </c>
      <c r="C359">
        <v>1</v>
      </c>
      <c r="D359" t="s">
        <v>15</v>
      </c>
      <c r="E359" t="s">
        <v>5</v>
      </c>
      <c r="F359" s="2">
        <v>46011</v>
      </c>
      <c r="G359">
        <v>7440.99</v>
      </c>
      <c r="H359" s="1">
        <f>AVERAGEIF(Table1[Customer_ID], Table1[[#This Row],[Customer_ID]], Table1[Transaction_Amount])</f>
        <v>5075.1522222222229</v>
      </c>
      <c r="I359" t="s">
        <v>1416</v>
      </c>
      <c r="J359" t="s">
        <v>41</v>
      </c>
      <c r="K359" t="s">
        <v>14</v>
      </c>
      <c r="L359">
        <v>2</v>
      </c>
      <c r="M359" t="s">
        <v>47</v>
      </c>
      <c r="N359" t="s">
        <v>412</v>
      </c>
      <c r="O359" t="s">
        <v>392</v>
      </c>
      <c r="P359" s="6" t="str">
        <f>IF(Table1[[#This Row],[Transaction_Amount]]&lt;=Table1[[#This Row],[avg_transaction_amount]], "usual transaction", "unusual transaction")</f>
        <v>unusual transaction</v>
      </c>
      <c r="Q359" s="6" t="str">
        <f>IF(AND(Table1[[#This Row],[Country_of_Residence]]&lt;&gt;Table1[[#This Row],[Country_of_Transaction]], OR(Table1[[#This Row],[Authentication_Type]]="Biometric", Table1[[#This Row],[Authentication_Type]]="OTP")), "safe location transaction", "unsafe location transaction")</f>
        <v>unsafe location transaction</v>
      </c>
      <c r="R359" s="6" t="str">
        <f>IF(AND(Table1[[#This Row],[Country_of_Residence]]&lt;&gt;Table1[[#This Row],[Country_of_Transaction]], OR(Table1[[#This Row],[Merchant_Category]]="Electronics", Table1[[#This Row],[Merchant_Category]]="Travel")), "unsafe merchant transaction", "safe merchant transaction")</f>
        <v>safe merchant transaction</v>
      </c>
    </row>
    <row r="360" spans="1:18">
      <c r="A360" t="s">
        <v>3913</v>
      </c>
      <c r="B360" t="s">
        <v>95</v>
      </c>
      <c r="C360">
        <v>1</v>
      </c>
      <c r="D360" t="s">
        <v>15</v>
      </c>
      <c r="E360" t="s">
        <v>3</v>
      </c>
      <c r="F360" s="2">
        <v>45756</v>
      </c>
      <c r="G360">
        <v>437.48</v>
      </c>
      <c r="H360" s="1">
        <f>AVERAGEIF(Table1[Customer_ID], Table1[[#This Row],[Customer_ID]], Table1[Transaction_Amount])</f>
        <v>5075.1522222222229</v>
      </c>
      <c r="I360" t="s">
        <v>1478</v>
      </c>
      <c r="J360" t="s">
        <v>36</v>
      </c>
      <c r="K360" t="s">
        <v>10</v>
      </c>
      <c r="L360">
        <v>2</v>
      </c>
      <c r="M360" t="s">
        <v>37</v>
      </c>
      <c r="N360" t="s">
        <v>33</v>
      </c>
      <c r="O360" t="s">
        <v>392</v>
      </c>
      <c r="P360" s="6" t="str">
        <f>IF(Table1[[#This Row],[Transaction_Amount]]&lt;=Table1[[#This Row],[avg_transaction_amount]], "usual transaction", "unusual transaction")</f>
        <v>usual transaction</v>
      </c>
      <c r="Q360" s="6" t="str">
        <f>IF(AND(Table1[[#This Row],[Country_of_Residence]]&lt;&gt;Table1[[#This Row],[Country_of_Transaction]], OR(Table1[[#This Row],[Authentication_Type]]="Biometric", Table1[[#This Row],[Authentication_Type]]="OTP")), "safe location transaction", "unsafe location transaction")</f>
        <v>safe location transaction</v>
      </c>
      <c r="R360" s="6" t="str">
        <f>IF(AND(Table1[[#This Row],[Country_of_Residence]]&lt;&gt;Table1[[#This Row],[Country_of_Transaction]], OR(Table1[[#This Row],[Merchant_Category]]="Electronics", Table1[[#This Row],[Merchant_Category]]="Travel")), "unsafe merchant transaction", "safe merchant transaction")</f>
        <v>safe merchant transaction</v>
      </c>
    </row>
    <row r="361" spans="1:18">
      <c r="A361" t="s">
        <v>3935</v>
      </c>
      <c r="B361" t="s">
        <v>95</v>
      </c>
      <c r="C361">
        <v>1</v>
      </c>
      <c r="D361" t="s">
        <v>15</v>
      </c>
      <c r="E361" t="s">
        <v>5</v>
      </c>
      <c r="F361" s="2">
        <v>45852</v>
      </c>
      <c r="G361">
        <v>596.38</v>
      </c>
      <c r="H361" s="1">
        <f>AVERAGEIF(Table1[Customer_ID], Table1[[#This Row],[Customer_ID]], Table1[Transaction_Amount])</f>
        <v>5075.1522222222229</v>
      </c>
      <c r="I361" t="s">
        <v>1499</v>
      </c>
      <c r="J361" t="s">
        <v>50</v>
      </c>
      <c r="K361" t="s">
        <v>8</v>
      </c>
      <c r="L361">
        <v>0</v>
      </c>
      <c r="M361" t="s">
        <v>33</v>
      </c>
      <c r="N361" t="s">
        <v>51</v>
      </c>
      <c r="O361" t="s">
        <v>392</v>
      </c>
      <c r="P361" s="6" t="str">
        <f>IF(Table1[[#This Row],[Transaction_Amount]]&lt;=Table1[[#This Row],[avg_transaction_amount]], "usual transaction", "unusual transaction")</f>
        <v>usual transaction</v>
      </c>
      <c r="Q361" s="6" t="str">
        <f>IF(AND(Table1[[#This Row],[Country_of_Residence]]&lt;&gt;Table1[[#This Row],[Country_of_Transaction]], OR(Table1[[#This Row],[Authentication_Type]]="Biometric", Table1[[#This Row],[Authentication_Type]]="OTP")), "safe location transaction", "unsafe location transaction")</f>
        <v>safe location transaction</v>
      </c>
      <c r="R361" s="6" t="str">
        <f>IF(AND(Table1[[#This Row],[Country_of_Residence]]&lt;&gt;Table1[[#This Row],[Country_of_Transaction]], OR(Table1[[#This Row],[Merchant_Category]]="Electronics", Table1[[#This Row],[Merchant_Category]]="Travel")), "unsafe merchant transaction", "safe merchant transaction")</f>
        <v>unsafe merchant transaction</v>
      </c>
    </row>
    <row r="362" spans="1:18">
      <c r="A362" t="s">
        <v>3937</v>
      </c>
      <c r="B362" t="s">
        <v>95</v>
      </c>
      <c r="C362">
        <v>1</v>
      </c>
      <c r="D362" t="s">
        <v>9</v>
      </c>
      <c r="E362" t="s">
        <v>3</v>
      </c>
      <c r="F362" s="2">
        <v>45751</v>
      </c>
      <c r="G362">
        <v>9747.66</v>
      </c>
      <c r="H362" s="1">
        <f>AVERAGEIF(Table1[Customer_ID], Table1[[#This Row],[Customer_ID]], Table1[Transaction_Amount])</f>
        <v>5075.1522222222229</v>
      </c>
      <c r="I362" t="s">
        <v>1501</v>
      </c>
      <c r="J362" t="s">
        <v>41</v>
      </c>
      <c r="K362" t="s">
        <v>10</v>
      </c>
      <c r="L362">
        <v>1</v>
      </c>
      <c r="M362" t="s">
        <v>412</v>
      </c>
      <c r="N362" t="s">
        <v>37</v>
      </c>
      <c r="O362" t="s">
        <v>393</v>
      </c>
      <c r="P362" s="6" t="str">
        <f>IF(Table1[[#This Row],[Transaction_Amount]]&lt;=Table1[[#This Row],[avg_transaction_amount]], "usual transaction", "unusual transaction")</f>
        <v>unusual transaction</v>
      </c>
      <c r="Q362" s="6" t="str">
        <f>IF(AND(Table1[[#This Row],[Country_of_Residence]]&lt;&gt;Table1[[#This Row],[Country_of_Transaction]], OR(Table1[[#This Row],[Authentication_Type]]="Biometric", Table1[[#This Row],[Authentication_Type]]="OTP")), "safe location transaction", "unsafe location transaction")</f>
        <v>safe location transaction</v>
      </c>
      <c r="R362" s="6" t="str">
        <f>IF(AND(Table1[[#This Row],[Country_of_Residence]]&lt;&gt;Table1[[#This Row],[Country_of_Transaction]], OR(Table1[[#This Row],[Merchant_Category]]="Electronics", Table1[[#This Row],[Merchant_Category]]="Travel")), "unsafe merchant transaction", "safe merchant transaction")</f>
        <v>safe merchant transaction</v>
      </c>
    </row>
    <row r="363" spans="1:18">
      <c r="A363" t="s">
        <v>3956</v>
      </c>
      <c r="B363" t="s">
        <v>95</v>
      </c>
      <c r="C363">
        <v>1</v>
      </c>
      <c r="D363" t="s">
        <v>9</v>
      </c>
      <c r="E363" t="s">
        <v>6</v>
      </c>
      <c r="F363" s="2">
        <v>45771</v>
      </c>
      <c r="G363">
        <v>6825.56</v>
      </c>
      <c r="H363" s="1">
        <f>AVERAGEIF(Table1[Customer_ID], Table1[[#This Row],[Customer_ID]], Table1[Transaction_Amount])</f>
        <v>5075.1522222222229</v>
      </c>
      <c r="I363" t="s">
        <v>1519</v>
      </c>
      <c r="J363" t="s">
        <v>46</v>
      </c>
      <c r="K363" t="s">
        <v>14</v>
      </c>
      <c r="L363">
        <v>0</v>
      </c>
      <c r="M363" t="s">
        <v>412</v>
      </c>
      <c r="N363" t="s">
        <v>37</v>
      </c>
      <c r="O363" t="s">
        <v>392</v>
      </c>
      <c r="P363" s="6" t="str">
        <f>IF(Table1[[#This Row],[Transaction_Amount]]&lt;=Table1[[#This Row],[avg_transaction_amount]], "usual transaction", "unusual transaction")</f>
        <v>unusual transaction</v>
      </c>
      <c r="Q363" s="6" t="str">
        <f>IF(AND(Table1[[#This Row],[Country_of_Residence]]&lt;&gt;Table1[[#This Row],[Country_of_Transaction]], OR(Table1[[#This Row],[Authentication_Type]]="Biometric", Table1[[#This Row],[Authentication_Type]]="OTP")), "safe location transaction", "unsafe location transaction")</f>
        <v>unsafe location transaction</v>
      </c>
      <c r="R363" s="6" t="str">
        <f>IF(AND(Table1[[#This Row],[Country_of_Residence]]&lt;&gt;Table1[[#This Row],[Country_of_Transaction]], OR(Table1[[#This Row],[Merchant_Category]]="Electronics", Table1[[#This Row],[Merchant_Category]]="Travel")), "unsafe merchant transaction", "safe merchant transaction")</f>
        <v>safe merchant transaction</v>
      </c>
    </row>
    <row r="364" spans="1:18">
      <c r="A364" t="s">
        <v>4074</v>
      </c>
      <c r="B364" t="s">
        <v>95</v>
      </c>
      <c r="C364">
        <v>1</v>
      </c>
      <c r="D364" t="s">
        <v>15</v>
      </c>
      <c r="E364" t="s">
        <v>420</v>
      </c>
      <c r="F364" s="2">
        <v>45740</v>
      </c>
      <c r="G364">
        <v>4520.79</v>
      </c>
      <c r="H364" s="1">
        <f>AVERAGEIF(Table1[Customer_ID], Table1[[#This Row],[Customer_ID]], Table1[Transaction_Amount])</f>
        <v>5075.1522222222229</v>
      </c>
      <c r="I364" t="s">
        <v>1621</v>
      </c>
      <c r="J364" t="s">
        <v>31</v>
      </c>
      <c r="K364" t="s">
        <v>10</v>
      </c>
      <c r="L364">
        <v>4</v>
      </c>
      <c r="M364" t="s">
        <v>32</v>
      </c>
      <c r="N364" t="s">
        <v>51</v>
      </c>
      <c r="O364" t="s">
        <v>393</v>
      </c>
      <c r="P364" s="6" t="str">
        <f>IF(Table1[[#This Row],[Transaction_Amount]]&lt;=Table1[[#This Row],[avg_transaction_amount]], "usual transaction", "unusual transaction")</f>
        <v>usual transaction</v>
      </c>
      <c r="Q364" s="6" t="str">
        <f>IF(AND(Table1[[#This Row],[Country_of_Residence]]&lt;&gt;Table1[[#This Row],[Country_of_Transaction]], OR(Table1[[#This Row],[Authentication_Type]]="Biometric", Table1[[#This Row],[Authentication_Type]]="OTP")), "safe location transaction", "unsafe location transaction")</f>
        <v>safe location transaction</v>
      </c>
      <c r="R364" s="6" t="str">
        <f>IF(AND(Table1[[#This Row],[Country_of_Residence]]&lt;&gt;Table1[[#This Row],[Country_of_Transaction]], OR(Table1[[#This Row],[Merchant_Category]]="Electronics", Table1[[#This Row],[Merchant_Category]]="Travel")), "unsafe merchant transaction", "safe merchant transaction")</f>
        <v>safe merchant transaction</v>
      </c>
    </row>
    <row r="365" spans="1:18">
      <c r="A365" t="s">
        <v>4075</v>
      </c>
      <c r="B365" t="s">
        <v>95</v>
      </c>
      <c r="C365">
        <v>1</v>
      </c>
      <c r="D365" t="s">
        <v>15</v>
      </c>
      <c r="E365" t="s">
        <v>5</v>
      </c>
      <c r="F365" s="2">
        <v>46018</v>
      </c>
      <c r="G365">
        <v>1523.91</v>
      </c>
      <c r="H365" s="1">
        <f>AVERAGEIF(Table1[Customer_ID], Table1[[#This Row],[Customer_ID]], Table1[Transaction_Amount])</f>
        <v>5075.1522222222229</v>
      </c>
      <c r="I365" t="s">
        <v>1270</v>
      </c>
      <c r="J365" t="s">
        <v>31</v>
      </c>
      <c r="K365" t="s">
        <v>12</v>
      </c>
      <c r="L365">
        <v>4</v>
      </c>
      <c r="M365" t="s">
        <v>412</v>
      </c>
      <c r="N365" t="s">
        <v>56</v>
      </c>
      <c r="O365" t="s">
        <v>393</v>
      </c>
      <c r="P365" s="6" t="str">
        <f>IF(Table1[[#This Row],[Transaction_Amount]]&lt;=Table1[[#This Row],[avg_transaction_amount]], "usual transaction", "unusual transaction")</f>
        <v>usual transaction</v>
      </c>
      <c r="Q365" s="6" t="str">
        <f>IF(AND(Table1[[#This Row],[Country_of_Residence]]&lt;&gt;Table1[[#This Row],[Country_of_Transaction]], OR(Table1[[#This Row],[Authentication_Type]]="Biometric", Table1[[#This Row],[Authentication_Type]]="OTP")), "safe location transaction", "unsafe location transaction")</f>
        <v>unsafe location transaction</v>
      </c>
      <c r="R365" s="6" t="str">
        <f>IF(AND(Table1[[#This Row],[Country_of_Residence]]&lt;&gt;Table1[[#This Row],[Country_of_Transaction]], OR(Table1[[#This Row],[Merchant_Category]]="Electronics", Table1[[#This Row],[Merchant_Category]]="Travel")), "unsafe merchant transaction", "safe merchant transaction")</f>
        <v>safe merchant transaction</v>
      </c>
    </row>
    <row r="366" spans="1:18">
      <c r="A366" t="s">
        <v>4076</v>
      </c>
      <c r="B366" t="s">
        <v>95</v>
      </c>
      <c r="C366">
        <v>1</v>
      </c>
      <c r="D366" t="s">
        <v>15</v>
      </c>
      <c r="E366" t="s">
        <v>5</v>
      </c>
      <c r="F366" s="2">
        <v>45698</v>
      </c>
      <c r="G366">
        <v>2502.6999999999998</v>
      </c>
      <c r="H366" s="1">
        <f>AVERAGEIF(Table1[Customer_ID], Table1[[#This Row],[Customer_ID]], Table1[Transaction_Amount])</f>
        <v>5075.1522222222229</v>
      </c>
      <c r="I366" t="s">
        <v>1622</v>
      </c>
      <c r="J366" t="s">
        <v>50</v>
      </c>
      <c r="K366" t="s">
        <v>14</v>
      </c>
      <c r="L366">
        <v>3</v>
      </c>
      <c r="M366" t="s">
        <v>37</v>
      </c>
      <c r="N366" t="s">
        <v>55</v>
      </c>
      <c r="O366" t="s">
        <v>393</v>
      </c>
      <c r="P366" s="6" t="str">
        <f>IF(Table1[[#This Row],[Transaction_Amount]]&lt;=Table1[[#This Row],[avg_transaction_amount]], "usual transaction", "unusual transaction")</f>
        <v>usual transaction</v>
      </c>
      <c r="Q366" s="6" t="str">
        <f>IF(AND(Table1[[#This Row],[Country_of_Residence]]&lt;&gt;Table1[[#This Row],[Country_of_Transaction]], OR(Table1[[#This Row],[Authentication_Type]]="Biometric", Table1[[#This Row],[Authentication_Type]]="OTP")), "safe location transaction", "unsafe location transaction")</f>
        <v>unsafe location transaction</v>
      </c>
      <c r="R366" s="6" t="str">
        <f>IF(AND(Table1[[#This Row],[Country_of_Residence]]&lt;&gt;Table1[[#This Row],[Country_of_Transaction]], OR(Table1[[#This Row],[Merchant_Category]]="Electronics", Table1[[#This Row],[Merchant_Category]]="Travel")), "unsafe merchant transaction", "safe merchant transaction")</f>
        <v>unsafe merchant transaction</v>
      </c>
    </row>
    <row r="367" spans="1:18">
      <c r="A367" t="s">
        <v>4098</v>
      </c>
      <c r="B367" t="s">
        <v>95</v>
      </c>
      <c r="C367">
        <v>1</v>
      </c>
      <c r="D367" t="s">
        <v>9</v>
      </c>
      <c r="E367" t="s">
        <v>3</v>
      </c>
      <c r="F367" s="2">
        <v>45832</v>
      </c>
      <c r="G367">
        <v>2364.86</v>
      </c>
      <c r="H367" s="1">
        <f>AVERAGEIF(Table1[Customer_ID], Table1[[#This Row],[Customer_ID]], Table1[Transaction_Amount])</f>
        <v>5075.1522222222229</v>
      </c>
      <c r="I367" t="s">
        <v>1639</v>
      </c>
      <c r="J367" t="s">
        <v>31</v>
      </c>
      <c r="K367" t="s">
        <v>14</v>
      </c>
      <c r="L367">
        <v>2</v>
      </c>
      <c r="M367" t="s">
        <v>33</v>
      </c>
      <c r="N367" t="s">
        <v>33</v>
      </c>
      <c r="O367" t="s">
        <v>392</v>
      </c>
      <c r="P367" s="6" t="str">
        <f>IF(Table1[[#This Row],[Transaction_Amount]]&lt;=Table1[[#This Row],[avg_transaction_amount]], "usual transaction", "unusual transaction")</f>
        <v>usual transaction</v>
      </c>
      <c r="Q367" s="6" t="str">
        <f>IF(AND(Table1[[#This Row],[Country_of_Residence]]&lt;&gt;Table1[[#This Row],[Country_of_Transaction]], OR(Table1[[#This Row],[Authentication_Type]]="Biometric", Table1[[#This Row],[Authentication_Type]]="OTP")), "safe location transaction", "unsafe location transaction")</f>
        <v>unsafe location transaction</v>
      </c>
      <c r="R367" s="6" t="str">
        <f>IF(AND(Table1[[#This Row],[Country_of_Residence]]&lt;&gt;Table1[[#This Row],[Country_of_Transaction]], OR(Table1[[#This Row],[Merchant_Category]]="Electronics", Table1[[#This Row],[Merchant_Category]]="Travel")), "unsafe merchant transaction", "safe merchant transaction")</f>
        <v>safe merchant transaction</v>
      </c>
    </row>
    <row r="368" spans="1:18">
      <c r="A368" t="s">
        <v>4106</v>
      </c>
      <c r="B368" t="s">
        <v>95</v>
      </c>
      <c r="C368">
        <v>1</v>
      </c>
      <c r="D368" t="s">
        <v>9</v>
      </c>
      <c r="E368" t="s">
        <v>3</v>
      </c>
      <c r="F368" s="2">
        <v>45852</v>
      </c>
      <c r="G368">
        <v>5170.9399999999996</v>
      </c>
      <c r="H368" s="1">
        <f>AVERAGEIF(Table1[Customer_ID], Table1[[#This Row],[Customer_ID]], Table1[Transaction_Amount])</f>
        <v>5075.1522222222229</v>
      </c>
      <c r="I368" t="s">
        <v>1644</v>
      </c>
      <c r="J368" t="s">
        <v>31</v>
      </c>
      <c r="K368" t="s">
        <v>10</v>
      </c>
      <c r="L368">
        <v>4</v>
      </c>
      <c r="M368" t="s">
        <v>37</v>
      </c>
      <c r="N368" t="s">
        <v>42</v>
      </c>
      <c r="O368" t="s">
        <v>393</v>
      </c>
      <c r="P368" s="6" t="str">
        <f>IF(Table1[[#This Row],[Transaction_Amount]]&lt;=Table1[[#This Row],[avg_transaction_amount]], "usual transaction", "unusual transaction")</f>
        <v>unusual transaction</v>
      </c>
      <c r="Q368" s="6" t="str">
        <f>IF(AND(Table1[[#This Row],[Country_of_Residence]]&lt;&gt;Table1[[#This Row],[Country_of_Transaction]], OR(Table1[[#This Row],[Authentication_Type]]="Biometric", Table1[[#This Row],[Authentication_Type]]="OTP")), "safe location transaction", "unsafe location transaction")</f>
        <v>safe location transaction</v>
      </c>
      <c r="R368" s="6" t="str">
        <f>IF(AND(Table1[[#This Row],[Country_of_Residence]]&lt;&gt;Table1[[#This Row],[Country_of_Transaction]], OR(Table1[[#This Row],[Merchant_Category]]="Electronics", Table1[[#This Row],[Merchant_Category]]="Travel")), "unsafe merchant transaction", "safe merchant transaction")</f>
        <v>safe merchant transaction</v>
      </c>
    </row>
    <row r="369" spans="1:18">
      <c r="A369" t="s">
        <v>4135</v>
      </c>
      <c r="B369" t="s">
        <v>95</v>
      </c>
      <c r="C369">
        <v>1</v>
      </c>
      <c r="D369" t="s">
        <v>9</v>
      </c>
      <c r="E369" t="s">
        <v>420</v>
      </c>
      <c r="F369" s="2">
        <v>45679</v>
      </c>
      <c r="G369">
        <v>4018.29</v>
      </c>
      <c r="H369" s="1">
        <f>AVERAGEIF(Table1[Customer_ID], Table1[[#This Row],[Customer_ID]], Table1[Transaction_Amount])</f>
        <v>5075.1522222222229</v>
      </c>
      <c r="I369" t="s">
        <v>1667</v>
      </c>
      <c r="J369" t="s">
        <v>50</v>
      </c>
      <c r="K369" t="s">
        <v>12</v>
      </c>
      <c r="L369">
        <v>3</v>
      </c>
      <c r="M369" t="s">
        <v>56</v>
      </c>
      <c r="N369" t="s">
        <v>33</v>
      </c>
      <c r="O369" t="s">
        <v>392</v>
      </c>
      <c r="P369" s="6" t="str">
        <f>IF(Table1[[#This Row],[Transaction_Amount]]&lt;=Table1[[#This Row],[avg_transaction_amount]], "usual transaction", "unusual transaction")</f>
        <v>usual transaction</v>
      </c>
      <c r="Q369" s="6" t="str">
        <f>IF(AND(Table1[[#This Row],[Country_of_Residence]]&lt;&gt;Table1[[#This Row],[Country_of_Transaction]], OR(Table1[[#This Row],[Authentication_Type]]="Biometric", Table1[[#This Row],[Authentication_Type]]="OTP")), "safe location transaction", "unsafe location transaction")</f>
        <v>unsafe location transaction</v>
      </c>
      <c r="R369" s="6" t="str">
        <f>IF(AND(Table1[[#This Row],[Country_of_Residence]]&lt;&gt;Table1[[#This Row],[Country_of_Transaction]], OR(Table1[[#This Row],[Merchant_Category]]="Electronics", Table1[[#This Row],[Merchant_Category]]="Travel")), "unsafe merchant transaction", "safe merchant transaction")</f>
        <v>unsafe merchant transaction</v>
      </c>
    </row>
    <row r="370" spans="1:18">
      <c r="A370" t="s">
        <v>4157</v>
      </c>
      <c r="B370" t="s">
        <v>95</v>
      </c>
      <c r="C370">
        <v>1</v>
      </c>
      <c r="D370" t="s">
        <v>9</v>
      </c>
      <c r="E370" t="s">
        <v>420</v>
      </c>
      <c r="F370" s="2">
        <v>45706</v>
      </c>
      <c r="G370">
        <v>9512.8700000000008</v>
      </c>
      <c r="H370" s="1">
        <f>AVERAGEIF(Table1[Customer_ID], Table1[[#This Row],[Customer_ID]], Table1[Transaction_Amount])</f>
        <v>5075.1522222222229</v>
      </c>
      <c r="I370" t="s">
        <v>1684</v>
      </c>
      <c r="J370" t="s">
        <v>46</v>
      </c>
      <c r="K370" t="s">
        <v>14</v>
      </c>
      <c r="L370">
        <v>2</v>
      </c>
      <c r="M370" t="s">
        <v>47</v>
      </c>
      <c r="N370" t="s">
        <v>56</v>
      </c>
      <c r="O370" t="s">
        <v>392</v>
      </c>
      <c r="P370" s="6" t="str">
        <f>IF(Table1[[#This Row],[Transaction_Amount]]&lt;=Table1[[#This Row],[avg_transaction_amount]], "usual transaction", "unusual transaction")</f>
        <v>unusual transaction</v>
      </c>
      <c r="Q370" s="6" t="str">
        <f>IF(AND(Table1[[#This Row],[Country_of_Residence]]&lt;&gt;Table1[[#This Row],[Country_of_Transaction]], OR(Table1[[#This Row],[Authentication_Type]]="Biometric", Table1[[#This Row],[Authentication_Type]]="OTP")), "safe location transaction", "unsafe location transaction")</f>
        <v>unsafe location transaction</v>
      </c>
      <c r="R370" s="6" t="str">
        <f>IF(AND(Table1[[#This Row],[Country_of_Residence]]&lt;&gt;Table1[[#This Row],[Country_of_Transaction]], OR(Table1[[#This Row],[Merchant_Category]]="Electronics", Table1[[#This Row],[Merchant_Category]]="Travel")), "unsafe merchant transaction", "safe merchant transaction")</f>
        <v>safe merchant transaction</v>
      </c>
    </row>
    <row r="371" spans="1:18">
      <c r="A371" t="s">
        <v>4216</v>
      </c>
      <c r="B371" t="s">
        <v>95</v>
      </c>
      <c r="C371">
        <v>1</v>
      </c>
      <c r="D371" t="s">
        <v>9</v>
      </c>
      <c r="E371" t="s">
        <v>6</v>
      </c>
      <c r="F371" s="2">
        <v>45944</v>
      </c>
      <c r="G371">
        <v>8285.35</v>
      </c>
      <c r="H371" s="1">
        <f>AVERAGEIF(Table1[Customer_ID], Table1[[#This Row],[Customer_ID]], Table1[Transaction_Amount])</f>
        <v>5075.1522222222229</v>
      </c>
      <c r="I371" t="s">
        <v>1736</v>
      </c>
      <c r="J371" t="s">
        <v>41</v>
      </c>
      <c r="K371" t="s">
        <v>14</v>
      </c>
      <c r="L371">
        <v>1</v>
      </c>
      <c r="M371" t="s">
        <v>412</v>
      </c>
      <c r="N371" t="s">
        <v>32</v>
      </c>
      <c r="O371" t="s">
        <v>392</v>
      </c>
      <c r="P371" s="6" t="str">
        <f>IF(Table1[[#This Row],[Transaction_Amount]]&lt;=Table1[[#This Row],[avg_transaction_amount]], "usual transaction", "unusual transaction")</f>
        <v>unusual transaction</v>
      </c>
      <c r="Q371" s="6" t="str">
        <f>IF(AND(Table1[[#This Row],[Country_of_Residence]]&lt;&gt;Table1[[#This Row],[Country_of_Transaction]], OR(Table1[[#This Row],[Authentication_Type]]="Biometric", Table1[[#This Row],[Authentication_Type]]="OTP")), "safe location transaction", "unsafe location transaction")</f>
        <v>unsafe location transaction</v>
      </c>
      <c r="R371" s="6" t="str">
        <f>IF(AND(Table1[[#This Row],[Country_of_Residence]]&lt;&gt;Table1[[#This Row],[Country_of_Transaction]], OR(Table1[[#This Row],[Merchant_Category]]="Electronics", Table1[[#This Row],[Merchant_Category]]="Travel")), "unsafe merchant transaction", "safe merchant transaction")</f>
        <v>safe merchant transaction</v>
      </c>
    </row>
    <row r="372" spans="1:18">
      <c r="A372" t="s">
        <v>4235</v>
      </c>
      <c r="B372" t="s">
        <v>95</v>
      </c>
      <c r="C372">
        <v>1</v>
      </c>
      <c r="D372" t="s">
        <v>15</v>
      </c>
      <c r="E372" t="s">
        <v>420</v>
      </c>
      <c r="F372" s="2">
        <v>45724</v>
      </c>
      <c r="G372">
        <v>2529.31</v>
      </c>
      <c r="H372" s="1">
        <f>AVERAGEIF(Table1[Customer_ID], Table1[[#This Row],[Customer_ID]], Table1[Transaction_Amount])</f>
        <v>5075.1522222222229</v>
      </c>
      <c r="I372" t="s">
        <v>1178</v>
      </c>
      <c r="J372" t="s">
        <v>31</v>
      </c>
      <c r="K372" t="s">
        <v>8</v>
      </c>
      <c r="L372">
        <v>0</v>
      </c>
      <c r="M372" t="s">
        <v>47</v>
      </c>
      <c r="N372" t="s">
        <v>51</v>
      </c>
      <c r="O372" t="s">
        <v>393</v>
      </c>
      <c r="P372" s="6" t="str">
        <f>IF(Table1[[#This Row],[Transaction_Amount]]&lt;=Table1[[#This Row],[avg_transaction_amount]], "usual transaction", "unusual transaction")</f>
        <v>usual transaction</v>
      </c>
      <c r="Q372" s="6" t="str">
        <f>IF(AND(Table1[[#This Row],[Country_of_Residence]]&lt;&gt;Table1[[#This Row],[Country_of_Transaction]], OR(Table1[[#This Row],[Authentication_Type]]="Biometric", Table1[[#This Row],[Authentication_Type]]="OTP")), "safe location transaction", "unsafe location transaction")</f>
        <v>safe location transaction</v>
      </c>
      <c r="R372" s="6" t="str">
        <f>IF(AND(Table1[[#This Row],[Country_of_Residence]]&lt;&gt;Table1[[#This Row],[Country_of_Transaction]], OR(Table1[[#This Row],[Merchant_Category]]="Electronics", Table1[[#This Row],[Merchant_Category]]="Travel")), "unsafe merchant transaction", "safe merchant transaction")</f>
        <v>safe merchant transaction</v>
      </c>
    </row>
    <row r="373" spans="1:18">
      <c r="A373" t="s">
        <v>4297</v>
      </c>
      <c r="B373" t="s">
        <v>95</v>
      </c>
      <c r="C373">
        <v>1</v>
      </c>
      <c r="D373" t="s">
        <v>15</v>
      </c>
      <c r="E373" t="s">
        <v>5</v>
      </c>
      <c r="F373" s="2">
        <v>45661</v>
      </c>
      <c r="G373">
        <v>8488.6299999999992</v>
      </c>
      <c r="H373" s="1">
        <f>AVERAGEIF(Table1[Customer_ID], Table1[[#This Row],[Customer_ID]], Table1[Transaction_Amount])</f>
        <v>5075.1522222222229</v>
      </c>
      <c r="I373" t="s">
        <v>1807</v>
      </c>
      <c r="J373" t="s">
        <v>46</v>
      </c>
      <c r="K373" t="s">
        <v>14</v>
      </c>
      <c r="L373">
        <v>2</v>
      </c>
      <c r="M373" t="s">
        <v>51</v>
      </c>
      <c r="N373" t="s">
        <v>55</v>
      </c>
      <c r="O373" t="s">
        <v>392</v>
      </c>
      <c r="P373" s="6" t="str">
        <f>IF(Table1[[#This Row],[Transaction_Amount]]&lt;=Table1[[#This Row],[avg_transaction_amount]], "usual transaction", "unusual transaction")</f>
        <v>unusual transaction</v>
      </c>
      <c r="Q373" s="6" t="str">
        <f>IF(AND(Table1[[#This Row],[Country_of_Residence]]&lt;&gt;Table1[[#This Row],[Country_of_Transaction]], OR(Table1[[#This Row],[Authentication_Type]]="Biometric", Table1[[#This Row],[Authentication_Type]]="OTP")), "safe location transaction", "unsafe location transaction")</f>
        <v>unsafe location transaction</v>
      </c>
      <c r="R373" s="6" t="str">
        <f>IF(AND(Table1[[#This Row],[Country_of_Residence]]&lt;&gt;Table1[[#This Row],[Country_of_Transaction]], OR(Table1[[#This Row],[Merchant_Category]]="Electronics", Table1[[#This Row],[Merchant_Category]]="Travel")), "unsafe merchant transaction", "safe merchant transaction")</f>
        <v>safe merchant transaction</v>
      </c>
    </row>
    <row r="374" spans="1:18">
      <c r="A374" t="s">
        <v>4415</v>
      </c>
      <c r="B374" t="s">
        <v>95</v>
      </c>
      <c r="C374">
        <v>1</v>
      </c>
      <c r="D374" t="s">
        <v>15</v>
      </c>
      <c r="E374" t="s">
        <v>6</v>
      </c>
      <c r="F374" s="2">
        <v>45894</v>
      </c>
      <c r="G374">
        <v>7003.86</v>
      </c>
      <c r="H374" s="1">
        <f>AVERAGEIF(Table1[Customer_ID], Table1[[#This Row],[Customer_ID]], Table1[Transaction_Amount])</f>
        <v>5075.1522222222229</v>
      </c>
      <c r="I374" t="s">
        <v>1914</v>
      </c>
      <c r="J374" t="s">
        <v>36</v>
      </c>
      <c r="K374" t="s">
        <v>12</v>
      </c>
      <c r="L374">
        <v>4</v>
      </c>
      <c r="M374" t="s">
        <v>32</v>
      </c>
      <c r="N374" t="s">
        <v>42</v>
      </c>
      <c r="O374" t="s">
        <v>392</v>
      </c>
      <c r="P374" s="6" t="str">
        <f>IF(Table1[[#This Row],[Transaction_Amount]]&lt;=Table1[[#This Row],[avg_transaction_amount]], "usual transaction", "unusual transaction")</f>
        <v>unusual transaction</v>
      </c>
      <c r="Q374" s="6" t="str">
        <f>IF(AND(Table1[[#This Row],[Country_of_Residence]]&lt;&gt;Table1[[#This Row],[Country_of_Transaction]], OR(Table1[[#This Row],[Authentication_Type]]="Biometric", Table1[[#This Row],[Authentication_Type]]="OTP")), "safe location transaction", "unsafe location transaction")</f>
        <v>unsafe location transaction</v>
      </c>
      <c r="R374" s="6" t="str">
        <f>IF(AND(Table1[[#This Row],[Country_of_Residence]]&lt;&gt;Table1[[#This Row],[Country_of_Transaction]], OR(Table1[[#This Row],[Merchant_Category]]="Electronics", Table1[[#This Row],[Merchant_Category]]="Travel")), "unsafe merchant transaction", "safe merchant transaction")</f>
        <v>safe merchant transaction</v>
      </c>
    </row>
    <row r="375" spans="1:18">
      <c r="A375" t="s">
        <v>4433</v>
      </c>
      <c r="B375" t="s">
        <v>95</v>
      </c>
      <c r="C375">
        <v>1</v>
      </c>
      <c r="D375" t="s">
        <v>15</v>
      </c>
      <c r="E375" t="s">
        <v>6</v>
      </c>
      <c r="F375" s="2">
        <v>45832</v>
      </c>
      <c r="G375">
        <v>3611.79</v>
      </c>
      <c r="H375" s="1">
        <f>AVERAGEIF(Table1[Customer_ID], Table1[[#This Row],[Customer_ID]], Table1[Transaction_Amount])</f>
        <v>5075.1522222222229</v>
      </c>
      <c r="I375" t="s">
        <v>1654</v>
      </c>
      <c r="J375" t="s">
        <v>50</v>
      </c>
      <c r="K375" t="s">
        <v>8</v>
      </c>
      <c r="L375">
        <v>2</v>
      </c>
      <c r="M375" t="s">
        <v>412</v>
      </c>
      <c r="N375" t="s">
        <v>33</v>
      </c>
      <c r="O375" t="s">
        <v>393</v>
      </c>
      <c r="P375" s="6" t="str">
        <f>IF(Table1[[#This Row],[Transaction_Amount]]&lt;=Table1[[#This Row],[avg_transaction_amount]], "usual transaction", "unusual transaction")</f>
        <v>usual transaction</v>
      </c>
      <c r="Q375" s="6" t="str">
        <f>IF(AND(Table1[[#This Row],[Country_of_Residence]]&lt;&gt;Table1[[#This Row],[Country_of_Transaction]], OR(Table1[[#This Row],[Authentication_Type]]="Biometric", Table1[[#This Row],[Authentication_Type]]="OTP")), "safe location transaction", "unsafe location transaction")</f>
        <v>safe location transaction</v>
      </c>
      <c r="R375" s="6" t="str">
        <f>IF(AND(Table1[[#This Row],[Country_of_Residence]]&lt;&gt;Table1[[#This Row],[Country_of_Transaction]], OR(Table1[[#This Row],[Merchant_Category]]="Electronics", Table1[[#This Row],[Merchant_Category]]="Travel")), "unsafe merchant transaction", "safe merchant transaction")</f>
        <v>unsafe merchant transaction</v>
      </c>
    </row>
    <row r="376" spans="1:18">
      <c r="A376" t="s">
        <v>4538</v>
      </c>
      <c r="B376" t="s">
        <v>95</v>
      </c>
      <c r="C376">
        <v>1</v>
      </c>
      <c r="D376" t="s">
        <v>15</v>
      </c>
      <c r="E376" t="s">
        <v>3</v>
      </c>
      <c r="F376" s="2">
        <v>45826</v>
      </c>
      <c r="G376">
        <v>1351.08</v>
      </c>
      <c r="H376" s="1">
        <f>AVERAGEIF(Table1[Customer_ID], Table1[[#This Row],[Customer_ID]], Table1[Transaction_Amount])</f>
        <v>5075.1522222222229</v>
      </c>
      <c r="I376" t="s">
        <v>2017</v>
      </c>
      <c r="J376" t="s">
        <v>41</v>
      </c>
      <c r="K376" t="s">
        <v>14</v>
      </c>
      <c r="L376">
        <v>1</v>
      </c>
      <c r="M376" t="s">
        <v>37</v>
      </c>
      <c r="N376" t="s">
        <v>412</v>
      </c>
      <c r="O376" t="s">
        <v>392</v>
      </c>
      <c r="P376" s="6" t="str">
        <f>IF(Table1[[#This Row],[Transaction_Amount]]&lt;=Table1[[#This Row],[avg_transaction_amount]], "usual transaction", "unusual transaction")</f>
        <v>usual transaction</v>
      </c>
      <c r="Q376" s="6" t="str">
        <f>IF(AND(Table1[[#This Row],[Country_of_Residence]]&lt;&gt;Table1[[#This Row],[Country_of_Transaction]], OR(Table1[[#This Row],[Authentication_Type]]="Biometric", Table1[[#This Row],[Authentication_Type]]="OTP")), "safe location transaction", "unsafe location transaction")</f>
        <v>unsafe location transaction</v>
      </c>
      <c r="R376" s="6" t="str">
        <f>IF(AND(Table1[[#This Row],[Country_of_Residence]]&lt;&gt;Table1[[#This Row],[Country_of_Transaction]], OR(Table1[[#This Row],[Merchant_Category]]="Electronics", Table1[[#This Row],[Merchant_Category]]="Travel")), "unsafe merchant transaction", "safe merchant transaction")</f>
        <v>safe merchant transaction</v>
      </c>
    </row>
    <row r="377" spans="1:18">
      <c r="A377" t="s">
        <v>4573</v>
      </c>
      <c r="B377" t="s">
        <v>95</v>
      </c>
      <c r="C377">
        <v>1</v>
      </c>
      <c r="D377" t="s">
        <v>9</v>
      </c>
      <c r="E377" t="s">
        <v>420</v>
      </c>
      <c r="F377" s="2">
        <v>45684</v>
      </c>
      <c r="G377">
        <v>9719.99</v>
      </c>
      <c r="H377" s="1">
        <f>AVERAGEIF(Table1[Customer_ID], Table1[[#This Row],[Customer_ID]], Table1[Transaction_Amount])</f>
        <v>5075.1522222222229</v>
      </c>
      <c r="I377" t="s">
        <v>355</v>
      </c>
      <c r="J377" t="s">
        <v>46</v>
      </c>
      <c r="K377" t="s">
        <v>12</v>
      </c>
      <c r="L377">
        <v>5</v>
      </c>
      <c r="M377" t="s">
        <v>51</v>
      </c>
      <c r="N377" t="s">
        <v>412</v>
      </c>
      <c r="O377" t="s">
        <v>392</v>
      </c>
      <c r="P377" s="6" t="str">
        <f>IF(Table1[[#This Row],[Transaction_Amount]]&lt;=Table1[[#This Row],[avg_transaction_amount]], "usual transaction", "unusual transaction")</f>
        <v>unusual transaction</v>
      </c>
      <c r="Q377" s="6" t="str">
        <f>IF(AND(Table1[[#This Row],[Country_of_Residence]]&lt;&gt;Table1[[#This Row],[Country_of_Transaction]], OR(Table1[[#This Row],[Authentication_Type]]="Biometric", Table1[[#This Row],[Authentication_Type]]="OTP")), "safe location transaction", "unsafe location transaction")</f>
        <v>unsafe location transaction</v>
      </c>
      <c r="R377" s="6" t="str">
        <f>IF(AND(Table1[[#This Row],[Country_of_Residence]]&lt;&gt;Table1[[#This Row],[Country_of_Transaction]], OR(Table1[[#This Row],[Merchant_Category]]="Electronics", Table1[[#This Row],[Merchant_Category]]="Travel")), "unsafe merchant transaction", "safe merchant transaction")</f>
        <v>safe merchant transaction</v>
      </c>
    </row>
    <row r="378" spans="1:18">
      <c r="A378" t="s">
        <v>4626</v>
      </c>
      <c r="B378" t="s">
        <v>95</v>
      </c>
      <c r="C378">
        <v>1</v>
      </c>
      <c r="D378" t="s">
        <v>9</v>
      </c>
      <c r="E378" t="s">
        <v>3</v>
      </c>
      <c r="F378" s="2">
        <v>45762</v>
      </c>
      <c r="G378">
        <v>8559.3700000000008</v>
      </c>
      <c r="H378" s="1">
        <f>AVERAGEIF(Table1[Customer_ID], Table1[[#This Row],[Customer_ID]], Table1[Transaction_Amount])</f>
        <v>5075.1522222222229</v>
      </c>
      <c r="I378" t="s">
        <v>2089</v>
      </c>
      <c r="J378" t="s">
        <v>41</v>
      </c>
      <c r="K378" t="s">
        <v>14</v>
      </c>
      <c r="L378">
        <v>0</v>
      </c>
      <c r="M378" t="s">
        <v>42</v>
      </c>
      <c r="N378" t="s">
        <v>37</v>
      </c>
      <c r="O378" t="s">
        <v>393</v>
      </c>
      <c r="P378" s="6" t="str">
        <f>IF(Table1[[#This Row],[Transaction_Amount]]&lt;=Table1[[#This Row],[avg_transaction_amount]], "usual transaction", "unusual transaction")</f>
        <v>unusual transaction</v>
      </c>
      <c r="Q378" s="6" t="str">
        <f>IF(AND(Table1[[#This Row],[Country_of_Residence]]&lt;&gt;Table1[[#This Row],[Country_of_Transaction]], OR(Table1[[#This Row],[Authentication_Type]]="Biometric", Table1[[#This Row],[Authentication_Type]]="OTP")), "safe location transaction", "unsafe location transaction")</f>
        <v>unsafe location transaction</v>
      </c>
      <c r="R378" s="6" t="str">
        <f>IF(AND(Table1[[#This Row],[Country_of_Residence]]&lt;&gt;Table1[[#This Row],[Country_of_Transaction]], OR(Table1[[#This Row],[Merchant_Category]]="Electronics", Table1[[#This Row],[Merchant_Category]]="Travel")), "unsafe merchant transaction", "safe merchant transaction")</f>
        <v>safe merchant transaction</v>
      </c>
    </row>
    <row r="379" spans="1:18">
      <c r="A379" t="s">
        <v>4692</v>
      </c>
      <c r="B379" t="s">
        <v>95</v>
      </c>
      <c r="C379">
        <v>1</v>
      </c>
      <c r="D379" t="s">
        <v>9</v>
      </c>
      <c r="E379" t="s">
        <v>5</v>
      </c>
      <c r="F379" s="2">
        <v>45944</v>
      </c>
      <c r="G379">
        <v>4707.84</v>
      </c>
      <c r="H379" s="1">
        <f>AVERAGEIF(Table1[Customer_ID], Table1[[#This Row],[Customer_ID]], Table1[Transaction_Amount])</f>
        <v>5075.1522222222229</v>
      </c>
      <c r="I379" t="s">
        <v>2142</v>
      </c>
      <c r="J379" t="s">
        <v>50</v>
      </c>
      <c r="K379" t="s">
        <v>14</v>
      </c>
      <c r="L379">
        <v>3</v>
      </c>
      <c r="M379" t="s">
        <v>56</v>
      </c>
      <c r="N379" t="s">
        <v>33</v>
      </c>
      <c r="O379" t="s">
        <v>393</v>
      </c>
      <c r="P379" s="6" t="str">
        <f>IF(Table1[[#This Row],[Transaction_Amount]]&lt;=Table1[[#This Row],[avg_transaction_amount]], "usual transaction", "unusual transaction")</f>
        <v>usual transaction</v>
      </c>
      <c r="Q379" s="6" t="str">
        <f>IF(AND(Table1[[#This Row],[Country_of_Residence]]&lt;&gt;Table1[[#This Row],[Country_of_Transaction]], OR(Table1[[#This Row],[Authentication_Type]]="Biometric", Table1[[#This Row],[Authentication_Type]]="OTP")), "safe location transaction", "unsafe location transaction")</f>
        <v>unsafe location transaction</v>
      </c>
      <c r="R379" s="6" t="str">
        <f>IF(AND(Table1[[#This Row],[Country_of_Residence]]&lt;&gt;Table1[[#This Row],[Country_of_Transaction]], OR(Table1[[#This Row],[Merchant_Category]]="Electronics", Table1[[#This Row],[Merchant_Category]]="Travel")), "unsafe merchant transaction", "safe merchant transaction")</f>
        <v>unsafe merchant transaction</v>
      </c>
    </row>
    <row r="380" spans="1:18">
      <c r="A380" t="s">
        <v>4699</v>
      </c>
      <c r="B380" t="s">
        <v>95</v>
      </c>
      <c r="C380">
        <v>1</v>
      </c>
      <c r="D380" t="s">
        <v>9</v>
      </c>
      <c r="E380" t="s">
        <v>5</v>
      </c>
      <c r="F380" s="2">
        <v>45862</v>
      </c>
      <c r="G380">
        <v>3793.17</v>
      </c>
      <c r="H380" s="1">
        <f>AVERAGEIF(Table1[Customer_ID], Table1[[#This Row],[Customer_ID]], Table1[Transaction_Amount])</f>
        <v>5075.1522222222229</v>
      </c>
      <c r="I380" t="s">
        <v>2147</v>
      </c>
      <c r="J380" t="s">
        <v>36</v>
      </c>
      <c r="K380" t="s">
        <v>14</v>
      </c>
      <c r="L380">
        <v>0</v>
      </c>
      <c r="M380" t="s">
        <v>56</v>
      </c>
      <c r="N380" t="s">
        <v>33</v>
      </c>
      <c r="O380" t="s">
        <v>392</v>
      </c>
      <c r="P380" s="6" t="str">
        <f>IF(Table1[[#This Row],[Transaction_Amount]]&lt;=Table1[[#This Row],[avg_transaction_amount]], "usual transaction", "unusual transaction")</f>
        <v>usual transaction</v>
      </c>
      <c r="Q380" s="6" t="str">
        <f>IF(AND(Table1[[#This Row],[Country_of_Residence]]&lt;&gt;Table1[[#This Row],[Country_of_Transaction]], OR(Table1[[#This Row],[Authentication_Type]]="Biometric", Table1[[#This Row],[Authentication_Type]]="OTP")), "safe location transaction", "unsafe location transaction")</f>
        <v>unsafe location transaction</v>
      </c>
      <c r="R380" s="6" t="str">
        <f>IF(AND(Table1[[#This Row],[Country_of_Residence]]&lt;&gt;Table1[[#This Row],[Country_of_Transaction]], OR(Table1[[#This Row],[Merchant_Category]]="Electronics", Table1[[#This Row],[Merchant_Category]]="Travel")), "unsafe merchant transaction", "safe merchant transaction")</f>
        <v>safe merchant transaction</v>
      </c>
    </row>
    <row r="381" spans="1:18">
      <c r="A381" t="s">
        <v>4705</v>
      </c>
      <c r="B381" t="s">
        <v>95</v>
      </c>
      <c r="C381">
        <v>1</v>
      </c>
      <c r="D381" t="s">
        <v>15</v>
      </c>
      <c r="E381" t="s">
        <v>5</v>
      </c>
      <c r="F381" s="2">
        <v>45854</v>
      </c>
      <c r="G381">
        <v>2872.7</v>
      </c>
      <c r="H381" s="1">
        <f>AVERAGEIF(Table1[Customer_ID], Table1[[#This Row],[Customer_ID]], Table1[Transaction_Amount])</f>
        <v>5075.1522222222229</v>
      </c>
      <c r="I381" t="s">
        <v>2151</v>
      </c>
      <c r="J381" t="s">
        <v>36</v>
      </c>
      <c r="K381" t="s">
        <v>8</v>
      </c>
      <c r="L381">
        <v>2</v>
      </c>
      <c r="M381" t="s">
        <v>55</v>
      </c>
      <c r="N381" t="s">
        <v>42</v>
      </c>
      <c r="O381" t="s">
        <v>392</v>
      </c>
      <c r="P381" s="6" t="str">
        <f>IF(Table1[[#This Row],[Transaction_Amount]]&lt;=Table1[[#This Row],[avg_transaction_amount]], "usual transaction", "unusual transaction")</f>
        <v>usual transaction</v>
      </c>
      <c r="Q381" s="6" t="str">
        <f>IF(AND(Table1[[#This Row],[Country_of_Residence]]&lt;&gt;Table1[[#This Row],[Country_of_Transaction]], OR(Table1[[#This Row],[Authentication_Type]]="Biometric", Table1[[#This Row],[Authentication_Type]]="OTP")), "safe location transaction", "unsafe location transaction")</f>
        <v>safe location transaction</v>
      </c>
      <c r="R381" s="6" t="str">
        <f>IF(AND(Table1[[#This Row],[Country_of_Residence]]&lt;&gt;Table1[[#This Row],[Country_of_Transaction]], OR(Table1[[#This Row],[Merchant_Category]]="Electronics", Table1[[#This Row],[Merchant_Category]]="Travel")), "unsafe merchant transaction", "safe merchant transaction")</f>
        <v>safe merchant transaction</v>
      </c>
    </row>
    <row r="382" spans="1:18">
      <c r="A382" t="s">
        <v>4894</v>
      </c>
      <c r="B382" t="s">
        <v>95</v>
      </c>
      <c r="C382">
        <v>1</v>
      </c>
      <c r="D382" t="s">
        <v>15</v>
      </c>
      <c r="E382" t="s">
        <v>5</v>
      </c>
      <c r="F382" s="2">
        <v>45974</v>
      </c>
      <c r="G382">
        <v>5876.53</v>
      </c>
      <c r="H382" s="1">
        <f>AVERAGEIF(Table1[Customer_ID], Table1[[#This Row],[Customer_ID]], Table1[Transaction_Amount])</f>
        <v>5075.1522222222229</v>
      </c>
      <c r="I382" t="s">
        <v>2296</v>
      </c>
      <c r="J382" t="s">
        <v>50</v>
      </c>
      <c r="K382" t="s">
        <v>8</v>
      </c>
      <c r="L382">
        <v>2</v>
      </c>
      <c r="M382" t="s">
        <v>37</v>
      </c>
      <c r="N382" t="s">
        <v>56</v>
      </c>
      <c r="O382" t="s">
        <v>393</v>
      </c>
      <c r="P382" s="6" t="str">
        <f>IF(Table1[[#This Row],[Transaction_Amount]]&lt;=Table1[[#This Row],[avg_transaction_amount]], "usual transaction", "unusual transaction")</f>
        <v>unusual transaction</v>
      </c>
      <c r="Q382" s="6" t="str">
        <f>IF(AND(Table1[[#This Row],[Country_of_Residence]]&lt;&gt;Table1[[#This Row],[Country_of_Transaction]], OR(Table1[[#This Row],[Authentication_Type]]="Biometric", Table1[[#This Row],[Authentication_Type]]="OTP")), "safe location transaction", "unsafe location transaction")</f>
        <v>safe location transaction</v>
      </c>
      <c r="R382" s="6" t="str">
        <f>IF(AND(Table1[[#This Row],[Country_of_Residence]]&lt;&gt;Table1[[#This Row],[Country_of_Transaction]], OR(Table1[[#This Row],[Merchant_Category]]="Electronics", Table1[[#This Row],[Merchant_Category]]="Travel")), "unsafe merchant transaction", "safe merchant transaction")</f>
        <v>unsafe merchant transaction</v>
      </c>
    </row>
    <row r="383" spans="1:18">
      <c r="A383" t="s">
        <v>4975</v>
      </c>
      <c r="B383" t="s">
        <v>95</v>
      </c>
      <c r="C383">
        <v>1</v>
      </c>
      <c r="D383" t="s">
        <v>9</v>
      </c>
      <c r="E383" t="s">
        <v>3</v>
      </c>
      <c r="F383" s="2">
        <v>45837</v>
      </c>
      <c r="G383">
        <v>885.81</v>
      </c>
      <c r="H383" s="1">
        <f>AVERAGEIF(Table1[Customer_ID], Table1[[#This Row],[Customer_ID]], Table1[Transaction_Amount])</f>
        <v>5075.1522222222229</v>
      </c>
      <c r="I383" t="s">
        <v>2359</v>
      </c>
      <c r="J383" t="s">
        <v>36</v>
      </c>
      <c r="K383" t="s">
        <v>12</v>
      </c>
      <c r="L383">
        <v>2</v>
      </c>
      <c r="M383" t="s">
        <v>55</v>
      </c>
      <c r="N383" t="s">
        <v>32</v>
      </c>
      <c r="O383" t="s">
        <v>392</v>
      </c>
      <c r="P383" s="6" t="str">
        <f>IF(Table1[[#This Row],[Transaction_Amount]]&lt;=Table1[[#This Row],[avg_transaction_amount]], "usual transaction", "unusual transaction")</f>
        <v>usual transaction</v>
      </c>
      <c r="Q383" s="6" t="str">
        <f>IF(AND(Table1[[#This Row],[Country_of_Residence]]&lt;&gt;Table1[[#This Row],[Country_of_Transaction]], OR(Table1[[#This Row],[Authentication_Type]]="Biometric", Table1[[#This Row],[Authentication_Type]]="OTP")), "safe location transaction", "unsafe location transaction")</f>
        <v>unsafe location transaction</v>
      </c>
      <c r="R383" s="6" t="str">
        <f>IF(AND(Table1[[#This Row],[Country_of_Residence]]&lt;&gt;Table1[[#This Row],[Country_of_Transaction]], OR(Table1[[#This Row],[Merchant_Category]]="Electronics", Table1[[#This Row],[Merchant_Category]]="Travel")), "unsafe merchant transaction", "safe merchant transaction")</f>
        <v>safe merchant transaction</v>
      </c>
    </row>
    <row r="384" spans="1:18">
      <c r="A384" t="s">
        <v>5012</v>
      </c>
      <c r="B384" t="s">
        <v>95</v>
      </c>
      <c r="C384">
        <v>1</v>
      </c>
      <c r="D384" t="s">
        <v>9</v>
      </c>
      <c r="E384" t="s">
        <v>5</v>
      </c>
      <c r="F384" s="2">
        <v>45906</v>
      </c>
      <c r="G384">
        <v>9389.7800000000007</v>
      </c>
      <c r="H384" s="1">
        <f>AVERAGEIF(Table1[Customer_ID], Table1[[#This Row],[Customer_ID]], Table1[Transaction_Amount])</f>
        <v>5075.1522222222229</v>
      </c>
      <c r="I384" t="s">
        <v>2391</v>
      </c>
      <c r="J384" t="s">
        <v>41</v>
      </c>
      <c r="K384" t="s">
        <v>12</v>
      </c>
      <c r="L384">
        <v>2</v>
      </c>
      <c r="M384" t="s">
        <v>42</v>
      </c>
      <c r="N384" t="s">
        <v>47</v>
      </c>
      <c r="O384" t="s">
        <v>392</v>
      </c>
      <c r="P384" s="6" t="str">
        <f>IF(Table1[[#This Row],[Transaction_Amount]]&lt;=Table1[[#This Row],[avg_transaction_amount]], "usual transaction", "unusual transaction")</f>
        <v>unusual transaction</v>
      </c>
      <c r="Q384" s="6" t="str">
        <f>IF(AND(Table1[[#This Row],[Country_of_Residence]]&lt;&gt;Table1[[#This Row],[Country_of_Transaction]], OR(Table1[[#This Row],[Authentication_Type]]="Biometric", Table1[[#This Row],[Authentication_Type]]="OTP")), "safe location transaction", "unsafe location transaction")</f>
        <v>unsafe location transaction</v>
      </c>
      <c r="R384" s="6" t="str">
        <f>IF(AND(Table1[[#This Row],[Country_of_Residence]]&lt;&gt;Table1[[#This Row],[Country_of_Transaction]], OR(Table1[[#This Row],[Merchant_Category]]="Electronics", Table1[[#This Row],[Merchant_Category]]="Travel")), "unsafe merchant transaction", "safe merchant transaction")</f>
        <v>safe merchant transaction</v>
      </c>
    </row>
    <row r="385" spans="1:18">
      <c r="A385" t="s">
        <v>5052</v>
      </c>
      <c r="B385" t="s">
        <v>95</v>
      </c>
      <c r="C385">
        <v>1</v>
      </c>
      <c r="D385" t="s">
        <v>9</v>
      </c>
      <c r="E385" t="s">
        <v>6</v>
      </c>
      <c r="F385" s="2">
        <v>45896</v>
      </c>
      <c r="G385">
        <v>7417.71</v>
      </c>
      <c r="H385" s="1">
        <f>AVERAGEIF(Table1[Customer_ID], Table1[[#This Row],[Customer_ID]], Table1[Transaction_Amount])</f>
        <v>5075.1522222222229</v>
      </c>
      <c r="I385" t="s">
        <v>2416</v>
      </c>
      <c r="J385" t="s">
        <v>36</v>
      </c>
      <c r="K385" t="s">
        <v>10</v>
      </c>
      <c r="L385">
        <v>1</v>
      </c>
      <c r="M385" t="s">
        <v>55</v>
      </c>
      <c r="N385" t="s">
        <v>33</v>
      </c>
      <c r="O385" t="s">
        <v>393</v>
      </c>
      <c r="P385" s="6" t="str">
        <f>IF(Table1[[#This Row],[Transaction_Amount]]&lt;=Table1[[#This Row],[avg_transaction_amount]], "usual transaction", "unusual transaction")</f>
        <v>unusual transaction</v>
      </c>
      <c r="Q385" s="6" t="str">
        <f>IF(AND(Table1[[#This Row],[Country_of_Residence]]&lt;&gt;Table1[[#This Row],[Country_of_Transaction]], OR(Table1[[#This Row],[Authentication_Type]]="Biometric", Table1[[#This Row],[Authentication_Type]]="OTP")), "safe location transaction", "unsafe location transaction")</f>
        <v>safe location transaction</v>
      </c>
      <c r="R385" s="6" t="str">
        <f>IF(AND(Table1[[#This Row],[Country_of_Residence]]&lt;&gt;Table1[[#This Row],[Country_of_Transaction]], OR(Table1[[#This Row],[Merchant_Category]]="Electronics", Table1[[#This Row],[Merchant_Category]]="Travel")), "unsafe merchant transaction", "safe merchant transaction")</f>
        <v>safe merchant transaction</v>
      </c>
    </row>
    <row r="386" spans="1:18">
      <c r="A386" t="s">
        <v>5085</v>
      </c>
      <c r="B386" t="s">
        <v>95</v>
      </c>
      <c r="C386">
        <v>1</v>
      </c>
      <c r="D386" t="s">
        <v>9</v>
      </c>
      <c r="E386" t="s">
        <v>3</v>
      </c>
      <c r="F386" s="2">
        <v>45686</v>
      </c>
      <c r="G386">
        <v>3701.84</v>
      </c>
      <c r="H386" s="1">
        <f>AVERAGEIF(Table1[Customer_ID], Table1[[#This Row],[Customer_ID]], Table1[Transaction_Amount])</f>
        <v>5075.1522222222229</v>
      </c>
      <c r="I386" t="s">
        <v>2437</v>
      </c>
      <c r="J386" t="s">
        <v>31</v>
      </c>
      <c r="K386" t="s">
        <v>14</v>
      </c>
      <c r="L386">
        <v>1</v>
      </c>
      <c r="M386" t="s">
        <v>55</v>
      </c>
      <c r="N386" t="s">
        <v>56</v>
      </c>
      <c r="O386" t="s">
        <v>393</v>
      </c>
      <c r="P386" s="6" t="str">
        <f>IF(Table1[[#This Row],[Transaction_Amount]]&lt;=Table1[[#This Row],[avg_transaction_amount]], "usual transaction", "unusual transaction")</f>
        <v>usual transaction</v>
      </c>
      <c r="Q386" s="6" t="str">
        <f>IF(AND(Table1[[#This Row],[Country_of_Residence]]&lt;&gt;Table1[[#This Row],[Country_of_Transaction]], OR(Table1[[#This Row],[Authentication_Type]]="Biometric", Table1[[#This Row],[Authentication_Type]]="OTP")), "safe location transaction", "unsafe location transaction")</f>
        <v>unsafe location transaction</v>
      </c>
      <c r="R386" s="6" t="str">
        <f>IF(AND(Table1[[#This Row],[Country_of_Residence]]&lt;&gt;Table1[[#This Row],[Country_of_Transaction]], OR(Table1[[#This Row],[Merchant_Category]]="Electronics", Table1[[#This Row],[Merchant_Category]]="Travel")), "unsafe merchant transaction", "safe merchant transaction")</f>
        <v>safe merchant transaction</v>
      </c>
    </row>
    <row r="387" spans="1:18">
      <c r="A387" t="s">
        <v>5139</v>
      </c>
      <c r="B387" t="s">
        <v>95</v>
      </c>
      <c r="C387">
        <v>1</v>
      </c>
      <c r="D387" t="s">
        <v>9</v>
      </c>
      <c r="E387" t="s">
        <v>420</v>
      </c>
      <c r="F387" s="2">
        <v>45908</v>
      </c>
      <c r="G387">
        <v>4450.57</v>
      </c>
      <c r="H387" s="1">
        <f>AVERAGEIF(Table1[Customer_ID], Table1[[#This Row],[Customer_ID]], Table1[Transaction_Amount])</f>
        <v>5075.1522222222229</v>
      </c>
      <c r="I387" t="s">
        <v>2471</v>
      </c>
      <c r="J387" t="s">
        <v>31</v>
      </c>
      <c r="K387" t="s">
        <v>8</v>
      </c>
      <c r="L387">
        <v>0</v>
      </c>
      <c r="M387" t="s">
        <v>412</v>
      </c>
      <c r="N387" t="s">
        <v>55</v>
      </c>
      <c r="O387" t="s">
        <v>392</v>
      </c>
      <c r="P387" s="6" t="str">
        <f>IF(Table1[[#This Row],[Transaction_Amount]]&lt;=Table1[[#This Row],[avg_transaction_amount]], "usual transaction", "unusual transaction")</f>
        <v>usual transaction</v>
      </c>
      <c r="Q387" s="6" t="str">
        <f>IF(AND(Table1[[#This Row],[Country_of_Residence]]&lt;&gt;Table1[[#This Row],[Country_of_Transaction]], OR(Table1[[#This Row],[Authentication_Type]]="Biometric", Table1[[#This Row],[Authentication_Type]]="OTP")), "safe location transaction", "unsafe location transaction")</f>
        <v>safe location transaction</v>
      </c>
      <c r="R387" s="6" t="str">
        <f>IF(AND(Table1[[#This Row],[Country_of_Residence]]&lt;&gt;Table1[[#This Row],[Country_of_Transaction]], OR(Table1[[#This Row],[Merchant_Category]]="Electronics", Table1[[#This Row],[Merchant_Category]]="Travel")), "unsafe merchant transaction", "safe merchant transaction")</f>
        <v>safe merchant transaction</v>
      </c>
    </row>
    <row r="388" spans="1:18">
      <c r="A388" t="s">
        <v>5189</v>
      </c>
      <c r="B388" t="s">
        <v>95</v>
      </c>
      <c r="C388">
        <v>1</v>
      </c>
      <c r="D388" t="s">
        <v>9</v>
      </c>
      <c r="E388" t="s">
        <v>3</v>
      </c>
      <c r="F388" s="2">
        <v>45902</v>
      </c>
      <c r="G388">
        <v>5944.8</v>
      </c>
      <c r="H388" s="1">
        <f>AVERAGEIF(Table1[Customer_ID], Table1[[#This Row],[Customer_ID]], Table1[Transaction_Amount])</f>
        <v>5075.1522222222229</v>
      </c>
      <c r="I388" t="s">
        <v>2522</v>
      </c>
      <c r="J388" t="s">
        <v>41</v>
      </c>
      <c r="K388" t="s">
        <v>10</v>
      </c>
      <c r="L388">
        <v>5</v>
      </c>
      <c r="M388" t="s">
        <v>56</v>
      </c>
      <c r="N388" t="s">
        <v>37</v>
      </c>
      <c r="O388" t="s">
        <v>393</v>
      </c>
      <c r="P388" s="6" t="str">
        <f>IF(Table1[[#This Row],[Transaction_Amount]]&lt;=Table1[[#This Row],[avg_transaction_amount]], "usual transaction", "unusual transaction")</f>
        <v>unusual transaction</v>
      </c>
      <c r="Q388" s="6" t="str">
        <f>IF(AND(Table1[[#This Row],[Country_of_Residence]]&lt;&gt;Table1[[#This Row],[Country_of_Transaction]], OR(Table1[[#This Row],[Authentication_Type]]="Biometric", Table1[[#This Row],[Authentication_Type]]="OTP")), "safe location transaction", "unsafe location transaction")</f>
        <v>safe location transaction</v>
      </c>
      <c r="R388" s="6" t="str">
        <f>IF(AND(Table1[[#This Row],[Country_of_Residence]]&lt;&gt;Table1[[#This Row],[Country_of_Transaction]], OR(Table1[[#This Row],[Merchant_Category]]="Electronics", Table1[[#This Row],[Merchant_Category]]="Travel")), "unsafe merchant transaction", "safe merchant transaction")</f>
        <v>safe merchant transaction</v>
      </c>
    </row>
    <row r="389" spans="1:18">
      <c r="A389" t="s">
        <v>5247</v>
      </c>
      <c r="B389" t="s">
        <v>95</v>
      </c>
      <c r="C389">
        <v>1</v>
      </c>
      <c r="D389" t="s">
        <v>9</v>
      </c>
      <c r="E389" t="s">
        <v>3</v>
      </c>
      <c r="F389" s="2">
        <v>45789</v>
      </c>
      <c r="G389">
        <v>6583.84</v>
      </c>
      <c r="H389" s="1">
        <f>AVERAGEIF(Table1[Customer_ID], Table1[[#This Row],[Customer_ID]], Table1[Transaction_Amount])</f>
        <v>5075.1522222222229</v>
      </c>
      <c r="I389" t="s">
        <v>2569</v>
      </c>
      <c r="J389" t="s">
        <v>31</v>
      </c>
      <c r="K389" t="s">
        <v>10</v>
      </c>
      <c r="L389">
        <v>0</v>
      </c>
      <c r="M389" t="s">
        <v>56</v>
      </c>
      <c r="N389" t="s">
        <v>32</v>
      </c>
      <c r="O389" t="s">
        <v>393</v>
      </c>
      <c r="P389" s="6" t="str">
        <f>IF(Table1[[#This Row],[Transaction_Amount]]&lt;=Table1[[#This Row],[avg_transaction_amount]], "usual transaction", "unusual transaction")</f>
        <v>unusual transaction</v>
      </c>
      <c r="Q389" s="6" t="str">
        <f>IF(AND(Table1[[#This Row],[Country_of_Residence]]&lt;&gt;Table1[[#This Row],[Country_of_Transaction]], OR(Table1[[#This Row],[Authentication_Type]]="Biometric", Table1[[#This Row],[Authentication_Type]]="OTP")), "safe location transaction", "unsafe location transaction")</f>
        <v>safe location transaction</v>
      </c>
      <c r="R389" s="6" t="str">
        <f>IF(AND(Table1[[#This Row],[Country_of_Residence]]&lt;&gt;Table1[[#This Row],[Country_of_Transaction]], OR(Table1[[#This Row],[Merchant_Category]]="Electronics", Table1[[#This Row],[Merchant_Category]]="Travel")), "unsafe merchant transaction", "safe merchant transaction")</f>
        <v>safe merchant transaction</v>
      </c>
    </row>
    <row r="390" spans="1:18">
      <c r="A390" t="s">
        <v>5249</v>
      </c>
      <c r="B390" t="s">
        <v>95</v>
      </c>
      <c r="C390">
        <v>1</v>
      </c>
      <c r="D390" t="s">
        <v>9</v>
      </c>
      <c r="E390" t="s">
        <v>6</v>
      </c>
      <c r="F390" s="2">
        <v>45774</v>
      </c>
      <c r="G390">
        <v>8117.2</v>
      </c>
      <c r="H390" s="1">
        <f>AVERAGEIF(Table1[Customer_ID], Table1[[#This Row],[Customer_ID]], Table1[Transaction_Amount])</f>
        <v>5075.1522222222229</v>
      </c>
      <c r="I390" t="s">
        <v>2571</v>
      </c>
      <c r="J390" t="s">
        <v>41</v>
      </c>
      <c r="K390" t="s">
        <v>8</v>
      </c>
      <c r="L390">
        <v>1</v>
      </c>
      <c r="M390" t="s">
        <v>56</v>
      </c>
      <c r="N390" t="s">
        <v>47</v>
      </c>
      <c r="O390" t="s">
        <v>392</v>
      </c>
      <c r="P390" s="6" t="str">
        <f>IF(Table1[[#This Row],[Transaction_Amount]]&lt;=Table1[[#This Row],[avg_transaction_amount]], "usual transaction", "unusual transaction")</f>
        <v>unusual transaction</v>
      </c>
      <c r="Q390" s="6" t="str">
        <f>IF(AND(Table1[[#This Row],[Country_of_Residence]]&lt;&gt;Table1[[#This Row],[Country_of_Transaction]], OR(Table1[[#This Row],[Authentication_Type]]="Biometric", Table1[[#This Row],[Authentication_Type]]="OTP")), "safe location transaction", "unsafe location transaction")</f>
        <v>safe location transaction</v>
      </c>
      <c r="R390" s="6" t="str">
        <f>IF(AND(Table1[[#This Row],[Country_of_Residence]]&lt;&gt;Table1[[#This Row],[Country_of_Transaction]], OR(Table1[[#This Row],[Merchant_Category]]="Electronics", Table1[[#This Row],[Merchant_Category]]="Travel")), "unsafe merchant transaction", "safe merchant transaction")</f>
        <v>safe merchant transaction</v>
      </c>
    </row>
    <row r="391" spans="1:18">
      <c r="A391" t="s">
        <v>5267</v>
      </c>
      <c r="B391" t="s">
        <v>95</v>
      </c>
      <c r="C391">
        <v>1</v>
      </c>
      <c r="D391" t="s">
        <v>9</v>
      </c>
      <c r="E391" t="s">
        <v>420</v>
      </c>
      <c r="F391" s="2">
        <v>46018</v>
      </c>
      <c r="G391">
        <v>8012.27</v>
      </c>
      <c r="H391" s="1">
        <f>AVERAGEIF(Table1[Customer_ID], Table1[[#This Row],[Customer_ID]], Table1[Transaction_Amount])</f>
        <v>5075.1522222222229</v>
      </c>
      <c r="I391" t="s">
        <v>2012</v>
      </c>
      <c r="J391" t="s">
        <v>50</v>
      </c>
      <c r="K391" t="s">
        <v>10</v>
      </c>
      <c r="L391">
        <v>2</v>
      </c>
      <c r="M391" t="s">
        <v>47</v>
      </c>
      <c r="N391" t="s">
        <v>55</v>
      </c>
      <c r="O391" t="s">
        <v>392</v>
      </c>
      <c r="P391" s="6" t="str">
        <f>IF(Table1[[#This Row],[Transaction_Amount]]&lt;=Table1[[#This Row],[avg_transaction_amount]], "usual transaction", "unusual transaction")</f>
        <v>unusual transaction</v>
      </c>
      <c r="Q391" s="6" t="str">
        <f>IF(AND(Table1[[#This Row],[Country_of_Residence]]&lt;&gt;Table1[[#This Row],[Country_of_Transaction]], OR(Table1[[#This Row],[Authentication_Type]]="Biometric", Table1[[#This Row],[Authentication_Type]]="OTP")), "safe location transaction", "unsafe location transaction")</f>
        <v>safe location transaction</v>
      </c>
      <c r="R391" s="6" t="str">
        <f>IF(AND(Table1[[#This Row],[Country_of_Residence]]&lt;&gt;Table1[[#This Row],[Country_of_Transaction]], OR(Table1[[#This Row],[Merchant_Category]]="Electronics", Table1[[#This Row],[Merchant_Category]]="Travel")), "unsafe merchant transaction", "safe merchant transaction")</f>
        <v>unsafe merchant transaction</v>
      </c>
    </row>
    <row r="392" spans="1:18">
      <c r="A392" t="s">
        <v>5287</v>
      </c>
      <c r="B392" t="s">
        <v>95</v>
      </c>
      <c r="C392">
        <v>1</v>
      </c>
      <c r="D392" t="s">
        <v>15</v>
      </c>
      <c r="E392" t="s">
        <v>6</v>
      </c>
      <c r="F392" s="2">
        <v>45909</v>
      </c>
      <c r="G392">
        <v>8633.82</v>
      </c>
      <c r="H392" s="1">
        <f>AVERAGEIF(Table1[Customer_ID], Table1[[#This Row],[Customer_ID]], Table1[Transaction_Amount])</f>
        <v>5075.1522222222229</v>
      </c>
      <c r="I392" t="s">
        <v>2594</v>
      </c>
      <c r="J392" t="s">
        <v>50</v>
      </c>
      <c r="K392" t="s">
        <v>14</v>
      </c>
      <c r="L392">
        <v>5</v>
      </c>
      <c r="M392" t="s">
        <v>32</v>
      </c>
      <c r="N392" t="s">
        <v>55</v>
      </c>
      <c r="O392" t="s">
        <v>392</v>
      </c>
      <c r="P392" s="6" t="str">
        <f>IF(Table1[[#This Row],[Transaction_Amount]]&lt;=Table1[[#This Row],[avg_transaction_amount]], "usual transaction", "unusual transaction")</f>
        <v>unusual transaction</v>
      </c>
      <c r="Q392" s="6" t="str">
        <f>IF(AND(Table1[[#This Row],[Country_of_Residence]]&lt;&gt;Table1[[#This Row],[Country_of_Transaction]], OR(Table1[[#This Row],[Authentication_Type]]="Biometric", Table1[[#This Row],[Authentication_Type]]="OTP")), "safe location transaction", "unsafe location transaction")</f>
        <v>unsafe location transaction</v>
      </c>
      <c r="R392" s="6" t="str">
        <f>IF(AND(Table1[[#This Row],[Country_of_Residence]]&lt;&gt;Table1[[#This Row],[Country_of_Transaction]], OR(Table1[[#This Row],[Merchant_Category]]="Electronics", Table1[[#This Row],[Merchant_Category]]="Travel")), "unsafe merchant transaction", "safe merchant transaction")</f>
        <v>unsafe merchant transaction</v>
      </c>
    </row>
    <row r="393" spans="1:18">
      <c r="A393" t="s">
        <v>112</v>
      </c>
      <c r="B393" t="s">
        <v>106</v>
      </c>
      <c r="C393">
        <v>1</v>
      </c>
      <c r="D393" t="s">
        <v>11</v>
      </c>
      <c r="E393" t="s">
        <v>3</v>
      </c>
      <c r="F393" s="2">
        <v>45789.954861111102</v>
      </c>
      <c r="G393">
        <v>2748.66</v>
      </c>
      <c r="H393" s="1">
        <f>AVERAGEIF(Table1[Customer_ID], Table1[[#This Row],[Customer_ID]], Table1[Transaction_Amount])</f>
        <v>5007.8805084745773</v>
      </c>
      <c r="I393" t="s">
        <v>113</v>
      </c>
      <c r="J393" t="s">
        <v>41</v>
      </c>
      <c r="K393" t="s">
        <v>12</v>
      </c>
      <c r="L393">
        <v>2</v>
      </c>
      <c r="M393" t="s">
        <v>108</v>
      </c>
      <c r="N393" t="s">
        <v>114</v>
      </c>
      <c r="O393" t="s">
        <v>393</v>
      </c>
      <c r="P393" t="str">
        <f>IF(Table1[[#This Row],[Transaction_Amount]]&lt;=Table1[[#This Row],[avg_transaction_amount]], "usual transaction", "unusual transaction")</f>
        <v>usual transaction</v>
      </c>
      <c r="Q393" t="str">
        <f>IF(AND(Table1[[#This Row],[Country_of_Residence]]&lt;&gt;Table1[[#This Row],[Country_of_Transaction]], OR(Table1[[#This Row],[Authentication_Type]]="Biometric", Table1[[#This Row],[Authentication_Type]]="OTP")), "safe location transaction", "unsafe location transaction")</f>
        <v>unsafe location transaction</v>
      </c>
      <c r="R393" t="str">
        <f>IF(AND(Table1[[#This Row],[Country_of_Residence]]&lt;&gt;Table1[[#This Row],[Country_of_Transaction]], OR(Table1[[#This Row],[Merchant_Category]]="Electronics", Table1[[#This Row],[Merchant_Category]]="Travel")), "unsafe merchant transaction", "safe merchant transaction")</f>
        <v>safe merchant transaction</v>
      </c>
    </row>
    <row r="394" spans="1:18">
      <c r="A394" t="s">
        <v>110</v>
      </c>
      <c r="B394" t="s">
        <v>106</v>
      </c>
      <c r="C394">
        <v>1</v>
      </c>
      <c r="D394" t="s">
        <v>11</v>
      </c>
      <c r="E394" t="s">
        <v>5</v>
      </c>
      <c r="F394" s="2">
        <v>45775.594444444403</v>
      </c>
      <c r="G394">
        <v>9172.2999999999993</v>
      </c>
      <c r="H394" s="1">
        <f>AVERAGEIF(Table1[Customer_ID], Table1[[#This Row],[Customer_ID]], Table1[Transaction_Amount])</f>
        <v>5007.8805084745773</v>
      </c>
      <c r="I394" t="s">
        <v>111</v>
      </c>
      <c r="J394" t="s">
        <v>36</v>
      </c>
      <c r="K394" t="s">
        <v>12</v>
      </c>
      <c r="L394">
        <v>3</v>
      </c>
      <c r="M394" t="s">
        <v>108</v>
      </c>
      <c r="N394" t="s">
        <v>60</v>
      </c>
      <c r="O394" t="s">
        <v>392</v>
      </c>
      <c r="P394" t="str">
        <f>IF(Table1[[#This Row],[Transaction_Amount]]&lt;=Table1[[#This Row],[avg_transaction_amount]], "usual transaction", "unusual transaction")</f>
        <v>unusual transaction</v>
      </c>
      <c r="Q394" t="str">
        <f>IF(AND(Table1[[#This Row],[Country_of_Residence]]&lt;&gt;Table1[[#This Row],[Country_of_Transaction]], OR(Table1[[#This Row],[Authentication_Type]]="Biometric", Table1[[#This Row],[Authentication_Type]]="OTP")), "safe location transaction", "unsafe location transaction")</f>
        <v>unsafe location transaction</v>
      </c>
      <c r="R394" t="str">
        <f>IF(AND(Table1[[#This Row],[Country_of_Residence]]&lt;&gt;Table1[[#This Row],[Country_of_Transaction]], OR(Table1[[#This Row],[Merchant_Category]]="Electronics", Table1[[#This Row],[Merchant_Category]]="Travel")), "unsafe merchant transaction", "safe merchant transaction")</f>
        <v>safe merchant transaction</v>
      </c>
    </row>
    <row r="395" spans="1:18">
      <c r="A395" t="s">
        <v>105</v>
      </c>
      <c r="B395" t="s">
        <v>106</v>
      </c>
      <c r="C395">
        <v>1</v>
      </c>
      <c r="D395" t="s">
        <v>11</v>
      </c>
      <c r="E395" t="s">
        <v>4</v>
      </c>
      <c r="F395" s="2">
        <v>45698.161805555603</v>
      </c>
      <c r="G395">
        <v>1973.48</v>
      </c>
      <c r="H395" s="1">
        <f>AVERAGEIF(Table1[Customer_ID], Table1[[#This Row],[Customer_ID]], Table1[Transaction_Amount])</f>
        <v>5007.8805084745773</v>
      </c>
      <c r="I395" t="s">
        <v>107</v>
      </c>
      <c r="J395" t="s">
        <v>31</v>
      </c>
      <c r="K395" t="s">
        <v>10</v>
      </c>
      <c r="L395">
        <v>4</v>
      </c>
      <c r="M395" t="s">
        <v>108</v>
      </c>
      <c r="N395" t="s">
        <v>109</v>
      </c>
      <c r="O395" t="s">
        <v>393</v>
      </c>
      <c r="P395" t="str">
        <f>IF(Table1[[#This Row],[Transaction_Amount]]&lt;=Table1[[#This Row],[avg_transaction_amount]], "usual transaction", "unusual transaction")</f>
        <v>usual transaction</v>
      </c>
      <c r="Q395" t="str">
        <f>IF(AND(Table1[[#This Row],[Country_of_Residence]]&lt;&gt;Table1[[#This Row],[Country_of_Transaction]], OR(Table1[[#This Row],[Authentication_Type]]="Biometric", Table1[[#This Row],[Authentication_Type]]="OTP")), "safe location transaction", "unsafe location transaction")</f>
        <v>safe location transaction</v>
      </c>
      <c r="R395" t="str">
        <f>IF(AND(Table1[[#This Row],[Country_of_Residence]]&lt;&gt;Table1[[#This Row],[Country_of_Transaction]], OR(Table1[[#This Row],[Merchant_Category]]="Electronics", Table1[[#This Row],[Merchant_Category]]="Travel")), "unsafe merchant transaction", "safe merchant transaction")</f>
        <v>safe merchant transaction</v>
      </c>
    </row>
    <row r="396" spans="1:18">
      <c r="A396" t="s">
        <v>2773</v>
      </c>
      <c r="B396" t="s">
        <v>106</v>
      </c>
      <c r="C396">
        <v>1</v>
      </c>
      <c r="D396" t="s">
        <v>9</v>
      </c>
      <c r="E396" t="s">
        <v>3</v>
      </c>
      <c r="F396" s="2">
        <v>45855</v>
      </c>
      <c r="G396">
        <v>1570.77</v>
      </c>
      <c r="H396" s="1">
        <f>AVERAGEIF(Table1[Customer_ID], Table1[[#This Row],[Customer_ID]], Table1[Transaction_Amount])</f>
        <v>5007.8805084745773</v>
      </c>
      <c r="I396" t="s">
        <v>422</v>
      </c>
      <c r="J396" t="s">
        <v>41</v>
      </c>
      <c r="K396" t="s">
        <v>14</v>
      </c>
      <c r="L396">
        <v>4</v>
      </c>
      <c r="M396" t="s">
        <v>412</v>
      </c>
      <c r="N396" t="s">
        <v>32</v>
      </c>
      <c r="O396" t="s">
        <v>393</v>
      </c>
      <c r="P396" s="6" t="str">
        <f>IF(Table1[[#This Row],[Transaction_Amount]]&lt;=Table1[[#This Row],[avg_transaction_amount]], "usual transaction", "unusual transaction")</f>
        <v>usual transaction</v>
      </c>
      <c r="Q396" s="6" t="str">
        <f>IF(AND(Table1[[#This Row],[Country_of_Residence]]&lt;&gt;Table1[[#This Row],[Country_of_Transaction]], OR(Table1[[#This Row],[Authentication_Type]]="Biometric", Table1[[#This Row],[Authentication_Type]]="OTP")), "safe location transaction", "unsafe location transaction")</f>
        <v>unsafe location transaction</v>
      </c>
      <c r="R396" s="6" t="str">
        <f>IF(AND(Table1[[#This Row],[Country_of_Residence]]&lt;&gt;Table1[[#This Row],[Country_of_Transaction]], OR(Table1[[#This Row],[Merchant_Category]]="Electronics", Table1[[#This Row],[Merchant_Category]]="Travel")), "unsafe merchant transaction", "safe merchant transaction")</f>
        <v>safe merchant transaction</v>
      </c>
    </row>
    <row r="397" spans="1:18">
      <c r="A397" t="s">
        <v>2880</v>
      </c>
      <c r="B397" t="s">
        <v>106</v>
      </c>
      <c r="C397">
        <v>1</v>
      </c>
      <c r="D397" t="s">
        <v>15</v>
      </c>
      <c r="E397" t="s">
        <v>6</v>
      </c>
      <c r="F397" s="2">
        <v>45731</v>
      </c>
      <c r="G397">
        <v>8375.0400000000009</v>
      </c>
      <c r="H397" s="1">
        <f>AVERAGEIF(Table1[Customer_ID], Table1[[#This Row],[Customer_ID]], Table1[Transaction_Amount])</f>
        <v>5007.8805084745773</v>
      </c>
      <c r="I397" t="s">
        <v>531</v>
      </c>
      <c r="J397" t="s">
        <v>31</v>
      </c>
      <c r="K397" t="s">
        <v>14</v>
      </c>
      <c r="L397">
        <v>1</v>
      </c>
      <c r="M397" t="s">
        <v>56</v>
      </c>
      <c r="N397" t="s">
        <v>42</v>
      </c>
      <c r="O397" t="s">
        <v>392</v>
      </c>
      <c r="P397" s="6" t="str">
        <f>IF(Table1[[#This Row],[Transaction_Amount]]&lt;=Table1[[#This Row],[avg_transaction_amount]], "usual transaction", "unusual transaction")</f>
        <v>unusual transaction</v>
      </c>
      <c r="Q397" s="6" t="str">
        <f>IF(AND(Table1[[#This Row],[Country_of_Residence]]&lt;&gt;Table1[[#This Row],[Country_of_Transaction]], OR(Table1[[#This Row],[Authentication_Type]]="Biometric", Table1[[#This Row],[Authentication_Type]]="OTP")), "safe location transaction", "unsafe location transaction")</f>
        <v>unsafe location transaction</v>
      </c>
      <c r="R397" s="6" t="str">
        <f>IF(AND(Table1[[#This Row],[Country_of_Residence]]&lt;&gt;Table1[[#This Row],[Country_of_Transaction]], OR(Table1[[#This Row],[Merchant_Category]]="Electronics", Table1[[#This Row],[Merchant_Category]]="Travel")), "unsafe merchant transaction", "safe merchant transaction")</f>
        <v>safe merchant transaction</v>
      </c>
    </row>
    <row r="398" spans="1:18">
      <c r="A398" t="s">
        <v>2892</v>
      </c>
      <c r="B398" t="s">
        <v>106</v>
      </c>
      <c r="C398">
        <v>1</v>
      </c>
      <c r="D398" t="s">
        <v>15</v>
      </c>
      <c r="E398" t="s">
        <v>420</v>
      </c>
      <c r="F398" s="2">
        <v>45671</v>
      </c>
      <c r="G398">
        <v>9852.07</v>
      </c>
      <c r="H398" s="1">
        <f>AVERAGEIF(Table1[Customer_ID], Table1[[#This Row],[Customer_ID]], Table1[Transaction_Amount])</f>
        <v>5007.8805084745773</v>
      </c>
      <c r="I398" t="s">
        <v>542</v>
      </c>
      <c r="J398" t="s">
        <v>36</v>
      </c>
      <c r="K398" t="s">
        <v>12</v>
      </c>
      <c r="L398">
        <v>4</v>
      </c>
      <c r="M398" t="s">
        <v>32</v>
      </c>
      <c r="N398" t="s">
        <v>32</v>
      </c>
      <c r="O398" t="s">
        <v>393</v>
      </c>
      <c r="P398" s="6" t="str">
        <f>IF(Table1[[#This Row],[Transaction_Amount]]&lt;=Table1[[#This Row],[avg_transaction_amount]], "usual transaction", "unusual transaction")</f>
        <v>unusual transaction</v>
      </c>
      <c r="Q398" s="6" t="str">
        <f>IF(AND(Table1[[#This Row],[Country_of_Residence]]&lt;&gt;Table1[[#This Row],[Country_of_Transaction]], OR(Table1[[#This Row],[Authentication_Type]]="Biometric", Table1[[#This Row],[Authentication_Type]]="OTP")), "safe location transaction", "unsafe location transaction")</f>
        <v>unsafe location transaction</v>
      </c>
      <c r="R398" s="6" t="str">
        <f>IF(AND(Table1[[#This Row],[Country_of_Residence]]&lt;&gt;Table1[[#This Row],[Country_of_Transaction]], OR(Table1[[#This Row],[Merchant_Category]]="Electronics", Table1[[#This Row],[Merchant_Category]]="Travel")), "unsafe merchant transaction", "safe merchant transaction")</f>
        <v>safe merchant transaction</v>
      </c>
    </row>
    <row r="399" spans="1:18">
      <c r="A399" t="s">
        <v>2911</v>
      </c>
      <c r="B399" t="s">
        <v>106</v>
      </c>
      <c r="C399">
        <v>1</v>
      </c>
      <c r="D399" t="s">
        <v>9</v>
      </c>
      <c r="E399" t="s">
        <v>5</v>
      </c>
      <c r="F399" s="2">
        <v>45732</v>
      </c>
      <c r="G399">
        <v>5756.09</v>
      </c>
      <c r="H399" s="1">
        <f>AVERAGEIF(Table1[Customer_ID], Table1[[#This Row],[Customer_ID]], Table1[Transaction_Amount])</f>
        <v>5007.8805084745773</v>
      </c>
      <c r="I399" t="s">
        <v>561</v>
      </c>
      <c r="J399" t="s">
        <v>50</v>
      </c>
      <c r="K399" t="s">
        <v>10</v>
      </c>
      <c r="L399">
        <v>2</v>
      </c>
      <c r="M399" t="s">
        <v>47</v>
      </c>
      <c r="N399" t="s">
        <v>37</v>
      </c>
      <c r="O399" t="s">
        <v>393</v>
      </c>
      <c r="P399" s="6" t="str">
        <f>IF(Table1[[#This Row],[Transaction_Amount]]&lt;=Table1[[#This Row],[avg_transaction_amount]], "usual transaction", "unusual transaction")</f>
        <v>unusual transaction</v>
      </c>
      <c r="Q399" s="6" t="str">
        <f>IF(AND(Table1[[#This Row],[Country_of_Residence]]&lt;&gt;Table1[[#This Row],[Country_of_Transaction]], OR(Table1[[#This Row],[Authentication_Type]]="Biometric", Table1[[#This Row],[Authentication_Type]]="OTP")), "safe location transaction", "unsafe location transaction")</f>
        <v>safe location transaction</v>
      </c>
      <c r="R399" s="6" t="str">
        <f>IF(AND(Table1[[#This Row],[Country_of_Residence]]&lt;&gt;Table1[[#This Row],[Country_of_Transaction]], OR(Table1[[#This Row],[Merchant_Category]]="Electronics", Table1[[#This Row],[Merchant_Category]]="Travel")), "unsafe merchant transaction", "safe merchant transaction")</f>
        <v>unsafe merchant transaction</v>
      </c>
    </row>
    <row r="400" spans="1:18">
      <c r="A400" t="s">
        <v>2925</v>
      </c>
      <c r="B400" t="s">
        <v>106</v>
      </c>
      <c r="C400">
        <v>1</v>
      </c>
      <c r="D400" t="s">
        <v>15</v>
      </c>
      <c r="E400" t="s">
        <v>6</v>
      </c>
      <c r="F400" s="2">
        <v>45659</v>
      </c>
      <c r="G400">
        <v>1825.81</v>
      </c>
      <c r="H400" s="1">
        <f>AVERAGEIF(Table1[Customer_ID], Table1[[#This Row],[Customer_ID]], Table1[Transaction_Amount])</f>
        <v>5007.8805084745773</v>
      </c>
      <c r="I400" t="s">
        <v>574</v>
      </c>
      <c r="J400" t="s">
        <v>36</v>
      </c>
      <c r="K400" t="s">
        <v>8</v>
      </c>
      <c r="L400">
        <v>4</v>
      </c>
      <c r="M400" t="s">
        <v>56</v>
      </c>
      <c r="N400" t="s">
        <v>55</v>
      </c>
      <c r="O400" t="s">
        <v>392</v>
      </c>
      <c r="P400" s="6" t="str">
        <f>IF(Table1[[#This Row],[Transaction_Amount]]&lt;=Table1[[#This Row],[avg_transaction_amount]], "usual transaction", "unusual transaction")</f>
        <v>usual transaction</v>
      </c>
      <c r="Q400" s="6" t="str">
        <f>IF(AND(Table1[[#This Row],[Country_of_Residence]]&lt;&gt;Table1[[#This Row],[Country_of_Transaction]], OR(Table1[[#This Row],[Authentication_Type]]="Biometric", Table1[[#This Row],[Authentication_Type]]="OTP")), "safe location transaction", "unsafe location transaction")</f>
        <v>safe location transaction</v>
      </c>
      <c r="R400" s="6" t="str">
        <f>IF(AND(Table1[[#This Row],[Country_of_Residence]]&lt;&gt;Table1[[#This Row],[Country_of_Transaction]], OR(Table1[[#This Row],[Merchant_Category]]="Electronics", Table1[[#This Row],[Merchant_Category]]="Travel")), "unsafe merchant transaction", "safe merchant transaction")</f>
        <v>safe merchant transaction</v>
      </c>
    </row>
    <row r="401" spans="1:18">
      <c r="A401" t="s">
        <v>3052</v>
      </c>
      <c r="B401" t="s">
        <v>106</v>
      </c>
      <c r="C401">
        <v>1</v>
      </c>
      <c r="D401" t="s">
        <v>15</v>
      </c>
      <c r="E401" t="s">
        <v>3</v>
      </c>
      <c r="F401" s="2">
        <v>45864</v>
      </c>
      <c r="G401">
        <v>9807.67</v>
      </c>
      <c r="H401" s="1">
        <f>AVERAGEIF(Table1[Customer_ID], Table1[[#This Row],[Customer_ID]], Table1[Transaction_Amount])</f>
        <v>5007.8805084745773</v>
      </c>
      <c r="I401" t="s">
        <v>697</v>
      </c>
      <c r="J401" t="s">
        <v>41</v>
      </c>
      <c r="K401" t="s">
        <v>10</v>
      </c>
      <c r="L401">
        <v>0</v>
      </c>
      <c r="M401" t="s">
        <v>37</v>
      </c>
      <c r="N401" t="s">
        <v>33</v>
      </c>
      <c r="O401" t="s">
        <v>392</v>
      </c>
      <c r="P401" s="6" t="str">
        <f>IF(Table1[[#This Row],[Transaction_Amount]]&lt;=Table1[[#This Row],[avg_transaction_amount]], "usual transaction", "unusual transaction")</f>
        <v>unusual transaction</v>
      </c>
      <c r="Q401" s="6" t="str">
        <f>IF(AND(Table1[[#This Row],[Country_of_Residence]]&lt;&gt;Table1[[#This Row],[Country_of_Transaction]], OR(Table1[[#This Row],[Authentication_Type]]="Biometric", Table1[[#This Row],[Authentication_Type]]="OTP")), "safe location transaction", "unsafe location transaction")</f>
        <v>safe location transaction</v>
      </c>
      <c r="R401" s="6" t="str">
        <f>IF(AND(Table1[[#This Row],[Country_of_Residence]]&lt;&gt;Table1[[#This Row],[Country_of_Transaction]], OR(Table1[[#This Row],[Merchant_Category]]="Electronics", Table1[[#This Row],[Merchant_Category]]="Travel")), "unsafe merchant transaction", "safe merchant transaction")</f>
        <v>safe merchant transaction</v>
      </c>
    </row>
    <row r="402" spans="1:18">
      <c r="A402" t="s">
        <v>3075</v>
      </c>
      <c r="B402" t="s">
        <v>106</v>
      </c>
      <c r="C402">
        <v>1</v>
      </c>
      <c r="D402" t="s">
        <v>15</v>
      </c>
      <c r="E402" t="s">
        <v>420</v>
      </c>
      <c r="F402" s="2">
        <v>45988</v>
      </c>
      <c r="G402">
        <v>1854.51</v>
      </c>
      <c r="H402" s="1">
        <f>AVERAGEIF(Table1[Customer_ID], Table1[[#This Row],[Customer_ID]], Table1[Transaction_Amount])</f>
        <v>5007.8805084745773</v>
      </c>
      <c r="I402" t="s">
        <v>719</v>
      </c>
      <c r="J402" t="s">
        <v>50</v>
      </c>
      <c r="K402" t="s">
        <v>10</v>
      </c>
      <c r="L402">
        <v>2</v>
      </c>
      <c r="M402" t="s">
        <v>32</v>
      </c>
      <c r="N402" t="s">
        <v>55</v>
      </c>
      <c r="O402" t="s">
        <v>393</v>
      </c>
      <c r="P402" s="6" t="str">
        <f>IF(Table1[[#This Row],[Transaction_Amount]]&lt;=Table1[[#This Row],[avg_transaction_amount]], "usual transaction", "unusual transaction")</f>
        <v>usual transaction</v>
      </c>
      <c r="Q402" s="6" t="str">
        <f>IF(AND(Table1[[#This Row],[Country_of_Residence]]&lt;&gt;Table1[[#This Row],[Country_of_Transaction]], OR(Table1[[#This Row],[Authentication_Type]]="Biometric", Table1[[#This Row],[Authentication_Type]]="OTP")), "safe location transaction", "unsafe location transaction")</f>
        <v>safe location transaction</v>
      </c>
      <c r="R402" s="6" t="str">
        <f>IF(AND(Table1[[#This Row],[Country_of_Residence]]&lt;&gt;Table1[[#This Row],[Country_of_Transaction]], OR(Table1[[#This Row],[Merchant_Category]]="Electronics", Table1[[#This Row],[Merchant_Category]]="Travel")), "unsafe merchant transaction", "safe merchant transaction")</f>
        <v>unsafe merchant transaction</v>
      </c>
    </row>
    <row r="403" spans="1:18">
      <c r="A403" t="s">
        <v>3125</v>
      </c>
      <c r="B403" t="s">
        <v>106</v>
      </c>
      <c r="C403">
        <v>1</v>
      </c>
      <c r="D403" t="s">
        <v>9</v>
      </c>
      <c r="E403" t="s">
        <v>420</v>
      </c>
      <c r="F403" s="2">
        <v>45784</v>
      </c>
      <c r="G403">
        <v>9747.26</v>
      </c>
      <c r="H403" s="1">
        <f>AVERAGEIF(Table1[Customer_ID], Table1[[#This Row],[Customer_ID]], Table1[Transaction_Amount])</f>
        <v>5007.8805084745773</v>
      </c>
      <c r="I403" t="s">
        <v>766</v>
      </c>
      <c r="J403" t="s">
        <v>46</v>
      </c>
      <c r="K403" t="s">
        <v>8</v>
      </c>
      <c r="L403">
        <v>5</v>
      </c>
      <c r="M403" t="s">
        <v>32</v>
      </c>
      <c r="N403" t="s">
        <v>33</v>
      </c>
      <c r="O403" t="s">
        <v>392</v>
      </c>
      <c r="P403" s="6" t="str">
        <f>IF(Table1[[#This Row],[Transaction_Amount]]&lt;=Table1[[#This Row],[avg_transaction_amount]], "usual transaction", "unusual transaction")</f>
        <v>unusual transaction</v>
      </c>
      <c r="Q403" s="6" t="str">
        <f>IF(AND(Table1[[#This Row],[Country_of_Residence]]&lt;&gt;Table1[[#This Row],[Country_of_Transaction]], OR(Table1[[#This Row],[Authentication_Type]]="Biometric", Table1[[#This Row],[Authentication_Type]]="OTP")), "safe location transaction", "unsafe location transaction")</f>
        <v>safe location transaction</v>
      </c>
      <c r="R403" s="6" t="str">
        <f>IF(AND(Table1[[#This Row],[Country_of_Residence]]&lt;&gt;Table1[[#This Row],[Country_of_Transaction]], OR(Table1[[#This Row],[Merchant_Category]]="Electronics", Table1[[#This Row],[Merchant_Category]]="Travel")), "unsafe merchant transaction", "safe merchant transaction")</f>
        <v>safe merchant transaction</v>
      </c>
    </row>
    <row r="404" spans="1:18">
      <c r="A404" t="s">
        <v>3143</v>
      </c>
      <c r="B404" t="s">
        <v>106</v>
      </c>
      <c r="C404">
        <v>1</v>
      </c>
      <c r="D404" t="s">
        <v>15</v>
      </c>
      <c r="E404" t="s">
        <v>420</v>
      </c>
      <c r="F404" s="2">
        <v>45685</v>
      </c>
      <c r="G404">
        <v>8704.3799999999992</v>
      </c>
      <c r="H404" s="1">
        <f>AVERAGEIF(Table1[Customer_ID], Table1[[#This Row],[Customer_ID]], Table1[Transaction_Amount])</f>
        <v>5007.8805084745773</v>
      </c>
      <c r="I404" t="s">
        <v>588</v>
      </c>
      <c r="J404" t="s">
        <v>31</v>
      </c>
      <c r="K404" t="s">
        <v>14</v>
      </c>
      <c r="L404">
        <v>4</v>
      </c>
      <c r="M404" t="s">
        <v>42</v>
      </c>
      <c r="N404" t="s">
        <v>51</v>
      </c>
      <c r="O404" t="s">
        <v>392</v>
      </c>
      <c r="P404" s="6" t="str">
        <f>IF(Table1[[#This Row],[Transaction_Amount]]&lt;=Table1[[#This Row],[avg_transaction_amount]], "usual transaction", "unusual transaction")</f>
        <v>unusual transaction</v>
      </c>
      <c r="Q404" s="6" t="str">
        <f>IF(AND(Table1[[#This Row],[Country_of_Residence]]&lt;&gt;Table1[[#This Row],[Country_of_Transaction]], OR(Table1[[#This Row],[Authentication_Type]]="Biometric", Table1[[#This Row],[Authentication_Type]]="OTP")), "safe location transaction", "unsafe location transaction")</f>
        <v>unsafe location transaction</v>
      </c>
      <c r="R404" s="6" t="str">
        <f>IF(AND(Table1[[#This Row],[Country_of_Residence]]&lt;&gt;Table1[[#This Row],[Country_of_Transaction]], OR(Table1[[#This Row],[Merchant_Category]]="Electronics", Table1[[#This Row],[Merchant_Category]]="Travel")), "unsafe merchant transaction", "safe merchant transaction")</f>
        <v>safe merchant transaction</v>
      </c>
    </row>
    <row r="405" spans="1:18">
      <c r="A405" t="s">
        <v>3216</v>
      </c>
      <c r="B405" t="s">
        <v>106</v>
      </c>
      <c r="C405">
        <v>1</v>
      </c>
      <c r="D405" t="s">
        <v>9</v>
      </c>
      <c r="E405" t="s">
        <v>6</v>
      </c>
      <c r="F405" s="2">
        <v>45954</v>
      </c>
      <c r="G405">
        <v>2156.1999999999998</v>
      </c>
      <c r="H405" s="1">
        <f>AVERAGEIF(Table1[Customer_ID], Table1[[#This Row],[Customer_ID]], Table1[Transaction_Amount])</f>
        <v>5007.8805084745773</v>
      </c>
      <c r="I405" t="s">
        <v>849</v>
      </c>
      <c r="J405" t="s">
        <v>31</v>
      </c>
      <c r="K405" t="s">
        <v>12</v>
      </c>
      <c r="L405">
        <v>3</v>
      </c>
      <c r="M405" t="s">
        <v>412</v>
      </c>
      <c r="N405" t="s">
        <v>47</v>
      </c>
      <c r="O405" t="s">
        <v>392</v>
      </c>
      <c r="P405" s="6" t="str">
        <f>IF(Table1[[#This Row],[Transaction_Amount]]&lt;=Table1[[#This Row],[avg_transaction_amount]], "usual transaction", "unusual transaction")</f>
        <v>usual transaction</v>
      </c>
      <c r="Q405" s="6" t="str">
        <f>IF(AND(Table1[[#This Row],[Country_of_Residence]]&lt;&gt;Table1[[#This Row],[Country_of_Transaction]], OR(Table1[[#This Row],[Authentication_Type]]="Biometric", Table1[[#This Row],[Authentication_Type]]="OTP")), "safe location transaction", "unsafe location transaction")</f>
        <v>unsafe location transaction</v>
      </c>
      <c r="R405" s="6" t="str">
        <f>IF(AND(Table1[[#This Row],[Country_of_Residence]]&lt;&gt;Table1[[#This Row],[Country_of_Transaction]], OR(Table1[[#This Row],[Merchant_Category]]="Electronics", Table1[[#This Row],[Merchant_Category]]="Travel")), "unsafe merchant transaction", "safe merchant transaction")</f>
        <v>safe merchant transaction</v>
      </c>
    </row>
    <row r="406" spans="1:18">
      <c r="A406" t="s">
        <v>3229</v>
      </c>
      <c r="B406" t="s">
        <v>106</v>
      </c>
      <c r="C406">
        <v>1</v>
      </c>
      <c r="D406" t="s">
        <v>15</v>
      </c>
      <c r="E406" t="s">
        <v>5</v>
      </c>
      <c r="F406" s="2">
        <v>45770</v>
      </c>
      <c r="G406">
        <v>8523.93</v>
      </c>
      <c r="H406" s="1">
        <f>AVERAGEIF(Table1[Customer_ID], Table1[[#This Row],[Customer_ID]], Table1[Transaction_Amount])</f>
        <v>5007.8805084745773</v>
      </c>
      <c r="I406" t="s">
        <v>862</v>
      </c>
      <c r="J406" t="s">
        <v>41</v>
      </c>
      <c r="K406" t="s">
        <v>12</v>
      </c>
      <c r="L406">
        <v>4</v>
      </c>
      <c r="M406" t="s">
        <v>33</v>
      </c>
      <c r="N406" t="s">
        <v>55</v>
      </c>
      <c r="O406" t="s">
        <v>392</v>
      </c>
      <c r="P406" s="6" t="str">
        <f>IF(Table1[[#This Row],[Transaction_Amount]]&lt;=Table1[[#This Row],[avg_transaction_amount]], "usual transaction", "unusual transaction")</f>
        <v>unusual transaction</v>
      </c>
      <c r="Q406" s="6" t="str">
        <f>IF(AND(Table1[[#This Row],[Country_of_Residence]]&lt;&gt;Table1[[#This Row],[Country_of_Transaction]], OR(Table1[[#This Row],[Authentication_Type]]="Biometric", Table1[[#This Row],[Authentication_Type]]="OTP")), "safe location transaction", "unsafe location transaction")</f>
        <v>unsafe location transaction</v>
      </c>
      <c r="R406" s="6" t="str">
        <f>IF(AND(Table1[[#This Row],[Country_of_Residence]]&lt;&gt;Table1[[#This Row],[Country_of_Transaction]], OR(Table1[[#This Row],[Merchant_Category]]="Electronics", Table1[[#This Row],[Merchant_Category]]="Travel")), "unsafe merchant transaction", "safe merchant transaction")</f>
        <v>safe merchant transaction</v>
      </c>
    </row>
    <row r="407" spans="1:18">
      <c r="A407" t="s">
        <v>3340</v>
      </c>
      <c r="B407" t="s">
        <v>106</v>
      </c>
      <c r="C407">
        <v>1</v>
      </c>
      <c r="D407" t="s">
        <v>15</v>
      </c>
      <c r="E407" t="s">
        <v>5</v>
      </c>
      <c r="F407" s="2">
        <v>45950</v>
      </c>
      <c r="G407">
        <v>6035.92</v>
      </c>
      <c r="H407" s="1">
        <f>AVERAGEIF(Table1[Customer_ID], Table1[[#This Row],[Customer_ID]], Table1[Transaction_Amount])</f>
        <v>5007.8805084745773</v>
      </c>
      <c r="I407" t="s">
        <v>964</v>
      </c>
      <c r="J407" t="s">
        <v>41</v>
      </c>
      <c r="K407" t="s">
        <v>12</v>
      </c>
      <c r="L407">
        <v>0</v>
      </c>
      <c r="M407" t="s">
        <v>51</v>
      </c>
      <c r="N407" t="s">
        <v>37</v>
      </c>
      <c r="O407" t="s">
        <v>393</v>
      </c>
      <c r="P407" s="6" t="str">
        <f>IF(Table1[[#This Row],[Transaction_Amount]]&lt;=Table1[[#This Row],[avg_transaction_amount]], "usual transaction", "unusual transaction")</f>
        <v>unusual transaction</v>
      </c>
      <c r="Q407" s="6" t="str">
        <f>IF(AND(Table1[[#This Row],[Country_of_Residence]]&lt;&gt;Table1[[#This Row],[Country_of_Transaction]], OR(Table1[[#This Row],[Authentication_Type]]="Biometric", Table1[[#This Row],[Authentication_Type]]="OTP")), "safe location transaction", "unsafe location transaction")</f>
        <v>unsafe location transaction</v>
      </c>
      <c r="R407" s="6" t="str">
        <f>IF(AND(Table1[[#This Row],[Country_of_Residence]]&lt;&gt;Table1[[#This Row],[Country_of_Transaction]], OR(Table1[[#This Row],[Merchant_Category]]="Electronics", Table1[[#This Row],[Merchant_Category]]="Travel")), "unsafe merchant transaction", "safe merchant transaction")</f>
        <v>safe merchant transaction</v>
      </c>
    </row>
    <row r="408" spans="1:18">
      <c r="A408" t="s">
        <v>3342</v>
      </c>
      <c r="B408" t="s">
        <v>106</v>
      </c>
      <c r="C408">
        <v>1</v>
      </c>
      <c r="D408" t="s">
        <v>15</v>
      </c>
      <c r="E408" t="s">
        <v>420</v>
      </c>
      <c r="F408" s="2">
        <v>45904</v>
      </c>
      <c r="G408">
        <v>5498</v>
      </c>
      <c r="H408" s="1">
        <f>AVERAGEIF(Table1[Customer_ID], Table1[[#This Row],[Customer_ID]], Table1[Transaction_Amount])</f>
        <v>5007.8805084745773</v>
      </c>
      <c r="I408" t="s">
        <v>966</v>
      </c>
      <c r="J408" t="s">
        <v>41</v>
      </c>
      <c r="K408" t="s">
        <v>8</v>
      </c>
      <c r="L408">
        <v>2</v>
      </c>
      <c r="M408" t="s">
        <v>56</v>
      </c>
      <c r="N408" t="s">
        <v>47</v>
      </c>
      <c r="O408" t="s">
        <v>392</v>
      </c>
      <c r="P408" s="6" t="str">
        <f>IF(Table1[[#This Row],[Transaction_Amount]]&lt;=Table1[[#This Row],[avg_transaction_amount]], "usual transaction", "unusual transaction")</f>
        <v>unusual transaction</v>
      </c>
      <c r="Q408" s="6" t="str">
        <f>IF(AND(Table1[[#This Row],[Country_of_Residence]]&lt;&gt;Table1[[#This Row],[Country_of_Transaction]], OR(Table1[[#This Row],[Authentication_Type]]="Biometric", Table1[[#This Row],[Authentication_Type]]="OTP")), "safe location transaction", "unsafe location transaction")</f>
        <v>safe location transaction</v>
      </c>
      <c r="R408" s="6" t="str">
        <f>IF(AND(Table1[[#This Row],[Country_of_Residence]]&lt;&gt;Table1[[#This Row],[Country_of_Transaction]], OR(Table1[[#This Row],[Merchant_Category]]="Electronics", Table1[[#This Row],[Merchant_Category]]="Travel")), "unsafe merchant transaction", "safe merchant transaction")</f>
        <v>safe merchant transaction</v>
      </c>
    </row>
    <row r="409" spans="1:18">
      <c r="A409" t="s">
        <v>3350</v>
      </c>
      <c r="B409" t="s">
        <v>106</v>
      </c>
      <c r="C409">
        <v>1</v>
      </c>
      <c r="D409" t="s">
        <v>9</v>
      </c>
      <c r="E409" t="s">
        <v>3</v>
      </c>
      <c r="F409" s="2">
        <v>45905</v>
      </c>
      <c r="G409">
        <v>2729.41</v>
      </c>
      <c r="H409" s="1">
        <f>AVERAGEIF(Table1[Customer_ID], Table1[[#This Row],[Customer_ID]], Table1[Transaction_Amount])</f>
        <v>5007.8805084745773</v>
      </c>
      <c r="I409" t="s">
        <v>974</v>
      </c>
      <c r="J409" t="s">
        <v>46</v>
      </c>
      <c r="K409" t="s">
        <v>10</v>
      </c>
      <c r="L409">
        <v>2</v>
      </c>
      <c r="M409" t="s">
        <v>33</v>
      </c>
      <c r="N409" t="s">
        <v>32</v>
      </c>
      <c r="O409" t="s">
        <v>392</v>
      </c>
      <c r="P409" s="6" t="str">
        <f>IF(Table1[[#This Row],[Transaction_Amount]]&lt;=Table1[[#This Row],[avg_transaction_amount]], "usual transaction", "unusual transaction")</f>
        <v>usual transaction</v>
      </c>
      <c r="Q409" s="6" t="str">
        <f>IF(AND(Table1[[#This Row],[Country_of_Residence]]&lt;&gt;Table1[[#This Row],[Country_of_Transaction]], OR(Table1[[#This Row],[Authentication_Type]]="Biometric", Table1[[#This Row],[Authentication_Type]]="OTP")), "safe location transaction", "unsafe location transaction")</f>
        <v>safe location transaction</v>
      </c>
      <c r="R409" s="6" t="str">
        <f>IF(AND(Table1[[#This Row],[Country_of_Residence]]&lt;&gt;Table1[[#This Row],[Country_of_Transaction]], OR(Table1[[#This Row],[Merchant_Category]]="Electronics", Table1[[#This Row],[Merchant_Category]]="Travel")), "unsafe merchant transaction", "safe merchant transaction")</f>
        <v>safe merchant transaction</v>
      </c>
    </row>
    <row r="410" spans="1:18">
      <c r="A410" t="s">
        <v>3441</v>
      </c>
      <c r="B410" t="s">
        <v>106</v>
      </c>
      <c r="C410">
        <v>1</v>
      </c>
      <c r="D410" t="s">
        <v>15</v>
      </c>
      <c r="E410" t="s">
        <v>3</v>
      </c>
      <c r="F410" s="2">
        <v>45958</v>
      </c>
      <c r="G410">
        <v>4917.72</v>
      </c>
      <c r="H410" s="1">
        <f>AVERAGEIF(Table1[Customer_ID], Table1[[#This Row],[Customer_ID]], Table1[Transaction_Amount])</f>
        <v>5007.8805084745773</v>
      </c>
      <c r="I410" t="s">
        <v>1060</v>
      </c>
      <c r="J410" t="s">
        <v>50</v>
      </c>
      <c r="K410" t="s">
        <v>10</v>
      </c>
      <c r="L410">
        <v>4</v>
      </c>
      <c r="M410" t="s">
        <v>42</v>
      </c>
      <c r="N410" t="s">
        <v>56</v>
      </c>
      <c r="O410" t="s">
        <v>393</v>
      </c>
      <c r="P410" s="6" t="str">
        <f>IF(Table1[[#This Row],[Transaction_Amount]]&lt;=Table1[[#This Row],[avg_transaction_amount]], "usual transaction", "unusual transaction")</f>
        <v>usual transaction</v>
      </c>
      <c r="Q410" s="6" t="str">
        <f>IF(AND(Table1[[#This Row],[Country_of_Residence]]&lt;&gt;Table1[[#This Row],[Country_of_Transaction]], OR(Table1[[#This Row],[Authentication_Type]]="Biometric", Table1[[#This Row],[Authentication_Type]]="OTP")), "safe location transaction", "unsafe location transaction")</f>
        <v>safe location transaction</v>
      </c>
      <c r="R410" s="6" t="str">
        <f>IF(AND(Table1[[#This Row],[Country_of_Residence]]&lt;&gt;Table1[[#This Row],[Country_of_Transaction]], OR(Table1[[#This Row],[Merchant_Category]]="Electronics", Table1[[#This Row],[Merchant_Category]]="Travel")), "unsafe merchant transaction", "safe merchant transaction")</f>
        <v>unsafe merchant transaction</v>
      </c>
    </row>
    <row r="411" spans="1:18">
      <c r="A411" t="s">
        <v>3444</v>
      </c>
      <c r="B411" t="s">
        <v>106</v>
      </c>
      <c r="C411">
        <v>1</v>
      </c>
      <c r="D411" t="s">
        <v>15</v>
      </c>
      <c r="E411" t="s">
        <v>3</v>
      </c>
      <c r="F411" s="2">
        <v>45945</v>
      </c>
      <c r="G411">
        <v>439.47</v>
      </c>
      <c r="H411" s="1">
        <f>AVERAGEIF(Table1[Customer_ID], Table1[[#This Row],[Customer_ID]], Table1[Transaction_Amount])</f>
        <v>5007.8805084745773</v>
      </c>
      <c r="I411" t="s">
        <v>1063</v>
      </c>
      <c r="J411" t="s">
        <v>31</v>
      </c>
      <c r="K411" t="s">
        <v>10</v>
      </c>
      <c r="L411">
        <v>4</v>
      </c>
      <c r="M411" t="s">
        <v>37</v>
      </c>
      <c r="N411" t="s">
        <v>51</v>
      </c>
      <c r="O411" t="s">
        <v>392</v>
      </c>
      <c r="P411" s="6" t="str">
        <f>IF(Table1[[#This Row],[Transaction_Amount]]&lt;=Table1[[#This Row],[avg_transaction_amount]], "usual transaction", "unusual transaction")</f>
        <v>usual transaction</v>
      </c>
      <c r="Q411" s="6" t="str">
        <f>IF(AND(Table1[[#This Row],[Country_of_Residence]]&lt;&gt;Table1[[#This Row],[Country_of_Transaction]], OR(Table1[[#This Row],[Authentication_Type]]="Biometric", Table1[[#This Row],[Authentication_Type]]="OTP")), "safe location transaction", "unsafe location transaction")</f>
        <v>safe location transaction</v>
      </c>
      <c r="R411" s="6" t="str">
        <f>IF(AND(Table1[[#This Row],[Country_of_Residence]]&lt;&gt;Table1[[#This Row],[Country_of_Transaction]], OR(Table1[[#This Row],[Merchant_Category]]="Electronics", Table1[[#This Row],[Merchant_Category]]="Travel")), "unsafe merchant transaction", "safe merchant transaction")</f>
        <v>safe merchant transaction</v>
      </c>
    </row>
    <row r="412" spans="1:18">
      <c r="A412" t="s">
        <v>3451</v>
      </c>
      <c r="B412" t="s">
        <v>106</v>
      </c>
      <c r="C412">
        <v>1</v>
      </c>
      <c r="D412" t="s">
        <v>9</v>
      </c>
      <c r="E412" t="s">
        <v>420</v>
      </c>
      <c r="F412" s="2">
        <v>45706</v>
      </c>
      <c r="G412">
        <v>1798.53</v>
      </c>
      <c r="H412" s="1">
        <f>AVERAGEIF(Table1[Customer_ID], Table1[[#This Row],[Customer_ID]], Table1[Transaction_Amount])</f>
        <v>5007.8805084745773</v>
      </c>
      <c r="I412" t="s">
        <v>1069</v>
      </c>
      <c r="J412" t="s">
        <v>41</v>
      </c>
      <c r="K412" t="s">
        <v>14</v>
      </c>
      <c r="L412">
        <v>4</v>
      </c>
      <c r="M412" t="s">
        <v>37</v>
      </c>
      <c r="N412" t="s">
        <v>32</v>
      </c>
      <c r="O412" t="s">
        <v>392</v>
      </c>
      <c r="P412" s="6" t="str">
        <f>IF(Table1[[#This Row],[Transaction_Amount]]&lt;=Table1[[#This Row],[avg_transaction_amount]], "usual transaction", "unusual transaction")</f>
        <v>usual transaction</v>
      </c>
      <c r="Q412" s="6" t="str">
        <f>IF(AND(Table1[[#This Row],[Country_of_Residence]]&lt;&gt;Table1[[#This Row],[Country_of_Transaction]], OR(Table1[[#This Row],[Authentication_Type]]="Biometric", Table1[[#This Row],[Authentication_Type]]="OTP")), "safe location transaction", "unsafe location transaction")</f>
        <v>unsafe location transaction</v>
      </c>
      <c r="R412" s="6" t="str">
        <f>IF(AND(Table1[[#This Row],[Country_of_Residence]]&lt;&gt;Table1[[#This Row],[Country_of_Transaction]], OR(Table1[[#This Row],[Merchant_Category]]="Electronics", Table1[[#This Row],[Merchant_Category]]="Travel")), "unsafe merchant transaction", "safe merchant transaction")</f>
        <v>safe merchant transaction</v>
      </c>
    </row>
    <row r="413" spans="1:18">
      <c r="A413" t="s">
        <v>3464</v>
      </c>
      <c r="B413" t="s">
        <v>106</v>
      </c>
      <c r="C413">
        <v>1</v>
      </c>
      <c r="D413" t="s">
        <v>15</v>
      </c>
      <c r="E413" t="s">
        <v>5</v>
      </c>
      <c r="F413" s="2">
        <v>45862</v>
      </c>
      <c r="G413">
        <v>4239.8999999999996</v>
      </c>
      <c r="H413" s="1">
        <f>AVERAGEIF(Table1[Customer_ID], Table1[[#This Row],[Customer_ID]], Table1[Transaction_Amount])</f>
        <v>5007.8805084745773</v>
      </c>
      <c r="I413" t="s">
        <v>1082</v>
      </c>
      <c r="J413" t="s">
        <v>46</v>
      </c>
      <c r="K413" t="s">
        <v>10</v>
      </c>
      <c r="L413">
        <v>0</v>
      </c>
      <c r="M413" t="s">
        <v>412</v>
      </c>
      <c r="N413" t="s">
        <v>42</v>
      </c>
      <c r="O413" t="s">
        <v>392</v>
      </c>
      <c r="P413" s="6" t="str">
        <f>IF(Table1[[#This Row],[Transaction_Amount]]&lt;=Table1[[#This Row],[avg_transaction_amount]], "usual transaction", "unusual transaction")</f>
        <v>usual transaction</v>
      </c>
      <c r="Q413" s="6" t="str">
        <f>IF(AND(Table1[[#This Row],[Country_of_Residence]]&lt;&gt;Table1[[#This Row],[Country_of_Transaction]], OR(Table1[[#This Row],[Authentication_Type]]="Biometric", Table1[[#This Row],[Authentication_Type]]="OTP")), "safe location transaction", "unsafe location transaction")</f>
        <v>safe location transaction</v>
      </c>
      <c r="R413" s="6" t="str">
        <f>IF(AND(Table1[[#This Row],[Country_of_Residence]]&lt;&gt;Table1[[#This Row],[Country_of_Transaction]], OR(Table1[[#This Row],[Merchant_Category]]="Electronics", Table1[[#This Row],[Merchant_Category]]="Travel")), "unsafe merchant transaction", "safe merchant transaction")</f>
        <v>safe merchant transaction</v>
      </c>
    </row>
    <row r="414" spans="1:18">
      <c r="A414" t="s">
        <v>3488</v>
      </c>
      <c r="B414" t="s">
        <v>106</v>
      </c>
      <c r="C414">
        <v>1</v>
      </c>
      <c r="D414" t="s">
        <v>15</v>
      </c>
      <c r="E414" t="s">
        <v>3</v>
      </c>
      <c r="F414" s="2">
        <v>45967</v>
      </c>
      <c r="G414">
        <v>3636.91</v>
      </c>
      <c r="H414" s="1">
        <f>AVERAGEIF(Table1[Customer_ID], Table1[[#This Row],[Customer_ID]], Table1[Transaction_Amount])</f>
        <v>5007.8805084745773</v>
      </c>
      <c r="I414" t="s">
        <v>1105</v>
      </c>
      <c r="J414" t="s">
        <v>36</v>
      </c>
      <c r="K414" t="s">
        <v>14</v>
      </c>
      <c r="L414">
        <v>4</v>
      </c>
      <c r="M414" t="s">
        <v>42</v>
      </c>
      <c r="N414" t="s">
        <v>56</v>
      </c>
      <c r="O414" t="s">
        <v>392</v>
      </c>
      <c r="P414" s="6" t="str">
        <f>IF(Table1[[#This Row],[Transaction_Amount]]&lt;=Table1[[#This Row],[avg_transaction_amount]], "usual transaction", "unusual transaction")</f>
        <v>usual transaction</v>
      </c>
      <c r="Q414" s="6" t="str">
        <f>IF(AND(Table1[[#This Row],[Country_of_Residence]]&lt;&gt;Table1[[#This Row],[Country_of_Transaction]], OR(Table1[[#This Row],[Authentication_Type]]="Biometric", Table1[[#This Row],[Authentication_Type]]="OTP")), "safe location transaction", "unsafe location transaction")</f>
        <v>unsafe location transaction</v>
      </c>
      <c r="R414" s="6" t="str">
        <f>IF(AND(Table1[[#This Row],[Country_of_Residence]]&lt;&gt;Table1[[#This Row],[Country_of_Transaction]], OR(Table1[[#This Row],[Merchant_Category]]="Electronics", Table1[[#This Row],[Merchant_Category]]="Travel")), "unsafe merchant transaction", "safe merchant transaction")</f>
        <v>safe merchant transaction</v>
      </c>
    </row>
    <row r="415" spans="1:18">
      <c r="A415" t="s">
        <v>3522</v>
      </c>
      <c r="B415" t="s">
        <v>106</v>
      </c>
      <c r="C415">
        <v>1</v>
      </c>
      <c r="D415" t="s">
        <v>15</v>
      </c>
      <c r="E415" t="s">
        <v>5</v>
      </c>
      <c r="F415" s="2">
        <v>45895</v>
      </c>
      <c r="G415">
        <v>1995.82</v>
      </c>
      <c r="H415" s="1">
        <f>AVERAGEIF(Table1[Customer_ID], Table1[[#This Row],[Customer_ID]], Table1[Transaction_Amount])</f>
        <v>5007.8805084745773</v>
      </c>
      <c r="I415" t="s">
        <v>1137</v>
      </c>
      <c r="J415" t="s">
        <v>31</v>
      </c>
      <c r="K415" t="s">
        <v>14</v>
      </c>
      <c r="L415">
        <v>1</v>
      </c>
      <c r="M415" t="s">
        <v>33</v>
      </c>
      <c r="N415" t="s">
        <v>37</v>
      </c>
      <c r="O415" t="s">
        <v>393</v>
      </c>
      <c r="P415" s="6" t="str">
        <f>IF(Table1[[#This Row],[Transaction_Amount]]&lt;=Table1[[#This Row],[avg_transaction_amount]], "usual transaction", "unusual transaction")</f>
        <v>usual transaction</v>
      </c>
      <c r="Q415" s="6" t="str">
        <f>IF(AND(Table1[[#This Row],[Country_of_Residence]]&lt;&gt;Table1[[#This Row],[Country_of_Transaction]], OR(Table1[[#This Row],[Authentication_Type]]="Biometric", Table1[[#This Row],[Authentication_Type]]="OTP")), "safe location transaction", "unsafe location transaction")</f>
        <v>unsafe location transaction</v>
      </c>
      <c r="R415" s="6" t="str">
        <f>IF(AND(Table1[[#This Row],[Country_of_Residence]]&lt;&gt;Table1[[#This Row],[Country_of_Transaction]], OR(Table1[[#This Row],[Merchant_Category]]="Electronics", Table1[[#This Row],[Merchant_Category]]="Travel")), "unsafe merchant transaction", "safe merchant transaction")</f>
        <v>safe merchant transaction</v>
      </c>
    </row>
    <row r="416" spans="1:18">
      <c r="A416" t="s">
        <v>3657</v>
      </c>
      <c r="B416" t="s">
        <v>106</v>
      </c>
      <c r="C416">
        <v>1</v>
      </c>
      <c r="D416" t="s">
        <v>15</v>
      </c>
      <c r="E416" t="s">
        <v>6</v>
      </c>
      <c r="F416" s="2">
        <v>45820</v>
      </c>
      <c r="G416">
        <v>9184.2099999999991</v>
      </c>
      <c r="H416" s="1">
        <f>AVERAGEIF(Table1[Customer_ID], Table1[[#This Row],[Customer_ID]], Table1[Transaction_Amount])</f>
        <v>5007.8805084745773</v>
      </c>
      <c r="I416" t="s">
        <v>1260</v>
      </c>
      <c r="J416" t="s">
        <v>46</v>
      </c>
      <c r="K416" t="s">
        <v>10</v>
      </c>
      <c r="L416">
        <v>1</v>
      </c>
      <c r="M416" t="s">
        <v>51</v>
      </c>
      <c r="N416" t="s">
        <v>47</v>
      </c>
      <c r="O416" t="s">
        <v>392</v>
      </c>
      <c r="P416" s="6" t="str">
        <f>IF(Table1[[#This Row],[Transaction_Amount]]&lt;=Table1[[#This Row],[avg_transaction_amount]], "usual transaction", "unusual transaction")</f>
        <v>unusual transaction</v>
      </c>
      <c r="Q416" s="6" t="str">
        <f>IF(AND(Table1[[#This Row],[Country_of_Residence]]&lt;&gt;Table1[[#This Row],[Country_of_Transaction]], OR(Table1[[#This Row],[Authentication_Type]]="Biometric", Table1[[#This Row],[Authentication_Type]]="OTP")), "safe location transaction", "unsafe location transaction")</f>
        <v>safe location transaction</v>
      </c>
      <c r="R416" s="6" t="str">
        <f>IF(AND(Table1[[#This Row],[Country_of_Residence]]&lt;&gt;Table1[[#This Row],[Country_of_Transaction]], OR(Table1[[#This Row],[Merchant_Category]]="Electronics", Table1[[#This Row],[Merchant_Category]]="Travel")), "unsafe merchant transaction", "safe merchant transaction")</f>
        <v>safe merchant transaction</v>
      </c>
    </row>
    <row r="417" spans="1:18">
      <c r="A417" t="s">
        <v>3774</v>
      </c>
      <c r="B417" t="s">
        <v>106</v>
      </c>
      <c r="C417">
        <v>1</v>
      </c>
      <c r="D417" t="s">
        <v>15</v>
      </c>
      <c r="E417" t="s">
        <v>5</v>
      </c>
      <c r="F417" s="2">
        <v>45730</v>
      </c>
      <c r="G417">
        <v>6703.62</v>
      </c>
      <c r="H417" s="1">
        <f>AVERAGEIF(Table1[Customer_ID], Table1[[#This Row],[Customer_ID]], Table1[Transaction_Amount])</f>
        <v>5007.8805084745773</v>
      </c>
      <c r="I417" t="s">
        <v>1286</v>
      </c>
      <c r="J417" t="s">
        <v>46</v>
      </c>
      <c r="K417" t="s">
        <v>8</v>
      </c>
      <c r="L417">
        <v>0</v>
      </c>
      <c r="M417" t="s">
        <v>51</v>
      </c>
      <c r="N417" t="s">
        <v>412</v>
      </c>
      <c r="O417" t="s">
        <v>393</v>
      </c>
      <c r="P417" s="6" t="str">
        <f>IF(Table1[[#This Row],[Transaction_Amount]]&lt;=Table1[[#This Row],[avg_transaction_amount]], "usual transaction", "unusual transaction")</f>
        <v>unusual transaction</v>
      </c>
      <c r="Q417" s="6" t="str">
        <f>IF(AND(Table1[[#This Row],[Country_of_Residence]]&lt;&gt;Table1[[#This Row],[Country_of_Transaction]], OR(Table1[[#This Row],[Authentication_Type]]="Biometric", Table1[[#This Row],[Authentication_Type]]="OTP")), "safe location transaction", "unsafe location transaction")</f>
        <v>safe location transaction</v>
      </c>
      <c r="R417" s="6" t="str">
        <f>IF(AND(Table1[[#This Row],[Country_of_Residence]]&lt;&gt;Table1[[#This Row],[Country_of_Transaction]], OR(Table1[[#This Row],[Merchant_Category]]="Electronics", Table1[[#This Row],[Merchant_Category]]="Travel")), "unsafe merchant transaction", "safe merchant transaction")</f>
        <v>safe merchant transaction</v>
      </c>
    </row>
    <row r="418" spans="1:18">
      <c r="A418" t="s">
        <v>3882</v>
      </c>
      <c r="B418" t="s">
        <v>106</v>
      </c>
      <c r="C418">
        <v>1</v>
      </c>
      <c r="D418" t="s">
        <v>15</v>
      </c>
      <c r="E418" t="s">
        <v>6</v>
      </c>
      <c r="F418" s="2">
        <v>45893</v>
      </c>
      <c r="G418">
        <v>1002.05</v>
      </c>
      <c r="H418" s="1">
        <f>AVERAGEIF(Table1[Customer_ID], Table1[[#This Row],[Customer_ID]], Table1[Transaction_Amount])</f>
        <v>5007.8805084745773</v>
      </c>
      <c r="I418" t="s">
        <v>968</v>
      </c>
      <c r="J418" t="s">
        <v>46</v>
      </c>
      <c r="K418" t="s">
        <v>12</v>
      </c>
      <c r="L418">
        <v>2</v>
      </c>
      <c r="M418" t="s">
        <v>32</v>
      </c>
      <c r="N418" t="s">
        <v>412</v>
      </c>
      <c r="O418" t="s">
        <v>392</v>
      </c>
      <c r="P418" s="6" t="str">
        <f>IF(Table1[[#This Row],[Transaction_Amount]]&lt;=Table1[[#This Row],[avg_transaction_amount]], "usual transaction", "unusual transaction")</f>
        <v>usual transaction</v>
      </c>
      <c r="Q418" s="6" t="str">
        <f>IF(AND(Table1[[#This Row],[Country_of_Residence]]&lt;&gt;Table1[[#This Row],[Country_of_Transaction]], OR(Table1[[#This Row],[Authentication_Type]]="Biometric", Table1[[#This Row],[Authentication_Type]]="OTP")), "safe location transaction", "unsafe location transaction")</f>
        <v>unsafe location transaction</v>
      </c>
      <c r="R418" s="6" t="str">
        <f>IF(AND(Table1[[#This Row],[Country_of_Residence]]&lt;&gt;Table1[[#This Row],[Country_of_Transaction]], OR(Table1[[#This Row],[Merchant_Category]]="Electronics", Table1[[#This Row],[Merchant_Category]]="Travel")), "unsafe merchant transaction", "safe merchant transaction")</f>
        <v>safe merchant transaction</v>
      </c>
    </row>
    <row r="419" spans="1:18">
      <c r="A419" t="s">
        <v>3976</v>
      </c>
      <c r="B419" t="s">
        <v>106</v>
      </c>
      <c r="C419">
        <v>1</v>
      </c>
      <c r="D419" t="s">
        <v>15</v>
      </c>
      <c r="E419" t="s">
        <v>3</v>
      </c>
      <c r="F419" s="2">
        <v>45791</v>
      </c>
      <c r="G419">
        <v>8659.25</v>
      </c>
      <c r="H419" s="1">
        <f>AVERAGEIF(Table1[Customer_ID], Table1[[#This Row],[Customer_ID]], Table1[Transaction_Amount])</f>
        <v>5007.8805084745773</v>
      </c>
      <c r="I419" t="s">
        <v>672</v>
      </c>
      <c r="J419" t="s">
        <v>46</v>
      </c>
      <c r="K419" t="s">
        <v>8</v>
      </c>
      <c r="L419">
        <v>3</v>
      </c>
      <c r="M419" t="s">
        <v>55</v>
      </c>
      <c r="N419" t="s">
        <v>33</v>
      </c>
      <c r="O419" t="s">
        <v>392</v>
      </c>
      <c r="P419" s="6" t="str">
        <f>IF(Table1[[#This Row],[Transaction_Amount]]&lt;=Table1[[#This Row],[avg_transaction_amount]], "usual transaction", "unusual transaction")</f>
        <v>unusual transaction</v>
      </c>
      <c r="Q419" s="6" t="str">
        <f>IF(AND(Table1[[#This Row],[Country_of_Residence]]&lt;&gt;Table1[[#This Row],[Country_of_Transaction]], OR(Table1[[#This Row],[Authentication_Type]]="Biometric", Table1[[#This Row],[Authentication_Type]]="OTP")), "safe location transaction", "unsafe location transaction")</f>
        <v>safe location transaction</v>
      </c>
      <c r="R419" s="6" t="str">
        <f>IF(AND(Table1[[#This Row],[Country_of_Residence]]&lt;&gt;Table1[[#This Row],[Country_of_Transaction]], OR(Table1[[#This Row],[Merchant_Category]]="Electronics", Table1[[#This Row],[Merchant_Category]]="Travel")), "unsafe merchant transaction", "safe merchant transaction")</f>
        <v>safe merchant transaction</v>
      </c>
    </row>
    <row r="420" spans="1:18">
      <c r="A420" t="s">
        <v>3992</v>
      </c>
      <c r="B420" t="s">
        <v>106</v>
      </c>
      <c r="C420">
        <v>1</v>
      </c>
      <c r="D420" t="s">
        <v>15</v>
      </c>
      <c r="E420" t="s">
        <v>3</v>
      </c>
      <c r="F420" s="2">
        <v>45756</v>
      </c>
      <c r="G420">
        <v>7476.11</v>
      </c>
      <c r="H420" s="1">
        <f>AVERAGEIF(Table1[Customer_ID], Table1[[#This Row],[Customer_ID]], Table1[Transaction_Amount])</f>
        <v>5007.8805084745773</v>
      </c>
      <c r="I420" t="s">
        <v>1551</v>
      </c>
      <c r="J420" t="s">
        <v>46</v>
      </c>
      <c r="K420" t="s">
        <v>14</v>
      </c>
      <c r="L420">
        <v>3</v>
      </c>
      <c r="M420" t="s">
        <v>56</v>
      </c>
      <c r="N420" t="s">
        <v>32</v>
      </c>
      <c r="O420" t="s">
        <v>392</v>
      </c>
      <c r="P420" s="6" t="str">
        <f>IF(Table1[[#This Row],[Transaction_Amount]]&lt;=Table1[[#This Row],[avg_transaction_amount]], "usual transaction", "unusual transaction")</f>
        <v>unusual transaction</v>
      </c>
      <c r="Q420" s="6" t="str">
        <f>IF(AND(Table1[[#This Row],[Country_of_Residence]]&lt;&gt;Table1[[#This Row],[Country_of_Transaction]], OR(Table1[[#This Row],[Authentication_Type]]="Biometric", Table1[[#This Row],[Authentication_Type]]="OTP")), "safe location transaction", "unsafe location transaction")</f>
        <v>unsafe location transaction</v>
      </c>
      <c r="R420" s="6" t="str">
        <f>IF(AND(Table1[[#This Row],[Country_of_Residence]]&lt;&gt;Table1[[#This Row],[Country_of_Transaction]], OR(Table1[[#This Row],[Merchant_Category]]="Electronics", Table1[[#This Row],[Merchant_Category]]="Travel")), "unsafe merchant transaction", "safe merchant transaction")</f>
        <v>safe merchant transaction</v>
      </c>
    </row>
    <row r="421" spans="1:18">
      <c r="A421" t="s">
        <v>3995</v>
      </c>
      <c r="B421" t="s">
        <v>106</v>
      </c>
      <c r="C421">
        <v>1</v>
      </c>
      <c r="D421" t="s">
        <v>15</v>
      </c>
      <c r="E421" t="s">
        <v>420</v>
      </c>
      <c r="F421" s="2">
        <v>45757</v>
      </c>
      <c r="G421">
        <v>2458.9</v>
      </c>
      <c r="H421" s="1">
        <f>AVERAGEIF(Table1[Customer_ID], Table1[[#This Row],[Customer_ID]], Table1[Transaction_Amount])</f>
        <v>5007.8805084745773</v>
      </c>
      <c r="I421" t="s">
        <v>1554</v>
      </c>
      <c r="J421" t="s">
        <v>46</v>
      </c>
      <c r="K421" t="s">
        <v>8</v>
      </c>
      <c r="L421">
        <v>5</v>
      </c>
      <c r="M421" t="s">
        <v>33</v>
      </c>
      <c r="N421" t="s">
        <v>33</v>
      </c>
      <c r="O421" t="s">
        <v>392</v>
      </c>
      <c r="P421" s="6" t="str">
        <f>IF(Table1[[#This Row],[Transaction_Amount]]&lt;=Table1[[#This Row],[avg_transaction_amount]], "usual transaction", "unusual transaction")</f>
        <v>usual transaction</v>
      </c>
      <c r="Q421" s="6" t="str">
        <f>IF(AND(Table1[[#This Row],[Country_of_Residence]]&lt;&gt;Table1[[#This Row],[Country_of_Transaction]], OR(Table1[[#This Row],[Authentication_Type]]="Biometric", Table1[[#This Row],[Authentication_Type]]="OTP")), "safe location transaction", "unsafe location transaction")</f>
        <v>unsafe location transaction</v>
      </c>
      <c r="R421" s="6" t="str">
        <f>IF(AND(Table1[[#This Row],[Country_of_Residence]]&lt;&gt;Table1[[#This Row],[Country_of_Transaction]], OR(Table1[[#This Row],[Merchant_Category]]="Electronics", Table1[[#This Row],[Merchant_Category]]="Travel")), "unsafe merchant transaction", "safe merchant transaction")</f>
        <v>safe merchant transaction</v>
      </c>
    </row>
    <row r="422" spans="1:18">
      <c r="A422" t="s">
        <v>4050</v>
      </c>
      <c r="B422" t="s">
        <v>106</v>
      </c>
      <c r="C422">
        <v>1</v>
      </c>
      <c r="D422" t="s">
        <v>9</v>
      </c>
      <c r="E422" t="s">
        <v>6</v>
      </c>
      <c r="F422" s="2">
        <v>45759</v>
      </c>
      <c r="G422">
        <v>6471.93</v>
      </c>
      <c r="H422" s="1">
        <f>AVERAGEIF(Table1[Customer_ID], Table1[[#This Row],[Customer_ID]], Table1[Transaction_Amount])</f>
        <v>5007.8805084745773</v>
      </c>
      <c r="I422" t="s">
        <v>1604</v>
      </c>
      <c r="J422" t="s">
        <v>41</v>
      </c>
      <c r="K422" t="s">
        <v>12</v>
      </c>
      <c r="L422">
        <v>0</v>
      </c>
      <c r="M422" t="s">
        <v>51</v>
      </c>
      <c r="N422" t="s">
        <v>42</v>
      </c>
      <c r="O422" t="s">
        <v>392</v>
      </c>
      <c r="P422" s="6" t="str">
        <f>IF(Table1[[#This Row],[Transaction_Amount]]&lt;=Table1[[#This Row],[avg_transaction_amount]], "usual transaction", "unusual transaction")</f>
        <v>unusual transaction</v>
      </c>
      <c r="Q422" s="6" t="str">
        <f>IF(AND(Table1[[#This Row],[Country_of_Residence]]&lt;&gt;Table1[[#This Row],[Country_of_Transaction]], OR(Table1[[#This Row],[Authentication_Type]]="Biometric", Table1[[#This Row],[Authentication_Type]]="OTP")), "safe location transaction", "unsafe location transaction")</f>
        <v>unsafe location transaction</v>
      </c>
      <c r="R422" s="6" t="str">
        <f>IF(AND(Table1[[#This Row],[Country_of_Residence]]&lt;&gt;Table1[[#This Row],[Country_of_Transaction]], OR(Table1[[#This Row],[Merchant_Category]]="Electronics", Table1[[#This Row],[Merchant_Category]]="Travel")), "unsafe merchant transaction", "safe merchant transaction")</f>
        <v>safe merchant transaction</v>
      </c>
    </row>
    <row r="423" spans="1:18">
      <c r="A423" t="s">
        <v>4104</v>
      </c>
      <c r="B423" t="s">
        <v>106</v>
      </c>
      <c r="C423">
        <v>1</v>
      </c>
      <c r="D423" t="s">
        <v>15</v>
      </c>
      <c r="E423" t="s">
        <v>3</v>
      </c>
      <c r="F423" s="2">
        <v>46009</v>
      </c>
      <c r="G423">
        <v>1284.96</v>
      </c>
      <c r="H423" s="1">
        <f>AVERAGEIF(Table1[Customer_ID], Table1[[#This Row],[Customer_ID]], Table1[Transaction_Amount])</f>
        <v>5007.8805084745773</v>
      </c>
      <c r="I423" t="s">
        <v>1642</v>
      </c>
      <c r="J423" t="s">
        <v>46</v>
      </c>
      <c r="K423" t="s">
        <v>8</v>
      </c>
      <c r="L423">
        <v>5</v>
      </c>
      <c r="M423" t="s">
        <v>412</v>
      </c>
      <c r="N423" t="s">
        <v>51</v>
      </c>
      <c r="O423" t="s">
        <v>392</v>
      </c>
      <c r="P423" s="6" t="str">
        <f>IF(Table1[[#This Row],[Transaction_Amount]]&lt;=Table1[[#This Row],[avg_transaction_amount]], "usual transaction", "unusual transaction")</f>
        <v>usual transaction</v>
      </c>
      <c r="Q423" s="6" t="str">
        <f>IF(AND(Table1[[#This Row],[Country_of_Residence]]&lt;&gt;Table1[[#This Row],[Country_of_Transaction]], OR(Table1[[#This Row],[Authentication_Type]]="Biometric", Table1[[#This Row],[Authentication_Type]]="OTP")), "safe location transaction", "unsafe location transaction")</f>
        <v>safe location transaction</v>
      </c>
      <c r="R423" s="6" t="str">
        <f>IF(AND(Table1[[#This Row],[Country_of_Residence]]&lt;&gt;Table1[[#This Row],[Country_of_Transaction]], OR(Table1[[#This Row],[Merchant_Category]]="Electronics", Table1[[#This Row],[Merchant_Category]]="Travel")), "unsafe merchant transaction", "safe merchant transaction")</f>
        <v>safe merchant transaction</v>
      </c>
    </row>
    <row r="424" spans="1:18">
      <c r="A424" t="s">
        <v>4129</v>
      </c>
      <c r="B424" t="s">
        <v>106</v>
      </c>
      <c r="C424">
        <v>1</v>
      </c>
      <c r="D424" t="s">
        <v>15</v>
      </c>
      <c r="E424" t="s">
        <v>3</v>
      </c>
      <c r="F424" s="2">
        <v>45690</v>
      </c>
      <c r="G424">
        <v>198.28</v>
      </c>
      <c r="H424" s="1">
        <f>AVERAGEIF(Table1[Customer_ID], Table1[[#This Row],[Customer_ID]], Table1[Transaction_Amount])</f>
        <v>5007.8805084745773</v>
      </c>
      <c r="I424" t="s">
        <v>1661</v>
      </c>
      <c r="J424" t="s">
        <v>36</v>
      </c>
      <c r="K424" t="s">
        <v>8</v>
      </c>
      <c r="L424">
        <v>3</v>
      </c>
      <c r="M424" t="s">
        <v>56</v>
      </c>
      <c r="N424" t="s">
        <v>32</v>
      </c>
      <c r="O424" t="s">
        <v>392</v>
      </c>
      <c r="P424" s="6" t="str">
        <f>IF(Table1[[#This Row],[Transaction_Amount]]&lt;=Table1[[#This Row],[avg_transaction_amount]], "usual transaction", "unusual transaction")</f>
        <v>usual transaction</v>
      </c>
      <c r="Q424" s="6" t="str">
        <f>IF(AND(Table1[[#This Row],[Country_of_Residence]]&lt;&gt;Table1[[#This Row],[Country_of_Transaction]], OR(Table1[[#This Row],[Authentication_Type]]="Biometric", Table1[[#This Row],[Authentication_Type]]="OTP")), "safe location transaction", "unsafe location transaction")</f>
        <v>safe location transaction</v>
      </c>
      <c r="R424" s="6" t="str">
        <f>IF(AND(Table1[[#This Row],[Country_of_Residence]]&lt;&gt;Table1[[#This Row],[Country_of_Transaction]], OR(Table1[[#This Row],[Merchant_Category]]="Electronics", Table1[[#This Row],[Merchant_Category]]="Travel")), "unsafe merchant transaction", "safe merchant transaction")</f>
        <v>safe merchant transaction</v>
      </c>
    </row>
    <row r="425" spans="1:18">
      <c r="A425" t="s">
        <v>4185</v>
      </c>
      <c r="B425" t="s">
        <v>106</v>
      </c>
      <c r="C425">
        <v>1</v>
      </c>
      <c r="D425" t="s">
        <v>15</v>
      </c>
      <c r="E425" t="s">
        <v>5</v>
      </c>
      <c r="F425" s="2">
        <v>45692</v>
      </c>
      <c r="G425">
        <v>9443.92</v>
      </c>
      <c r="H425" s="1">
        <f>AVERAGEIF(Table1[Customer_ID], Table1[[#This Row],[Customer_ID]], Table1[Transaction_Amount])</f>
        <v>5007.8805084745773</v>
      </c>
      <c r="I425" t="s">
        <v>1707</v>
      </c>
      <c r="J425" t="s">
        <v>36</v>
      </c>
      <c r="K425" t="s">
        <v>12</v>
      </c>
      <c r="L425">
        <v>1</v>
      </c>
      <c r="M425" t="s">
        <v>32</v>
      </c>
      <c r="N425" t="s">
        <v>55</v>
      </c>
      <c r="O425" t="s">
        <v>392</v>
      </c>
      <c r="P425" s="6" t="str">
        <f>IF(Table1[[#This Row],[Transaction_Amount]]&lt;=Table1[[#This Row],[avg_transaction_amount]], "usual transaction", "unusual transaction")</f>
        <v>unusual transaction</v>
      </c>
      <c r="Q425" s="6" t="str">
        <f>IF(AND(Table1[[#This Row],[Country_of_Residence]]&lt;&gt;Table1[[#This Row],[Country_of_Transaction]], OR(Table1[[#This Row],[Authentication_Type]]="Biometric", Table1[[#This Row],[Authentication_Type]]="OTP")), "safe location transaction", "unsafe location transaction")</f>
        <v>unsafe location transaction</v>
      </c>
      <c r="R425" s="6" t="str">
        <f>IF(AND(Table1[[#This Row],[Country_of_Residence]]&lt;&gt;Table1[[#This Row],[Country_of_Transaction]], OR(Table1[[#This Row],[Merchant_Category]]="Electronics", Table1[[#This Row],[Merchant_Category]]="Travel")), "unsafe merchant transaction", "safe merchant transaction")</f>
        <v>safe merchant transaction</v>
      </c>
    </row>
    <row r="426" spans="1:18">
      <c r="A426" t="s">
        <v>4257</v>
      </c>
      <c r="B426" t="s">
        <v>106</v>
      </c>
      <c r="C426">
        <v>1</v>
      </c>
      <c r="D426" t="s">
        <v>9</v>
      </c>
      <c r="E426" t="s">
        <v>5</v>
      </c>
      <c r="F426" s="2">
        <v>45960</v>
      </c>
      <c r="G426">
        <v>3788.02</v>
      </c>
      <c r="H426" s="1">
        <f>AVERAGEIF(Table1[Customer_ID], Table1[[#This Row],[Customer_ID]], Table1[Transaction_Amount])</f>
        <v>5007.8805084745773</v>
      </c>
      <c r="I426" t="s">
        <v>1771</v>
      </c>
      <c r="J426" t="s">
        <v>46</v>
      </c>
      <c r="K426" t="s">
        <v>12</v>
      </c>
      <c r="L426">
        <v>5</v>
      </c>
      <c r="M426" t="s">
        <v>412</v>
      </c>
      <c r="N426" t="s">
        <v>33</v>
      </c>
      <c r="O426" t="s">
        <v>392</v>
      </c>
      <c r="P426" s="6" t="str">
        <f>IF(Table1[[#This Row],[Transaction_Amount]]&lt;=Table1[[#This Row],[avg_transaction_amount]], "usual transaction", "unusual transaction")</f>
        <v>usual transaction</v>
      </c>
      <c r="Q426" s="6" t="str">
        <f>IF(AND(Table1[[#This Row],[Country_of_Residence]]&lt;&gt;Table1[[#This Row],[Country_of_Transaction]], OR(Table1[[#This Row],[Authentication_Type]]="Biometric", Table1[[#This Row],[Authentication_Type]]="OTP")), "safe location transaction", "unsafe location transaction")</f>
        <v>unsafe location transaction</v>
      </c>
      <c r="R426" s="6" t="str">
        <f>IF(AND(Table1[[#This Row],[Country_of_Residence]]&lt;&gt;Table1[[#This Row],[Country_of_Transaction]], OR(Table1[[#This Row],[Merchant_Category]]="Electronics", Table1[[#This Row],[Merchant_Category]]="Travel")), "unsafe merchant transaction", "safe merchant transaction")</f>
        <v>safe merchant transaction</v>
      </c>
    </row>
    <row r="427" spans="1:18">
      <c r="A427" t="s">
        <v>4285</v>
      </c>
      <c r="B427" t="s">
        <v>106</v>
      </c>
      <c r="C427">
        <v>1</v>
      </c>
      <c r="D427" t="s">
        <v>9</v>
      </c>
      <c r="E427" t="s">
        <v>5</v>
      </c>
      <c r="F427" s="2">
        <v>45763</v>
      </c>
      <c r="G427">
        <v>4138.99</v>
      </c>
      <c r="H427" s="1">
        <f>AVERAGEIF(Table1[Customer_ID], Table1[[#This Row],[Customer_ID]], Table1[Transaction_Amount])</f>
        <v>5007.8805084745773</v>
      </c>
      <c r="I427" t="s">
        <v>1796</v>
      </c>
      <c r="J427" t="s">
        <v>41</v>
      </c>
      <c r="K427" t="s">
        <v>10</v>
      </c>
      <c r="L427">
        <v>3</v>
      </c>
      <c r="M427" t="s">
        <v>37</v>
      </c>
      <c r="N427" t="s">
        <v>33</v>
      </c>
      <c r="O427" t="s">
        <v>392</v>
      </c>
      <c r="P427" s="6" t="str">
        <f>IF(Table1[[#This Row],[Transaction_Amount]]&lt;=Table1[[#This Row],[avg_transaction_amount]], "usual transaction", "unusual transaction")</f>
        <v>usual transaction</v>
      </c>
      <c r="Q427" s="6" t="str">
        <f>IF(AND(Table1[[#This Row],[Country_of_Residence]]&lt;&gt;Table1[[#This Row],[Country_of_Transaction]], OR(Table1[[#This Row],[Authentication_Type]]="Biometric", Table1[[#This Row],[Authentication_Type]]="OTP")), "safe location transaction", "unsafe location transaction")</f>
        <v>safe location transaction</v>
      </c>
      <c r="R427" s="6" t="str">
        <f>IF(AND(Table1[[#This Row],[Country_of_Residence]]&lt;&gt;Table1[[#This Row],[Country_of_Transaction]], OR(Table1[[#This Row],[Merchant_Category]]="Electronics", Table1[[#This Row],[Merchant_Category]]="Travel")), "unsafe merchant transaction", "safe merchant transaction")</f>
        <v>safe merchant transaction</v>
      </c>
    </row>
    <row r="428" spans="1:18">
      <c r="A428" t="s">
        <v>4327</v>
      </c>
      <c r="B428" t="s">
        <v>106</v>
      </c>
      <c r="C428">
        <v>1</v>
      </c>
      <c r="D428" t="s">
        <v>15</v>
      </c>
      <c r="E428" t="s">
        <v>6</v>
      </c>
      <c r="F428" s="2">
        <v>45909</v>
      </c>
      <c r="G428">
        <v>422.86</v>
      </c>
      <c r="H428" s="1">
        <f>AVERAGEIF(Table1[Customer_ID], Table1[[#This Row],[Customer_ID]], Table1[Transaction_Amount])</f>
        <v>5007.8805084745773</v>
      </c>
      <c r="I428" t="s">
        <v>1834</v>
      </c>
      <c r="J428" t="s">
        <v>50</v>
      </c>
      <c r="K428" t="s">
        <v>12</v>
      </c>
      <c r="L428">
        <v>3</v>
      </c>
      <c r="M428" t="s">
        <v>56</v>
      </c>
      <c r="N428" t="s">
        <v>55</v>
      </c>
      <c r="O428" t="s">
        <v>393</v>
      </c>
      <c r="P428" s="6" t="str">
        <f>IF(Table1[[#This Row],[Transaction_Amount]]&lt;=Table1[[#This Row],[avg_transaction_amount]], "usual transaction", "unusual transaction")</f>
        <v>usual transaction</v>
      </c>
      <c r="Q428" s="6" t="str">
        <f>IF(AND(Table1[[#This Row],[Country_of_Residence]]&lt;&gt;Table1[[#This Row],[Country_of_Transaction]], OR(Table1[[#This Row],[Authentication_Type]]="Biometric", Table1[[#This Row],[Authentication_Type]]="OTP")), "safe location transaction", "unsafe location transaction")</f>
        <v>unsafe location transaction</v>
      </c>
      <c r="R428" s="6" t="str">
        <f>IF(AND(Table1[[#This Row],[Country_of_Residence]]&lt;&gt;Table1[[#This Row],[Country_of_Transaction]], OR(Table1[[#This Row],[Merchant_Category]]="Electronics", Table1[[#This Row],[Merchant_Category]]="Travel")), "unsafe merchant transaction", "safe merchant transaction")</f>
        <v>unsafe merchant transaction</v>
      </c>
    </row>
    <row r="429" spans="1:18">
      <c r="A429" t="s">
        <v>4461</v>
      </c>
      <c r="B429" t="s">
        <v>106</v>
      </c>
      <c r="C429">
        <v>1</v>
      </c>
      <c r="D429" t="s">
        <v>9</v>
      </c>
      <c r="E429" t="s">
        <v>3</v>
      </c>
      <c r="F429" s="2">
        <v>45937</v>
      </c>
      <c r="G429">
        <v>6959.97</v>
      </c>
      <c r="H429" s="1">
        <f>AVERAGEIF(Table1[Customer_ID], Table1[[#This Row],[Customer_ID]], Table1[Transaction_Amount])</f>
        <v>5007.8805084745773</v>
      </c>
      <c r="I429" t="s">
        <v>1955</v>
      </c>
      <c r="J429" t="s">
        <v>31</v>
      </c>
      <c r="K429" t="s">
        <v>8</v>
      </c>
      <c r="L429">
        <v>3</v>
      </c>
      <c r="M429" t="s">
        <v>55</v>
      </c>
      <c r="N429" t="s">
        <v>42</v>
      </c>
      <c r="O429" t="s">
        <v>392</v>
      </c>
      <c r="P429" s="6" t="str">
        <f>IF(Table1[[#This Row],[Transaction_Amount]]&lt;=Table1[[#This Row],[avg_transaction_amount]], "usual transaction", "unusual transaction")</f>
        <v>unusual transaction</v>
      </c>
      <c r="Q429" s="6" t="str">
        <f>IF(AND(Table1[[#This Row],[Country_of_Residence]]&lt;&gt;Table1[[#This Row],[Country_of_Transaction]], OR(Table1[[#This Row],[Authentication_Type]]="Biometric", Table1[[#This Row],[Authentication_Type]]="OTP")), "safe location transaction", "unsafe location transaction")</f>
        <v>safe location transaction</v>
      </c>
      <c r="R429" s="6" t="str">
        <f>IF(AND(Table1[[#This Row],[Country_of_Residence]]&lt;&gt;Table1[[#This Row],[Country_of_Transaction]], OR(Table1[[#This Row],[Merchant_Category]]="Electronics", Table1[[#This Row],[Merchant_Category]]="Travel")), "unsafe merchant transaction", "safe merchant transaction")</f>
        <v>safe merchant transaction</v>
      </c>
    </row>
    <row r="430" spans="1:18">
      <c r="A430" t="s">
        <v>4463</v>
      </c>
      <c r="B430" t="s">
        <v>106</v>
      </c>
      <c r="C430">
        <v>1</v>
      </c>
      <c r="D430" t="s">
        <v>9</v>
      </c>
      <c r="E430" t="s">
        <v>6</v>
      </c>
      <c r="F430" s="2">
        <v>45777</v>
      </c>
      <c r="G430">
        <v>5640.43</v>
      </c>
      <c r="H430" s="1">
        <f>AVERAGEIF(Table1[Customer_ID], Table1[[#This Row],[Customer_ID]], Table1[Transaction_Amount])</f>
        <v>5007.8805084745773</v>
      </c>
      <c r="I430" t="s">
        <v>1347</v>
      </c>
      <c r="J430" t="s">
        <v>36</v>
      </c>
      <c r="K430" t="s">
        <v>10</v>
      </c>
      <c r="L430">
        <v>4</v>
      </c>
      <c r="M430" t="s">
        <v>56</v>
      </c>
      <c r="N430" t="s">
        <v>37</v>
      </c>
      <c r="O430" t="s">
        <v>393</v>
      </c>
      <c r="P430" s="6" t="str">
        <f>IF(Table1[[#This Row],[Transaction_Amount]]&lt;=Table1[[#This Row],[avg_transaction_amount]], "usual transaction", "unusual transaction")</f>
        <v>unusual transaction</v>
      </c>
      <c r="Q430" s="6" t="str">
        <f>IF(AND(Table1[[#This Row],[Country_of_Residence]]&lt;&gt;Table1[[#This Row],[Country_of_Transaction]], OR(Table1[[#This Row],[Authentication_Type]]="Biometric", Table1[[#This Row],[Authentication_Type]]="OTP")), "safe location transaction", "unsafe location transaction")</f>
        <v>safe location transaction</v>
      </c>
      <c r="R430" s="6" t="str">
        <f>IF(AND(Table1[[#This Row],[Country_of_Residence]]&lt;&gt;Table1[[#This Row],[Country_of_Transaction]], OR(Table1[[#This Row],[Merchant_Category]]="Electronics", Table1[[#This Row],[Merchant_Category]]="Travel")), "unsafe merchant transaction", "safe merchant transaction")</f>
        <v>safe merchant transaction</v>
      </c>
    </row>
    <row r="431" spans="1:18">
      <c r="A431" t="s">
        <v>4516</v>
      </c>
      <c r="B431" t="s">
        <v>106</v>
      </c>
      <c r="C431">
        <v>1</v>
      </c>
      <c r="D431" t="s">
        <v>9</v>
      </c>
      <c r="E431" t="s">
        <v>420</v>
      </c>
      <c r="F431" s="2">
        <v>45852</v>
      </c>
      <c r="G431">
        <v>4958.57</v>
      </c>
      <c r="H431" s="1">
        <f>AVERAGEIF(Table1[Customer_ID], Table1[[#This Row],[Customer_ID]], Table1[Transaction_Amount])</f>
        <v>5007.8805084745773</v>
      </c>
      <c r="I431" t="s">
        <v>1353</v>
      </c>
      <c r="J431" t="s">
        <v>36</v>
      </c>
      <c r="K431" t="s">
        <v>10</v>
      </c>
      <c r="L431">
        <v>3</v>
      </c>
      <c r="M431" t="s">
        <v>42</v>
      </c>
      <c r="N431" t="s">
        <v>37</v>
      </c>
      <c r="O431" t="s">
        <v>393</v>
      </c>
      <c r="P431" s="6" t="str">
        <f>IF(Table1[[#This Row],[Transaction_Amount]]&lt;=Table1[[#This Row],[avg_transaction_amount]], "usual transaction", "unusual transaction")</f>
        <v>usual transaction</v>
      </c>
      <c r="Q431" s="6" t="str">
        <f>IF(AND(Table1[[#This Row],[Country_of_Residence]]&lt;&gt;Table1[[#This Row],[Country_of_Transaction]], OR(Table1[[#This Row],[Authentication_Type]]="Biometric", Table1[[#This Row],[Authentication_Type]]="OTP")), "safe location transaction", "unsafe location transaction")</f>
        <v>safe location transaction</v>
      </c>
      <c r="R431" s="6" t="str">
        <f>IF(AND(Table1[[#This Row],[Country_of_Residence]]&lt;&gt;Table1[[#This Row],[Country_of_Transaction]], OR(Table1[[#This Row],[Merchant_Category]]="Electronics", Table1[[#This Row],[Merchant_Category]]="Travel")), "unsafe merchant transaction", "safe merchant transaction")</f>
        <v>safe merchant transaction</v>
      </c>
    </row>
    <row r="432" spans="1:18">
      <c r="A432" t="s">
        <v>4577</v>
      </c>
      <c r="B432" t="s">
        <v>106</v>
      </c>
      <c r="C432">
        <v>1</v>
      </c>
      <c r="D432" t="s">
        <v>9</v>
      </c>
      <c r="E432" t="s">
        <v>420</v>
      </c>
      <c r="F432" s="2">
        <v>46019</v>
      </c>
      <c r="G432">
        <v>3582.92</v>
      </c>
      <c r="H432" s="1">
        <f>AVERAGEIF(Table1[Customer_ID], Table1[[#This Row],[Customer_ID]], Table1[Transaction_Amount])</f>
        <v>5007.8805084745773</v>
      </c>
      <c r="I432" t="s">
        <v>2047</v>
      </c>
      <c r="J432" t="s">
        <v>36</v>
      </c>
      <c r="K432" t="s">
        <v>12</v>
      </c>
      <c r="L432">
        <v>0</v>
      </c>
      <c r="M432" t="s">
        <v>33</v>
      </c>
      <c r="N432" t="s">
        <v>56</v>
      </c>
      <c r="O432" t="s">
        <v>392</v>
      </c>
      <c r="P432" s="6" t="str">
        <f>IF(Table1[[#This Row],[Transaction_Amount]]&lt;=Table1[[#This Row],[avg_transaction_amount]], "usual transaction", "unusual transaction")</f>
        <v>usual transaction</v>
      </c>
      <c r="Q432" s="6" t="str">
        <f>IF(AND(Table1[[#This Row],[Country_of_Residence]]&lt;&gt;Table1[[#This Row],[Country_of_Transaction]], OR(Table1[[#This Row],[Authentication_Type]]="Biometric", Table1[[#This Row],[Authentication_Type]]="OTP")), "safe location transaction", "unsafe location transaction")</f>
        <v>unsafe location transaction</v>
      </c>
      <c r="R432" s="6" t="str">
        <f>IF(AND(Table1[[#This Row],[Country_of_Residence]]&lt;&gt;Table1[[#This Row],[Country_of_Transaction]], OR(Table1[[#This Row],[Merchant_Category]]="Electronics", Table1[[#This Row],[Merchant_Category]]="Travel")), "unsafe merchant transaction", "safe merchant transaction")</f>
        <v>safe merchant transaction</v>
      </c>
    </row>
    <row r="433" spans="1:18">
      <c r="A433" t="s">
        <v>4709</v>
      </c>
      <c r="B433" t="s">
        <v>106</v>
      </c>
      <c r="C433">
        <v>1</v>
      </c>
      <c r="D433" t="s">
        <v>15</v>
      </c>
      <c r="E433" t="s">
        <v>6</v>
      </c>
      <c r="F433" s="2">
        <v>45778</v>
      </c>
      <c r="G433">
        <v>4036.41</v>
      </c>
      <c r="H433" s="1">
        <f>AVERAGEIF(Table1[Customer_ID], Table1[[#This Row],[Customer_ID]], Table1[Transaction_Amount])</f>
        <v>5007.8805084745773</v>
      </c>
      <c r="I433" t="s">
        <v>2155</v>
      </c>
      <c r="J433" t="s">
        <v>46</v>
      </c>
      <c r="K433" t="s">
        <v>8</v>
      </c>
      <c r="L433">
        <v>4</v>
      </c>
      <c r="M433" t="s">
        <v>55</v>
      </c>
      <c r="N433" t="s">
        <v>412</v>
      </c>
      <c r="O433" t="s">
        <v>392</v>
      </c>
      <c r="P433" s="6" t="str">
        <f>IF(Table1[[#This Row],[Transaction_Amount]]&lt;=Table1[[#This Row],[avg_transaction_amount]], "usual transaction", "unusual transaction")</f>
        <v>usual transaction</v>
      </c>
      <c r="Q433" s="6" t="str">
        <f>IF(AND(Table1[[#This Row],[Country_of_Residence]]&lt;&gt;Table1[[#This Row],[Country_of_Transaction]], OR(Table1[[#This Row],[Authentication_Type]]="Biometric", Table1[[#This Row],[Authentication_Type]]="OTP")), "safe location transaction", "unsafe location transaction")</f>
        <v>safe location transaction</v>
      </c>
      <c r="R433" s="6" t="str">
        <f>IF(AND(Table1[[#This Row],[Country_of_Residence]]&lt;&gt;Table1[[#This Row],[Country_of_Transaction]], OR(Table1[[#This Row],[Merchant_Category]]="Electronics", Table1[[#This Row],[Merchant_Category]]="Travel")), "unsafe merchant transaction", "safe merchant transaction")</f>
        <v>safe merchant transaction</v>
      </c>
    </row>
    <row r="434" spans="1:18">
      <c r="A434" t="s">
        <v>4878</v>
      </c>
      <c r="B434" t="s">
        <v>106</v>
      </c>
      <c r="C434">
        <v>1</v>
      </c>
      <c r="D434" t="s">
        <v>9</v>
      </c>
      <c r="E434" t="s">
        <v>420</v>
      </c>
      <c r="F434" s="2">
        <v>45890</v>
      </c>
      <c r="G434">
        <v>1274.54</v>
      </c>
      <c r="H434" s="1">
        <f>AVERAGEIF(Table1[Customer_ID], Table1[[#This Row],[Customer_ID]], Table1[Transaction_Amount])</f>
        <v>5007.8805084745773</v>
      </c>
      <c r="I434" t="s">
        <v>1622</v>
      </c>
      <c r="J434" t="s">
        <v>41</v>
      </c>
      <c r="K434" t="s">
        <v>14</v>
      </c>
      <c r="L434">
        <v>1</v>
      </c>
      <c r="M434" t="s">
        <v>32</v>
      </c>
      <c r="N434" t="s">
        <v>37</v>
      </c>
      <c r="O434" t="s">
        <v>393</v>
      </c>
      <c r="P434" s="6" t="str">
        <f>IF(Table1[[#This Row],[Transaction_Amount]]&lt;=Table1[[#This Row],[avg_transaction_amount]], "usual transaction", "unusual transaction")</f>
        <v>usual transaction</v>
      </c>
      <c r="Q434" s="6" t="str">
        <f>IF(AND(Table1[[#This Row],[Country_of_Residence]]&lt;&gt;Table1[[#This Row],[Country_of_Transaction]], OR(Table1[[#This Row],[Authentication_Type]]="Biometric", Table1[[#This Row],[Authentication_Type]]="OTP")), "safe location transaction", "unsafe location transaction")</f>
        <v>unsafe location transaction</v>
      </c>
      <c r="R434" s="6" t="str">
        <f>IF(AND(Table1[[#This Row],[Country_of_Residence]]&lt;&gt;Table1[[#This Row],[Country_of_Transaction]], OR(Table1[[#This Row],[Merchant_Category]]="Electronics", Table1[[#This Row],[Merchant_Category]]="Travel")), "unsafe merchant transaction", "safe merchant transaction")</f>
        <v>safe merchant transaction</v>
      </c>
    </row>
    <row r="435" spans="1:18">
      <c r="A435" t="s">
        <v>4884</v>
      </c>
      <c r="B435" t="s">
        <v>106</v>
      </c>
      <c r="C435">
        <v>1</v>
      </c>
      <c r="D435" t="s">
        <v>9</v>
      </c>
      <c r="E435" t="s">
        <v>3</v>
      </c>
      <c r="F435" s="2">
        <v>45923</v>
      </c>
      <c r="G435">
        <v>5581.91</v>
      </c>
      <c r="H435" s="1">
        <f>AVERAGEIF(Table1[Customer_ID], Table1[[#This Row],[Customer_ID]], Table1[Transaction_Amount])</f>
        <v>5007.8805084745773</v>
      </c>
      <c r="I435" t="s">
        <v>2288</v>
      </c>
      <c r="J435" t="s">
        <v>36</v>
      </c>
      <c r="K435" t="s">
        <v>14</v>
      </c>
      <c r="L435">
        <v>2</v>
      </c>
      <c r="M435" t="s">
        <v>56</v>
      </c>
      <c r="N435" t="s">
        <v>412</v>
      </c>
      <c r="O435" t="s">
        <v>392</v>
      </c>
      <c r="P435" s="6" t="str">
        <f>IF(Table1[[#This Row],[Transaction_Amount]]&lt;=Table1[[#This Row],[avg_transaction_amount]], "usual transaction", "unusual transaction")</f>
        <v>unusual transaction</v>
      </c>
      <c r="Q435" s="6" t="str">
        <f>IF(AND(Table1[[#This Row],[Country_of_Residence]]&lt;&gt;Table1[[#This Row],[Country_of_Transaction]], OR(Table1[[#This Row],[Authentication_Type]]="Biometric", Table1[[#This Row],[Authentication_Type]]="OTP")), "safe location transaction", "unsafe location transaction")</f>
        <v>unsafe location transaction</v>
      </c>
      <c r="R435" s="6" t="str">
        <f>IF(AND(Table1[[#This Row],[Country_of_Residence]]&lt;&gt;Table1[[#This Row],[Country_of_Transaction]], OR(Table1[[#This Row],[Merchant_Category]]="Electronics", Table1[[#This Row],[Merchant_Category]]="Travel")), "unsafe merchant transaction", "safe merchant transaction")</f>
        <v>safe merchant transaction</v>
      </c>
    </row>
    <row r="436" spans="1:18">
      <c r="A436" t="s">
        <v>4946</v>
      </c>
      <c r="B436" t="s">
        <v>106</v>
      </c>
      <c r="C436">
        <v>1</v>
      </c>
      <c r="D436" t="s">
        <v>9</v>
      </c>
      <c r="E436" t="s">
        <v>6</v>
      </c>
      <c r="F436" s="2">
        <v>45923</v>
      </c>
      <c r="G436">
        <v>3408.71</v>
      </c>
      <c r="H436" s="1">
        <f>AVERAGEIF(Table1[Customer_ID], Table1[[#This Row],[Customer_ID]], Table1[Transaction_Amount])</f>
        <v>5007.8805084745773</v>
      </c>
      <c r="I436" t="s">
        <v>2338</v>
      </c>
      <c r="J436" t="s">
        <v>46</v>
      </c>
      <c r="K436" t="s">
        <v>10</v>
      </c>
      <c r="L436">
        <v>1</v>
      </c>
      <c r="M436" t="s">
        <v>37</v>
      </c>
      <c r="N436" t="s">
        <v>33</v>
      </c>
      <c r="O436" t="s">
        <v>392</v>
      </c>
      <c r="P436" s="6" t="str">
        <f>IF(Table1[[#This Row],[Transaction_Amount]]&lt;=Table1[[#This Row],[avg_transaction_amount]], "usual transaction", "unusual transaction")</f>
        <v>usual transaction</v>
      </c>
      <c r="Q436" s="6" t="str">
        <f>IF(AND(Table1[[#This Row],[Country_of_Residence]]&lt;&gt;Table1[[#This Row],[Country_of_Transaction]], OR(Table1[[#This Row],[Authentication_Type]]="Biometric", Table1[[#This Row],[Authentication_Type]]="OTP")), "safe location transaction", "unsafe location transaction")</f>
        <v>safe location transaction</v>
      </c>
      <c r="R436" s="6" t="str">
        <f>IF(AND(Table1[[#This Row],[Country_of_Residence]]&lt;&gt;Table1[[#This Row],[Country_of_Transaction]], OR(Table1[[#This Row],[Merchant_Category]]="Electronics", Table1[[#This Row],[Merchant_Category]]="Travel")), "unsafe merchant transaction", "safe merchant transaction")</f>
        <v>safe merchant transaction</v>
      </c>
    </row>
    <row r="437" spans="1:18">
      <c r="A437" t="s">
        <v>4990</v>
      </c>
      <c r="B437" t="s">
        <v>106</v>
      </c>
      <c r="C437">
        <v>1</v>
      </c>
      <c r="D437" t="s">
        <v>15</v>
      </c>
      <c r="E437" t="s">
        <v>420</v>
      </c>
      <c r="F437" s="2">
        <v>46005</v>
      </c>
      <c r="G437">
        <v>9138.33</v>
      </c>
      <c r="H437" s="1">
        <f>AVERAGEIF(Table1[Customer_ID], Table1[[#This Row],[Customer_ID]], Table1[Transaction_Amount])</f>
        <v>5007.8805084745773</v>
      </c>
      <c r="I437" t="s">
        <v>2372</v>
      </c>
      <c r="J437" t="s">
        <v>50</v>
      </c>
      <c r="K437" t="s">
        <v>10</v>
      </c>
      <c r="L437">
        <v>4</v>
      </c>
      <c r="M437" t="s">
        <v>55</v>
      </c>
      <c r="N437" t="s">
        <v>56</v>
      </c>
      <c r="O437" t="s">
        <v>392</v>
      </c>
      <c r="P437" s="6" t="str">
        <f>IF(Table1[[#This Row],[Transaction_Amount]]&lt;=Table1[[#This Row],[avg_transaction_amount]], "usual transaction", "unusual transaction")</f>
        <v>unusual transaction</v>
      </c>
      <c r="Q437" s="6" t="str">
        <f>IF(AND(Table1[[#This Row],[Country_of_Residence]]&lt;&gt;Table1[[#This Row],[Country_of_Transaction]], OR(Table1[[#This Row],[Authentication_Type]]="Biometric", Table1[[#This Row],[Authentication_Type]]="OTP")), "safe location transaction", "unsafe location transaction")</f>
        <v>safe location transaction</v>
      </c>
      <c r="R437" s="6" t="str">
        <f>IF(AND(Table1[[#This Row],[Country_of_Residence]]&lt;&gt;Table1[[#This Row],[Country_of_Transaction]], OR(Table1[[#This Row],[Merchant_Category]]="Electronics", Table1[[#This Row],[Merchant_Category]]="Travel")), "unsafe merchant transaction", "safe merchant transaction")</f>
        <v>unsafe merchant transaction</v>
      </c>
    </row>
    <row r="438" spans="1:18">
      <c r="A438" t="s">
        <v>5042</v>
      </c>
      <c r="B438" t="s">
        <v>106</v>
      </c>
      <c r="C438">
        <v>1</v>
      </c>
      <c r="D438" t="s">
        <v>9</v>
      </c>
      <c r="E438" t="s">
        <v>5</v>
      </c>
      <c r="F438" s="2">
        <v>45739</v>
      </c>
      <c r="G438">
        <v>3332.47</v>
      </c>
      <c r="H438" s="1">
        <f>AVERAGEIF(Table1[Customer_ID], Table1[[#This Row],[Customer_ID]], Table1[Transaction_Amount])</f>
        <v>5007.8805084745773</v>
      </c>
      <c r="I438" t="s">
        <v>2411</v>
      </c>
      <c r="J438" t="s">
        <v>46</v>
      </c>
      <c r="K438" t="s">
        <v>12</v>
      </c>
      <c r="L438">
        <v>5</v>
      </c>
      <c r="M438" t="s">
        <v>33</v>
      </c>
      <c r="N438" t="s">
        <v>412</v>
      </c>
      <c r="O438" t="s">
        <v>393</v>
      </c>
      <c r="P438" s="6" t="str">
        <f>IF(Table1[[#This Row],[Transaction_Amount]]&lt;=Table1[[#This Row],[avg_transaction_amount]], "usual transaction", "unusual transaction")</f>
        <v>usual transaction</v>
      </c>
      <c r="Q438" s="6" t="str">
        <f>IF(AND(Table1[[#This Row],[Country_of_Residence]]&lt;&gt;Table1[[#This Row],[Country_of_Transaction]], OR(Table1[[#This Row],[Authentication_Type]]="Biometric", Table1[[#This Row],[Authentication_Type]]="OTP")), "safe location transaction", "unsafe location transaction")</f>
        <v>unsafe location transaction</v>
      </c>
      <c r="R438" s="6" t="str">
        <f>IF(AND(Table1[[#This Row],[Country_of_Residence]]&lt;&gt;Table1[[#This Row],[Country_of_Transaction]], OR(Table1[[#This Row],[Merchant_Category]]="Electronics", Table1[[#This Row],[Merchant_Category]]="Travel")), "unsafe merchant transaction", "safe merchant transaction")</f>
        <v>safe merchant transaction</v>
      </c>
    </row>
    <row r="439" spans="1:18">
      <c r="A439" t="s">
        <v>5136</v>
      </c>
      <c r="B439" t="s">
        <v>106</v>
      </c>
      <c r="C439">
        <v>1</v>
      </c>
      <c r="D439" t="s">
        <v>15</v>
      </c>
      <c r="E439" t="s">
        <v>3</v>
      </c>
      <c r="F439" s="2">
        <v>46014</v>
      </c>
      <c r="G439">
        <v>7691.63</v>
      </c>
      <c r="H439" s="1">
        <f>AVERAGEIF(Table1[Customer_ID], Table1[[#This Row],[Customer_ID]], Table1[Transaction_Amount])</f>
        <v>5007.8805084745773</v>
      </c>
      <c r="I439" t="s">
        <v>2478</v>
      </c>
      <c r="J439" t="s">
        <v>41</v>
      </c>
      <c r="K439" t="s">
        <v>10</v>
      </c>
      <c r="L439">
        <v>1</v>
      </c>
      <c r="M439" t="s">
        <v>412</v>
      </c>
      <c r="N439" t="s">
        <v>32</v>
      </c>
      <c r="O439" t="s">
        <v>393</v>
      </c>
      <c r="P439" s="6" t="str">
        <f>IF(Table1[[#This Row],[Transaction_Amount]]&lt;=Table1[[#This Row],[avg_transaction_amount]], "usual transaction", "unusual transaction")</f>
        <v>unusual transaction</v>
      </c>
      <c r="Q439" s="6" t="str">
        <f>IF(AND(Table1[[#This Row],[Country_of_Residence]]&lt;&gt;Table1[[#This Row],[Country_of_Transaction]], OR(Table1[[#This Row],[Authentication_Type]]="Biometric", Table1[[#This Row],[Authentication_Type]]="OTP")), "safe location transaction", "unsafe location transaction")</f>
        <v>safe location transaction</v>
      </c>
      <c r="R439" s="6" t="str">
        <f>IF(AND(Table1[[#This Row],[Country_of_Residence]]&lt;&gt;Table1[[#This Row],[Country_of_Transaction]], OR(Table1[[#This Row],[Merchant_Category]]="Electronics", Table1[[#This Row],[Merchant_Category]]="Travel")), "unsafe merchant transaction", "safe merchant transaction")</f>
        <v>safe merchant transaction</v>
      </c>
    </row>
    <row r="440" spans="1:18">
      <c r="A440" t="s">
        <v>5213</v>
      </c>
      <c r="B440" t="s">
        <v>106</v>
      </c>
      <c r="C440">
        <v>1</v>
      </c>
      <c r="D440" t="s">
        <v>15</v>
      </c>
      <c r="E440" t="s">
        <v>6</v>
      </c>
      <c r="F440" s="2">
        <v>45848</v>
      </c>
      <c r="G440">
        <v>3172.87</v>
      </c>
      <c r="H440" s="1">
        <f>AVERAGEIF(Table1[Customer_ID], Table1[[#This Row],[Customer_ID]], Table1[Transaction_Amount])</f>
        <v>5007.8805084745773</v>
      </c>
      <c r="I440" t="s">
        <v>2540</v>
      </c>
      <c r="J440" t="s">
        <v>36</v>
      </c>
      <c r="K440" t="s">
        <v>8</v>
      </c>
      <c r="L440">
        <v>0</v>
      </c>
      <c r="M440" t="s">
        <v>32</v>
      </c>
      <c r="N440" t="s">
        <v>55</v>
      </c>
      <c r="O440" t="s">
        <v>393</v>
      </c>
      <c r="P440" s="6" t="str">
        <f>IF(Table1[[#This Row],[Transaction_Amount]]&lt;=Table1[[#This Row],[avg_transaction_amount]], "usual transaction", "unusual transaction")</f>
        <v>usual transaction</v>
      </c>
      <c r="Q440" s="6" t="str">
        <f>IF(AND(Table1[[#This Row],[Country_of_Residence]]&lt;&gt;Table1[[#This Row],[Country_of_Transaction]], OR(Table1[[#This Row],[Authentication_Type]]="Biometric", Table1[[#This Row],[Authentication_Type]]="OTP")), "safe location transaction", "unsafe location transaction")</f>
        <v>safe location transaction</v>
      </c>
      <c r="R440" s="6" t="str">
        <f>IF(AND(Table1[[#This Row],[Country_of_Residence]]&lt;&gt;Table1[[#This Row],[Country_of_Transaction]], OR(Table1[[#This Row],[Merchant_Category]]="Electronics", Table1[[#This Row],[Merchant_Category]]="Travel")), "unsafe merchant transaction", "safe merchant transaction")</f>
        <v>safe merchant transaction</v>
      </c>
    </row>
    <row r="441" spans="1:18">
      <c r="A441" t="s">
        <v>5222</v>
      </c>
      <c r="B441" t="s">
        <v>106</v>
      </c>
      <c r="C441">
        <v>1</v>
      </c>
      <c r="D441" t="s">
        <v>15</v>
      </c>
      <c r="E441" t="s">
        <v>3</v>
      </c>
      <c r="F441" s="2">
        <v>45720</v>
      </c>
      <c r="G441">
        <v>1222.9000000000001</v>
      </c>
      <c r="H441" s="1">
        <f>AVERAGEIF(Table1[Customer_ID], Table1[[#This Row],[Customer_ID]], Table1[Transaction_Amount])</f>
        <v>5007.8805084745773</v>
      </c>
      <c r="I441" t="s">
        <v>2546</v>
      </c>
      <c r="J441" t="s">
        <v>46</v>
      </c>
      <c r="K441" t="s">
        <v>12</v>
      </c>
      <c r="L441">
        <v>1</v>
      </c>
      <c r="M441" t="s">
        <v>412</v>
      </c>
      <c r="N441" t="s">
        <v>42</v>
      </c>
      <c r="O441" t="s">
        <v>393</v>
      </c>
      <c r="P441" s="6" t="str">
        <f>IF(Table1[[#This Row],[Transaction_Amount]]&lt;=Table1[[#This Row],[avg_transaction_amount]], "usual transaction", "unusual transaction")</f>
        <v>usual transaction</v>
      </c>
      <c r="Q441" s="6" t="str">
        <f>IF(AND(Table1[[#This Row],[Country_of_Residence]]&lt;&gt;Table1[[#This Row],[Country_of_Transaction]], OR(Table1[[#This Row],[Authentication_Type]]="Biometric", Table1[[#This Row],[Authentication_Type]]="OTP")), "safe location transaction", "unsafe location transaction")</f>
        <v>unsafe location transaction</v>
      </c>
      <c r="R441" s="6" t="str">
        <f>IF(AND(Table1[[#This Row],[Country_of_Residence]]&lt;&gt;Table1[[#This Row],[Country_of_Transaction]], OR(Table1[[#This Row],[Merchant_Category]]="Electronics", Table1[[#This Row],[Merchant_Category]]="Travel")), "unsafe merchant transaction", "safe merchant transaction")</f>
        <v>safe merchant transaction</v>
      </c>
    </row>
    <row r="442" spans="1:18">
      <c r="A442" t="s">
        <v>5231</v>
      </c>
      <c r="B442" t="s">
        <v>106</v>
      </c>
      <c r="C442">
        <v>1</v>
      </c>
      <c r="D442" t="s">
        <v>9</v>
      </c>
      <c r="E442" t="s">
        <v>5</v>
      </c>
      <c r="F442" s="2">
        <v>45956</v>
      </c>
      <c r="G442">
        <v>4720.66</v>
      </c>
      <c r="H442" s="1">
        <f>AVERAGEIF(Table1[Customer_ID], Table1[[#This Row],[Customer_ID]], Table1[Transaction_Amount])</f>
        <v>5007.8805084745773</v>
      </c>
      <c r="I442" t="s">
        <v>2553</v>
      </c>
      <c r="J442" t="s">
        <v>36</v>
      </c>
      <c r="K442" t="s">
        <v>12</v>
      </c>
      <c r="L442">
        <v>4</v>
      </c>
      <c r="M442" t="s">
        <v>47</v>
      </c>
      <c r="N442" t="s">
        <v>56</v>
      </c>
      <c r="O442" t="s">
        <v>392</v>
      </c>
      <c r="P442" s="6" t="str">
        <f>IF(Table1[[#This Row],[Transaction_Amount]]&lt;=Table1[[#This Row],[avg_transaction_amount]], "usual transaction", "unusual transaction")</f>
        <v>usual transaction</v>
      </c>
      <c r="Q442" s="6" t="str">
        <f>IF(AND(Table1[[#This Row],[Country_of_Residence]]&lt;&gt;Table1[[#This Row],[Country_of_Transaction]], OR(Table1[[#This Row],[Authentication_Type]]="Biometric", Table1[[#This Row],[Authentication_Type]]="OTP")), "safe location transaction", "unsafe location transaction")</f>
        <v>unsafe location transaction</v>
      </c>
      <c r="R442" s="6" t="str">
        <f>IF(AND(Table1[[#This Row],[Country_of_Residence]]&lt;&gt;Table1[[#This Row],[Country_of_Transaction]], OR(Table1[[#This Row],[Merchant_Category]]="Electronics", Table1[[#This Row],[Merchant_Category]]="Travel")), "unsafe merchant transaction", "safe merchant transaction")</f>
        <v>safe merchant transaction</v>
      </c>
    </row>
    <row r="443" spans="1:18">
      <c r="A443" t="s">
        <v>5232</v>
      </c>
      <c r="B443" t="s">
        <v>106</v>
      </c>
      <c r="C443">
        <v>1</v>
      </c>
      <c r="D443" t="s">
        <v>9</v>
      </c>
      <c r="E443" t="s">
        <v>420</v>
      </c>
      <c r="F443" s="2">
        <v>45662</v>
      </c>
      <c r="G443">
        <v>7597.62</v>
      </c>
      <c r="H443" s="1">
        <f>AVERAGEIF(Table1[Customer_ID], Table1[[#This Row],[Customer_ID]], Table1[Transaction_Amount])</f>
        <v>5007.8805084745773</v>
      </c>
      <c r="I443" t="s">
        <v>2554</v>
      </c>
      <c r="J443" t="s">
        <v>41</v>
      </c>
      <c r="K443" t="s">
        <v>12</v>
      </c>
      <c r="L443">
        <v>2</v>
      </c>
      <c r="M443" t="s">
        <v>56</v>
      </c>
      <c r="N443" t="s">
        <v>33</v>
      </c>
      <c r="O443" t="s">
        <v>393</v>
      </c>
      <c r="P443" s="6" t="str">
        <f>IF(Table1[[#This Row],[Transaction_Amount]]&lt;=Table1[[#This Row],[avg_transaction_amount]], "usual transaction", "unusual transaction")</f>
        <v>unusual transaction</v>
      </c>
      <c r="Q443" s="6" t="str">
        <f>IF(AND(Table1[[#This Row],[Country_of_Residence]]&lt;&gt;Table1[[#This Row],[Country_of_Transaction]], OR(Table1[[#This Row],[Authentication_Type]]="Biometric", Table1[[#This Row],[Authentication_Type]]="OTP")), "safe location transaction", "unsafe location transaction")</f>
        <v>unsafe location transaction</v>
      </c>
      <c r="R443" s="6" t="str">
        <f>IF(AND(Table1[[#This Row],[Country_of_Residence]]&lt;&gt;Table1[[#This Row],[Country_of_Transaction]], OR(Table1[[#This Row],[Merchant_Category]]="Electronics", Table1[[#This Row],[Merchant_Category]]="Travel")), "unsafe merchant transaction", "safe merchant transaction")</f>
        <v>safe merchant transaction</v>
      </c>
    </row>
    <row r="444" spans="1:18">
      <c r="A444" t="s">
        <v>5259</v>
      </c>
      <c r="B444" t="s">
        <v>106</v>
      </c>
      <c r="C444">
        <v>1</v>
      </c>
      <c r="D444" t="s">
        <v>9</v>
      </c>
      <c r="E444" t="s">
        <v>5</v>
      </c>
      <c r="F444" s="2">
        <v>45708</v>
      </c>
      <c r="G444">
        <v>9667.5400000000009</v>
      </c>
      <c r="H444" s="1">
        <f>AVERAGEIF(Table1[Customer_ID], Table1[[#This Row],[Customer_ID]], Table1[Transaction_Amount])</f>
        <v>5007.8805084745773</v>
      </c>
      <c r="I444" t="s">
        <v>2577</v>
      </c>
      <c r="J444" t="s">
        <v>46</v>
      </c>
      <c r="K444" t="s">
        <v>10</v>
      </c>
      <c r="L444">
        <v>0</v>
      </c>
      <c r="M444" t="s">
        <v>56</v>
      </c>
      <c r="N444" t="s">
        <v>55</v>
      </c>
      <c r="O444" t="s">
        <v>393</v>
      </c>
      <c r="P444" s="6" t="str">
        <f>IF(Table1[[#This Row],[Transaction_Amount]]&lt;=Table1[[#This Row],[avg_transaction_amount]], "usual transaction", "unusual transaction")</f>
        <v>unusual transaction</v>
      </c>
      <c r="Q444" s="6" t="str">
        <f>IF(AND(Table1[[#This Row],[Country_of_Residence]]&lt;&gt;Table1[[#This Row],[Country_of_Transaction]], OR(Table1[[#This Row],[Authentication_Type]]="Biometric", Table1[[#This Row],[Authentication_Type]]="OTP")), "safe location transaction", "unsafe location transaction")</f>
        <v>safe location transaction</v>
      </c>
      <c r="R444" s="6" t="str">
        <f>IF(AND(Table1[[#This Row],[Country_of_Residence]]&lt;&gt;Table1[[#This Row],[Country_of_Transaction]], OR(Table1[[#This Row],[Merchant_Category]]="Electronics", Table1[[#This Row],[Merchant_Category]]="Travel")), "unsafe merchant transaction", "safe merchant transaction")</f>
        <v>safe merchant transaction</v>
      </c>
    </row>
    <row r="445" spans="1:18">
      <c r="A445" t="s">
        <v>5265</v>
      </c>
      <c r="B445" t="s">
        <v>106</v>
      </c>
      <c r="C445">
        <v>1</v>
      </c>
      <c r="D445" t="s">
        <v>15</v>
      </c>
      <c r="E445" t="s">
        <v>3</v>
      </c>
      <c r="F445" s="2">
        <v>45699</v>
      </c>
      <c r="G445">
        <v>3665.03</v>
      </c>
      <c r="H445" s="1">
        <f>AVERAGEIF(Table1[Customer_ID], Table1[[#This Row],[Customer_ID]], Table1[Transaction_Amount])</f>
        <v>5007.8805084745773</v>
      </c>
      <c r="I445" t="s">
        <v>687</v>
      </c>
      <c r="J445" t="s">
        <v>50</v>
      </c>
      <c r="K445" t="s">
        <v>14</v>
      </c>
      <c r="L445">
        <v>4</v>
      </c>
      <c r="M445" t="s">
        <v>412</v>
      </c>
      <c r="N445" t="s">
        <v>37</v>
      </c>
      <c r="O445" t="s">
        <v>393</v>
      </c>
      <c r="P445" s="6" t="str">
        <f>IF(Table1[[#This Row],[Transaction_Amount]]&lt;=Table1[[#This Row],[avg_transaction_amount]], "usual transaction", "unusual transaction")</f>
        <v>usual transaction</v>
      </c>
      <c r="Q445" s="6" t="str">
        <f>IF(AND(Table1[[#This Row],[Country_of_Residence]]&lt;&gt;Table1[[#This Row],[Country_of_Transaction]], OR(Table1[[#This Row],[Authentication_Type]]="Biometric", Table1[[#This Row],[Authentication_Type]]="OTP")), "safe location transaction", "unsafe location transaction")</f>
        <v>unsafe location transaction</v>
      </c>
      <c r="R445" s="6" t="str">
        <f>IF(AND(Table1[[#This Row],[Country_of_Residence]]&lt;&gt;Table1[[#This Row],[Country_of_Transaction]], OR(Table1[[#This Row],[Merchant_Category]]="Electronics", Table1[[#This Row],[Merchant_Category]]="Travel")), "unsafe merchant transaction", "safe merchant transaction")</f>
        <v>unsafe merchant transaction</v>
      </c>
    </row>
    <row r="446" spans="1:18">
      <c r="A446" t="s">
        <v>5347</v>
      </c>
      <c r="B446" t="s">
        <v>106</v>
      </c>
      <c r="C446">
        <v>1</v>
      </c>
      <c r="D446" t="s">
        <v>15</v>
      </c>
      <c r="E446" t="s">
        <v>420</v>
      </c>
      <c r="F446" s="2">
        <v>45887</v>
      </c>
      <c r="G446">
        <v>4085.92</v>
      </c>
      <c r="H446" s="1">
        <f>AVERAGEIF(Table1[Customer_ID], Table1[[#This Row],[Customer_ID]], Table1[Transaction_Amount])</f>
        <v>5007.8805084745773</v>
      </c>
      <c r="I446" t="s">
        <v>2641</v>
      </c>
      <c r="J446" t="s">
        <v>31</v>
      </c>
      <c r="K446" t="s">
        <v>8</v>
      </c>
      <c r="L446">
        <v>0</v>
      </c>
      <c r="M446" t="s">
        <v>37</v>
      </c>
      <c r="N446" t="s">
        <v>47</v>
      </c>
      <c r="O446" t="s">
        <v>392</v>
      </c>
      <c r="P446" s="6" t="str">
        <f>IF(Table1[[#This Row],[Transaction_Amount]]&lt;=Table1[[#This Row],[avg_transaction_amount]], "usual transaction", "unusual transaction")</f>
        <v>usual transaction</v>
      </c>
      <c r="Q446" s="6" t="str">
        <f>IF(AND(Table1[[#This Row],[Country_of_Residence]]&lt;&gt;Table1[[#This Row],[Country_of_Transaction]], OR(Table1[[#This Row],[Authentication_Type]]="Biometric", Table1[[#This Row],[Authentication_Type]]="OTP")), "safe location transaction", "unsafe location transaction")</f>
        <v>safe location transaction</v>
      </c>
      <c r="R446" s="6" t="str">
        <f>IF(AND(Table1[[#This Row],[Country_of_Residence]]&lt;&gt;Table1[[#This Row],[Country_of_Transaction]], OR(Table1[[#This Row],[Merchant_Category]]="Electronics", Table1[[#This Row],[Merchant_Category]]="Travel")), "unsafe merchant transaction", "safe merchant transaction")</f>
        <v>safe merchant transaction</v>
      </c>
    </row>
    <row r="447" spans="1:18">
      <c r="A447" t="s">
        <v>5348</v>
      </c>
      <c r="B447" t="s">
        <v>106</v>
      </c>
      <c r="C447">
        <v>1</v>
      </c>
      <c r="D447" t="s">
        <v>15</v>
      </c>
      <c r="E447" t="s">
        <v>6</v>
      </c>
      <c r="F447" s="2">
        <v>45766</v>
      </c>
      <c r="G447">
        <v>8198.2099999999991</v>
      </c>
      <c r="H447" s="1">
        <f>AVERAGEIF(Table1[Customer_ID], Table1[[#This Row],[Customer_ID]], Table1[Transaction_Amount])</f>
        <v>5007.8805084745773</v>
      </c>
      <c r="I447" t="s">
        <v>864</v>
      </c>
      <c r="J447" t="s">
        <v>31</v>
      </c>
      <c r="K447" t="s">
        <v>8</v>
      </c>
      <c r="L447">
        <v>5</v>
      </c>
      <c r="M447" t="s">
        <v>33</v>
      </c>
      <c r="N447" t="s">
        <v>51</v>
      </c>
      <c r="O447" t="s">
        <v>393</v>
      </c>
      <c r="P447" s="6" t="str">
        <f>IF(Table1[[#This Row],[Transaction_Amount]]&lt;=Table1[[#This Row],[avg_transaction_amount]], "usual transaction", "unusual transaction")</f>
        <v>unusual transaction</v>
      </c>
      <c r="Q447" s="6" t="str">
        <f>IF(AND(Table1[[#This Row],[Country_of_Residence]]&lt;&gt;Table1[[#This Row],[Country_of_Transaction]], OR(Table1[[#This Row],[Authentication_Type]]="Biometric", Table1[[#This Row],[Authentication_Type]]="OTP")), "safe location transaction", "unsafe location transaction")</f>
        <v>safe location transaction</v>
      </c>
      <c r="R447" s="6" t="str">
        <f>IF(AND(Table1[[#This Row],[Country_of_Residence]]&lt;&gt;Table1[[#This Row],[Country_of_Transaction]], OR(Table1[[#This Row],[Merchant_Category]]="Electronics", Table1[[#This Row],[Merchant_Category]]="Travel")), "unsafe merchant transaction", "safe merchant transaction")</f>
        <v>safe merchant transaction</v>
      </c>
    </row>
    <row r="448" spans="1:18">
      <c r="A448" t="s">
        <v>5406</v>
      </c>
      <c r="B448" t="s">
        <v>106</v>
      </c>
      <c r="C448">
        <v>1</v>
      </c>
      <c r="D448" t="s">
        <v>9</v>
      </c>
      <c r="E448" t="s">
        <v>420</v>
      </c>
      <c r="F448" s="2">
        <v>45783</v>
      </c>
      <c r="G448">
        <v>752.53</v>
      </c>
      <c r="H448" s="1">
        <f>AVERAGEIF(Table1[Customer_ID], Table1[[#This Row],[Customer_ID]], Table1[Transaction_Amount])</f>
        <v>5007.8805084745773</v>
      </c>
      <c r="I448" t="s">
        <v>2685</v>
      </c>
      <c r="J448" t="s">
        <v>31</v>
      </c>
      <c r="K448" t="s">
        <v>10</v>
      </c>
      <c r="L448">
        <v>2</v>
      </c>
      <c r="M448" t="s">
        <v>55</v>
      </c>
      <c r="N448" t="s">
        <v>55</v>
      </c>
      <c r="O448" t="s">
        <v>392</v>
      </c>
      <c r="P448" s="6" t="str">
        <f>IF(Table1[[#This Row],[Transaction_Amount]]&lt;=Table1[[#This Row],[avg_transaction_amount]], "usual transaction", "unusual transaction")</f>
        <v>usual transaction</v>
      </c>
      <c r="Q448" s="6" t="str">
        <f>IF(AND(Table1[[#This Row],[Country_of_Residence]]&lt;&gt;Table1[[#This Row],[Country_of_Transaction]], OR(Table1[[#This Row],[Authentication_Type]]="Biometric", Table1[[#This Row],[Authentication_Type]]="OTP")), "safe location transaction", "unsafe location transaction")</f>
        <v>unsafe location transaction</v>
      </c>
      <c r="R448" s="6" t="str">
        <f>IF(AND(Table1[[#This Row],[Country_of_Residence]]&lt;&gt;Table1[[#This Row],[Country_of_Transaction]], OR(Table1[[#This Row],[Merchant_Category]]="Electronics", Table1[[#This Row],[Merchant_Category]]="Travel")), "unsafe merchant transaction", "safe merchant transaction")</f>
        <v>safe merchant transaction</v>
      </c>
    </row>
    <row r="449" spans="1:18">
      <c r="A449" t="s">
        <v>5424</v>
      </c>
      <c r="B449" t="s">
        <v>106</v>
      </c>
      <c r="C449">
        <v>1</v>
      </c>
      <c r="D449" t="s">
        <v>15</v>
      </c>
      <c r="E449" t="s">
        <v>420</v>
      </c>
      <c r="F449" s="2">
        <v>45845</v>
      </c>
      <c r="G449">
        <v>7833.8</v>
      </c>
      <c r="H449" s="1">
        <f>AVERAGEIF(Table1[Customer_ID], Table1[[#This Row],[Customer_ID]], Table1[Transaction_Amount])</f>
        <v>5007.8805084745773</v>
      </c>
      <c r="I449" t="s">
        <v>2696</v>
      </c>
      <c r="J449" t="s">
        <v>41</v>
      </c>
      <c r="K449" t="s">
        <v>10</v>
      </c>
      <c r="L449">
        <v>2</v>
      </c>
      <c r="M449" t="s">
        <v>32</v>
      </c>
      <c r="N449" t="s">
        <v>412</v>
      </c>
      <c r="O449" t="s">
        <v>393</v>
      </c>
      <c r="P449" s="6" t="str">
        <f>IF(Table1[[#This Row],[Transaction_Amount]]&lt;=Table1[[#This Row],[avg_transaction_amount]], "usual transaction", "unusual transaction")</f>
        <v>unusual transaction</v>
      </c>
      <c r="Q449" s="6" t="str">
        <f>IF(AND(Table1[[#This Row],[Country_of_Residence]]&lt;&gt;Table1[[#This Row],[Country_of_Transaction]], OR(Table1[[#This Row],[Authentication_Type]]="Biometric", Table1[[#This Row],[Authentication_Type]]="OTP")), "safe location transaction", "unsafe location transaction")</f>
        <v>safe location transaction</v>
      </c>
      <c r="R449" s="6" t="str">
        <f>IF(AND(Table1[[#This Row],[Country_of_Residence]]&lt;&gt;Table1[[#This Row],[Country_of_Transaction]], OR(Table1[[#This Row],[Merchant_Category]]="Electronics", Table1[[#This Row],[Merchant_Category]]="Travel")), "unsafe merchant transaction", "safe merchant transaction")</f>
        <v>safe merchant transaction</v>
      </c>
    </row>
    <row r="450" spans="1:18">
      <c r="A450" t="s">
        <v>5462</v>
      </c>
      <c r="B450" t="s">
        <v>106</v>
      </c>
      <c r="C450">
        <v>1</v>
      </c>
      <c r="D450" t="s">
        <v>15</v>
      </c>
      <c r="E450" t="s">
        <v>420</v>
      </c>
      <c r="F450" s="2">
        <v>45920</v>
      </c>
      <c r="G450">
        <v>9470.83</v>
      </c>
      <c r="H450" s="1">
        <f>AVERAGEIF(Table1[Customer_ID], Table1[[#This Row],[Customer_ID]], Table1[Transaction_Amount])</f>
        <v>5007.8805084745773</v>
      </c>
      <c r="I450" t="s">
        <v>2724</v>
      </c>
      <c r="J450" t="s">
        <v>36</v>
      </c>
      <c r="K450" t="s">
        <v>8</v>
      </c>
      <c r="L450">
        <v>5</v>
      </c>
      <c r="M450" t="s">
        <v>51</v>
      </c>
      <c r="N450" t="s">
        <v>33</v>
      </c>
      <c r="O450" t="s">
        <v>393</v>
      </c>
      <c r="P450" s="6" t="str">
        <f>IF(Table1[[#This Row],[Transaction_Amount]]&lt;=Table1[[#This Row],[avg_transaction_amount]], "usual transaction", "unusual transaction")</f>
        <v>unusual transaction</v>
      </c>
      <c r="Q450" s="6" t="str">
        <f>IF(AND(Table1[[#This Row],[Country_of_Residence]]&lt;&gt;Table1[[#This Row],[Country_of_Transaction]], OR(Table1[[#This Row],[Authentication_Type]]="Biometric", Table1[[#This Row],[Authentication_Type]]="OTP")), "safe location transaction", "unsafe location transaction")</f>
        <v>safe location transaction</v>
      </c>
      <c r="R450" s="6" t="str">
        <f>IF(AND(Table1[[#This Row],[Country_of_Residence]]&lt;&gt;Table1[[#This Row],[Country_of_Transaction]], OR(Table1[[#This Row],[Merchant_Category]]="Electronics", Table1[[#This Row],[Merchant_Category]]="Travel")), "unsafe merchant transaction", "safe merchant transaction")</f>
        <v>safe merchant transaction</v>
      </c>
    </row>
    <row r="451" spans="1:18">
      <c r="A451" t="s">
        <v>5495</v>
      </c>
      <c r="B451" t="s">
        <v>106</v>
      </c>
      <c r="C451">
        <v>1</v>
      </c>
      <c r="D451" t="s">
        <v>15</v>
      </c>
      <c r="E451" t="s">
        <v>420</v>
      </c>
      <c r="F451" s="2">
        <v>45904</v>
      </c>
      <c r="G451">
        <v>4878.2</v>
      </c>
      <c r="H451" s="1">
        <f>AVERAGEIF(Table1[Customer_ID], Table1[[#This Row],[Customer_ID]], Table1[Transaction_Amount])</f>
        <v>5007.8805084745773</v>
      </c>
      <c r="I451" t="s">
        <v>685</v>
      </c>
      <c r="J451" t="s">
        <v>31</v>
      </c>
      <c r="K451" t="s">
        <v>10</v>
      </c>
      <c r="L451">
        <v>1</v>
      </c>
      <c r="M451" t="s">
        <v>47</v>
      </c>
      <c r="N451" t="s">
        <v>32</v>
      </c>
      <c r="O451" t="s">
        <v>392</v>
      </c>
      <c r="P451" s="6" t="str">
        <f>IF(Table1[[#This Row],[Transaction_Amount]]&lt;=Table1[[#This Row],[avg_transaction_amount]], "usual transaction", "unusual transaction")</f>
        <v>usual transaction</v>
      </c>
      <c r="Q451" s="6" t="str">
        <f>IF(AND(Table1[[#This Row],[Country_of_Residence]]&lt;&gt;Table1[[#This Row],[Country_of_Transaction]], OR(Table1[[#This Row],[Authentication_Type]]="Biometric", Table1[[#This Row],[Authentication_Type]]="OTP")), "safe location transaction", "unsafe location transaction")</f>
        <v>safe location transaction</v>
      </c>
      <c r="R451" s="6" t="str">
        <f>IF(AND(Table1[[#This Row],[Country_of_Residence]]&lt;&gt;Table1[[#This Row],[Country_of_Transaction]], OR(Table1[[#This Row],[Merchant_Category]]="Electronics", Table1[[#This Row],[Merchant_Category]]="Travel")), "unsafe merchant transaction", "safe merchant transaction")</f>
        <v>safe merchant transaction</v>
      </c>
    </row>
    <row r="452" spans="1:18">
      <c r="A452" t="s">
        <v>120</v>
      </c>
      <c r="B452" t="s">
        <v>116</v>
      </c>
      <c r="C452">
        <v>1</v>
      </c>
      <c r="D452" t="s">
        <v>11</v>
      </c>
      <c r="E452" t="s">
        <v>6</v>
      </c>
      <c r="F452" s="2">
        <v>45694.695833333302</v>
      </c>
      <c r="G452">
        <v>2333.02</v>
      </c>
      <c r="H452" s="1">
        <f>AVERAGEIF(Table1[Customer_ID], Table1[[#This Row],[Customer_ID]], Table1[Transaction_Amount])</f>
        <v>5671.5049206349195</v>
      </c>
      <c r="I452" t="s">
        <v>121</v>
      </c>
      <c r="J452" t="s">
        <v>41</v>
      </c>
      <c r="K452" t="s">
        <v>10</v>
      </c>
      <c r="L452">
        <v>5</v>
      </c>
      <c r="M452" t="s">
        <v>118</v>
      </c>
      <c r="N452" t="s">
        <v>122</v>
      </c>
      <c r="O452" t="s">
        <v>392</v>
      </c>
      <c r="P452" t="str">
        <f>IF(Table1[[#This Row],[Transaction_Amount]]&lt;=Table1[[#This Row],[avg_transaction_amount]], "usual transaction", "unusual transaction")</f>
        <v>usual transaction</v>
      </c>
      <c r="Q452" t="str">
        <f>IF(AND(Table1[[#This Row],[Country_of_Residence]]&lt;&gt;Table1[[#This Row],[Country_of_Transaction]], OR(Table1[[#This Row],[Authentication_Type]]="Biometric", Table1[[#This Row],[Authentication_Type]]="OTP")), "safe location transaction", "unsafe location transaction")</f>
        <v>safe location transaction</v>
      </c>
      <c r="R452" t="str">
        <f>IF(AND(Table1[[#This Row],[Country_of_Residence]]&lt;&gt;Table1[[#This Row],[Country_of_Transaction]], OR(Table1[[#This Row],[Merchant_Category]]="Electronics", Table1[[#This Row],[Merchant_Category]]="Travel")), "unsafe merchant transaction", "safe merchant transaction")</f>
        <v>safe merchant transaction</v>
      </c>
    </row>
    <row r="453" spans="1:18">
      <c r="A453" t="s">
        <v>115</v>
      </c>
      <c r="B453" t="s">
        <v>116</v>
      </c>
      <c r="C453">
        <v>1</v>
      </c>
      <c r="D453" t="s">
        <v>13</v>
      </c>
      <c r="E453" t="s">
        <v>3</v>
      </c>
      <c r="F453" s="2">
        <v>45805.3256944444</v>
      </c>
      <c r="G453">
        <v>7949.64</v>
      </c>
      <c r="H453" s="1">
        <f>AVERAGEIF(Table1[Customer_ID], Table1[[#This Row],[Customer_ID]], Table1[Transaction_Amount])</f>
        <v>5671.5049206349195</v>
      </c>
      <c r="I453" t="s">
        <v>117</v>
      </c>
      <c r="J453" t="s">
        <v>41</v>
      </c>
      <c r="K453" t="s">
        <v>12</v>
      </c>
      <c r="L453">
        <v>0</v>
      </c>
      <c r="M453" t="s">
        <v>118</v>
      </c>
      <c r="N453" t="s">
        <v>119</v>
      </c>
      <c r="O453" t="s">
        <v>393</v>
      </c>
      <c r="P453" t="str">
        <f>IF(Table1[[#This Row],[Transaction_Amount]]&lt;=Table1[[#This Row],[avg_transaction_amount]], "usual transaction", "unusual transaction")</f>
        <v>unusual transaction</v>
      </c>
      <c r="Q453" t="str">
        <f>IF(AND(Table1[[#This Row],[Country_of_Residence]]&lt;&gt;Table1[[#This Row],[Country_of_Transaction]], OR(Table1[[#This Row],[Authentication_Type]]="Biometric", Table1[[#This Row],[Authentication_Type]]="OTP")), "safe location transaction", "unsafe location transaction")</f>
        <v>unsafe location transaction</v>
      </c>
      <c r="R453" t="str">
        <f>IF(AND(Table1[[#This Row],[Country_of_Residence]]&lt;&gt;Table1[[#This Row],[Country_of_Transaction]], OR(Table1[[#This Row],[Merchant_Category]]="Electronics", Table1[[#This Row],[Merchant_Category]]="Travel")), "unsafe merchant transaction", "safe merchant transaction")</f>
        <v>safe merchant transaction</v>
      </c>
    </row>
    <row r="454" spans="1:18">
      <c r="A454" t="s">
        <v>2772</v>
      </c>
      <c r="B454" t="s">
        <v>116</v>
      </c>
      <c r="C454">
        <v>1</v>
      </c>
      <c r="D454" t="s">
        <v>9</v>
      </c>
      <c r="E454" t="s">
        <v>420</v>
      </c>
      <c r="F454" s="2">
        <v>45956</v>
      </c>
      <c r="G454">
        <v>2503.94</v>
      </c>
      <c r="H454" s="1">
        <f>AVERAGEIF(Table1[Customer_ID], Table1[[#This Row],[Customer_ID]], Table1[Transaction_Amount])</f>
        <v>5671.5049206349195</v>
      </c>
      <c r="I454" t="s">
        <v>421</v>
      </c>
      <c r="J454" t="s">
        <v>46</v>
      </c>
      <c r="K454" t="s">
        <v>12</v>
      </c>
      <c r="L454">
        <v>4</v>
      </c>
      <c r="M454" t="s">
        <v>47</v>
      </c>
      <c r="N454" t="s">
        <v>32</v>
      </c>
      <c r="O454" t="s">
        <v>392</v>
      </c>
      <c r="P454" s="6" t="str">
        <f>IF(Table1[[#This Row],[Transaction_Amount]]&lt;=Table1[[#This Row],[avg_transaction_amount]], "usual transaction", "unusual transaction")</f>
        <v>usual transaction</v>
      </c>
      <c r="Q454" s="6" t="str">
        <f>IF(AND(Table1[[#This Row],[Country_of_Residence]]&lt;&gt;Table1[[#This Row],[Country_of_Transaction]], OR(Table1[[#This Row],[Authentication_Type]]="Biometric", Table1[[#This Row],[Authentication_Type]]="OTP")), "safe location transaction", "unsafe location transaction")</f>
        <v>unsafe location transaction</v>
      </c>
      <c r="R454" s="6" t="str">
        <f>IF(AND(Table1[[#This Row],[Country_of_Residence]]&lt;&gt;Table1[[#This Row],[Country_of_Transaction]], OR(Table1[[#This Row],[Merchant_Category]]="Electronics", Table1[[#This Row],[Merchant_Category]]="Travel")), "unsafe merchant transaction", "safe merchant transaction")</f>
        <v>safe merchant transaction</v>
      </c>
    </row>
    <row r="455" spans="1:18">
      <c r="A455" t="s">
        <v>2781</v>
      </c>
      <c r="B455" t="s">
        <v>116</v>
      </c>
      <c r="C455">
        <v>1</v>
      </c>
      <c r="D455" t="s">
        <v>15</v>
      </c>
      <c r="E455" t="s">
        <v>3</v>
      </c>
      <c r="F455" s="2">
        <v>45884</v>
      </c>
      <c r="G455">
        <v>4247.72</v>
      </c>
      <c r="H455" s="1">
        <f>AVERAGEIF(Table1[Customer_ID], Table1[[#This Row],[Customer_ID]], Table1[Transaction_Amount])</f>
        <v>5671.5049206349195</v>
      </c>
      <c r="I455" t="s">
        <v>430</v>
      </c>
      <c r="J455" t="s">
        <v>31</v>
      </c>
      <c r="K455" t="s">
        <v>10</v>
      </c>
      <c r="L455">
        <v>0</v>
      </c>
      <c r="M455" t="s">
        <v>55</v>
      </c>
      <c r="N455" t="s">
        <v>42</v>
      </c>
      <c r="O455" t="s">
        <v>393</v>
      </c>
      <c r="P455" s="6" t="str">
        <f>IF(Table1[[#This Row],[Transaction_Amount]]&lt;=Table1[[#This Row],[avg_transaction_amount]], "usual transaction", "unusual transaction")</f>
        <v>usual transaction</v>
      </c>
      <c r="Q455" s="6" t="str">
        <f>IF(AND(Table1[[#This Row],[Country_of_Residence]]&lt;&gt;Table1[[#This Row],[Country_of_Transaction]], OR(Table1[[#This Row],[Authentication_Type]]="Biometric", Table1[[#This Row],[Authentication_Type]]="OTP")), "safe location transaction", "unsafe location transaction")</f>
        <v>safe location transaction</v>
      </c>
      <c r="R455" s="6" t="str">
        <f>IF(AND(Table1[[#This Row],[Country_of_Residence]]&lt;&gt;Table1[[#This Row],[Country_of_Transaction]], OR(Table1[[#This Row],[Merchant_Category]]="Electronics", Table1[[#This Row],[Merchant_Category]]="Travel")), "unsafe merchant transaction", "safe merchant transaction")</f>
        <v>safe merchant transaction</v>
      </c>
    </row>
    <row r="456" spans="1:18">
      <c r="A456" t="s">
        <v>2790</v>
      </c>
      <c r="B456" t="s">
        <v>116</v>
      </c>
      <c r="C456">
        <v>1</v>
      </c>
      <c r="D456" t="s">
        <v>15</v>
      </c>
      <c r="E456" t="s">
        <v>5</v>
      </c>
      <c r="F456" s="2">
        <v>45765</v>
      </c>
      <c r="G456">
        <v>466.2</v>
      </c>
      <c r="H456" s="1">
        <f>AVERAGEIF(Table1[Customer_ID], Table1[[#This Row],[Customer_ID]], Table1[Transaction_Amount])</f>
        <v>5671.5049206349195</v>
      </c>
      <c r="I456" t="s">
        <v>440</v>
      </c>
      <c r="J456" t="s">
        <v>31</v>
      </c>
      <c r="K456" t="s">
        <v>14</v>
      </c>
      <c r="L456">
        <v>4</v>
      </c>
      <c r="M456" t="s">
        <v>56</v>
      </c>
      <c r="N456" t="s">
        <v>42</v>
      </c>
      <c r="O456" t="s">
        <v>392</v>
      </c>
      <c r="P456" s="6" t="str">
        <f>IF(Table1[[#This Row],[Transaction_Amount]]&lt;=Table1[[#This Row],[avg_transaction_amount]], "usual transaction", "unusual transaction")</f>
        <v>usual transaction</v>
      </c>
      <c r="Q456" s="6" t="str">
        <f>IF(AND(Table1[[#This Row],[Country_of_Residence]]&lt;&gt;Table1[[#This Row],[Country_of_Transaction]], OR(Table1[[#This Row],[Authentication_Type]]="Biometric", Table1[[#This Row],[Authentication_Type]]="OTP")), "safe location transaction", "unsafe location transaction")</f>
        <v>unsafe location transaction</v>
      </c>
      <c r="R456" s="6" t="str">
        <f>IF(AND(Table1[[#This Row],[Country_of_Residence]]&lt;&gt;Table1[[#This Row],[Country_of_Transaction]], OR(Table1[[#This Row],[Merchant_Category]]="Electronics", Table1[[#This Row],[Merchant_Category]]="Travel")), "unsafe merchant transaction", "safe merchant transaction")</f>
        <v>safe merchant transaction</v>
      </c>
    </row>
    <row r="457" spans="1:18">
      <c r="A457" t="s">
        <v>2806</v>
      </c>
      <c r="B457" t="s">
        <v>116</v>
      </c>
      <c r="C457">
        <v>1</v>
      </c>
      <c r="D457" t="s">
        <v>9</v>
      </c>
      <c r="E457" t="s">
        <v>420</v>
      </c>
      <c r="F457" s="2">
        <v>45825</v>
      </c>
      <c r="G457">
        <v>8675.17</v>
      </c>
      <c r="H457" s="1">
        <f>AVERAGEIF(Table1[Customer_ID], Table1[[#This Row],[Customer_ID]], Table1[Transaction_Amount])</f>
        <v>5671.5049206349195</v>
      </c>
      <c r="I457" t="s">
        <v>457</v>
      </c>
      <c r="J457" t="s">
        <v>50</v>
      </c>
      <c r="K457" t="s">
        <v>14</v>
      </c>
      <c r="L457">
        <v>3</v>
      </c>
      <c r="M457" t="s">
        <v>37</v>
      </c>
      <c r="N457" t="s">
        <v>56</v>
      </c>
      <c r="O457" t="s">
        <v>393</v>
      </c>
      <c r="P457" s="6" t="str">
        <f>IF(Table1[[#This Row],[Transaction_Amount]]&lt;=Table1[[#This Row],[avg_transaction_amount]], "usual transaction", "unusual transaction")</f>
        <v>unusual transaction</v>
      </c>
      <c r="Q457" s="6" t="str">
        <f>IF(AND(Table1[[#This Row],[Country_of_Residence]]&lt;&gt;Table1[[#This Row],[Country_of_Transaction]], OR(Table1[[#This Row],[Authentication_Type]]="Biometric", Table1[[#This Row],[Authentication_Type]]="OTP")), "safe location transaction", "unsafe location transaction")</f>
        <v>unsafe location transaction</v>
      </c>
      <c r="R457" s="6" t="str">
        <f>IF(AND(Table1[[#This Row],[Country_of_Residence]]&lt;&gt;Table1[[#This Row],[Country_of_Transaction]], OR(Table1[[#This Row],[Merchant_Category]]="Electronics", Table1[[#This Row],[Merchant_Category]]="Travel")), "unsafe merchant transaction", "safe merchant transaction")</f>
        <v>unsafe merchant transaction</v>
      </c>
    </row>
    <row r="458" spans="1:18">
      <c r="A458" t="s">
        <v>2841</v>
      </c>
      <c r="B458" t="s">
        <v>116</v>
      </c>
      <c r="C458">
        <v>1</v>
      </c>
      <c r="D458" t="s">
        <v>9</v>
      </c>
      <c r="E458" t="s">
        <v>5</v>
      </c>
      <c r="F458" s="2">
        <v>45742</v>
      </c>
      <c r="G458">
        <v>7875.8</v>
      </c>
      <c r="H458" s="1">
        <f>AVERAGEIF(Table1[Customer_ID], Table1[[#This Row],[Customer_ID]], Table1[Transaction_Amount])</f>
        <v>5671.5049206349195</v>
      </c>
      <c r="I458" t="s">
        <v>492</v>
      </c>
      <c r="J458" t="s">
        <v>50</v>
      </c>
      <c r="K458" t="s">
        <v>14</v>
      </c>
      <c r="L458">
        <v>0</v>
      </c>
      <c r="M458" t="s">
        <v>47</v>
      </c>
      <c r="N458" t="s">
        <v>32</v>
      </c>
      <c r="O458" t="s">
        <v>392</v>
      </c>
      <c r="P458" s="6" t="str">
        <f>IF(Table1[[#This Row],[Transaction_Amount]]&lt;=Table1[[#This Row],[avg_transaction_amount]], "usual transaction", "unusual transaction")</f>
        <v>unusual transaction</v>
      </c>
      <c r="Q458" s="6" t="str">
        <f>IF(AND(Table1[[#This Row],[Country_of_Residence]]&lt;&gt;Table1[[#This Row],[Country_of_Transaction]], OR(Table1[[#This Row],[Authentication_Type]]="Biometric", Table1[[#This Row],[Authentication_Type]]="OTP")), "safe location transaction", "unsafe location transaction")</f>
        <v>unsafe location transaction</v>
      </c>
      <c r="R458" s="6" t="str">
        <f>IF(AND(Table1[[#This Row],[Country_of_Residence]]&lt;&gt;Table1[[#This Row],[Country_of_Transaction]], OR(Table1[[#This Row],[Merchant_Category]]="Electronics", Table1[[#This Row],[Merchant_Category]]="Travel")), "unsafe merchant transaction", "safe merchant transaction")</f>
        <v>unsafe merchant transaction</v>
      </c>
    </row>
    <row r="459" spans="1:18">
      <c r="A459" t="s">
        <v>2888</v>
      </c>
      <c r="B459" t="s">
        <v>116</v>
      </c>
      <c r="C459">
        <v>1</v>
      </c>
      <c r="D459" t="s">
        <v>9</v>
      </c>
      <c r="E459" t="s">
        <v>5</v>
      </c>
      <c r="F459" s="2">
        <v>45854</v>
      </c>
      <c r="G459">
        <v>718.97</v>
      </c>
      <c r="H459" s="1">
        <f>AVERAGEIF(Table1[Customer_ID], Table1[[#This Row],[Customer_ID]], Table1[Transaction_Amount])</f>
        <v>5671.5049206349195</v>
      </c>
      <c r="I459" t="s">
        <v>538</v>
      </c>
      <c r="J459" t="s">
        <v>41</v>
      </c>
      <c r="K459" t="s">
        <v>12</v>
      </c>
      <c r="L459">
        <v>5</v>
      </c>
      <c r="M459" t="s">
        <v>47</v>
      </c>
      <c r="N459" t="s">
        <v>51</v>
      </c>
      <c r="O459" t="s">
        <v>393</v>
      </c>
      <c r="P459" s="6" t="str">
        <f>IF(Table1[[#This Row],[Transaction_Amount]]&lt;=Table1[[#This Row],[avg_transaction_amount]], "usual transaction", "unusual transaction")</f>
        <v>usual transaction</v>
      </c>
      <c r="Q459" s="6" t="str">
        <f>IF(AND(Table1[[#This Row],[Country_of_Residence]]&lt;&gt;Table1[[#This Row],[Country_of_Transaction]], OR(Table1[[#This Row],[Authentication_Type]]="Biometric", Table1[[#This Row],[Authentication_Type]]="OTP")), "safe location transaction", "unsafe location transaction")</f>
        <v>unsafe location transaction</v>
      </c>
      <c r="R459" s="6" t="str">
        <f>IF(AND(Table1[[#This Row],[Country_of_Residence]]&lt;&gt;Table1[[#This Row],[Country_of_Transaction]], OR(Table1[[#This Row],[Merchant_Category]]="Electronics", Table1[[#This Row],[Merchant_Category]]="Travel")), "unsafe merchant transaction", "safe merchant transaction")</f>
        <v>safe merchant transaction</v>
      </c>
    </row>
    <row r="460" spans="1:18">
      <c r="A460" t="s">
        <v>2894</v>
      </c>
      <c r="B460" t="s">
        <v>116</v>
      </c>
      <c r="C460">
        <v>1</v>
      </c>
      <c r="D460" t="s">
        <v>15</v>
      </c>
      <c r="E460" t="s">
        <v>6</v>
      </c>
      <c r="F460" s="2">
        <v>45879</v>
      </c>
      <c r="G460">
        <v>8785.7000000000007</v>
      </c>
      <c r="H460" s="1">
        <f>AVERAGEIF(Table1[Customer_ID], Table1[[#This Row],[Customer_ID]], Table1[Transaction_Amount])</f>
        <v>5671.5049206349195</v>
      </c>
      <c r="I460" t="s">
        <v>544</v>
      </c>
      <c r="J460" t="s">
        <v>31</v>
      </c>
      <c r="K460" t="s">
        <v>12</v>
      </c>
      <c r="L460">
        <v>2</v>
      </c>
      <c r="M460" t="s">
        <v>42</v>
      </c>
      <c r="N460" t="s">
        <v>42</v>
      </c>
      <c r="O460" t="s">
        <v>393</v>
      </c>
      <c r="P460" s="6" t="str">
        <f>IF(Table1[[#This Row],[Transaction_Amount]]&lt;=Table1[[#This Row],[avg_transaction_amount]], "usual transaction", "unusual transaction")</f>
        <v>unusual transaction</v>
      </c>
      <c r="Q460" s="6" t="str">
        <f>IF(AND(Table1[[#This Row],[Country_of_Residence]]&lt;&gt;Table1[[#This Row],[Country_of_Transaction]], OR(Table1[[#This Row],[Authentication_Type]]="Biometric", Table1[[#This Row],[Authentication_Type]]="OTP")), "safe location transaction", "unsafe location transaction")</f>
        <v>unsafe location transaction</v>
      </c>
      <c r="R460" s="6" t="str">
        <f>IF(AND(Table1[[#This Row],[Country_of_Residence]]&lt;&gt;Table1[[#This Row],[Country_of_Transaction]], OR(Table1[[#This Row],[Merchant_Category]]="Electronics", Table1[[#This Row],[Merchant_Category]]="Travel")), "unsafe merchant transaction", "safe merchant transaction")</f>
        <v>safe merchant transaction</v>
      </c>
    </row>
    <row r="461" spans="1:18">
      <c r="A461" t="s">
        <v>2916</v>
      </c>
      <c r="B461" t="s">
        <v>116</v>
      </c>
      <c r="C461">
        <v>1</v>
      </c>
      <c r="D461" t="s">
        <v>15</v>
      </c>
      <c r="E461" t="s">
        <v>3</v>
      </c>
      <c r="F461" s="2">
        <v>45827</v>
      </c>
      <c r="G461">
        <v>8518.0400000000009</v>
      </c>
      <c r="H461" s="1">
        <f>AVERAGEIF(Table1[Customer_ID], Table1[[#This Row],[Customer_ID]], Table1[Transaction_Amount])</f>
        <v>5671.5049206349195</v>
      </c>
      <c r="I461" t="s">
        <v>565</v>
      </c>
      <c r="J461" t="s">
        <v>50</v>
      </c>
      <c r="K461" t="s">
        <v>12</v>
      </c>
      <c r="L461">
        <v>0</v>
      </c>
      <c r="M461" t="s">
        <v>51</v>
      </c>
      <c r="N461" t="s">
        <v>37</v>
      </c>
      <c r="O461" t="s">
        <v>392</v>
      </c>
      <c r="P461" s="6" t="str">
        <f>IF(Table1[[#This Row],[Transaction_Amount]]&lt;=Table1[[#This Row],[avg_transaction_amount]], "usual transaction", "unusual transaction")</f>
        <v>unusual transaction</v>
      </c>
      <c r="Q461" s="6" t="str">
        <f>IF(AND(Table1[[#This Row],[Country_of_Residence]]&lt;&gt;Table1[[#This Row],[Country_of_Transaction]], OR(Table1[[#This Row],[Authentication_Type]]="Biometric", Table1[[#This Row],[Authentication_Type]]="OTP")), "safe location transaction", "unsafe location transaction")</f>
        <v>unsafe location transaction</v>
      </c>
      <c r="R461" s="6" t="str">
        <f>IF(AND(Table1[[#This Row],[Country_of_Residence]]&lt;&gt;Table1[[#This Row],[Country_of_Transaction]], OR(Table1[[#This Row],[Merchant_Category]]="Electronics", Table1[[#This Row],[Merchant_Category]]="Travel")), "unsafe merchant transaction", "safe merchant transaction")</f>
        <v>unsafe merchant transaction</v>
      </c>
    </row>
    <row r="462" spans="1:18">
      <c r="A462" t="s">
        <v>2969</v>
      </c>
      <c r="B462" t="s">
        <v>116</v>
      </c>
      <c r="C462">
        <v>1</v>
      </c>
      <c r="D462" t="s">
        <v>15</v>
      </c>
      <c r="E462" t="s">
        <v>5</v>
      </c>
      <c r="F462" s="2">
        <v>45993</v>
      </c>
      <c r="G462">
        <v>9629.58</v>
      </c>
      <c r="H462" s="1">
        <f>AVERAGEIF(Table1[Customer_ID], Table1[[#This Row],[Customer_ID]], Table1[Transaction_Amount])</f>
        <v>5671.5049206349195</v>
      </c>
      <c r="I462" t="s">
        <v>617</v>
      </c>
      <c r="J462" t="s">
        <v>46</v>
      </c>
      <c r="K462" t="s">
        <v>12</v>
      </c>
      <c r="L462">
        <v>5</v>
      </c>
      <c r="M462" t="s">
        <v>51</v>
      </c>
      <c r="N462" t="s">
        <v>55</v>
      </c>
      <c r="O462" t="s">
        <v>393</v>
      </c>
      <c r="P462" s="6" t="str">
        <f>IF(Table1[[#This Row],[Transaction_Amount]]&lt;=Table1[[#This Row],[avg_transaction_amount]], "usual transaction", "unusual transaction")</f>
        <v>unusual transaction</v>
      </c>
      <c r="Q462" s="6" t="str">
        <f>IF(AND(Table1[[#This Row],[Country_of_Residence]]&lt;&gt;Table1[[#This Row],[Country_of_Transaction]], OR(Table1[[#This Row],[Authentication_Type]]="Biometric", Table1[[#This Row],[Authentication_Type]]="OTP")), "safe location transaction", "unsafe location transaction")</f>
        <v>unsafe location transaction</v>
      </c>
      <c r="R462" s="6" t="str">
        <f>IF(AND(Table1[[#This Row],[Country_of_Residence]]&lt;&gt;Table1[[#This Row],[Country_of_Transaction]], OR(Table1[[#This Row],[Merchant_Category]]="Electronics", Table1[[#This Row],[Merchant_Category]]="Travel")), "unsafe merchant transaction", "safe merchant transaction")</f>
        <v>safe merchant transaction</v>
      </c>
    </row>
    <row r="463" spans="1:18">
      <c r="A463" t="s">
        <v>3073</v>
      </c>
      <c r="B463" t="s">
        <v>116</v>
      </c>
      <c r="C463">
        <v>1</v>
      </c>
      <c r="D463" t="s">
        <v>9</v>
      </c>
      <c r="E463" t="s">
        <v>6</v>
      </c>
      <c r="F463" s="2">
        <v>45810</v>
      </c>
      <c r="G463">
        <v>7480.2</v>
      </c>
      <c r="H463" s="1">
        <f>AVERAGEIF(Table1[Customer_ID], Table1[[#This Row],[Customer_ID]], Table1[Transaction_Amount])</f>
        <v>5671.5049206349195</v>
      </c>
      <c r="I463" t="s">
        <v>717</v>
      </c>
      <c r="J463" t="s">
        <v>31</v>
      </c>
      <c r="K463" t="s">
        <v>12</v>
      </c>
      <c r="L463">
        <v>0</v>
      </c>
      <c r="M463" t="s">
        <v>412</v>
      </c>
      <c r="N463" t="s">
        <v>412</v>
      </c>
      <c r="O463" t="s">
        <v>393</v>
      </c>
      <c r="P463" s="6" t="str">
        <f>IF(Table1[[#This Row],[Transaction_Amount]]&lt;=Table1[[#This Row],[avg_transaction_amount]], "usual transaction", "unusual transaction")</f>
        <v>unusual transaction</v>
      </c>
      <c r="Q463" s="6" t="str">
        <f>IF(AND(Table1[[#This Row],[Country_of_Residence]]&lt;&gt;Table1[[#This Row],[Country_of_Transaction]], OR(Table1[[#This Row],[Authentication_Type]]="Biometric", Table1[[#This Row],[Authentication_Type]]="OTP")), "safe location transaction", "unsafe location transaction")</f>
        <v>unsafe location transaction</v>
      </c>
      <c r="R463" s="6" t="str">
        <f>IF(AND(Table1[[#This Row],[Country_of_Residence]]&lt;&gt;Table1[[#This Row],[Country_of_Transaction]], OR(Table1[[#This Row],[Merchant_Category]]="Electronics", Table1[[#This Row],[Merchant_Category]]="Travel")), "unsafe merchant transaction", "safe merchant transaction")</f>
        <v>safe merchant transaction</v>
      </c>
    </row>
    <row r="464" spans="1:18">
      <c r="A464" t="s">
        <v>3078</v>
      </c>
      <c r="B464" t="s">
        <v>116</v>
      </c>
      <c r="C464">
        <v>1</v>
      </c>
      <c r="D464" t="s">
        <v>9</v>
      </c>
      <c r="E464" t="s">
        <v>420</v>
      </c>
      <c r="F464" s="2">
        <v>45886</v>
      </c>
      <c r="G464">
        <v>6811.82</v>
      </c>
      <c r="H464" s="1">
        <f>AVERAGEIF(Table1[Customer_ID], Table1[[#This Row],[Customer_ID]], Table1[Transaction_Amount])</f>
        <v>5671.5049206349195</v>
      </c>
      <c r="I464" t="s">
        <v>722</v>
      </c>
      <c r="J464" t="s">
        <v>36</v>
      </c>
      <c r="K464" t="s">
        <v>10</v>
      </c>
      <c r="L464">
        <v>1</v>
      </c>
      <c r="M464" t="s">
        <v>32</v>
      </c>
      <c r="N464" t="s">
        <v>37</v>
      </c>
      <c r="O464" t="s">
        <v>392</v>
      </c>
      <c r="P464" s="6" t="str">
        <f>IF(Table1[[#This Row],[Transaction_Amount]]&lt;=Table1[[#This Row],[avg_transaction_amount]], "usual transaction", "unusual transaction")</f>
        <v>unusual transaction</v>
      </c>
      <c r="Q464" s="6" t="str">
        <f>IF(AND(Table1[[#This Row],[Country_of_Residence]]&lt;&gt;Table1[[#This Row],[Country_of_Transaction]], OR(Table1[[#This Row],[Authentication_Type]]="Biometric", Table1[[#This Row],[Authentication_Type]]="OTP")), "safe location transaction", "unsafe location transaction")</f>
        <v>safe location transaction</v>
      </c>
      <c r="R464" s="6" t="str">
        <f>IF(AND(Table1[[#This Row],[Country_of_Residence]]&lt;&gt;Table1[[#This Row],[Country_of_Transaction]], OR(Table1[[#This Row],[Merchant_Category]]="Electronics", Table1[[#This Row],[Merchant_Category]]="Travel")), "unsafe merchant transaction", "safe merchant transaction")</f>
        <v>safe merchant transaction</v>
      </c>
    </row>
    <row r="465" spans="1:18">
      <c r="A465" t="s">
        <v>3117</v>
      </c>
      <c r="B465" t="s">
        <v>116</v>
      </c>
      <c r="C465">
        <v>1</v>
      </c>
      <c r="D465" t="s">
        <v>15</v>
      </c>
      <c r="E465" t="s">
        <v>420</v>
      </c>
      <c r="F465" s="2">
        <v>45981</v>
      </c>
      <c r="G465">
        <v>9696.9500000000007</v>
      </c>
      <c r="H465" s="1">
        <f>AVERAGEIF(Table1[Customer_ID], Table1[[#This Row],[Customer_ID]], Table1[Transaction_Amount])</f>
        <v>5671.5049206349195</v>
      </c>
      <c r="I465" t="s">
        <v>758</v>
      </c>
      <c r="J465" t="s">
        <v>41</v>
      </c>
      <c r="K465" t="s">
        <v>14</v>
      </c>
      <c r="L465">
        <v>2</v>
      </c>
      <c r="M465" t="s">
        <v>47</v>
      </c>
      <c r="N465" t="s">
        <v>33</v>
      </c>
      <c r="O465" t="s">
        <v>392</v>
      </c>
      <c r="P465" s="6" t="str">
        <f>IF(Table1[[#This Row],[Transaction_Amount]]&lt;=Table1[[#This Row],[avg_transaction_amount]], "usual transaction", "unusual transaction")</f>
        <v>unusual transaction</v>
      </c>
      <c r="Q465" s="6" t="str">
        <f>IF(AND(Table1[[#This Row],[Country_of_Residence]]&lt;&gt;Table1[[#This Row],[Country_of_Transaction]], OR(Table1[[#This Row],[Authentication_Type]]="Biometric", Table1[[#This Row],[Authentication_Type]]="OTP")), "safe location transaction", "unsafe location transaction")</f>
        <v>unsafe location transaction</v>
      </c>
      <c r="R465" s="6" t="str">
        <f>IF(AND(Table1[[#This Row],[Country_of_Residence]]&lt;&gt;Table1[[#This Row],[Country_of_Transaction]], OR(Table1[[#This Row],[Merchant_Category]]="Electronics", Table1[[#This Row],[Merchant_Category]]="Travel")), "unsafe merchant transaction", "safe merchant transaction")</f>
        <v>safe merchant transaction</v>
      </c>
    </row>
    <row r="466" spans="1:18">
      <c r="A466" t="s">
        <v>3145</v>
      </c>
      <c r="B466" t="s">
        <v>116</v>
      </c>
      <c r="C466">
        <v>1</v>
      </c>
      <c r="D466" t="s">
        <v>15</v>
      </c>
      <c r="E466" t="s">
        <v>420</v>
      </c>
      <c r="F466" s="2">
        <v>45792</v>
      </c>
      <c r="G466">
        <v>3394.87</v>
      </c>
      <c r="H466" s="1">
        <f>AVERAGEIF(Table1[Customer_ID], Table1[[#This Row],[Customer_ID]], Table1[Transaction_Amount])</f>
        <v>5671.5049206349195</v>
      </c>
      <c r="I466" t="s">
        <v>784</v>
      </c>
      <c r="J466" t="s">
        <v>41</v>
      </c>
      <c r="K466" t="s">
        <v>8</v>
      </c>
      <c r="L466">
        <v>5</v>
      </c>
      <c r="M466" t="s">
        <v>42</v>
      </c>
      <c r="N466" t="s">
        <v>42</v>
      </c>
      <c r="O466" t="s">
        <v>393</v>
      </c>
      <c r="P466" s="6" t="str">
        <f>IF(Table1[[#This Row],[Transaction_Amount]]&lt;=Table1[[#This Row],[avg_transaction_amount]], "usual transaction", "unusual transaction")</f>
        <v>usual transaction</v>
      </c>
      <c r="Q466" s="6" t="str">
        <f>IF(AND(Table1[[#This Row],[Country_of_Residence]]&lt;&gt;Table1[[#This Row],[Country_of_Transaction]], OR(Table1[[#This Row],[Authentication_Type]]="Biometric", Table1[[#This Row],[Authentication_Type]]="OTP")), "safe location transaction", "unsafe location transaction")</f>
        <v>unsafe location transaction</v>
      </c>
      <c r="R466" s="6" t="str">
        <f>IF(AND(Table1[[#This Row],[Country_of_Residence]]&lt;&gt;Table1[[#This Row],[Country_of_Transaction]], OR(Table1[[#This Row],[Merchant_Category]]="Electronics", Table1[[#This Row],[Merchant_Category]]="Travel")), "unsafe merchant transaction", "safe merchant transaction")</f>
        <v>safe merchant transaction</v>
      </c>
    </row>
    <row r="467" spans="1:18">
      <c r="A467" t="s">
        <v>3258</v>
      </c>
      <c r="B467" t="s">
        <v>116</v>
      </c>
      <c r="C467">
        <v>1</v>
      </c>
      <c r="D467" t="s">
        <v>9</v>
      </c>
      <c r="E467" t="s">
        <v>5</v>
      </c>
      <c r="F467" s="2">
        <v>45729</v>
      </c>
      <c r="G467">
        <v>9237.93</v>
      </c>
      <c r="H467" s="1">
        <f>AVERAGEIF(Table1[Customer_ID], Table1[[#This Row],[Customer_ID]], Table1[Transaction_Amount])</f>
        <v>5671.5049206349195</v>
      </c>
      <c r="I467" t="s">
        <v>888</v>
      </c>
      <c r="J467" t="s">
        <v>50</v>
      </c>
      <c r="K467" t="s">
        <v>12</v>
      </c>
      <c r="L467">
        <v>5</v>
      </c>
      <c r="M467" t="s">
        <v>37</v>
      </c>
      <c r="N467" t="s">
        <v>412</v>
      </c>
      <c r="O467" t="s">
        <v>392</v>
      </c>
      <c r="P467" s="6" t="str">
        <f>IF(Table1[[#This Row],[Transaction_Amount]]&lt;=Table1[[#This Row],[avg_transaction_amount]], "usual transaction", "unusual transaction")</f>
        <v>unusual transaction</v>
      </c>
      <c r="Q467" s="6" t="str">
        <f>IF(AND(Table1[[#This Row],[Country_of_Residence]]&lt;&gt;Table1[[#This Row],[Country_of_Transaction]], OR(Table1[[#This Row],[Authentication_Type]]="Biometric", Table1[[#This Row],[Authentication_Type]]="OTP")), "safe location transaction", "unsafe location transaction")</f>
        <v>unsafe location transaction</v>
      </c>
      <c r="R467" s="6" t="str">
        <f>IF(AND(Table1[[#This Row],[Country_of_Residence]]&lt;&gt;Table1[[#This Row],[Country_of_Transaction]], OR(Table1[[#This Row],[Merchant_Category]]="Electronics", Table1[[#This Row],[Merchant_Category]]="Travel")), "unsafe merchant transaction", "safe merchant transaction")</f>
        <v>unsafe merchant transaction</v>
      </c>
    </row>
    <row r="468" spans="1:18">
      <c r="A468" t="s">
        <v>3301</v>
      </c>
      <c r="B468" t="s">
        <v>116</v>
      </c>
      <c r="C468">
        <v>1</v>
      </c>
      <c r="D468" t="s">
        <v>9</v>
      </c>
      <c r="E468" t="s">
        <v>5</v>
      </c>
      <c r="F468" s="2">
        <v>45878</v>
      </c>
      <c r="G468">
        <v>5017.1499999999996</v>
      </c>
      <c r="H468" s="1">
        <f>AVERAGEIF(Table1[Customer_ID], Table1[[#This Row],[Customer_ID]], Table1[Transaction_Amount])</f>
        <v>5671.5049206349195</v>
      </c>
      <c r="I468" t="s">
        <v>928</v>
      </c>
      <c r="J468" t="s">
        <v>41</v>
      </c>
      <c r="K468" t="s">
        <v>14</v>
      </c>
      <c r="L468">
        <v>4</v>
      </c>
      <c r="M468" t="s">
        <v>51</v>
      </c>
      <c r="N468" t="s">
        <v>56</v>
      </c>
      <c r="O468" t="s">
        <v>392</v>
      </c>
      <c r="P468" s="6" t="str">
        <f>IF(Table1[[#This Row],[Transaction_Amount]]&lt;=Table1[[#This Row],[avg_transaction_amount]], "usual transaction", "unusual transaction")</f>
        <v>usual transaction</v>
      </c>
      <c r="Q468" s="6" t="str">
        <f>IF(AND(Table1[[#This Row],[Country_of_Residence]]&lt;&gt;Table1[[#This Row],[Country_of_Transaction]], OR(Table1[[#This Row],[Authentication_Type]]="Biometric", Table1[[#This Row],[Authentication_Type]]="OTP")), "safe location transaction", "unsafe location transaction")</f>
        <v>unsafe location transaction</v>
      </c>
      <c r="R468" s="6" t="str">
        <f>IF(AND(Table1[[#This Row],[Country_of_Residence]]&lt;&gt;Table1[[#This Row],[Country_of_Transaction]], OR(Table1[[#This Row],[Merchant_Category]]="Electronics", Table1[[#This Row],[Merchant_Category]]="Travel")), "unsafe merchant transaction", "safe merchant transaction")</f>
        <v>safe merchant transaction</v>
      </c>
    </row>
    <row r="469" spans="1:18">
      <c r="A469" t="s">
        <v>3354</v>
      </c>
      <c r="B469" t="s">
        <v>116</v>
      </c>
      <c r="C469">
        <v>1</v>
      </c>
      <c r="D469" t="s">
        <v>9</v>
      </c>
      <c r="E469" t="s">
        <v>6</v>
      </c>
      <c r="F469" s="2">
        <v>45970</v>
      </c>
      <c r="G469">
        <v>7264.48</v>
      </c>
      <c r="H469" s="1">
        <f>AVERAGEIF(Table1[Customer_ID], Table1[[#This Row],[Customer_ID]], Table1[Transaction_Amount])</f>
        <v>5671.5049206349195</v>
      </c>
      <c r="I469" t="s">
        <v>978</v>
      </c>
      <c r="J469" t="s">
        <v>50</v>
      </c>
      <c r="K469" t="s">
        <v>14</v>
      </c>
      <c r="L469">
        <v>5</v>
      </c>
      <c r="M469" t="s">
        <v>47</v>
      </c>
      <c r="N469" t="s">
        <v>37</v>
      </c>
      <c r="O469" t="s">
        <v>392</v>
      </c>
      <c r="P469" s="6" t="str">
        <f>IF(Table1[[#This Row],[Transaction_Amount]]&lt;=Table1[[#This Row],[avg_transaction_amount]], "usual transaction", "unusual transaction")</f>
        <v>unusual transaction</v>
      </c>
      <c r="Q469" s="6" t="str">
        <f>IF(AND(Table1[[#This Row],[Country_of_Residence]]&lt;&gt;Table1[[#This Row],[Country_of_Transaction]], OR(Table1[[#This Row],[Authentication_Type]]="Biometric", Table1[[#This Row],[Authentication_Type]]="OTP")), "safe location transaction", "unsafe location transaction")</f>
        <v>unsafe location transaction</v>
      </c>
      <c r="R469" s="6" t="str">
        <f>IF(AND(Table1[[#This Row],[Country_of_Residence]]&lt;&gt;Table1[[#This Row],[Country_of_Transaction]], OR(Table1[[#This Row],[Merchant_Category]]="Electronics", Table1[[#This Row],[Merchant_Category]]="Travel")), "unsafe merchant transaction", "safe merchant transaction")</f>
        <v>unsafe merchant transaction</v>
      </c>
    </row>
    <row r="470" spans="1:18">
      <c r="A470" t="s">
        <v>3640</v>
      </c>
      <c r="B470" t="s">
        <v>116</v>
      </c>
      <c r="C470">
        <v>1</v>
      </c>
      <c r="D470" t="s">
        <v>15</v>
      </c>
      <c r="E470" t="s">
        <v>6</v>
      </c>
      <c r="F470" s="2">
        <v>45759</v>
      </c>
      <c r="G470">
        <v>7581.02</v>
      </c>
      <c r="H470" s="1">
        <f>AVERAGEIF(Table1[Customer_ID], Table1[[#This Row],[Customer_ID]], Table1[Transaction_Amount])</f>
        <v>5671.5049206349195</v>
      </c>
      <c r="I470" t="s">
        <v>1245</v>
      </c>
      <c r="J470" t="s">
        <v>31</v>
      </c>
      <c r="K470" t="s">
        <v>8</v>
      </c>
      <c r="L470">
        <v>3</v>
      </c>
      <c r="M470" t="s">
        <v>42</v>
      </c>
      <c r="N470" t="s">
        <v>33</v>
      </c>
      <c r="O470" t="s">
        <v>393</v>
      </c>
      <c r="P470" s="6" t="str">
        <f>IF(Table1[[#This Row],[Transaction_Amount]]&lt;=Table1[[#This Row],[avg_transaction_amount]], "usual transaction", "unusual transaction")</f>
        <v>unusual transaction</v>
      </c>
      <c r="Q470" s="6" t="str">
        <f>IF(AND(Table1[[#This Row],[Country_of_Residence]]&lt;&gt;Table1[[#This Row],[Country_of_Transaction]], OR(Table1[[#This Row],[Authentication_Type]]="Biometric", Table1[[#This Row],[Authentication_Type]]="OTP")), "safe location transaction", "unsafe location transaction")</f>
        <v>safe location transaction</v>
      </c>
      <c r="R470" s="6" t="str">
        <f>IF(AND(Table1[[#This Row],[Country_of_Residence]]&lt;&gt;Table1[[#This Row],[Country_of_Transaction]], OR(Table1[[#This Row],[Merchant_Category]]="Electronics", Table1[[#This Row],[Merchant_Category]]="Travel")), "unsafe merchant transaction", "safe merchant transaction")</f>
        <v>safe merchant transaction</v>
      </c>
    </row>
    <row r="471" spans="1:18">
      <c r="A471" t="s">
        <v>3641</v>
      </c>
      <c r="B471" t="s">
        <v>116</v>
      </c>
      <c r="C471">
        <v>1</v>
      </c>
      <c r="D471" t="s">
        <v>9</v>
      </c>
      <c r="E471" t="s">
        <v>3</v>
      </c>
      <c r="F471" s="2">
        <v>45809</v>
      </c>
      <c r="G471">
        <v>7502.48</v>
      </c>
      <c r="H471" s="1">
        <f>AVERAGEIF(Table1[Customer_ID], Table1[[#This Row],[Customer_ID]], Table1[Transaction_Amount])</f>
        <v>5671.5049206349195</v>
      </c>
      <c r="I471" t="s">
        <v>1246</v>
      </c>
      <c r="J471" t="s">
        <v>50</v>
      </c>
      <c r="K471" t="s">
        <v>14</v>
      </c>
      <c r="L471">
        <v>4</v>
      </c>
      <c r="M471" t="s">
        <v>51</v>
      </c>
      <c r="N471" t="s">
        <v>51</v>
      </c>
      <c r="O471" t="s">
        <v>392</v>
      </c>
      <c r="P471" s="6" t="str">
        <f>IF(Table1[[#This Row],[Transaction_Amount]]&lt;=Table1[[#This Row],[avg_transaction_amount]], "usual transaction", "unusual transaction")</f>
        <v>unusual transaction</v>
      </c>
      <c r="Q471" s="6" t="str">
        <f>IF(AND(Table1[[#This Row],[Country_of_Residence]]&lt;&gt;Table1[[#This Row],[Country_of_Transaction]], OR(Table1[[#This Row],[Authentication_Type]]="Biometric", Table1[[#This Row],[Authentication_Type]]="OTP")), "safe location transaction", "unsafe location transaction")</f>
        <v>unsafe location transaction</v>
      </c>
      <c r="R471" s="6" t="str">
        <f>IF(AND(Table1[[#This Row],[Country_of_Residence]]&lt;&gt;Table1[[#This Row],[Country_of_Transaction]], OR(Table1[[#This Row],[Merchant_Category]]="Electronics", Table1[[#This Row],[Merchant_Category]]="Travel")), "unsafe merchant transaction", "safe merchant transaction")</f>
        <v>safe merchant transaction</v>
      </c>
    </row>
    <row r="472" spans="1:18">
      <c r="A472" t="s">
        <v>3776</v>
      </c>
      <c r="B472" t="s">
        <v>116</v>
      </c>
      <c r="C472">
        <v>1</v>
      </c>
      <c r="D472" t="s">
        <v>9</v>
      </c>
      <c r="E472" t="s">
        <v>420</v>
      </c>
      <c r="F472" s="2">
        <v>45880</v>
      </c>
      <c r="G472">
        <v>4506.6499999999996</v>
      </c>
      <c r="H472" s="1">
        <f>AVERAGEIF(Table1[Customer_ID], Table1[[#This Row],[Customer_ID]], Table1[Transaction_Amount])</f>
        <v>5671.5049206349195</v>
      </c>
      <c r="I472" t="s">
        <v>1365</v>
      </c>
      <c r="J472" t="s">
        <v>36</v>
      </c>
      <c r="K472" t="s">
        <v>10</v>
      </c>
      <c r="L472">
        <v>3</v>
      </c>
      <c r="M472" t="s">
        <v>32</v>
      </c>
      <c r="N472" t="s">
        <v>51</v>
      </c>
      <c r="O472" t="s">
        <v>393</v>
      </c>
      <c r="P472" s="6" t="str">
        <f>IF(Table1[[#This Row],[Transaction_Amount]]&lt;=Table1[[#This Row],[avg_transaction_amount]], "usual transaction", "unusual transaction")</f>
        <v>usual transaction</v>
      </c>
      <c r="Q472" s="6" t="str">
        <f>IF(AND(Table1[[#This Row],[Country_of_Residence]]&lt;&gt;Table1[[#This Row],[Country_of_Transaction]], OR(Table1[[#This Row],[Authentication_Type]]="Biometric", Table1[[#This Row],[Authentication_Type]]="OTP")), "safe location transaction", "unsafe location transaction")</f>
        <v>safe location transaction</v>
      </c>
      <c r="R472" s="6" t="str">
        <f>IF(AND(Table1[[#This Row],[Country_of_Residence]]&lt;&gt;Table1[[#This Row],[Country_of_Transaction]], OR(Table1[[#This Row],[Merchant_Category]]="Electronics", Table1[[#This Row],[Merchant_Category]]="Travel")), "unsafe merchant transaction", "safe merchant transaction")</f>
        <v>safe merchant transaction</v>
      </c>
    </row>
    <row r="473" spans="1:18">
      <c r="A473" t="s">
        <v>3783</v>
      </c>
      <c r="B473" t="s">
        <v>116</v>
      </c>
      <c r="C473">
        <v>1</v>
      </c>
      <c r="D473" t="s">
        <v>15</v>
      </c>
      <c r="E473" t="s">
        <v>3</v>
      </c>
      <c r="F473" s="2">
        <v>45739</v>
      </c>
      <c r="G473">
        <v>6646.48</v>
      </c>
      <c r="H473" s="1">
        <f>AVERAGEIF(Table1[Customer_ID], Table1[[#This Row],[Customer_ID]], Table1[Transaction_Amount])</f>
        <v>5671.5049206349195</v>
      </c>
      <c r="I473" t="s">
        <v>1370</v>
      </c>
      <c r="J473" t="s">
        <v>46</v>
      </c>
      <c r="K473" t="s">
        <v>14</v>
      </c>
      <c r="L473">
        <v>1</v>
      </c>
      <c r="M473" t="s">
        <v>37</v>
      </c>
      <c r="N473" t="s">
        <v>56</v>
      </c>
      <c r="O473" t="s">
        <v>393</v>
      </c>
      <c r="P473" s="6" t="str">
        <f>IF(Table1[[#This Row],[Transaction_Amount]]&lt;=Table1[[#This Row],[avg_transaction_amount]], "usual transaction", "unusual transaction")</f>
        <v>unusual transaction</v>
      </c>
      <c r="Q473" s="6" t="str">
        <f>IF(AND(Table1[[#This Row],[Country_of_Residence]]&lt;&gt;Table1[[#This Row],[Country_of_Transaction]], OR(Table1[[#This Row],[Authentication_Type]]="Biometric", Table1[[#This Row],[Authentication_Type]]="OTP")), "safe location transaction", "unsafe location transaction")</f>
        <v>unsafe location transaction</v>
      </c>
      <c r="R473" s="6" t="str">
        <f>IF(AND(Table1[[#This Row],[Country_of_Residence]]&lt;&gt;Table1[[#This Row],[Country_of_Transaction]], OR(Table1[[#This Row],[Merchant_Category]]="Electronics", Table1[[#This Row],[Merchant_Category]]="Travel")), "unsafe merchant transaction", "safe merchant transaction")</f>
        <v>safe merchant transaction</v>
      </c>
    </row>
    <row r="474" spans="1:18">
      <c r="A474" t="s">
        <v>3850</v>
      </c>
      <c r="B474" t="s">
        <v>116</v>
      </c>
      <c r="C474">
        <v>1</v>
      </c>
      <c r="D474" t="s">
        <v>9</v>
      </c>
      <c r="E474" t="s">
        <v>420</v>
      </c>
      <c r="F474" s="2">
        <v>45934</v>
      </c>
      <c r="G474">
        <v>3361.4</v>
      </c>
      <c r="H474" s="1">
        <f>AVERAGEIF(Table1[Customer_ID], Table1[[#This Row],[Customer_ID]], Table1[Transaction_Amount])</f>
        <v>5671.5049206349195</v>
      </c>
      <c r="I474" t="s">
        <v>1425</v>
      </c>
      <c r="J474" t="s">
        <v>31</v>
      </c>
      <c r="K474" t="s">
        <v>14</v>
      </c>
      <c r="L474">
        <v>4</v>
      </c>
      <c r="M474" t="s">
        <v>42</v>
      </c>
      <c r="N474" t="s">
        <v>51</v>
      </c>
      <c r="O474" t="s">
        <v>392</v>
      </c>
      <c r="P474" s="6" t="str">
        <f>IF(Table1[[#This Row],[Transaction_Amount]]&lt;=Table1[[#This Row],[avg_transaction_amount]], "usual transaction", "unusual transaction")</f>
        <v>usual transaction</v>
      </c>
      <c r="Q474" s="6" t="str">
        <f>IF(AND(Table1[[#This Row],[Country_of_Residence]]&lt;&gt;Table1[[#This Row],[Country_of_Transaction]], OR(Table1[[#This Row],[Authentication_Type]]="Biometric", Table1[[#This Row],[Authentication_Type]]="OTP")), "safe location transaction", "unsafe location transaction")</f>
        <v>unsafe location transaction</v>
      </c>
      <c r="R474" s="6" t="str">
        <f>IF(AND(Table1[[#This Row],[Country_of_Residence]]&lt;&gt;Table1[[#This Row],[Country_of_Transaction]], OR(Table1[[#This Row],[Merchant_Category]]="Electronics", Table1[[#This Row],[Merchant_Category]]="Travel")), "unsafe merchant transaction", "safe merchant transaction")</f>
        <v>safe merchant transaction</v>
      </c>
    </row>
    <row r="475" spans="1:18">
      <c r="A475" t="s">
        <v>3919</v>
      </c>
      <c r="B475" t="s">
        <v>116</v>
      </c>
      <c r="C475">
        <v>1</v>
      </c>
      <c r="D475" t="s">
        <v>9</v>
      </c>
      <c r="E475" t="s">
        <v>5</v>
      </c>
      <c r="F475" s="2">
        <v>45948</v>
      </c>
      <c r="G475">
        <v>8167.02</v>
      </c>
      <c r="H475" s="1">
        <f>AVERAGEIF(Table1[Customer_ID], Table1[[#This Row],[Customer_ID]], Table1[Transaction_Amount])</f>
        <v>5671.5049206349195</v>
      </c>
      <c r="I475" t="s">
        <v>1483</v>
      </c>
      <c r="J475" t="s">
        <v>31</v>
      </c>
      <c r="K475" t="s">
        <v>12</v>
      </c>
      <c r="L475">
        <v>2</v>
      </c>
      <c r="M475" t="s">
        <v>56</v>
      </c>
      <c r="N475" t="s">
        <v>32</v>
      </c>
      <c r="O475" t="s">
        <v>393</v>
      </c>
      <c r="P475" s="6" t="str">
        <f>IF(Table1[[#This Row],[Transaction_Amount]]&lt;=Table1[[#This Row],[avg_transaction_amount]], "usual transaction", "unusual transaction")</f>
        <v>unusual transaction</v>
      </c>
      <c r="Q475" s="6" t="str">
        <f>IF(AND(Table1[[#This Row],[Country_of_Residence]]&lt;&gt;Table1[[#This Row],[Country_of_Transaction]], OR(Table1[[#This Row],[Authentication_Type]]="Biometric", Table1[[#This Row],[Authentication_Type]]="OTP")), "safe location transaction", "unsafe location transaction")</f>
        <v>unsafe location transaction</v>
      </c>
      <c r="R475" s="6" t="str">
        <f>IF(AND(Table1[[#This Row],[Country_of_Residence]]&lt;&gt;Table1[[#This Row],[Country_of_Transaction]], OR(Table1[[#This Row],[Merchant_Category]]="Electronics", Table1[[#This Row],[Merchant_Category]]="Travel")), "unsafe merchant transaction", "safe merchant transaction")</f>
        <v>safe merchant transaction</v>
      </c>
    </row>
    <row r="476" spans="1:18">
      <c r="A476" t="s">
        <v>3945</v>
      </c>
      <c r="B476" t="s">
        <v>116</v>
      </c>
      <c r="C476">
        <v>1</v>
      </c>
      <c r="D476" t="s">
        <v>15</v>
      </c>
      <c r="E476" t="s">
        <v>3</v>
      </c>
      <c r="F476" s="2">
        <v>45991</v>
      </c>
      <c r="G476">
        <v>9653.94</v>
      </c>
      <c r="H476" s="1">
        <f>AVERAGEIF(Table1[Customer_ID], Table1[[#This Row],[Customer_ID]], Table1[Transaction_Amount])</f>
        <v>5671.5049206349195</v>
      </c>
      <c r="I476" t="s">
        <v>1509</v>
      </c>
      <c r="J476" t="s">
        <v>31</v>
      </c>
      <c r="K476" t="s">
        <v>8</v>
      </c>
      <c r="L476">
        <v>0</v>
      </c>
      <c r="M476" t="s">
        <v>51</v>
      </c>
      <c r="N476" t="s">
        <v>55</v>
      </c>
      <c r="O476" t="s">
        <v>393</v>
      </c>
      <c r="P476" s="6" t="str">
        <f>IF(Table1[[#This Row],[Transaction_Amount]]&lt;=Table1[[#This Row],[avg_transaction_amount]], "usual transaction", "unusual transaction")</f>
        <v>unusual transaction</v>
      </c>
      <c r="Q476" s="6" t="str">
        <f>IF(AND(Table1[[#This Row],[Country_of_Residence]]&lt;&gt;Table1[[#This Row],[Country_of_Transaction]], OR(Table1[[#This Row],[Authentication_Type]]="Biometric", Table1[[#This Row],[Authentication_Type]]="OTP")), "safe location transaction", "unsafe location transaction")</f>
        <v>safe location transaction</v>
      </c>
      <c r="R476" s="6" t="str">
        <f>IF(AND(Table1[[#This Row],[Country_of_Residence]]&lt;&gt;Table1[[#This Row],[Country_of_Transaction]], OR(Table1[[#This Row],[Merchant_Category]]="Electronics", Table1[[#This Row],[Merchant_Category]]="Travel")), "unsafe merchant transaction", "safe merchant transaction")</f>
        <v>safe merchant transaction</v>
      </c>
    </row>
    <row r="477" spans="1:18">
      <c r="A477" t="s">
        <v>3985</v>
      </c>
      <c r="B477" t="s">
        <v>116</v>
      </c>
      <c r="C477">
        <v>1</v>
      </c>
      <c r="D477" t="s">
        <v>15</v>
      </c>
      <c r="E477" t="s">
        <v>3</v>
      </c>
      <c r="F477" s="2">
        <v>45866</v>
      </c>
      <c r="G477">
        <v>4079.7</v>
      </c>
      <c r="H477" s="1">
        <f>AVERAGEIF(Table1[Customer_ID], Table1[[#This Row],[Customer_ID]], Table1[Transaction_Amount])</f>
        <v>5671.5049206349195</v>
      </c>
      <c r="I477" t="s">
        <v>1544</v>
      </c>
      <c r="J477" t="s">
        <v>31</v>
      </c>
      <c r="K477" t="s">
        <v>8</v>
      </c>
      <c r="L477">
        <v>2</v>
      </c>
      <c r="M477" t="s">
        <v>56</v>
      </c>
      <c r="N477" t="s">
        <v>32</v>
      </c>
      <c r="O477" t="s">
        <v>393</v>
      </c>
      <c r="P477" s="6" t="str">
        <f>IF(Table1[[#This Row],[Transaction_Amount]]&lt;=Table1[[#This Row],[avg_transaction_amount]], "usual transaction", "unusual transaction")</f>
        <v>usual transaction</v>
      </c>
      <c r="Q477" s="6" t="str">
        <f>IF(AND(Table1[[#This Row],[Country_of_Residence]]&lt;&gt;Table1[[#This Row],[Country_of_Transaction]], OR(Table1[[#This Row],[Authentication_Type]]="Biometric", Table1[[#This Row],[Authentication_Type]]="OTP")), "safe location transaction", "unsafe location transaction")</f>
        <v>safe location transaction</v>
      </c>
      <c r="R477" s="6" t="str">
        <f>IF(AND(Table1[[#This Row],[Country_of_Residence]]&lt;&gt;Table1[[#This Row],[Country_of_Transaction]], OR(Table1[[#This Row],[Merchant_Category]]="Electronics", Table1[[#This Row],[Merchant_Category]]="Travel")), "unsafe merchant transaction", "safe merchant transaction")</f>
        <v>safe merchant transaction</v>
      </c>
    </row>
    <row r="478" spans="1:18">
      <c r="A478" t="s">
        <v>4056</v>
      </c>
      <c r="B478" t="s">
        <v>116</v>
      </c>
      <c r="C478">
        <v>1</v>
      </c>
      <c r="D478" t="s">
        <v>15</v>
      </c>
      <c r="E478" t="s">
        <v>6</v>
      </c>
      <c r="F478" s="2">
        <v>45844</v>
      </c>
      <c r="G478">
        <v>1534.93</v>
      </c>
      <c r="H478" s="1">
        <f>AVERAGEIF(Table1[Customer_ID], Table1[[#This Row],[Customer_ID]], Table1[Transaction_Amount])</f>
        <v>5671.5049206349195</v>
      </c>
      <c r="I478" t="s">
        <v>714</v>
      </c>
      <c r="J478" t="s">
        <v>41</v>
      </c>
      <c r="K478" t="s">
        <v>12</v>
      </c>
      <c r="L478">
        <v>1</v>
      </c>
      <c r="M478" t="s">
        <v>412</v>
      </c>
      <c r="N478" t="s">
        <v>412</v>
      </c>
      <c r="O478" t="s">
        <v>393</v>
      </c>
      <c r="P478" s="6" t="str">
        <f>IF(Table1[[#This Row],[Transaction_Amount]]&lt;=Table1[[#This Row],[avg_transaction_amount]], "usual transaction", "unusual transaction")</f>
        <v>usual transaction</v>
      </c>
      <c r="Q478" s="6" t="str">
        <f>IF(AND(Table1[[#This Row],[Country_of_Residence]]&lt;&gt;Table1[[#This Row],[Country_of_Transaction]], OR(Table1[[#This Row],[Authentication_Type]]="Biometric", Table1[[#This Row],[Authentication_Type]]="OTP")), "safe location transaction", "unsafe location transaction")</f>
        <v>unsafe location transaction</v>
      </c>
      <c r="R478" s="6" t="str">
        <f>IF(AND(Table1[[#This Row],[Country_of_Residence]]&lt;&gt;Table1[[#This Row],[Country_of_Transaction]], OR(Table1[[#This Row],[Merchant_Category]]="Electronics", Table1[[#This Row],[Merchant_Category]]="Travel")), "unsafe merchant transaction", "safe merchant transaction")</f>
        <v>safe merchant transaction</v>
      </c>
    </row>
    <row r="479" spans="1:18">
      <c r="A479" t="s">
        <v>4127</v>
      </c>
      <c r="B479" t="s">
        <v>116</v>
      </c>
      <c r="C479">
        <v>1</v>
      </c>
      <c r="D479" t="s">
        <v>15</v>
      </c>
      <c r="E479" t="s">
        <v>420</v>
      </c>
      <c r="F479" s="2">
        <v>45741</v>
      </c>
      <c r="G479">
        <v>9050.36</v>
      </c>
      <c r="H479" s="1">
        <f>AVERAGEIF(Table1[Customer_ID], Table1[[#This Row],[Customer_ID]], Table1[Transaction_Amount])</f>
        <v>5671.5049206349195</v>
      </c>
      <c r="I479" t="s">
        <v>917</v>
      </c>
      <c r="J479" t="s">
        <v>46</v>
      </c>
      <c r="K479" t="s">
        <v>10</v>
      </c>
      <c r="L479">
        <v>1</v>
      </c>
      <c r="M479" t="s">
        <v>32</v>
      </c>
      <c r="N479" t="s">
        <v>33</v>
      </c>
      <c r="O479" t="s">
        <v>393</v>
      </c>
      <c r="P479" s="6" t="str">
        <f>IF(Table1[[#This Row],[Transaction_Amount]]&lt;=Table1[[#This Row],[avg_transaction_amount]], "usual transaction", "unusual transaction")</f>
        <v>unusual transaction</v>
      </c>
      <c r="Q479" s="6" t="str">
        <f>IF(AND(Table1[[#This Row],[Country_of_Residence]]&lt;&gt;Table1[[#This Row],[Country_of_Transaction]], OR(Table1[[#This Row],[Authentication_Type]]="Biometric", Table1[[#This Row],[Authentication_Type]]="OTP")), "safe location transaction", "unsafe location transaction")</f>
        <v>safe location transaction</v>
      </c>
      <c r="R479" s="6" t="str">
        <f>IF(AND(Table1[[#This Row],[Country_of_Residence]]&lt;&gt;Table1[[#This Row],[Country_of_Transaction]], OR(Table1[[#This Row],[Merchant_Category]]="Electronics", Table1[[#This Row],[Merchant_Category]]="Travel")), "unsafe merchant transaction", "safe merchant transaction")</f>
        <v>safe merchant transaction</v>
      </c>
    </row>
    <row r="480" spans="1:18">
      <c r="A480" t="s">
        <v>4171</v>
      </c>
      <c r="B480" t="s">
        <v>116</v>
      </c>
      <c r="C480">
        <v>1</v>
      </c>
      <c r="D480" t="s">
        <v>9</v>
      </c>
      <c r="E480" t="s">
        <v>420</v>
      </c>
      <c r="F480" s="2">
        <v>45829</v>
      </c>
      <c r="G480">
        <v>6181.85</v>
      </c>
      <c r="H480" s="1">
        <f>AVERAGEIF(Table1[Customer_ID], Table1[[#This Row],[Customer_ID]], Table1[Transaction_Amount])</f>
        <v>5671.5049206349195</v>
      </c>
      <c r="I480" t="s">
        <v>591</v>
      </c>
      <c r="J480" t="s">
        <v>36</v>
      </c>
      <c r="K480" t="s">
        <v>14</v>
      </c>
      <c r="L480">
        <v>4</v>
      </c>
      <c r="M480" t="s">
        <v>42</v>
      </c>
      <c r="N480" t="s">
        <v>32</v>
      </c>
      <c r="O480" t="s">
        <v>392</v>
      </c>
      <c r="P480" s="6" t="str">
        <f>IF(Table1[[#This Row],[Transaction_Amount]]&lt;=Table1[[#This Row],[avg_transaction_amount]], "usual transaction", "unusual transaction")</f>
        <v>unusual transaction</v>
      </c>
      <c r="Q480" s="6" t="str">
        <f>IF(AND(Table1[[#This Row],[Country_of_Residence]]&lt;&gt;Table1[[#This Row],[Country_of_Transaction]], OR(Table1[[#This Row],[Authentication_Type]]="Biometric", Table1[[#This Row],[Authentication_Type]]="OTP")), "safe location transaction", "unsafe location transaction")</f>
        <v>unsafe location transaction</v>
      </c>
      <c r="R480" s="6" t="str">
        <f>IF(AND(Table1[[#This Row],[Country_of_Residence]]&lt;&gt;Table1[[#This Row],[Country_of_Transaction]], OR(Table1[[#This Row],[Merchant_Category]]="Electronics", Table1[[#This Row],[Merchant_Category]]="Travel")), "unsafe merchant transaction", "safe merchant transaction")</f>
        <v>safe merchant transaction</v>
      </c>
    </row>
    <row r="481" spans="1:18">
      <c r="A481" t="s">
        <v>4181</v>
      </c>
      <c r="B481" t="s">
        <v>116</v>
      </c>
      <c r="C481">
        <v>1</v>
      </c>
      <c r="D481" t="s">
        <v>15</v>
      </c>
      <c r="E481" t="s">
        <v>5</v>
      </c>
      <c r="F481" s="2">
        <v>46023</v>
      </c>
      <c r="G481">
        <v>409.35</v>
      </c>
      <c r="H481" s="1">
        <f>AVERAGEIF(Table1[Customer_ID], Table1[[#This Row],[Customer_ID]], Table1[Transaction_Amount])</f>
        <v>5671.5049206349195</v>
      </c>
      <c r="I481" t="s">
        <v>1703</v>
      </c>
      <c r="J481" t="s">
        <v>46</v>
      </c>
      <c r="K481" t="s">
        <v>12</v>
      </c>
      <c r="L481">
        <v>1</v>
      </c>
      <c r="M481" t="s">
        <v>47</v>
      </c>
      <c r="N481" t="s">
        <v>47</v>
      </c>
      <c r="O481" t="s">
        <v>393</v>
      </c>
      <c r="P481" s="6" t="str">
        <f>IF(Table1[[#This Row],[Transaction_Amount]]&lt;=Table1[[#This Row],[avg_transaction_amount]], "usual transaction", "unusual transaction")</f>
        <v>usual transaction</v>
      </c>
      <c r="Q481" s="6" t="str">
        <f>IF(AND(Table1[[#This Row],[Country_of_Residence]]&lt;&gt;Table1[[#This Row],[Country_of_Transaction]], OR(Table1[[#This Row],[Authentication_Type]]="Biometric", Table1[[#This Row],[Authentication_Type]]="OTP")), "safe location transaction", "unsafe location transaction")</f>
        <v>unsafe location transaction</v>
      </c>
      <c r="R481" s="6" t="str">
        <f>IF(AND(Table1[[#This Row],[Country_of_Residence]]&lt;&gt;Table1[[#This Row],[Country_of_Transaction]], OR(Table1[[#This Row],[Merchant_Category]]="Electronics", Table1[[#This Row],[Merchant_Category]]="Travel")), "unsafe merchant transaction", "safe merchant transaction")</f>
        <v>safe merchant transaction</v>
      </c>
    </row>
    <row r="482" spans="1:18">
      <c r="A482" t="s">
        <v>4182</v>
      </c>
      <c r="B482" t="s">
        <v>116</v>
      </c>
      <c r="C482">
        <v>1</v>
      </c>
      <c r="D482" t="s">
        <v>9</v>
      </c>
      <c r="E482" t="s">
        <v>6</v>
      </c>
      <c r="F482" s="2">
        <v>45679</v>
      </c>
      <c r="G482">
        <v>6969.75</v>
      </c>
      <c r="H482" s="1">
        <f>AVERAGEIF(Table1[Customer_ID], Table1[[#This Row],[Customer_ID]], Table1[Transaction_Amount])</f>
        <v>5671.5049206349195</v>
      </c>
      <c r="I482" t="s">
        <v>1704</v>
      </c>
      <c r="J482" t="s">
        <v>31</v>
      </c>
      <c r="K482" t="s">
        <v>8</v>
      </c>
      <c r="L482">
        <v>2</v>
      </c>
      <c r="M482" t="s">
        <v>412</v>
      </c>
      <c r="N482" t="s">
        <v>56</v>
      </c>
      <c r="O482" t="s">
        <v>393</v>
      </c>
      <c r="P482" s="6" t="str">
        <f>IF(Table1[[#This Row],[Transaction_Amount]]&lt;=Table1[[#This Row],[avg_transaction_amount]], "usual transaction", "unusual transaction")</f>
        <v>unusual transaction</v>
      </c>
      <c r="Q482" s="6" t="str">
        <f>IF(AND(Table1[[#This Row],[Country_of_Residence]]&lt;&gt;Table1[[#This Row],[Country_of_Transaction]], OR(Table1[[#This Row],[Authentication_Type]]="Biometric", Table1[[#This Row],[Authentication_Type]]="OTP")), "safe location transaction", "unsafe location transaction")</f>
        <v>safe location transaction</v>
      </c>
      <c r="R482" s="6" t="str">
        <f>IF(AND(Table1[[#This Row],[Country_of_Residence]]&lt;&gt;Table1[[#This Row],[Country_of_Transaction]], OR(Table1[[#This Row],[Merchant_Category]]="Electronics", Table1[[#This Row],[Merchant_Category]]="Travel")), "unsafe merchant transaction", "safe merchant transaction")</f>
        <v>safe merchant transaction</v>
      </c>
    </row>
    <row r="483" spans="1:18">
      <c r="A483" t="s">
        <v>4184</v>
      </c>
      <c r="B483" t="s">
        <v>116</v>
      </c>
      <c r="C483">
        <v>1</v>
      </c>
      <c r="D483" t="s">
        <v>15</v>
      </c>
      <c r="E483" t="s">
        <v>3</v>
      </c>
      <c r="F483" s="2">
        <v>45870</v>
      </c>
      <c r="G483">
        <v>7690.66</v>
      </c>
      <c r="H483" s="1">
        <f>AVERAGEIF(Table1[Customer_ID], Table1[[#This Row],[Customer_ID]], Table1[Transaction_Amount])</f>
        <v>5671.5049206349195</v>
      </c>
      <c r="I483" t="s">
        <v>1706</v>
      </c>
      <c r="J483" t="s">
        <v>36</v>
      </c>
      <c r="K483" t="s">
        <v>14</v>
      </c>
      <c r="L483">
        <v>3</v>
      </c>
      <c r="M483" t="s">
        <v>412</v>
      </c>
      <c r="N483" t="s">
        <v>42</v>
      </c>
      <c r="O483" t="s">
        <v>392</v>
      </c>
      <c r="P483" s="6" t="str">
        <f>IF(Table1[[#This Row],[Transaction_Amount]]&lt;=Table1[[#This Row],[avg_transaction_amount]], "usual transaction", "unusual transaction")</f>
        <v>unusual transaction</v>
      </c>
      <c r="Q483" s="6" t="str">
        <f>IF(AND(Table1[[#This Row],[Country_of_Residence]]&lt;&gt;Table1[[#This Row],[Country_of_Transaction]], OR(Table1[[#This Row],[Authentication_Type]]="Biometric", Table1[[#This Row],[Authentication_Type]]="OTP")), "safe location transaction", "unsafe location transaction")</f>
        <v>unsafe location transaction</v>
      </c>
      <c r="R483" s="6" t="str">
        <f>IF(AND(Table1[[#This Row],[Country_of_Residence]]&lt;&gt;Table1[[#This Row],[Country_of_Transaction]], OR(Table1[[#This Row],[Merchant_Category]]="Electronics", Table1[[#This Row],[Merchant_Category]]="Travel")), "unsafe merchant transaction", "safe merchant transaction")</f>
        <v>safe merchant transaction</v>
      </c>
    </row>
    <row r="484" spans="1:18">
      <c r="A484" t="s">
        <v>4238</v>
      </c>
      <c r="B484" t="s">
        <v>116</v>
      </c>
      <c r="C484">
        <v>1</v>
      </c>
      <c r="D484" t="s">
        <v>9</v>
      </c>
      <c r="E484" t="s">
        <v>5</v>
      </c>
      <c r="F484" s="2">
        <v>45859</v>
      </c>
      <c r="G484">
        <v>7798.91</v>
      </c>
      <c r="H484" s="1">
        <f>AVERAGEIF(Table1[Customer_ID], Table1[[#This Row],[Customer_ID]], Table1[Transaction_Amount])</f>
        <v>5671.5049206349195</v>
      </c>
      <c r="I484" t="s">
        <v>1754</v>
      </c>
      <c r="J484" t="s">
        <v>41</v>
      </c>
      <c r="K484" t="s">
        <v>8</v>
      </c>
      <c r="L484">
        <v>1</v>
      </c>
      <c r="M484" t="s">
        <v>51</v>
      </c>
      <c r="N484" t="s">
        <v>51</v>
      </c>
      <c r="O484" t="s">
        <v>393</v>
      </c>
      <c r="P484" s="6" t="str">
        <f>IF(Table1[[#This Row],[Transaction_Amount]]&lt;=Table1[[#This Row],[avg_transaction_amount]], "usual transaction", "unusual transaction")</f>
        <v>unusual transaction</v>
      </c>
      <c r="Q484" s="6" t="str">
        <f>IF(AND(Table1[[#This Row],[Country_of_Residence]]&lt;&gt;Table1[[#This Row],[Country_of_Transaction]], OR(Table1[[#This Row],[Authentication_Type]]="Biometric", Table1[[#This Row],[Authentication_Type]]="OTP")), "safe location transaction", "unsafe location transaction")</f>
        <v>unsafe location transaction</v>
      </c>
      <c r="R484" s="6" t="str">
        <f>IF(AND(Table1[[#This Row],[Country_of_Residence]]&lt;&gt;Table1[[#This Row],[Country_of_Transaction]], OR(Table1[[#This Row],[Merchant_Category]]="Electronics", Table1[[#This Row],[Merchant_Category]]="Travel")), "unsafe merchant transaction", "safe merchant transaction")</f>
        <v>safe merchant transaction</v>
      </c>
    </row>
    <row r="485" spans="1:18">
      <c r="A485" t="s">
        <v>4245</v>
      </c>
      <c r="B485" t="s">
        <v>116</v>
      </c>
      <c r="C485">
        <v>1</v>
      </c>
      <c r="D485" t="s">
        <v>15</v>
      </c>
      <c r="E485" t="s">
        <v>3</v>
      </c>
      <c r="F485" s="2">
        <v>45727</v>
      </c>
      <c r="G485">
        <v>5227.12</v>
      </c>
      <c r="H485" s="1">
        <f>AVERAGEIF(Table1[Customer_ID], Table1[[#This Row],[Customer_ID]], Table1[Transaction_Amount])</f>
        <v>5671.5049206349195</v>
      </c>
      <c r="I485" t="s">
        <v>1760</v>
      </c>
      <c r="J485" t="s">
        <v>50</v>
      </c>
      <c r="K485" t="s">
        <v>8</v>
      </c>
      <c r="L485">
        <v>4</v>
      </c>
      <c r="M485" t="s">
        <v>32</v>
      </c>
      <c r="N485" t="s">
        <v>55</v>
      </c>
      <c r="O485" t="s">
        <v>392</v>
      </c>
      <c r="P485" s="6" t="str">
        <f>IF(Table1[[#This Row],[Transaction_Amount]]&lt;=Table1[[#This Row],[avg_transaction_amount]], "usual transaction", "unusual transaction")</f>
        <v>usual transaction</v>
      </c>
      <c r="Q485" s="6" t="str">
        <f>IF(AND(Table1[[#This Row],[Country_of_Residence]]&lt;&gt;Table1[[#This Row],[Country_of_Transaction]], OR(Table1[[#This Row],[Authentication_Type]]="Biometric", Table1[[#This Row],[Authentication_Type]]="OTP")), "safe location transaction", "unsafe location transaction")</f>
        <v>safe location transaction</v>
      </c>
      <c r="R485" s="6" t="str">
        <f>IF(AND(Table1[[#This Row],[Country_of_Residence]]&lt;&gt;Table1[[#This Row],[Country_of_Transaction]], OR(Table1[[#This Row],[Merchant_Category]]="Electronics", Table1[[#This Row],[Merchant_Category]]="Travel")), "unsafe merchant transaction", "safe merchant transaction")</f>
        <v>unsafe merchant transaction</v>
      </c>
    </row>
    <row r="486" spans="1:18">
      <c r="A486" t="s">
        <v>4309</v>
      </c>
      <c r="B486" t="s">
        <v>116</v>
      </c>
      <c r="C486">
        <v>1</v>
      </c>
      <c r="D486" t="s">
        <v>9</v>
      </c>
      <c r="E486" t="s">
        <v>420</v>
      </c>
      <c r="F486" s="2">
        <v>45792</v>
      </c>
      <c r="G486">
        <v>5897.22</v>
      </c>
      <c r="H486" s="1">
        <f>AVERAGEIF(Table1[Customer_ID], Table1[[#This Row],[Customer_ID]], Table1[Transaction_Amount])</f>
        <v>5671.5049206349195</v>
      </c>
      <c r="I486" t="s">
        <v>1817</v>
      </c>
      <c r="J486" t="s">
        <v>41</v>
      </c>
      <c r="K486" t="s">
        <v>10</v>
      </c>
      <c r="L486">
        <v>5</v>
      </c>
      <c r="M486" t="s">
        <v>412</v>
      </c>
      <c r="N486" t="s">
        <v>32</v>
      </c>
      <c r="O486" t="s">
        <v>392</v>
      </c>
      <c r="P486" s="6" t="str">
        <f>IF(Table1[[#This Row],[Transaction_Amount]]&lt;=Table1[[#This Row],[avg_transaction_amount]], "usual transaction", "unusual transaction")</f>
        <v>unusual transaction</v>
      </c>
      <c r="Q486" s="6" t="str">
        <f>IF(AND(Table1[[#This Row],[Country_of_Residence]]&lt;&gt;Table1[[#This Row],[Country_of_Transaction]], OR(Table1[[#This Row],[Authentication_Type]]="Biometric", Table1[[#This Row],[Authentication_Type]]="OTP")), "safe location transaction", "unsafe location transaction")</f>
        <v>safe location transaction</v>
      </c>
      <c r="R486" s="6" t="str">
        <f>IF(AND(Table1[[#This Row],[Country_of_Residence]]&lt;&gt;Table1[[#This Row],[Country_of_Transaction]], OR(Table1[[#This Row],[Merchant_Category]]="Electronics", Table1[[#This Row],[Merchant_Category]]="Travel")), "unsafe merchant transaction", "safe merchant transaction")</f>
        <v>safe merchant transaction</v>
      </c>
    </row>
    <row r="487" spans="1:18">
      <c r="A487" t="s">
        <v>4328</v>
      </c>
      <c r="B487" t="s">
        <v>116</v>
      </c>
      <c r="C487">
        <v>1</v>
      </c>
      <c r="D487" t="s">
        <v>15</v>
      </c>
      <c r="E487" t="s">
        <v>5</v>
      </c>
      <c r="F487" s="2">
        <v>45982</v>
      </c>
      <c r="G487">
        <v>9339.59</v>
      </c>
      <c r="H487" s="1">
        <f>AVERAGEIF(Table1[Customer_ID], Table1[[#This Row],[Customer_ID]], Table1[Transaction_Amount])</f>
        <v>5671.5049206349195</v>
      </c>
      <c r="I487" t="s">
        <v>1835</v>
      </c>
      <c r="J487" t="s">
        <v>36</v>
      </c>
      <c r="K487" t="s">
        <v>10</v>
      </c>
      <c r="L487">
        <v>4</v>
      </c>
      <c r="M487" t="s">
        <v>55</v>
      </c>
      <c r="N487" t="s">
        <v>51</v>
      </c>
      <c r="O487" t="s">
        <v>392</v>
      </c>
      <c r="P487" s="6" t="str">
        <f>IF(Table1[[#This Row],[Transaction_Amount]]&lt;=Table1[[#This Row],[avg_transaction_amount]], "usual transaction", "unusual transaction")</f>
        <v>unusual transaction</v>
      </c>
      <c r="Q487" s="6" t="str">
        <f>IF(AND(Table1[[#This Row],[Country_of_Residence]]&lt;&gt;Table1[[#This Row],[Country_of_Transaction]], OR(Table1[[#This Row],[Authentication_Type]]="Biometric", Table1[[#This Row],[Authentication_Type]]="OTP")), "safe location transaction", "unsafe location transaction")</f>
        <v>safe location transaction</v>
      </c>
      <c r="R487" s="6" t="str">
        <f>IF(AND(Table1[[#This Row],[Country_of_Residence]]&lt;&gt;Table1[[#This Row],[Country_of_Transaction]], OR(Table1[[#This Row],[Merchant_Category]]="Electronics", Table1[[#This Row],[Merchant_Category]]="Travel")), "unsafe merchant transaction", "safe merchant transaction")</f>
        <v>safe merchant transaction</v>
      </c>
    </row>
    <row r="488" spans="1:18">
      <c r="A488" t="s">
        <v>4334</v>
      </c>
      <c r="B488" t="s">
        <v>116</v>
      </c>
      <c r="C488">
        <v>1</v>
      </c>
      <c r="D488" t="s">
        <v>15</v>
      </c>
      <c r="E488" t="s">
        <v>5</v>
      </c>
      <c r="F488" s="2">
        <v>45692</v>
      </c>
      <c r="G488">
        <v>3519.37</v>
      </c>
      <c r="H488" s="1">
        <f>AVERAGEIF(Table1[Customer_ID], Table1[[#This Row],[Customer_ID]], Table1[Transaction_Amount])</f>
        <v>5671.5049206349195</v>
      </c>
      <c r="I488" t="s">
        <v>1840</v>
      </c>
      <c r="J488" t="s">
        <v>46</v>
      </c>
      <c r="K488" t="s">
        <v>10</v>
      </c>
      <c r="L488">
        <v>4</v>
      </c>
      <c r="M488" t="s">
        <v>412</v>
      </c>
      <c r="N488" t="s">
        <v>51</v>
      </c>
      <c r="O488" t="s">
        <v>393</v>
      </c>
      <c r="P488" s="6" t="str">
        <f>IF(Table1[[#This Row],[Transaction_Amount]]&lt;=Table1[[#This Row],[avg_transaction_amount]], "usual transaction", "unusual transaction")</f>
        <v>usual transaction</v>
      </c>
      <c r="Q488" s="6" t="str">
        <f>IF(AND(Table1[[#This Row],[Country_of_Residence]]&lt;&gt;Table1[[#This Row],[Country_of_Transaction]], OR(Table1[[#This Row],[Authentication_Type]]="Biometric", Table1[[#This Row],[Authentication_Type]]="OTP")), "safe location transaction", "unsafe location transaction")</f>
        <v>safe location transaction</v>
      </c>
      <c r="R488" s="6" t="str">
        <f>IF(AND(Table1[[#This Row],[Country_of_Residence]]&lt;&gt;Table1[[#This Row],[Country_of_Transaction]], OR(Table1[[#This Row],[Merchant_Category]]="Electronics", Table1[[#This Row],[Merchant_Category]]="Travel")), "unsafe merchant transaction", "safe merchant transaction")</f>
        <v>safe merchant transaction</v>
      </c>
    </row>
    <row r="489" spans="1:18">
      <c r="A489" t="s">
        <v>4431</v>
      </c>
      <c r="B489" t="s">
        <v>116</v>
      </c>
      <c r="C489">
        <v>1</v>
      </c>
      <c r="D489" t="s">
        <v>15</v>
      </c>
      <c r="E489" t="s">
        <v>5</v>
      </c>
      <c r="F489" s="2">
        <v>45979</v>
      </c>
      <c r="G489">
        <v>1575.59</v>
      </c>
      <c r="H489" s="1">
        <f>AVERAGEIF(Table1[Customer_ID], Table1[[#This Row],[Customer_ID]], Table1[Transaction_Amount])</f>
        <v>5671.5049206349195</v>
      </c>
      <c r="I489" t="s">
        <v>1927</v>
      </c>
      <c r="J489" t="s">
        <v>41</v>
      </c>
      <c r="K489" t="s">
        <v>10</v>
      </c>
      <c r="L489">
        <v>4</v>
      </c>
      <c r="M489" t="s">
        <v>42</v>
      </c>
      <c r="N489" t="s">
        <v>412</v>
      </c>
      <c r="O489" t="s">
        <v>393</v>
      </c>
      <c r="P489" s="6" t="str">
        <f>IF(Table1[[#This Row],[Transaction_Amount]]&lt;=Table1[[#This Row],[avg_transaction_amount]], "usual transaction", "unusual transaction")</f>
        <v>usual transaction</v>
      </c>
      <c r="Q489" s="6" t="str">
        <f>IF(AND(Table1[[#This Row],[Country_of_Residence]]&lt;&gt;Table1[[#This Row],[Country_of_Transaction]], OR(Table1[[#This Row],[Authentication_Type]]="Biometric", Table1[[#This Row],[Authentication_Type]]="OTP")), "safe location transaction", "unsafe location transaction")</f>
        <v>safe location transaction</v>
      </c>
      <c r="R489" s="6" t="str">
        <f>IF(AND(Table1[[#This Row],[Country_of_Residence]]&lt;&gt;Table1[[#This Row],[Country_of_Transaction]], OR(Table1[[#This Row],[Merchant_Category]]="Electronics", Table1[[#This Row],[Merchant_Category]]="Travel")), "unsafe merchant transaction", "safe merchant transaction")</f>
        <v>safe merchant transaction</v>
      </c>
    </row>
    <row r="490" spans="1:18">
      <c r="A490" t="s">
        <v>4509</v>
      </c>
      <c r="B490" t="s">
        <v>116</v>
      </c>
      <c r="C490">
        <v>1</v>
      </c>
      <c r="D490" t="s">
        <v>9</v>
      </c>
      <c r="E490" t="s">
        <v>3</v>
      </c>
      <c r="F490" s="2">
        <v>45768</v>
      </c>
      <c r="G490">
        <v>3771</v>
      </c>
      <c r="H490" s="1">
        <f>AVERAGEIF(Table1[Customer_ID], Table1[[#This Row],[Customer_ID]], Table1[Transaction_Amount])</f>
        <v>5671.5049206349195</v>
      </c>
      <c r="I490" t="s">
        <v>1994</v>
      </c>
      <c r="J490" t="s">
        <v>36</v>
      </c>
      <c r="K490" t="s">
        <v>10</v>
      </c>
      <c r="L490">
        <v>2</v>
      </c>
      <c r="M490" t="s">
        <v>412</v>
      </c>
      <c r="N490" t="s">
        <v>56</v>
      </c>
      <c r="O490" t="s">
        <v>392</v>
      </c>
      <c r="P490" s="6" t="str">
        <f>IF(Table1[[#This Row],[Transaction_Amount]]&lt;=Table1[[#This Row],[avg_transaction_amount]], "usual transaction", "unusual transaction")</f>
        <v>usual transaction</v>
      </c>
      <c r="Q490" s="6" t="str">
        <f>IF(AND(Table1[[#This Row],[Country_of_Residence]]&lt;&gt;Table1[[#This Row],[Country_of_Transaction]], OR(Table1[[#This Row],[Authentication_Type]]="Biometric", Table1[[#This Row],[Authentication_Type]]="OTP")), "safe location transaction", "unsafe location transaction")</f>
        <v>safe location transaction</v>
      </c>
      <c r="R490" s="6" t="str">
        <f>IF(AND(Table1[[#This Row],[Country_of_Residence]]&lt;&gt;Table1[[#This Row],[Country_of_Transaction]], OR(Table1[[#This Row],[Merchant_Category]]="Electronics", Table1[[#This Row],[Merchant_Category]]="Travel")), "unsafe merchant transaction", "safe merchant transaction")</f>
        <v>safe merchant transaction</v>
      </c>
    </row>
    <row r="491" spans="1:18">
      <c r="A491" t="s">
        <v>4589</v>
      </c>
      <c r="B491" t="s">
        <v>116</v>
      </c>
      <c r="C491">
        <v>1</v>
      </c>
      <c r="D491" t="s">
        <v>15</v>
      </c>
      <c r="E491" t="s">
        <v>3</v>
      </c>
      <c r="F491" s="2">
        <v>45939</v>
      </c>
      <c r="G491">
        <v>8692.11</v>
      </c>
      <c r="H491" s="1">
        <f>AVERAGEIF(Table1[Customer_ID], Table1[[#This Row],[Customer_ID]], Table1[Transaction_Amount])</f>
        <v>5671.5049206349195</v>
      </c>
      <c r="I491" t="s">
        <v>1920</v>
      </c>
      <c r="J491" t="s">
        <v>36</v>
      </c>
      <c r="K491" t="s">
        <v>12</v>
      </c>
      <c r="L491">
        <v>3</v>
      </c>
      <c r="M491" t="s">
        <v>55</v>
      </c>
      <c r="N491" t="s">
        <v>32</v>
      </c>
      <c r="O491" t="s">
        <v>393</v>
      </c>
      <c r="P491" s="6" t="str">
        <f>IF(Table1[[#This Row],[Transaction_Amount]]&lt;=Table1[[#This Row],[avg_transaction_amount]], "usual transaction", "unusual transaction")</f>
        <v>unusual transaction</v>
      </c>
      <c r="Q491" s="6" t="str">
        <f>IF(AND(Table1[[#This Row],[Country_of_Residence]]&lt;&gt;Table1[[#This Row],[Country_of_Transaction]], OR(Table1[[#This Row],[Authentication_Type]]="Biometric", Table1[[#This Row],[Authentication_Type]]="OTP")), "safe location transaction", "unsafe location transaction")</f>
        <v>unsafe location transaction</v>
      </c>
      <c r="R491" s="6" t="str">
        <f>IF(AND(Table1[[#This Row],[Country_of_Residence]]&lt;&gt;Table1[[#This Row],[Country_of_Transaction]], OR(Table1[[#This Row],[Merchant_Category]]="Electronics", Table1[[#This Row],[Merchant_Category]]="Travel")), "unsafe merchant transaction", "safe merchant transaction")</f>
        <v>safe merchant transaction</v>
      </c>
    </row>
    <row r="492" spans="1:18">
      <c r="A492" t="s">
        <v>4632</v>
      </c>
      <c r="B492" t="s">
        <v>116</v>
      </c>
      <c r="C492">
        <v>1</v>
      </c>
      <c r="D492" t="s">
        <v>15</v>
      </c>
      <c r="E492" t="s">
        <v>420</v>
      </c>
      <c r="F492" s="2">
        <v>45956</v>
      </c>
      <c r="G492">
        <v>6348.32</v>
      </c>
      <c r="H492" s="1">
        <f>AVERAGEIF(Table1[Customer_ID], Table1[[#This Row],[Customer_ID]], Table1[Transaction_Amount])</f>
        <v>5671.5049206349195</v>
      </c>
      <c r="I492" t="s">
        <v>742</v>
      </c>
      <c r="J492" t="s">
        <v>41</v>
      </c>
      <c r="K492" t="s">
        <v>14</v>
      </c>
      <c r="L492">
        <v>3</v>
      </c>
      <c r="M492" t="s">
        <v>56</v>
      </c>
      <c r="N492" t="s">
        <v>37</v>
      </c>
      <c r="O492" t="s">
        <v>392</v>
      </c>
      <c r="P492" s="6" t="str">
        <f>IF(Table1[[#This Row],[Transaction_Amount]]&lt;=Table1[[#This Row],[avg_transaction_amount]], "usual transaction", "unusual transaction")</f>
        <v>unusual transaction</v>
      </c>
      <c r="Q492" s="6" t="str">
        <f>IF(AND(Table1[[#This Row],[Country_of_Residence]]&lt;&gt;Table1[[#This Row],[Country_of_Transaction]], OR(Table1[[#This Row],[Authentication_Type]]="Biometric", Table1[[#This Row],[Authentication_Type]]="OTP")), "safe location transaction", "unsafe location transaction")</f>
        <v>unsafe location transaction</v>
      </c>
      <c r="R492" s="6" t="str">
        <f>IF(AND(Table1[[#This Row],[Country_of_Residence]]&lt;&gt;Table1[[#This Row],[Country_of_Transaction]], OR(Table1[[#This Row],[Merchant_Category]]="Electronics", Table1[[#This Row],[Merchant_Category]]="Travel")), "unsafe merchant transaction", "safe merchant transaction")</f>
        <v>safe merchant transaction</v>
      </c>
    </row>
    <row r="493" spans="1:18">
      <c r="A493" t="s">
        <v>4637</v>
      </c>
      <c r="B493" t="s">
        <v>116</v>
      </c>
      <c r="C493">
        <v>1</v>
      </c>
      <c r="D493" t="s">
        <v>9</v>
      </c>
      <c r="E493" t="s">
        <v>6</v>
      </c>
      <c r="F493" s="2">
        <v>45756</v>
      </c>
      <c r="G493">
        <v>5386.17</v>
      </c>
      <c r="H493" s="1">
        <f>AVERAGEIF(Table1[Customer_ID], Table1[[#This Row],[Customer_ID]], Table1[Transaction_Amount])</f>
        <v>5671.5049206349195</v>
      </c>
      <c r="I493" t="s">
        <v>2098</v>
      </c>
      <c r="J493" t="s">
        <v>31</v>
      </c>
      <c r="K493" t="s">
        <v>14</v>
      </c>
      <c r="L493">
        <v>5</v>
      </c>
      <c r="M493" t="s">
        <v>42</v>
      </c>
      <c r="N493" t="s">
        <v>42</v>
      </c>
      <c r="O493" t="s">
        <v>392</v>
      </c>
      <c r="P493" s="6" t="str">
        <f>IF(Table1[[#This Row],[Transaction_Amount]]&lt;=Table1[[#This Row],[avg_transaction_amount]], "usual transaction", "unusual transaction")</f>
        <v>usual transaction</v>
      </c>
      <c r="Q493" s="6" t="str">
        <f>IF(AND(Table1[[#This Row],[Country_of_Residence]]&lt;&gt;Table1[[#This Row],[Country_of_Transaction]], OR(Table1[[#This Row],[Authentication_Type]]="Biometric", Table1[[#This Row],[Authentication_Type]]="OTP")), "safe location transaction", "unsafe location transaction")</f>
        <v>unsafe location transaction</v>
      </c>
      <c r="R493" s="6" t="str">
        <f>IF(AND(Table1[[#This Row],[Country_of_Residence]]&lt;&gt;Table1[[#This Row],[Country_of_Transaction]], OR(Table1[[#This Row],[Merchant_Category]]="Electronics", Table1[[#This Row],[Merchant_Category]]="Travel")), "unsafe merchant transaction", "safe merchant transaction")</f>
        <v>safe merchant transaction</v>
      </c>
    </row>
    <row r="494" spans="1:18">
      <c r="A494" t="s">
        <v>4655</v>
      </c>
      <c r="B494" t="s">
        <v>116</v>
      </c>
      <c r="C494">
        <v>1</v>
      </c>
      <c r="D494" t="s">
        <v>15</v>
      </c>
      <c r="E494" t="s">
        <v>420</v>
      </c>
      <c r="F494" s="2">
        <v>45738</v>
      </c>
      <c r="G494">
        <v>6070.75</v>
      </c>
      <c r="H494" s="1">
        <f>AVERAGEIF(Table1[Customer_ID], Table1[[#This Row],[Customer_ID]], Table1[Transaction_Amount])</f>
        <v>5671.5049206349195</v>
      </c>
      <c r="I494" t="s">
        <v>2114</v>
      </c>
      <c r="J494" t="s">
        <v>50</v>
      </c>
      <c r="K494" t="s">
        <v>12</v>
      </c>
      <c r="L494">
        <v>4</v>
      </c>
      <c r="M494" t="s">
        <v>42</v>
      </c>
      <c r="N494" t="s">
        <v>42</v>
      </c>
      <c r="O494" t="s">
        <v>392</v>
      </c>
      <c r="P494" s="6" t="str">
        <f>IF(Table1[[#This Row],[Transaction_Amount]]&lt;=Table1[[#This Row],[avg_transaction_amount]], "usual transaction", "unusual transaction")</f>
        <v>unusual transaction</v>
      </c>
      <c r="Q494" s="6" t="str">
        <f>IF(AND(Table1[[#This Row],[Country_of_Residence]]&lt;&gt;Table1[[#This Row],[Country_of_Transaction]], OR(Table1[[#This Row],[Authentication_Type]]="Biometric", Table1[[#This Row],[Authentication_Type]]="OTP")), "safe location transaction", "unsafe location transaction")</f>
        <v>unsafe location transaction</v>
      </c>
      <c r="R494" s="6" t="str">
        <f>IF(AND(Table1[[#This Row],[Country_of_Residence]]&lt;&gt;Table1[[#This Row],[Country_of_Transaction]], OR(Table1[[#This Row],[Merchant_Category]]="Electronics", Table1[[#This Row],[Merchant_Category]]="Travel")), "unsafe merchant transaction", "safe merchant transaction")</f>
        <v>safe merchant transaction</v>
      </c>
    </row>
    <row r="495" spans="1:18">
      <c r="A495" t="s">
        <v>4677</v>
      </c>
      <c r="B495" t="s">
        <v>116</v>
      </c>
      <c r="C495">
        <v>1</v>
      </c>
      <c r="D495" t="s">
        <v>9</v>
      </c>
      <c r="E495" t="s">
        <v>3</v>
      </c>
      <c r="F495" s="2">
        <v>45892</v>
      </c>
      <c r="G495">
        <v>3767.12</v>
      </c>
      <c r="H495" s="1">
        <f>AVERAGEIF(Table1[Customer_ID], Table1[[#This Row],[Customer_ID]], Table1[Transaction_Amount])</f>
        <v>5671.5049206349195</v>
      </c>
      <c r="I495" t="s">
        <v>2130</v>
      </c>
      <c r="J495" t="s">
        <v>46</v>
      </c>
      <c r="K495" t="s">
        <v>12</v>
      </c>
      <c r="L495">
        <v>0</v>
      </c>
      <c r="M495" t="s">
        <v>37</v>
      </c>
      <c r="N495" t="s">
        <v>47</v>
      </c>
      <c r="O495" t="s">
        <v>392</v>
      </c>
      <c r="P495" s="6" t="str">
        <f>IF(Table1[[#This Row],[Transaction_Amount]]&lt;=Table1[[#This Row],[avg_transaction_amount]], "usual transaction", "unusual transaction")</f>
        <v>usual transaction</v>
      </c>
      <c r="Q495" s="6" t="str">
        <f>IF(AND(Table1[[#This Row],[Country_of_Residence]]&lt;&gt;Table1[[#This Row],[Country_of_Transaction]], OR(Table1[[#This Row],[Authentication_Type]]="Biometric", Table1[[#This Row],[Authentication_Type]]="OTP")), "safe location transaction", "unsafe location transaction")</f>
        <v>unsafe location transaction</v>
      </c>
      <c r="R495" s="6" t="str">
        <f>IF(AND(Table1[[#This Row],[Country_of_Residence]]&lt;&gt;Table1[[#This Row],[Country_of_Transaction]], OR(Table1[[#This Row],[Merchant_Category]]="Electronics", Table1[[#This Row],[Merchant_Category]]="Travel")), "unsafe merchant transaction", "safe merchant transaction")</f>
        <v>safe merchant transaction</v>
      </c>
    </row>
    <row r="496" spans="1:18">
      <c r="A496" t="s">
        <v>4680</v>
      </c>
      <c r="B496" t="s">
        <v>116</v>
      </c>
      <c r="C496">
        <v>1</v>
      </c>
      <c r="D496" t="s">
        <v>15</v>
      </c>
      <c r="E496" t="s">
        <v>3</v>
      </c>
      <c r="F496" s="2">
        <v>46004</v>
      </c>
      <c r="G496">
        <v>8838.64</v>
      </c>
      <c r="H496" s="1">
        <f>AVERAGEIF(Table1[Customer_ID], Table1[[#This Row],[Customer_ID]], Table1[Transaction_Amount])</f>
        <v>5671.5049206349195</v>
      </c>
      <c r="I496" t="s">
        <v>2133</v>
      </c>
      <c r="J496" t="s">
        <v>41</v>
      </c>
      <c r="K496" t="s">
        <v>14</v>
      </c>
      <c r="L496">
        <v>1</v>
      </c>
      <c r="M496" t="s">
        <v>56</v>
      </c>
      <c r="N496" t="s">
        <v>37</v>
      </c>
      <c r="O496" t="s">
        <v>392</v>
      </c>
      <c r="P496" s="6" t="str">
        <f>IF(Table1[[#This Row],[Transaction_Amount]]&lt;=Table1[[#This Row],[avg_transaction_amount]], "usual transaction", "unusual transaction")</f>
        <v>unusual transaction</v>
      </c>
      <c r="Q496" s="6" t="str">
        <f>IF(AND(Table1[[#This Row],[Country_of_Residence]]&lt;&gt;Table1[[#This Row],[Country_of_Transaction]], OR(Table1[[#This Row],[Authentication_Type]]="Biometric", Table1[[#This Row],[Authentication_Type]]="OTP")), "safe location transaction", "unsafe location transaction")</f>
        <v>unsafe location transaction</v>
      </c>
      <c r="R496" s="6" t="str">
        <f>IF(AND(Table1[[#This Row],[Country_of_Residence]]&lt;&gt;Table1[[#This Row],[Country_of_Transaction]], OR(Table1[[#This Row],[Merchant_Category]]="Electronics", Table1[[#This Row],[Merchant_Category]]="Travel")), "unsafe merchant transaction", "safe merchant transaction")</f>
        <v>safe merchant transaction</v>
      </c>
    </row>
    <row r="497" spans="1:18">
      <c r="A497" t="s">
        <v>4713</v>
      </c>
      <c r="B497" t="s">
        <v>116</v>
      </c>
      <c r="C497">
        <v>1</v>
      </c>
      <c r="D497" t="s">
        <v>9</v>
      </c>
      <c r="E497" t="s">
        <v>3</v>
      </c>
      <c r="F497" s="2">
        <v>45836</v>
      </c>
      <c r="G497">
        <v>9851.2000000000007</v>
      </c>
      <c r="H497" s="1">
        <f>AVERAGEIF(Table1[Customer_ID], Table1[[#This Row],[Customer_ID]], Table1[Transaction_Amount])</f>
        <v>5671.5049206349195</v>
      </c>
      <c r="I497" t="s">
        <v>2157</v>
      </c>
      <c r="J497" t="s">
        <v>36</v>
      </c>
      <c r="K497" t="s">
        <v>14</v>
      </c>
      <c r="L497">
        <v>3</v>
      </c>
      <c r="M497" t="s">
        <v>412</v>
      </c>
      <c r="N497" t="s">
        <v>51</v>
      </c>
      <c r="O497" t="s">
        <v>392</v>
      </c>
      <c r="P497" s="6" t="str">
        <f>IF(Table1[[#This Row],[Transaction_Amount]]&lt;=Table1[[#This Row],[avg_transaction_amount]], "usual transaction", "unusual transaction")</f>
        <v>unusual transaction</v>
      </c>
      <c r="Q497" s="6" t="str">
        <f>IF(AND(Table1[[#This Row],[Country_of_Residence]]&lt;&gt;Table1[[#This Row],[Country_of_Transaction]], OR(Table1[[#This Row],[Authentication_Type]]="Biometric", Table1[[#This Row],[Authentication_Type]]="OTP")), "safe location transaction", "unsafe location transaction")</f>
        <v>unsafe location transaction</v>
      </c>
      <c r="R497" s="6" t="str">
        <f>IF(AND(Table1[[#This Row],[Country_of_Residence]]&lt;&gt;Table1[[#This Row],[Country_of_Transaction]], OR(Table1[[#This Row],[Merchant_Category]]="Electronics", Table1[[#This Row],[Merchant_Category]]="Travel")), "unsafe merchant transaction", "safe merchant transaction")</f>
        <v>safe merchant transaction</v>
      </c>
    </row>
    <row r="498" spans="1:18">
      <c r="A498" t="s">
        <v>4717</v>
      </c>
      <c r="B498" t="s">
        <v>116</v>
      </c>
      <c r="C498">
        <v>1</v>
      </c>
      <c r="D498" t="s">
        <v>15</v>
      </c>
      <c r="E498" t="s">
        <v>420</v>
      </c>
      <c r="F498" s="2">
        <v>45778</v>
      </c>
      <c r="G498">
        <v>6599.11</v>
      </c>
      <c r="H498" s="1">
        <f>AVERAGEIF(Table1[Customer_ID], Table1[[#This Row],[Customer_ID]], Table1[Transaction_Amount])</f>
        <v>5671.5049206349195</v>
      </c>
      <c r="I498" t="s">
        <v>2160</v>
      </c>
      <c r="J498" t="s">
        <v>41</v>
      </c>
      <c r="K498" t="s">
        <v>14</v>
      </c>
      <c r="L498">
        <v>0</v>
      </c>
      <c r="M498" t="s">
        <v>32</v>
      </c>
      <c r="N498" t="s">
        <v>56</v>
      </c>
      <c r="O498" t="s">
        <v>392</v>
      </c>
      <c r="P498" s="6" t="str">
        <f>IF(Table1[[#This Row],[Transaction_Amount]]&lt;=Table1[[#This Row],[avg_transaction_amount]], "usual transaction", "unusual transaction")</f>
        <v>unusual transaction</v>
      </c>
      <c r="Q498" s="6" t="str">
        <f>IF(AND(Table1[[#This Row],[Country_of_Residence]]&lt;&gt;Table1[[#This Row],[Country_of_Transaction]], OR(Table1[[#This Row],[Authentication_Type]]="Biometric", Table1[[#This Row],[Authentication_Type]]="OTP")), "safe location transaction", "unsafe location transaction")</f>
        <v>unsafe location transaction</v>
      </c>
      <c r="R498" s="6" t="str">
        <f>IF(AND(Table1[[#This Row],[Country_of_Residence]]&lt;&gt;Table1[[#This Row],[Country_of_Transaction]], OR(Table1[[#This Row],[Merchant_Category]]="Electronics", Table1[[#This Row],[Merchant_Category]]="Travel")), "unsafe merchant transaction", "safe merchant transaction")</f>
        <v>safe merchant transaction</v>
      </c>
    </row>
    <row r="499" spans="1:18">
      <c r="A499" t="s">
        <v>4747</v>
      </c>
      <c r="B499" t="s">
        <v>116</v>
      </c>
      <c r="C499">
        <v>1</v>
      </c>
      <c r="D499" t="s">
        <v>9</v>
      </c>
      <c r="E499" t="s">
        <v>420</v>
      </c>
      <c r="F499" s="2">
        <v>45774</v>
      </c>
      <c r="G499">
        <v>9148.08</v>
      </c>
      <c r="H499" s="1">
        <f>AVERAGEIF(Table1[Customer_ID], Table1[[#This Row],[Customer_ID]], Table1[Transaction_Amount])</f>
        <v>5671.5049206349195</v>
      </c>
      <c r="I499" t="s">
        <v>1650</v>
      </c>
      <c r="J499" t="s">
        <v>46</v>
      </c>
      <c r="K499" t="s">
        <v>12</v>
      </c>
      <c r="L499">
        <v>2</v>
      </c>
      <c r="M499" t="s">
        <v>55</v>
      </c>
      <c r="N499" t="s">
        <v>33</v>
      </c>
      <c r="O499" t="s">
        <v>392</v>
      </c>
      <c r="P499" s="6" t="str">
        <f>IF(Table1[[#This Row],[Transaction_Amount]]&lt;=Table1[[#This Row],[avg_transaction_amount]], "usual transaction", "unusual transaction")</f>
        <v>unusual transaction</v>
      </c>
      <c r="Q499" s="6" t="str">
        <f>IF(AND(Table1[[#This Row],[Country_of_Residence]]&lt;&gt;Table1[[#This Row],[Country_of_Transaction]], OR(Table1[[#This Row],[Authentication_Type]]="Biometric", Table1[[#This Row],[Authentication_Type]]="OTP")), "safe location transaction", "unsafe location transaction")</f>
        <v>unsafe location transaction</v>
      </c>
      <c r="R499" s="6" t="str">
        <f>IF(AND(Table1[[#This Row],[Country_of_Residence]]&lt;&gt;Table1[[#This Row],[Country_of_Transaction]], OR(Table1[[#This Row],[Merchant_Category]]="Electronics", Table1[[#This Row],[Merchant_Category]]="Travel")), "unsafe merchant transaction", "safe merchant transaction")</f>
        <v>safe merchant transaction</v>
      </c>
    </row>
    <row r="500" spans="1:18">
      <c r="A500" t="s">
        <v>4831</v>
      </c>
      <c r="B500" t="s">
        <v>116</v>
      </c>
      <c r="C500">
        <v>1</v>
      </c>
      <c r="D500" t="s">
        <v>9</v>
      </c>
      <c r="E500" t="s">
        <v>5</v>
      </c>
      <c r="F500" s="2">
        <v>45710</v>
      </c>
      <c r="G500">
        <v>76.489999999999995</v>
      </c>
      <c r="H500" s="1">
        <f>AVERAGEIF(Table1[Customer_ID], Table1[[#This Row],[Customer_ID]], Table1[Transaction_Amount])</f>
        <v>5671.5049206349195</v>
      </c>
      <c r="I500" t="s">
        <v>2248</v>
      </c>
      <c r="J500" t="s">
        <v>46</v>
      </c>
      <c r="K500" t="s">
        <v>8</v>
      </c>
      <c r="L500">
        <v>5</v>
      </c>
      <c r="M500" t="s">
        <v>55</v>
      </c>
      <c r="N500" t="s">
        <v>51</v>
      </c>
      <c r="O500" t="s">
        <v>392</v>
      </c>
      <c r="P500" s="6" t="str">
        <f>IF(Table1[[#This Row],[Transaction_Amount]]&lt;=Table1[[#This Row],[avg_transaction_amount]], "usual transaction", "unusual transaction")</f>
        <v>usual transaction</v>
      </c>
      <c r="Q500" s="6" t="str">
        <f>IF(AND(Table1[[#This Row],[Country_of_Residence]]&lt;&gt;Table1[[#This Row],[Country_of_Transaction]], OR(Table1[[#This Row],[Authentication_Type]]="Biometric", Table1[[#This Row],[Authentication_Type]]="OTP")), "safe location transaction", "unsafe location transaction")</f>
        <v>safe location transaction</v>
      </c>
      <c r="R500" s="6" t="str">
        <f>IF(AND(Table1[[#This Row],[Country_of_Residence]]&lt;&gt;Table1[[#This Row],[Country_of_Transaction]], OR(Table1[[#This Row],[Merchant_Category]]="Electronics", Table1[[#This Row],[Merchant_Category]]="Travel")), "unsafe merchant transaction", "safe merchant transaction")</f>
        <v>safe merchant transaction</v>
      </c>
    </row>
    <row r="501" spans="1:18">
      <c r="A501" t="s">
        <v>4879</v>
      </c>
      <c r="B501" t="s">
        <v>116</v>
      </c>
      <c r="C501">
        <v>1</v>
      </c>
      <c r="D501" t="s">
        <v>9</v>
      </c>
      <c r="E501" t="s">
        <v>5</v>
      </c>
      <c r="F501" s="2">
        <v>45863</v>
      </c>
      <c r="G501">
        <v>1770.84</v>
      </c>
      <c r="H501" s="1">
        <f>AVERAGEIF(Table1[Customer_ID], Table1[[#This Row],[Customer_ID]], Table1[Transaction_Amount])</f>
        <v>5671.5049206349195</v>
      </c>
      <c r="I501" t="s">
        <v>2283</v>
      </c>
      <c r="J501" t="s">
        <v>46</v>
      </c>
      <c r="K501" t="s">
        <v>14</v>
      </c>
      <c r="L501">
        <v>2</v>
      </c>
      <c r="M501" t="s">
        <v>47</v>
      </c>
      <c r="N501" t="s">
        <v>37</v>
      </c>
      <c r="O501" t="s">
        <v>392</v>
      </c>
      <c r="P501" s="6" t="str">
        <f>IF(Table1[[#This Row],[Transaction_Amount]]&lt;=Table1[[#This Row],[avg_transaction_amount]], "usual transaction", "unusual transaction")</f>
        <v>usual transaction</v>
      </c>
      <c r="Q501" s="6" t="str">
        <f>IF(AND(Table1[[#This Row],[Country_of_Residence]]&lt;&gt;Table1[[#This Row],[Country_of_Transaction]], OR(Table1[[#This Row],[Authentication_Type]]="Biometric", Table1[[#This Row],[Authentication_Type]]="OTP")), "safe location transaction", "unsafe location transaction")</f>
        <v>unsafe location transaction</v>
      </c>
      <c r="R501" s="6" t="str">
        <f>IF(AND(Table1[[#This Row],[Country_of_Residence]]&lt;&gt;Table1[[#This Row],[Country_of_Transaction]], OR(Table1[[#This Row],[Merchant_Category]]="Electronics", Table1[[#This Row],[Merchant_Category]]="Travel")), "unsafe merchant transaction", "safe merchant transaction")</f>
        <v>safe merchant transaction</v>
      </c>
    </row>
    <row r="502" spans="1:18">
      <c r="A502" t="s">
        <v>4904</v>
      </c>
      <c r="B502" t="s">
        <v>116</v>
      </c>
      <c r="C502">
        <v>1</v>
      </c>
      <c r="D502" t="s">
        <v>15</v>
      </c>
      <c r="E502" t="s">
        <v>420</v>
      </c>
      <c r="F502" s="2">
        <v>46007</v>
      </c>
      <c r="G502">
        <v>3396.12</v>
      </c>
      <c r="H502" s="1">
        <f>AVERAGEIF(Table1[Customer_ID], Table1[[#This Row],[Customer_ID]], Table1[Transaction_Amount])</f>
        <v>5671.5049206349195</v>
      </c>
      <c r="I502" t="s">
        <v>2304</v>
      </c>
      <c r="J502" t="s">
        <v>41</v>
      </c>
      <c r="K502" t="s">
        <v>10</v>
      </c>
      <c r="L502">
        <v>5</v>
      </c>
      <c r="M502" t="s">
        <v>51</v>
      </c>
      <c r="N502" t="s">
        <v>33</v>
      </c>
      <c r="O502" t="s">
        <v>392</v>
      </c>
      <c r="P502" s="6" t="str">
        <f>IF(Table1[[#This Row],[Transaction_Amount]]&lt;=Table1[[#This Row],[avg_transaction_amount]], "usual transaction", "unusual transaction")</f>
        <v>usual transaction</v>
      </c>
      <c r="Q502" s="6" t="str">
        <f>IF(AND(Table1[[#This Row],[Country_of_Residence]]&lt;&gt;Table1[[#This Row],[Country_of_Transaction]], OR(Table1[[#This Row],[Authentication_Type]]="Biometric", Table1[[#This Row],[Authentication_Type]]="OTP")), "safe location transaction", "unsafe location transaction")</f>
        <v>safe location transaction</v>
      </c>
      <c r="R502" s="6" t="str">
        <f>IF(AND(Table1[[#This Row],[Country_of_Residence]]&lt;&gt;Table1[[#This Row],[Country_of_Transaction]], OR(Table1[[#This Row],[Merchant_Category]]="Electronics", Table1[[#This Row],[Merchant_Category]]="Travel")), "unsafe merchant transaction", "safe merchant transaction")</f>
        <v>safe merchant transaction</v>
      </c>
    </row>
    <row r="503" spans="1:18">
      <c r="A503" t="s">
        <v>4979</v>
      </c>
      <c r="B503" t="s">
        <v>116</v>
      </c>
      <c r="C503">
        <v>1</v>
      </c>
      <c r="D503" t="s">
        <v>9</v>
      </c>
      <c r="E503" t="s">
        <v>5</v>
      </c>
      <c r="F503" s="2">
        <v>45822</v>
      </c>
      <c r="G503">
        <v>9541.67</v>
      </c>
      <c r="H503" s="1">
        <f>AVERAGEIF(Table1[Customer_ID], Table1[[#This Row],[Customer_ID]], Table1[Transaction_Amount])</f>
        <v>5671.5049206349195</v>
      </c>
      <c r="I503" t="s">
        <v>2363</v>
      </c>
      <c r="J503" t="s">
        <v>50</v>
      </c>
      <c r="K503" t="s">
        <v>14</v>
      </c>
      <c r="L503">
        <v>4</v>
      </c>
      <c r="M503" t="s">
        <v>412</v>
      </c>
      <c r="N503" t="s">
        <v>33</v>
      </c>
      <c r="O503" t="s">
        <v>392</v>
      </c>
      <c r="P503" s="6" t="str">
        <f>IF(Table1[[#This Row],[Transaction_Amount]]&lt;=Table1[[#This Row],[avg_transaction_amount]], "usual transaction", "unusual transaction")</f>
        <v>unusual transaction</v>
      </c>
      <c r="Q503" s="6" t="str">
        <f>IF(AND(Table1[[#This Row],[Country_of_Residence]]&lt;&gt;Table1[[#This Row],[Country_of_Transaction]], OR(Table1[[#This Row],[Authentication_Type]]="Biometric", Table1[[#This Row],[Authentication_Type]]="OTP")), "safe location transaction", "unsafe location transaction")</f>
        <v>unsafe location transaction</v>
      </c>
      <c r="R503" s="6" t="str">
        <f>IF(AND(Table1[[#This Row],[Country_of_Residence]]&lt;&gt;Table1[[#This Row],[Country_of_Transaction]], OR(Table1[[#This Row],[Merchant_Category]]="Electronics", Table1[[#This Row],[Merchant_Category]]="Travel")), "unsafe merchant transaction", "safe merchant transaction")</f>
        <v>unsafe merchant transaction</v>
      </c>
    </row>
    <row r="504" spans="1:18">
      <c r="A504" t="s">
        <v>4988</v>
      </c>
      <c r="B504" t="s">
        <v>116</v>
      </c>
      <c r="C504">
        <v>1</v>
      </c>
      <c r="D504" t="s">
        <v>9</v>
      </c>
      <c r="E504" t="s">
        <v>5</v>
      </c>
      <c r="F504" s="2">
        <v>45813</v>
      </c>
      <c r="G504">
        <v>4762.67</v>
      </c>
      <c r="H504" s="1">
        <f>AVERAGEIF(Table1[Customer_ID], Table1[[#This Row],[Customer_ID]], Table1[Transaction_Amount])</f>
        <v>5671.5049206349195</v>
      </c>
      <c r="I504" t="s">
        <v>2370</v>
      </c>
      <c r="J504" t="s">
        <v>46</v>
      </c>
      <c r="K504" t="s">
        <v>12</v>
      </c>
      <c r="L504">
        <v>2</v>
      </c>
      <c r="M504" t="s">
        <v>33</v>
      </c>
      <c r="N504" t="s">
        <v>42</v>
      </c>
      <c r="O504" t="s">
        <v>393</v>
      </c>
      <c r="P504" s="6" t="str">
        <f>IF(Table1[[#This Row],[Transaction_Amount]]&lt;=Table1[[#This Row],[avg_transaction_amount]], "usual transaction", "unusual transaction")</f>
        <v>usual transaction</v>
      </c>
      <c r="Q504" s="6" t="str">
        <f>IF(AND(Table1[[#This Row],[Country_of_Residence]]&lt;&gt;Table1[[#This Row],[Country_of_Transaction]], OR(Table1[[#This Row],[Authentication_Type]]="Biometric", Table1[[#This Row],[Authentication_Type]]="OTP")), "safe location transaction", "unsafe location transaction")</f>
        <v>unsafe location transaction</v>
      </c>
      <c r="R504" s="6" t="str">
        <f>IF(AND(Table1[[#This Row],[Country_of_Residence]]&lt;&gt;Table1[[#This Row],[Country_of_Transaction]], OR(Table1[[#This Row],[Merchant_Category]]="Electronics", Table1[[#This Row],[Merchant_Category]]="Travel")), "unsafe merchant transaction", "safe merchant transaction")</f>
        <v>safe merchant transaction</v>
      </c>
    </row>
    <row r="505" spans="1:18">
      <c r="A505" t="s">
        <v>5063</v>
      </c>
      <c r="B505" t="s">
        <v>116</v>
      </c>
      <c r="C505">
        <v>1</v>
      </c>
      <c r="D505" t="s">
        <v>15</v>
      </c>
      <c r="E505" t="s">
        <v>5</v>
      </c>
      <c r="F505" s="2">
        <v>45875</v>
      </c>
      <c r="G505">
        <v>2494.39</v>
      </c>
      <c r="H505" s="1">
        <f>AVERAGEIF(Table1[Customer_ID], Table1[[#This Row],[Customer_ID]], Table1[Transaction_Amount])</f>
        <v>5671.5049206349195</v>
      </c>
      <c r="I505" t="s">
        <v>2424</v>
      </c>
      <c r="J505" t="s">
        <v>31</v>
      </c>
      <c r="K505" t="s">
        <v>12</v>
      </c>
      <c r="L505">
        <v>5</v>
      </c>
      <c r="M505" t="s">
        <v>51</v>
      </c>
      <c r="N505" t="s">
        <v>51</v>
      </c>
      <c r="O505" t="s">
        <v>393</v>
      </c>
      <c r="P505" s="6" t="str">
        <f>IF(Table1[[#This Row],[Transaction_Amount]]&lt;=Table1[[#This Row],[avg_transaction_amount]], "usual transaction", "unusual transaction")</f>
        <v>usual transaction</v>
      </c>
      <c r="Q505" s="6" t="str">
        <f>IF(AND(Table1[[#This Row],[Country_of_Residence]]&lt;&gt;Table1[[#This Row],[Country_of_Transaction]], OR(Table1[[#This Row],[Authentication_Type]]="Biometric", Table1[[#This Row],[Authentication_Type]]="OTP")), "safe location transaction", "unsafe location transaction")</f>
        <v>unsafe location transaction</v>
      </c>
      <c r="R505" s="6" t="str">
        <f>IF(AND(Table1[[#This Row],[Country_of_Residence]]&lt;&gt;Table1[[#This Row],[Country_of_Transaction]], OR(Table1[[#This Row],[Merchant_Category]]="Electronics", Table1[[#This Row],[Merchant_Category]]="Travel")), "unsafe merchant transaction", "safe merchant transaction")</f>
        <v>safe merchant transaction</v>
      </c>
    </row>
    <row r="506" spans="1:18">
      <c r="A506" t="s">
        <v>5219</v>
      </c>
      <c r="B506" t="s">
        <v>116</v>
      </c>
      <c r="C506">
        <v>1</v>
      </c>
      <c r="D506" t="s">
        <v>9</v>
      </c>
      <c r="E506" t="s">
        <v>6</v>
      </c>
      <c r="F506" s="2">
        <v>45727</v>
      </c>
      <c r="G506">
        <v>788.55</v>
      </c>
      <c r="H506" s="1">
        <f>AVERAGEIF(Table1[Customer_ID], Table1[[#This Row],[Customer_ID]], Table1[Transaction_Amount])</f>
        <v>5671.5049206349195</v>
      </c>
      <c r="I506" t="s">
        <v>2544</v>
      </c>
      <c r="J506" t="s">
        <v>31</v>
      </c>
      <c r="K506" t="s">
        <v>10</v>
      </c>
      <c r="L506">
        <v>1</v>
      </c>
      <c r="M506" t="s">
        <v>47</v>
      </c>
      <c r="N506" t="s">
        <v>32</v>
      </c>
      <c r="O506" t="s">
        <v>393</v>
      </c>
      <c r="P506" s="6" t="str">
        <f>IF(Table1[[#This Row],[Transaction_Amount]]&lt;=Table1[[#This Row],[avg_transaction_amount]], "usual transaction", "unusual transaction")</f>
        <v>usual transaction</v>
      </c>
      <c r="Q506" s="6" t="str">
        <f>IF(AND(Table1[[#This Row],[Country_of_Residence]]&lt;&gt;Table1[[#This Row],[Country_of_Transaction]], OR(Table1[[#This Row],[Authentication_Type]]="Biometric", Table1[[#This Row],[Authentication_Type]]="OTP")), "safe location transaction", "unsafe location transaction")</f>
        <v>safe location transaction</v>
      </c>
      <c r="R506" s="6" t="str">
        <f>IF(AND(Table1[[#This Row],[Country_of_Residence]]&lt;&gt;Table1[[#This Row],[Country_of_Transaction]], OR(Table1[[#This Row],[Merchant_Category]]="Electronics", Table1[[#This Row],[Merchant_Category]]="Travel")), "unsafe merchant transaction", "safe merchant transaction")</f>
        <v>safe merchant transaction</v>
      </c>
    </row>
    <row r="507" spans="1:18">
      <c r="A507" t="s">
        <v>5234</v>
      </c>
      <c r="B507" t="s">
        <v>116</v>
      </c>
      <c r="C507">
        <v>1</v>
      </c>
      <c r="D507" t="s">
        <v>15</v>
      </c>
      <c r="E507" t="s">
        <v>5</v>
      </c>
      <c r="F507" s="2">
        <v>45733</v>
      </c>
      <c r="G507">
        <v>2102.5</v>
      </c>
      <c r="H507" s="1">
        <f>AVERAGEIF(Table1[Customer_ID], Table1[[#This Row],[Customer_ID]], Table1[Transaction_Amount])</f>
        <v>5671.5049206349195</v>
      </c>
      <c r="I507" t="s">
        <v>2556</v>
      </c>
      <c r="J507" t="s">
        <v>46</v>
      </c>
      <c r="K507" t="s">
        <v>14</v>
      </c>
      <c r="L507">
        <v>1</v>
      </c>
      <c r="M507" t="s">
        <v>51</v>
      </c>
      <c r="N507" t="s">
        <v>56</v>
      </c>
      <c r="O507" t="s">
        <v>392</v>
      </c>
      <c r="P507" s="6" t="str">
        <f>IF(Table1[[#This Row],[Transaction_Amount]]&lt;=Table1[[#This Row],[avg_transaction_amount]], "usual transaction", "unusual transaction")</f>
        <v>usual transaction</v>
      </c>
      <c r="Q507" s="6" t="str">
        <f>IF(AND(Table1[[#This Row],[Country_of_Residence]]&lt;&gt;Table1[[#This Row],[Country_of_Transaction]], OR(Table1[[#This Row],[Authentication_Type]]="Biometric", Table1[[#This Row],[Authentication_Type]]="OTP")), "safe location transaction", "unsafe location transaction")</f>
        <v>unsafe location transaction</v>
      </c>
      <c r="R507" s="6" t="str">
        <f>IF(AND(Table1[[#This Row],[Country_of_Residence]]&lt;&gt;Table1[[#This Row],[Country_of_Transaction]], OR(Table1[[#This Row],[Merchant_Category]]="Electronics", Table1[[#This Row],[Merchant_Category]]="Travel")), "unsafe merchant transaction", "safe merchant transaction")</f>
        <v>safe merchant transaction</v>
      </c>
    </row>
    <row r="508" spans="1:18">
      <c r="A508" t="s">
        <v>5282</v>
      </c>
      <c r="B508" t="s">
        <v>116</v>
      </c>
      <c r="C508">
        <v>1</v>
      </c>
      <c r="D508" t="s">
        <v>9</v>
      </c>
      <c r="E508" t="s">
        <v>5</v>
      </c>
      <c r="F508" s="2">
        <v>45715</v>
      </c>
      <c r="G508">
        <v>9039.1200000000008</v>
      </c>
      <c r="H508" s="1">
        <f>AVERAGEIF(Table1[Customer_ID], Table1[[#This Row],[Customer_ID]], Table1[Transaction_Amount])</f>
        <v>5671.5049206349195</v>
      </c>
      <c r="I508" t="s">
        <v>2590</v>
      </c>
      <c r="J508" t="s">
        <v>31</v>
      </c>
      <c r="K508" t="s">
        <v>14</v>
      </c>
      <c r="L508">
        <v>0</v>
      </c>
      <c r="M508" t="s">
        <v>412</v>
      </c>
      <c r="N508" t="s">
        <v>32</v>
      </c>
      <c r="O508" t="s">
        <v>392</v>
      </c>
      <c r="P508" s="6" t="str">
        <f>IF(Table1[[#This Row],[Transaction_Amount]]&lt;=Table1[[#This Row],[avg_transaction_amount]], "usual transaction", "unusual transaction")</f>
        <v>unusual transaction</v>
      </c>
      <c r="Q508" s="6" t="str">
        <f>IF(AND(Table1[[#This Row],[Country_of_Residence]]&lt;&gt;Table1[[#This Row],[Country_of_Transaction]], OR(Table1[[#This Row],[Authentication_Type]]="Biometric", Table1[[#This Row],[Authentication_Type]]="OTP")), "safe location transaction", "unsafe location transaction")</f>
        <v>unsafe location transaction</v>
      </c>
      <c r="R508" s="6" t="str">
        <f>IF(AND(Table1[[#This Row],[Country_of_Residence]]&lt;&gt;Table1[[#This Row],[Country_of_Transaction]], OR(Table1[[#This Row],[Merchant_Category]]="Electronics", Table1[[#This Row],[Merchant_Category]]="Travel")), "unsafe merchant transaction", "safe merchant transaction")</f>
        <v>safe merchant transaction</v>
      </c>
    </row>
    <row r="509" spans="1:18">
      <c r="A509" t="s">
        <v>5308</v>
      </c>
      <c r="B509" t="s">
        <v>116</v>
      </c>
      <c r="C509">
        <v>1</v>
      </c>
      <c r="D509" t="s">
        <v>9</v>
      </c>
      <c r="E509" t="s">
        <v>420</v>
      </c>
      <c r="F509" s="2">
        <v>45718</v>
      </c>
      <c r="G509">
        <v>2014.91</v>
      </c>
      <c r="H509" s="1">
        <f>AVERAGEIF(Table1[Customer_ID], Table1[[#This Row],[Customer_ID]], Table1[Transaction_Amount])</f>
        <v>5671.5049206349195</v>
      </c>
      <c r="I509" t="s">
        <v>584</v>
      </c>
      <c r="J509" t="s">
        <v>50</v>
      </c>
      <c r="K509" t="s">
        <v>12</v>
      </c>
      <c r="L509">
        <v>2</v>
      </c>
      <c r="M509" t="s">
        <v>412</v>
      </c>
      <c r="N509" t="s">
        <v>42</v>
      </c>
      <c r="O509" t="s">
        <v>393</v>
      </c>
      <c r="P509" s="6" t="str">
        <f>IF(Table1[[#This Row],[Transaction_Amount]]&lt;=Table1[[#This Row],[avg_transaction_amount]], "usual transaction", "unusual transaction")</f>
        <v>usual transaction</v>
      </c>
      <c r="Q509" s="6" t="str">
        <f>IF(AND(Table1[[#This Row],[Country_of_Residence]]&lt;&gt;Table1[[#This Row],[Country_of_Transaction]], OR(Table1[[#This Row],[Authentication_Type]]="Biometric", Table1[[#This Row],[Authentication_Type]]="OTP")), "safe location transaction", "unsafe location transaction")</f>
        <v>unsafe location transaction</v>
      </c>
      <c r="R509" s="6" t="str">
        <f>IF(AND(Table1[[#This Row],[Country_of_Residence]]&lt;&gt;Table1[[#This Row],[Country_of_Transaction]], OR(Table1[[#This Row],[Merchant_Category]]="Electronics", Table1[[#This Row],[Merchant_Category]]="Travel")), "unsafe merchant transaction", "safe merchant transaction")</f>
        <v>unsafe merchant transaction</v>
      </c>
    </row>
    <row r="510" spans="1:18">
      <c r="A510" t="s">
        <v>5330</v>
      </c>
      <c r="B510" t="s">
        <v>116</v>
      </c>
      <c r="C510">
        <v>1</v>
      </c>
      <c r="D510" t="s">
        <v>15</v>
      </c>
      <c r="E510" t="s">
        <v>5</v>
      </c>
      <c r="F510" s="2">
        <v>46001</v>
      </c>
      <c r="G510">
        <v>554.55999999999995</v>
      </c>
      <c r="H510" s="1">
        <f>AVERAGEIF(Table1[Customer_ID], Table1[[#This Row],[Customer_ID]], Table1[Transaction_Amount])</f>
        <v>5671.5049206349195</v>
      </c>
      <c r="I510" t="s">
        <v>2626</v>
      </c>
      <c r="J510" t="s">
        <v>50</v>
      </c>
      <c r="K510" t="s">
        <v>8</v>
      </c>
      <c r="L510">
        <v>2</v>
      </c>
      <c r="M510" t="s">
        <v>32</v>
      </c>
      <c r="N510" t="s">
        <v>55</v>
      </c>
      <c r="O510" t="s">
        <v>392</v>
      </c>
      <c r="P510" s="6" t="str">
        <f>IF(Table1[[#This Row],[Transaction_Amount]]&lt;=Table1[[#This Row],[avg_transaction_amount]], "usual transaction", "unusual transaction")</f>
        <v>usual transaction</v>
      </c>
      <c r="Q510" s="6" t="str">
        <f>IF(AND(Table1[[#This Row],[Country_of_Residence]]&lt;&gt;Table1[[#This Row],[Country_of_Transaction]], OR(Table1[[#This Row],[Authentication_Type]]="Biometric", Table1[[#This Row],[Authentication_Type]]="OTP")), "safe location transaction", "unsafe location transaction")</f>
        <v>safe location transaction</v>
      </c>
      <c r="R510" s="6" t="str">
        <f>IF(AND(Table1[[#This Row],[Country_of_Residence]]&lt;&gt;Table1[[#This Row],[Country_of_Transaction]], OR(Table1[[#This Row],[Merchant_Category]]="Electronics", Table1[[#This Row],[Merchant_Category]]="Travel")), "unsafe merchant transaction", "safe merchant transaction")</f>
        <v>unsafe merchant transaction</v>
      </c>
    </row>
    <row r="511" spans="1:18">
      <c r="A511" t="s">
        <v>5440</v>
      </c>
      <c r="B511" t="s">
        <v>116</v>
      </c>
      <c r="C511">
        <v>1</v>
      </c>
      <c r="D511" t="s">
        <v>9</v>
      </c>
      <c r="E511" t="s">
        <v>420</v>
      </c>
      <c r="F511" s="2">
        <v>45908</v>
      </c>
      <c r="G511">
        <v>3613.38</v>
      </c>
      <c r="H511" s="1">
        <f>AVERAGEIF(Table1[Customer_ID], Table1[[#This Row],[Customer_ID]], Table1[Transaction_Amount])</f>
        <v>5671.5049206349195</v>
      </c>
      <c r="I511" t="s">
        <v>2709</v>
      </c>
      <c r="J511" t="s">
        <v>50</v>
      </c>
      <c r="K511" t="s">
        <v>14</v>
      </c>
      <c r="L511">
        <v>4</v>
      </c>
      <c r="M511" t="s">
        <v>56</v>
      </c>
      <c r="N511" t="s">
        <v>37</v>
      </c>
      <c r="O511" t="s">
        <v>392</v>
      </c>
      <c r="P511" s="6" t="str">
        <f>IF(Table1[[#This Row],[Transaction_Amount]]&lt;=Table1[[#This Row],[avg_transaction_amount]], "usual transaction", "unusual transaction")</f>
        <v>usual transaction</v>
      </c>
      <c r="Q511" s="6" t="str">
        <f>IF(AND(Table1[[#This Row],[Country_of_Residence]]&lt;&gt;Table1[[#This Row],[Country_of_Transaction]], OR(Table1[[#This Row],[Authentication_Type]]="Biometric", Table1[[#This Row],[Authentication_Type]]="OTP")), "safe location transaction", "unsafe location transaction")</f>
        <v>unsafe location transaction</v>
      </c>
      <c r="R511" s="6" t="str">
        <f>IF(AND(Table1[[#This Row],[Country_of_Residence]]&lt;&gt;Table1[[#This Row],[Country_of_Transaction]], OR(Table1[[#This Row],[Merchant_Category]]="Electronics", Table1[[#This Row],[Merchant_Category]]="Travel")), "unsafe merchant transaction", "safe merchant transaction")</f>
        <v>unsafe merchant transaction</v>
      </c>
    </row>
    <row r="512" spans="1:18">
      <c r="A512" t="s">
        <v>5442</v>
      </c>
      <c r="B512" t="s">
        <v>116</v>
      </c>
      <c r="C512">
        <v>1</v>
      </c>
      <c r="D512" t="s">
        <v>9</v>
      </c>
      <c r="E512" t="s">
        <v>5</v>
      </c>
      <c r="F512" s="2">
        <v>45764</v>
      </c>
      <c r="G512">
        <v>9604.81</v>
      </c>
      <c r="H512" s="1">
        <f>AVERAGEIF(Table1[Customer_ID], Table1[[#This Row],[Customer_ID]], Table1[Transaction_Amount])</f>
        <v>5671.5049206349195</v>
      </c>
      <c r="I512" t="s">
        <v>2710</v>
      </c>
      <c r="J512" t="s">
        <v>41</v>
      </c>
      <c r="K512" t="s">
        <v>12</v>
      </c>
      <c r="L512">
        <v>4</v>
      </c>
      <c r="M512" t="s">
        <v>51</v>
      </c>
      <c r="N512" t="s">
        <v>37</v>
      </c>
      <c r="O512" t="s">
        <v>393</v>
      </c>
      <c r="P512" s="6" t="str">
        <f>IF(Table1[[#This Row],[Transaction_Amount]]&lt;=Table1[[#This Row],[avg_transaction_amount]], "usual transaction", "unusual transaction")</f>
        <v>unusual transaction</v>
      </c>
      <c r="Q512" s="6" t="str">
        <f>IF(AND(Table1[[#This Row],[Country_of_Residence]]&lt;&gt;Table1[[#This Row],[Country_of_Transaction]], OR(Table1[[#This Row],[Authentication_Type]]="Biometric", Table1[[#This Row],[Authentication_Type]]="OTP")), "safe location transaction", "unsafe location transaction")</f>
        <v>unsafe location transaction</v>
      </c>
      <c r="R512" s="6" t="str">
        <f>IF(AND(Table1[[#This Row],[Country_of_Residence]]&lt;&gt;Table1[[#This Row],[Country_of_Transaction]], OR(Table1[[#This Row],[Merchant_Category]]="Electronics", Table1[[#This Row],[Merchant_Category]]="Travel")), "unsafe merchant transaction", "safe merchant transaction")</f>
        <v>safe merchant transaction</v>
      </c>
    </row>
    <row r="513" spans="1:18">
      <c r="A513" t="s">
        <v>5449</v>
      </c>
      <c r="B513" t="s">
        <v>116</v>
      </c>
      <c r="C513">
        <v>1</v>
      </c>
      <c r="D513" t="s">
        <v>9</v>
      </c>
      <c r="E513" t="s">
        <v>3</v>
      </c>
      <c r="F513" s="2">
        <v>45740</v>
      </c>
      <c r="G513">
        <v>8507.56</v>
      </c>
      <c r="H513" s="1">
        <f>AVERAGEIF(Table1[Customer_ID], Table1[[#This Row],[Customer_ID]], Table1[Transaction_Amount])</f>
        <v>5671.5049206349195</v>
      </c>
      <c r="I513" t="s">
        <v>2715</v>
      </c>
      <c r="J513" t="s">
        <v>36</v>
      </c>
      <c r="K513" t="s">
        <v>12</v>
      </c>
      <c r="L513">
        <v>3</v>
      </c>
      <c r="M513" t="s">
        <v>56</v>
      </c>
      <c r="N513" t="s">
        <v>32</v>
      </c>
      <c r="O513" t="s">
        <v>393</v>
      </c>
      <c r="P513" s="6" t="str">
        <f>IF(Table1[[#This Row],[Transaction_Amount]]&lt;=Table1[[#This Row],[avg_transaction_amount]], "usual transaction", "unusual transaction")</f>
        <v>unusual transaction</v>
      </c>
      <c r="Q513" s="6" t="str">
        <f>IF(AND(Table1[[#This Row],[Country_of_Residence]]&lt;&gt;Table1[[#This Row],[Country_of_Transaction]], OR(Table1[[#This Row],[Authentication_Type]]="Biometric", Table1[[#This Row],[Authentication_Type]]="OTP")), "safe location transaction", "unsafe location transaction")</f>
        <v>unsafe location transaction</v>
      </c>
      <c r="R513" s="6" t="str">
        <f>IF(AND(Table1[[#This Row],[Country_of_Residence]]&lt;&gt;Table1[[#This Row],[Country_of_Transaction]], OR(Table1[[#This Row],[Merchant_Category]]="Electronics", Table1[[#This Row],[Merchant_Category]]="Travel")), "unsafe merchant transaction", "safe merchant transaction")</f>
        <v>safe merchant transaction</v>
      </c>
    </row>
    <row r="514" spans="1:18">
      <c r="A514" t="s">
        <v>5499</v>
      </c>
      <c r="B514" t="s">
        <v>116</v>
      </c>
      <c r="C514">
        <v>1</v>
      </c>
      <c r="D514" t="s">
        <v>15</v>
      </c>
      <c r="E514" t="s">
        <v>5</v>
      </c>
      <c r="F514" s="2">
        <v>45665</v>
      </c>
      <c r="G514">
        <v>3264.17</v>
      </c>
      <c r="H514" s="1">
        <f>AVERAGEIF(Table1[Customer_ID], Table1[[#This Row],[Customer_ID]], Table1[Transaction_Amount])</f>
        <v>5671.5049206349195</v>
      </c>
      <c r="I514" t="s">
        <v>2438</v>
      </c>
      <c r="J514" t="s">
        <v>36</v>
      </c>
      <c r="K514" t="s">
        <v>14</v>
      </c>
      <c r="L514">
        <v>2</v>
      </c>
      <c r="M514" t="s">
        <v>33</v>
      </c>
      <c r="N514" t="s">
        <v>37</v>
      </c>
      <c r="O514" t="s">
        <v>392</v>
      </c>
      <c r="P514" s="6" t="str">
        <f>IF(Table1[[#This Row],[Transaction_Amount]]&lt;=Table1[[#This Row],[avg_transaction_amount]], "usual transaction", "unusual transaction")</f>
        <v>usual transaction</v>
      </c>
      <c r="Q514" s="6" t="str">
        <f>IF(AND(Table1[[#This Row],[Country_of_Residence]]&lt;&gt;Table1[[#This Row],[Country_of_Transaction]], OR(Table1[[#This Row],[Authentication_Type]]="Biometric", Table1[[#This Row],[Authentication_Type]]="OTP")), "safe location transaction", "unsafe location transaction")</f>
        <v>unsafe location transaction</v>
      </c>
      <c r="R514" s="6" t="str">
        <f>IF(AND(Table1[[#This Row],[Country_of_Residence]]&lt;&gt;Table1[[#This Row],[Country_of_Transaction]], OR(Table1[[#This Row],[Merchant_Category]]="Electronics", Table1[[#This Row],[Merchant_Category]]="Travel")), "unsafe merchant transaction", "safe merchant transaction")</f>
        <v>safe merchant transaction</v>
      </c>
    </row>
    <row r="515" spans="1:18">
      <c r="A515" t="s">
        <v>123</v>
      </c>
      <c r="B515" t="s">
        <v>124</v>
      </c>
      <c r="C515">
        <v>1</v>
      </c>
      <c r="D515" t="s">
        <v>9</v>
      </c>
      <c r="E515" t="s">
        <v>6</v>
      </c>
      <c r="F515" s="2">
        <v>45795.734722222202</v>
      </c>
      <c r="G515">
        <v>3615.25</v>
      </c>
      <c r="H515" s="1">
        <f>AVERAGEIF(Table1[Customer_ID], Table1[[#This Row],[Customer_ID]], Table1[Transaction_Amount])</f>
        <v>4320.8560784313731</v>
      </c>
      <c r="I515" t="s">
        <v>125</v>
      </c>
      <c r="J515" t="s">
        <v>31</v>
      </c>
      <c r="K515" t="s">
        <v>14</v>
      </c>
      <c r="L515">
        <v>1</v>
      </c>
      <c r="M515" t="s">
        <v>126</v>
      </c>
      <c r="N515" t="s">
        <v>127</v>
      </c>
      <c r="O515" t="s">
        <v>393</v>
      </c>
      <c r="P515" t="str">
        <f>IF(Table1[[#This Row],[Transaction_Amount]]&lt;=Table1[[#This Row],[avg_transaction_amount]], "usual transaction", "unusual transaction")</f>
        <v>usual transaction</v>
      </c>
      <c r="Q515" t="str">
        <f>IF(AND(Table1[[#This Row],[Country_of_Residence]]&lt;&gt;Table1[[#This Row],[Country_of_Transaction]], OR(Table1[[#This Row],[Authentication_Type]]="Biometric", Table1[[#This Row],[Authentication_Type]]="OTP")), "safe location transaction", "unsafe location transaction")</f>
        <v>unsafe location transaction</v>
      </c>
      <c r="R515" t="str">
        <f>IF(AND(Table1[[#This Row],[Country_of_Residence]]&lt;&gt;Table1[[#This Row],[Country_of_Transaction]], OR(Table1[[#This Row],[Merchant_Category]]="Electronics", Table1[[#This Row],[Merchant_Category]]="Travel")), "unsafe merchant transaction", "safe merchant transaction")</f>
        <v>safe merchant transaction</v>
      </c>
    </row>
    <row r="516" spans="1:18">
      <c r="A516" t="s">
        <v>2775</v>
      </c>
      <c r="B516" t="s">
        <v>124</v>
      </c>
      <c r="C516">
        <v>1</v>
      </c>
      <c r="D516" t="s">
        <v>15</v>
      </c>
      <c r="E516" t="s">
        <v>5</v>
      </c>
      <c r="F516" s="2">
        <v>45908</v>
      </c>
      <c r="G516">
        <v>3770.44</v>
      </c>
      <c r="H516" s="1">
        <f>AVERAGEIF(Table1[Customer_ID], Table1[[#This Row],[Customer_ID]], Table1[Transaction_Amount])</f>
        <v>4320.8560784313731</v>
      </c>
      <c r="I516" t="s">
        <v>424</v>
      </c>
      <c r="J516" t="s">
        <v>50</v>
      </c>
      <c r="K516" t="s">
        <v>14</v>
      </c>
      <c r="L516">
        <v>1</v>
      </c>
      <c r="M516" t="s">
        <v>412</v>
      </c>
      <c r="N516" t="s">
        <v>55</v>
      </c>
      <c r="O516" t="s">
        <v>392</v>
      </c>
      <c r="P516" s="6" t="str">
        <f>IF(Table1[[#This Row],[Transaction_Amount]]&lt;=Table1[[#This Row],[avg_transaction_amount]], "usual transaction", "unusual transaction")</f>
        <v>usual transaction</v>
      </c>
      <c r="Q516" s="6" t="str">
        <f>IF(AND(Table1[[#This Row],[Country_of_Residence]]&lt;&gt;Table1[[#This Row],[Country_of_Transaction]], OR(Table1[[#This Row],[Authentication_Type]]="Biometric", Table1[[#This Row],[Authentication_Type]]="OTP")), "safe location transaction", "unsafe location transaction")</f>
        <v>unsafe location transaction</v>
      </c>
      <c r="R516" s="6" t="str">
        <f>IF(AND(Table1[[#This Row],[Country_of_Residence]]&lt;&gt;Table1[[#This Row],[Country_of_Transaction]], OR(Table1[[#This Row],[Merchant_Category]]="Electronics", Table1[[#This Row],[Merchant_Category]]="Travel")), "unsafe merchant transaction", "safe merchant transaction")</f>
        <v>unsafe merchant transaction</v>
      </c>
    </row>
    <row r="517" spans="1:18">
      <c r="A517" t="s">
        <v>2783</v>
      </c>
      <c r="B517" t="s">
        <v>124</v>
      </c>
      <c r="C517">
        <v>1</v>
      </c>
      <c r="D517" t="s">
        <v>15</v>
      </c>
      <c r="E517" t="s">
        <v>3</v>
      </c>
      <c r="F517" s="2">
        <v>45818</v>
      </c>
      <c r="G517">
        <v>1939.48</v>
      </c>
      <c r="H517" s="1">
        <f>AVERAGEIF(Table1[Customer_ID], Table1[[#This Row],[Customer_ID]], Table1[Transaction_Amount])</f>
        <v>4320.8560784313731</v>
      </c>
      <c r="I517" t="s">
        <v>432</v>
      </c>
      <c r="J517" t="s">
        <v>41</v>
      </c>
      <c r="K517" t="s">
        <v>8</v>
      </c>
      <c r="L517">
        <v>4</v>
      </c>
      <c r="M517" t="s">
        <v>33</v>
      </c>
      <c r="N517" t="s">
        <v>42</v>
      </c>
      <c r="O517" t="s">
        <v>392</v>
      </c>
      <c r="P517" s="6" t="str">
        <f>IF(Table1[[#This Row],[Transaction_Amount]]&lt;=Table1[[#This Row],[avg_transaction_amount]], "usual transaction", "unusual transaction")</f>
        <v>usual transaction</v>
      </c>
      <c r="Q517" s="6" t="str">
        <f>IF(AND(Table1[[#This Row],[Country_of_Residence]]&lt;&gt;Table1[[#This Row],[Country_of_Transaction]], OR(Table1[[#This Row],[Authentication_Type]]="Biometric", Table1[[#This Row],[Authentication_Type]]="OTP")), "safe location transaction", "unsafe location transaction")</f>
        <v>safe location transaction</v>
      </c>
      <c r="R517" s="6" t="str">
        <f>IF(AND(Table1[[#This Row],[Country_of_Residence]]&lt;&gt;Table1[[#This Row],[Country_of_Transaction]], OR(Table1[[#This Row],[Merchant_Category]]="Electronics", Table1[[#This Row],[Merchant_Category]]="Travel")), "unsafe merchant transaction", "safe merchant transaction")</f>
        <v>safe merchant transaction</v>
      </c>
    </row>
    <row r="518" spans="1:18">
      <c r="A518" t="s">
        <v>2878</v>
      </c>
      <c r="B518" t="s">
        <v>124</v>
      </c>
      <c r="C518">
        <v>1</v>
      </c>
      <c r="D518" t="s">
        <v>9</v>
      </c>
      <c r="E518" t="s">
        <v>6</v>
      </c>
      <c r="F518" s="2">
        <v>46019</v>
      </c>
      <c r="G518">
        <v>1419.12</v>
      </c>
      <c r="H518" s="1">
        <f>AVERAGEIF(Table1[Customer_ID], Table1[[#This Row],[Customer_ID]], Table1[Transaction_Amount])</f>
        <v>4320.8560784313731</v>
      </c>
      <c r="I518" t="s">
        <v>529</v>
      </c>
      <c r="J518" t="s">
        <v>41</v>
      </c>
      <c r="K518" t="s">
        <v>10</v>
      </c>
      <c r="L518">
        <v>0</v>
      </c>
      <c r="M518" t="s">
        <v>412</v>
      </c>
      <c r="N518" t="s">
        <v>37</v>
      </c>
      <c r="O518" t="s">
        <v>392</v>
      </c>
      <c r="P518" s="6" t="str">
        <f>IF(Table1[[#This Row],[Transaction_Amount]]&lt;=Table1[[#This Row],[avg_transaction_amount]], "usual transaction", "unusual transaction")</f>
        <v>usual transaction</v>
      </c>
      <c r="Q518" s="6" t="str">
        <f>IF(AND(Table1[[#This Row],[Country_of_Residence]]&lt;&gt;Table1[[#This Row],[Country_of_Transaction]], OR(Table1[[#This Row],[Authentication_Type]]="Biometric", Table1[[#This Row],[Authentication_Type]]="OTP")), "safe location transaction", "unsafe location transaction")</f>
        <v>safe location transaction</v>
      </c>
      <c r="R518" s="6" t="str">
        <f>IF(AND(Table1[[#This Row],[Country_of_Residence]]&lt;&gt;Table1[[#This Row],[Country_of_Transaction]], OR(Table1[[#This Row],[Merchant_Category]]="Electronics", Table1[[#This Row],[Merchant_Category]]="Travel")), "unsafe merchant transaction", "safe merchant transaction")</f>
        <v>safe merchant transaction</v>
      </c>
    </row>
    <row r="519" spans="1:18">
      <c r="A519" t="s">
        <v>2879</v>
      </c>
      <c r="B519" t="s">
        <v>124</v>
      </c>
      <c r="C519">
        <v>1</v>
      </c>
      <c r="D519" t="s">
        <v>9</v>
      </c>
      <c r="E519" t="s">
        <v>3</v>
      </c>
      <c r="F519" s="2">
        <v>45805</v>
      </c>
      <c r="G519">
        <v>5510.6</v>
      </c>
      <c r="H519" s="1">
        <f>AVERAGEIF(Table1[Customer_ID], Table1[[#This Row],[Customer_ID]], Table1[Transaction_Amount])</f>
        <v>4320.8560784313731</v>
      </c>
      <c r="I519" t="s">
        <v>530</v>
      </c>
      <c r="J519" t="s">
        <v>31</v>
      </c>
      <c r="K519" t="s">
        <v>10</v>
      </c>
      <c r="L519">
        <v>1</v>
      </c>
      <c r="M519" t="s">
        <v>56</v>
      </c>
      <c r="N519" t="s">
        <v>47</v>
      </c>
      <c r="O519" t="s">
        <v>392</v>
      </c>
      <c r="P519" s="6" t="str">
        <f>IF(Table1[[#This Row],[Transaction_Amount]]&lt;=Table1[[#This Row],[avg_transaction_amount]], "usual transaction", "unusual transaction")</f>
        <v>unusual transaction</v>
      </c>
      <c r="Q519" s="6" t="str">
        <f>IF(AND(Table1[[#This Row],[Country_of_Residence]]&lt;&gt;Table1[[#This Row],[Country_of_Transaction]], OR(Table1[[#This Row],[Authentication_Type]]="Biometric", Table1[[#This Row],[Authentication_Type]]="OTP")), "safe location transaction", "unsafe location transaction")</f>
        <v>safe location transaction</v>
      </c>
      <c r="R519" s="6" t="str">
        <f>IF(AND(Table1[[#This Row],[Country_of_Residence]]&lt;&gt;Table1[[#This Row],[Country_of_Transaction]], OR(Table1[[#This Row],[Merchant_Category]]="Electronics", Table1[[#This Row],[Merchant_Category]]="Travel")), "unsafe merchant transaction", "safe merchant transaction")</f>
        <v>safe merchant transaction</v>
      </c>
    </row>
    <row r="520" spans="1:18">
      <c r="A520" t="s">
        <v>2930</v>
      </c>
      <c r="B520" t="s">
        <v>124</v>
      </c>
      <c r="C520">
        <v>1</v>
      </c>
      <c r="D520" t="s">
        <v>9</v>
      </c>
      <c r="E520" t="s">
        <v>6</v>
      </c>
      <c r="F520" s="2">
        <v>45773</v>
      </c>
      <c r="G520">
        <v>3033.89</v>
      </c>
      <c r="H520" s="1">
        <f>AVERAGEIF(Table1[Customer_ID], Table1[[#This Row],[Customer_ID]], Table1[Transaction_Amount])</f>
        <v>4320.8560784313731</v>
      </c>
      <c r="I520" t="s">
        <v>579</v>
      </c>
      <c r="J520" t="s">
        <v>36</v>
      </c>
      <c r="K520" t="s">
        <v>10</v>
      </c>
      <c r="L520">
        <v>4</v>
      </c>
      <c r="M520" t="s">
        <v>56</v>
      </c>
      <c r="N520" t="s">
        <v>56</v>
      </c>
      <c r="O520" t="s">
        <v>392</v>
      </c>
      <c r="P520" s="6" t="str">
        <f>IF(Table1[[#This Row],[Transaction_Amount]]&lt;=Table1[[#This Row],[avg_transaction_amount]], "usual transaction", "unusual transaction")</f>
        <v>usual transaction</v>
      </c>
      <c r="Q520" s="6" t="str">
        <f>IF(AND(Table1[[#This Row],[Country_of_Residence]]&lt;&gt;Table1[[#This Row],[Country_of_Transaction]], OR(Table1[[#This Row],[Authentication_Type]]="Biometric", Table1[[#This Row],[Authentication_Type]]="OTP")), "safe location transaction", "unsafe location transaction")</f>
        <v>unsafe location transaction</v>
      </c>
      <c r="R520" s="6" t="str">
        <f>IF(AND(Table1[[#This Row],[Country_of_Residence]]&lt;&gt;Table1[[#This Row],[Country_of_Transaction]], OR(Table1[[#This Row],[Merchant_Category]]="Electronics", Table1[[#This Row],[Merchant_Category]]="Travel")), "unsafe merchant transaction", "safe merchant transaction")</f>
        <v>safe merchant transaction</v>
      </c>
    </row>
    <row r="521" spans="1:18">
      <c r="A521" t="s">
        <v>2987</v>
      </c>
      <c r="B521" t="s">
        <v>124</v>
      </c>
      <c r="C521">
        <v>1</v>
      </c>
      <c r="D521" t="s">
        <v>15</v>
      </c>
      <c r="E521" t="s">
        <v>420</v>
      </c>
      <c r="F521" s="2">
        <v>45772</v>
      </c>
      <c r="G521">
        <v>1830.66</v>
      </c>
      <c r="H521" s="1">
        <f>AVERAGEIF(Table1[Customer_ID], Table1[[#This Row],[Customer_ID]], Table1[Transaction_Amount])</f>
        <v>4320.8560784313731</v>
      </c>
      <c r="I521" t="s">
        <v>181</v>
      </c>
      <c r="J521" t="s">
        <v>36</v>
      </c>
      <c r="K521" t="s">
        <v>14</v>
      </c>
      <c r="L521">
        <v>2</v>
      </c>
      <c r="M521" t="s">
        <v>32</v>
      </c>
      <c r="N521" t="s">
        <v>51</v>
      </c>
      <c r="O521" t="s">
        <v>392</v>
      </c>
      <c r="P521" s="6" t="str">
        <f>IF(Table1[[#This Row],[Transaction_Amount]]&lt;=Table1[[#This Row],[avg_transaction_amount]], "usual transaction", "unusual transaction")</f>
        <v>usual transaction</v>
      </c>
      <c r="Q521" s="6" t="str">
        <f>IF(AND(Table1[[#This Row],[Country_of_Residence]]&lt;&gt;Table1[[#This Row],[Country_of_Transaction]], OR(Table1[[#This Row],[Authentication_Type]]="Biometric", Table1[[#This Row],[Authentication_Type]]="OTP")), "safe location transaction", "unsafe location transaction")</f>
        <v>unsafe location transaction</v>
      </c>
      <c r="R521" s="6" t="str">
        <f>IF(AND(Table1[[#This Row],[Country_of_Residence]]&lt;&gt;Table1[[#This Row],[Country_of_Transaction]], OR(Table1[[#This Row],[Merchant_Category]]="Electronics", Table1[[#This Row],[Merchant_Category]]="Travel")), "unsafe merchant transaction", "safe merchant transaction")</f>
        <v>safe merchant transaction</v>
      </c>
    </row>
    <row r="522" spans="1:18">
      <c r="A522" t="s">
        <v>3090</v>
      </c>
      <c r="B522" t="s">
        <v>124</v>
      </c>
      <c r="C522">
        <v>1</v>
      </c>
      <c r="D522" t="s">
        <v>15</v>
      </c>
      <c r="E522" t="s">
        <v>3</v>
      </c>
      <c r="F522" s="2">
        <v>45705</v>
      </c>
      <c r="G522">
        <v>6074.83</v>
      </c>
      <c r="H522" s="1">
        <f>AVERAGEIF(Table1[Customer_ID], Table1[[#This Row],[Customer_ID]], Table1[Transaction_Amount])</f>
        <v>4320.8560784313731</v>
      </c>
      <c r="I522" t="s">
        <v>734</v>
      </c>
      <c r="J522" t="s">
        <v>41</v>
      </c>
      <c r="K522" t="s">
        <v>10</v>
      </c>
      <c r="L522">
        <v>5</v>
      </c>
      <c r="M522" t="s">
        <v>56</v>
      </c>
      <c r="N522" t="s">
        <v>33</v>
      </c>
      <c r="O522" t="s">
        <v>393</v>
      </c>
      <c r="P522" s="6" t="str">
        <f>IF(Table1[[#This Row],[Transaction_Amount]]&lt;=Table1[[#This Row],[avg_transaction_amount]], "usual transaction", "unusual transaction")</f>
        <v>unusual transaction</v>
      </c>
      <c r="Q522" s="6" t="str">
        <f>IF(AND(Table1[[#This Row],[Country_of_Residence]]&lt;&gt;Table1[[#This Row],[Country_of_Transaction]], OR(Table1[[#This Row],[Authentication_Type]]="Biometric", Table1[[#This Row],[Authentication_Type]]="OTP")), "safe location transaction", "unsafe location transaction")</f>
        <v>safe location transaction</v>
      </c>
      <c r="R522" s="6" t="str">
        <f>IF(AND(Table1[[#This Row],[Country_of_Residence]]&lt;&gt;Table1[[#This Row],[Country_of_Transaction]], OR(Table1[[#This Row],[Merchant_Category]]="Electronics", Table1[[#This Row],[Merchant_Category]]="Travel")), "unsafe merchant transaction", "safe merchant transaction")</f>
        <v>safe merchant transaction</v>
      </c>
    </row>
    <row r="523" spans="1:18">
      <c r="A523" t="s">
        <v>3096</v>
      </c>
      <c r="B523" t="s">
        <v>124</v>
      </c>
      <c r="C523">
        <v>1</v>
      </c>
      <c r="D523" t="s">
        <v>15</v>
      </c>
      <c r="E523" t="s">
        <v>3</v>
      </c>
      <c r="F523" s="2">
        <v>45792</v>
      </c>
      <c r="G523">
        <v>4743.1000000000004</v>
      </c>
      <c r="H523" s="1">
        <f>AVERAGEIF(Table1[Customer_ID], Table1[[#This Row],[Customer_ID]], Table1[Transaction_Amount])</f>
        <v>4320.8560784313731</v>
      </c>
      <c r="I523" t="s">
        <v>740</v>
      </c>
      <c r="J523" t="s">
        <v>31</v>
      </c>
      <c r="K523" t="s">
        <v>10</v>
      </c>
      <c r="L523">
        <v>5</v>
      </c>
      <c r="M523" t="s">
        <v>56</v>
      </c>
      <c r="N523" t="s">
        <v>56</v>
      </c>
      <c r="O523" t="s">
        <v>393</v>
      </c>
      <c r="P523" s="6" t="str">
        <f>IF(Table1[[#This Row],[Transaction_Amount]]&lt;=Table1[[#This Row],[avg_transaction_amount]], "usual transaction", "unusual transaction")</f>
        <v>unusual transaction</v>
      </c>
      <c r="Q523" s="6" t="str">
        <f>IF(AND(Table1[[#This Row],[Country_of_Residence]]&lt;&gt;Table1[[#This Row],[Country_of_Transaction]], OR(Table1[[#This Row],[Authentication_Type]]="Biometric", Table1[[#This Row],[Authentication_Type]]="OTP")), "safe location transaction", "unsafe location transaction")</f>
        <v>unsafe location transaction</v>
      </c>
      <c r="R523" s="6" t="str">
        <f>IF(AND(Table1[[#This Row],[Country_of_Residence]]&lt;&gt;Table1[[#This Row],[Country_of_Transaction]], OR(Table1[[#This Row],[Merchant_Category]]="Electronics", Table1[[#This Row],[Merchant_Category]]="Travel")), "unsafe merchant transaction", "safe merchant transaction")</f>
        <v>safe merchant transaction</v>
      </c>
    </row>
    <row r="524" spans="1:18">
      <c r="A524" t="s">
        <v>3141</v>
      </c>
      <c r="B524" t="s">
        <v>124</v>
      </c>
      <c r="C524">
        <v>1</v>
      </c>
      <c r="D524" t="s">
        <v>15</v>
      </c>
      <c r="E524" t="s">
        <v>6</v>
      </c>
      <c r="F524" s="2">
        <v>45789</v>
      </c>
      <c r="G524">
        <v>1427.16</v>
      </c>
      <c r="H524" s="1">
        <f>AVERAGEIF(Table1[Customer_ID], Table1[[#This Row],[Customer_ID]], Table1[Transaction_Amount])</f>
        <v>4320.8560784313731</v>
      </c>
      <c r="I524" t="s">
        <v>781</v>
      </c>
      <c r="J524" t="s">
        <v>41</v>
      </c>
      <c r="K524" t="s">
        <v>8</v>
      </c>
      <c r="L524">
        <v>4</v>
      </c>
      <c r="M524" t="s">
        <v>55</v>
      </c>
      <c r="N524" t="s">
        <v>32</v>
      </c>
      <c r="O524" t="s">
        <v>393</v>
      </c>
      <c r="P524" s="6" t="str">
        <f>IF(Table1[[#This Row],[Transaction_Amount]]&lt;=Table1[[#This Row],[avg_transaction_amount]], "usual transaction", "unusual transaction")</f>
        <v>usual transaction</v>
      </c>
      <c r="Q524" s="6" t="str">
        <f>IF(AND(Table1[[#This Row],[Country_of_Residence]]&lt;&gt;Table1[[#This Row],[Country_of_Transaction]], OR(Table1[[#This Row],[Authentication_Type]]="Biometric", Table1[[#This Row],[Authentication_Type]]="OTP")), "safe location transaction", "unsafe location transaction")</f>
        <v>safe location transaction</v>
      </c>
      <c r="R524" s="6" t="str">
        <f>IF(AND(Table1[[#This Row],[Country_of_Residence]]&lt;&gt;Table1[[#This Row],[Country_of_Transaction]], OR(Table1[[#This Row],[Merchant_Category]]="Electronics", Table1[[#This Row],[Merchant_Category]]="Travel")), "unsafe merchant transaction", "safe merchant transaction")</f>
        <v>safe merchant transaction</v>
      </c>
    </row>
    <row r="525" spans="1:18">
      <c r="A525" t="s">
        <v>3144</v>
      </c>
      <c r="B525" t="s">
        <v>124</v>
      </c>
      <c r="C525">
        <v>1</v>
      </c>
      <c r="D525" t="s">
        <v>9</v>
      </c>
      <c r="E525" t="s">
        <v>420</v>
      </c>
      <c r="F525" s="2">
        <v>45962</v>
      </c>
      <c r="G525">
        <v>552.66999999999996</v>
      </c>
      <c r="H525" s="1">
        <f>AVERAGEIF(Table1[Customer_ID], Table1[[#This Row],[Customer_ID]], Table1[Transaction_Amount])</f>
        <v>4320.8560784313731</v>
      </c>
      <c r="I525" t="s">
        <v>783</v>
      </c>
      <c r="J525" t="s">
        <v>31</v>
      </c>
      <c r="K525" t="s">
        <v>12</v>
      </c>
      <c r="L525">
        <v>3</v>
      </c>
      <c r="M525" t="s">
        <v>37</v>
      </c>
      <c r="N525" t="s">
        <v>56</v>
      </c>
      <c r="O525" t="s">
        <v>392</v>
      </c>
      <c r="P525" s="6" t="str">
        <f>IF(Table1[[#This Row],[Transaction_Amount]]&lt;=Table1[[#This Row],[avg_transaction_amount]], "usual transaction", "unusual transaction")</f>
        <v>usual transaction</v>
      </c>
      <c r="Q525" s="6" t="str">
        <f>IF(AND(Table1[[#This Row],[Country_of_Residence]]&lt;&gt;Table1[[#This Row],[Country_of_Transaction]], OR(Table1[[#This Row],[Authentication_Type]]="Biometric", Table1[[#This Row],[Authentication_Type]]="OTP")), "safe location transaction", "unsafe location transaction")</f>
        <v>unsafe location transaction</v>
      </c>
      <c r="R525" s="6" t="str">
        <f>IF(AND(Table1[[#This Row],[Country_of_Residence]]&lt;&gt;Table1[[#This Row],[Country_of_Transaction]], OR(Table1[[#This Row],[Merchant_Category]]="Electronics", Table1[[#This Row],[Merchant_Category]]="Travel")), "unsafe merchant transaction", "safe merchant transaction")</f>
        <v>safe merchant transaction</v>
      </c>
    </row>
    <row r="526" spans="1:18">
      <c r="A526" t="s">
        <v>3154</v>
      </c>
      <c r="B526" t="s">
        <v>124</v>
      </c>
      <c r="C526">
        <v>1</v>
      </c>
      <c r="D526" t="s">
        <v>15</v>
      </c>
      <c r="E526" t="s">
        <v>3</v>
      </c>
      <c r="F526" s="2">
        <v>45853</v>
      </c>
      <c r="G526">
        <v>3450.77</v>
      </c>
      <c r="H526" s="1">
        <f>AVERAGEIF(Table1[Customer_ID], Table1[[#This Row],[Customer_ID]], Table1[Transaction_Amount])</f>
        <v>4320.8560784313731</v>
      </c>
      <c r="I526" t="s">
        <v>792</v>
      </c>
      <c r="J526" t="s">
        <v>36</v>
      </c>
      <c r="K526" t="s">
        <v>12</v>
      </c>
      <c r="L526">
        <v>4</v>
      </c>
      <c r="M526" t="s">
        <v>42</v>
      </c>
      <c r="N526" t="s">
        <v>56</v>
      </c>
      <c r="O526" t="s">
        <v>393</v>
      </c>
      <c r="P526" s="6" t="str">
        <f>IF(Table1[[#This Row],[Transaction_Amount]]&lt;=Table1[[#This Row],[avg_transaction_amount]], "usual transaction", "unusual transaction")</f>
        <v>usual transaction</v>
      </c>
      <c r="Q526" s="6" t="str">
        <f>IF(AND(Table1[[#This Row],[Country_of_Residence]]&lt;&gt;Table1[[#This Row],[Country_of_Transaction]], OR(Table1[[#This Row],[Authentication_Type]]="Biometric", Table1[[#This Row],[Authentication_Type]]="OTP")), "safe location transaction", "unsafe location transaction")</f>
        <v>unsafe location transaction</v>
      </c>
      <c r="R526" s="6" t="str">
        <f>IF(AND(Table1[[#This Row],[Country_of_Residence]]&lt;&gt;Table1[[#This Row],[Country_of_Transaction]], OR(Table1[[#This Row],[Merchant_Category]]="Electronics", Table1[[#This Row],[Merchant_Category]]="Travel")), "unsafe merchant transaction", "safe merchant transaction")</f>
        <v>safe merchant transaction</v>
      </c>
    </row>
    <row r="527" spans="1:18">
      <c r="A527" t="s">
        <v>3177</v>
      </c>
      <c r="B527" t="s">
        <v>124</v>
      </c>
      <c r="C527">
        <v>1</v>
      </c>
      <c r="D527" t="s">
        <v>9</v>
      </c>
      <c r="E527" t="s">
        <v>6</v>
      </c>
      <c r="F527" s="2">
        <v>45950</v>
      </c>
      <c r="G527">
        <v>2840.58</v>
      </c>
      <c r="H527" s="1">
        <f>AVERAGEIF(Table1[Customer_ID], Table1[[#This Row],[Customer_ID]], Table1[Transaction_Amount])</f>
        <v>4320.8560784313731</v>
      </c>
      <c r="I527" t="s">
        <v>812</v>
      </c>
      <c r="J527" t="s">
        <v>46</v>
      </c>
      <c r="K527" t="s">
        <v>10</v>
      </c>
      <c r="L527">
        <v>2</v>
      </c>
      <c r="M527" t="s">
        <v>51</v>
      </c>
      <c r="N527" t="s">
        <v>412</v>
      </c>
      <c r="O527" t="s">
        <v>393</v>
      </c>
      <c r="P527" s="6" t="str">
        <f>IF(Table1[[#This Row],[Transaction_Amount]]&lt;=Table1[[#This Row],[avg_transaction_amount]], "usual transaction", "unusual transaction")</f>
        <v>usual transaction</v>
      </c>
      <c r="Q527" s="6" t="str">
        <f>IF(AND(Table1[[#This Row],[Country_of_Residence]]&lt;&gt;Table1[[#This Row],[Country_of_Transaction]], OR(Table1[[#This Row],[Authentication_Type]]="Biometric", Table1[[#This Row],[Authentication_Type]]="OTP")), "safe location transaction", "unsafe location transaction")</f>
        <v>safe location transaction</v>
      </c>
      <c r="R527" s="6" t="str">
        <f>IF(AND(Table1[[#This Row],[Country_of_Residence]]&lt;&gt;Table1[[#This Row],[Country_of_Transaction]], OR(Table1[[#This Row],[Merchant_Category]]="Electronics", Table1[[#This Row],[Merchant_Category]]="Travel")), "unsafe merchant transaction", "safe merchant transaction")</f>
        <v>safe merchant transaction</v>
      </c>
    </row>
    <row r="528" spans="1:18">
      <c r="A528" t="s">
        <v>3224</v>
      </c>
      <c r="B528" t="s">
        <v>124</v>
      </c>
      <c r="C528">
        <v>1</v>
      </c>
      <c r="D528" t="s">
        <v>9</v>
      </c>
      <c r="E528" t="s">
        <v>420</v>
      </c>
      <c r="F528" s="2">
        <v>45748</v>
      </c>
      <c r="G528">
        <v>6868.18</v>
      </c>
      <c r="H528" s="1">
        <f>AVERAGEIF(Table1[Customer_ID], Table1[[#This Row],[Customer_ID]], Table1[Transaction_Amount])</f>
        <v>4320.8560784313731</v>
      </c>
      <c r="I528" t="s">
        <v>857</v>
      </c>
      <c r="J528" t="s">
        <v>31</v>
      </c>
      <c r="K528" t="s">
        <v>14</v>
      </c>
      <c r="L528">
        <v>2</v>
      </c>
      <c r="M528" t="s">
        <v>55</v>
      </c>
      <c r="N528" t="s">
        <v>56</v>
      </c>
      <c r="O528" t="s">
        <v>393</v>
      </c>
      <c r="P528" s="6" t="str">
        <f>IF(Table1[[#This Row],[Transaction_Amount]]&lt;=Table1[[#This Row],[avg_transaction_amount]], "usual transaction", "unusual transaction")</f>
        <v>unusual transaction</v>
      </c>
      <c r="Q528" s="6" t="str">
        <f>IF(AND(Table1[[#This Row],[Country_of_Residence]]&lt;&gt;Table1[[#This Row],[Country_of_Transaction]], OR(Table1[[#This Row],[Authentication_Type]]="Biometric", Table1[[#This Row],[Authentication_Type]]="OTP")), "safe location transaction", "unsafe location transaction")</f>
        <v>unsafe location transaction</v>
      </c>
      <c r="R528" s="6" t="str">
        <f>IF(AND(Table1[[#This Row],[Country_of_Residence]]&lt;&gt;Table1[[#This Row],[Country_of_Transaction]], OR(Table1[[#This Row],[Merchant_Category]]="Electronics", Table1[[#This Row],[Merchant_Category]]="Travel")), "unsafe merchant transaction", "safe merchant transaction")</f>
        <v>safe merchant transaction</v>
      </c>
    </row>
    <row r="529" spans="1:18">
      <c r="A529" t="s">
        <v>3267</v>
      </c>
      <c r="B529" t="s">
        <v>124</v>
      </c>
      <c r="C529">
        <v>1</v>
      </c>
      <c r="D529" t="s">
        <v>15</v>
      </c>
      <c r="E529" t="s">
        <v>6</v>
      </c>
      <c r="F529" s="2">
        <v>45691</v>
      </c>
      <c r="G529">
        <v>3978.37</v>
      </c>
      <c r="H529" s="1">
        <f>AVERAGEIF(Table1[Customer_ID], Table1[[#This Row],[Customer_ID]], Table1[Transaction_Amount])</f>
        <v>4320.8560784313731</v>
      </c>
      <c r="I529" t="s">
        <v>895</v>
      </c>
      <c r="J529" t="s">
        <v>50</v>
      </c>
      <c r="K529" t="s">
        <v>12</v>
      </c>
      <c r="L529">
        <v>4</v>
      </c>
      <c r="M529" t="s">
        <v>56</v>
      </c>
      <c r="N529" t="s">
        <v>32</v>
      </c>
      <c r="O529" t="s">
        <v>392</v>
      </c>
      <c r="P529" s="6" t="str">
        <f>IF(Table1[[#This Row],[Transaction_Amount]]&lt;=Table1[[#This Row],[avg_transaction_amount]], "usual transaction", "unusual transaction")</f>
        <v>usual transaction</v>
      </c>
      <c r="Q529" s="6" t="str">
        <f>IF(AND(Table1[[#This Row],[Country_of_Residence]]&lt;&gt;Table1[[#This Row],[Country_of_Transaction]], OR(Table1[[#This Row],[Authentication_Type]]="Biometric", Table1[[#This Row],[Authentication_Type]]="OTP")), "safe location transaction", "unsafe location transaction")</f>
        <v>unsafe location transaction</v>
      </c>
      <c r="R529" s="6" t="str">
        <f>IF(AND(Table1[[#This Row],[Country_of_Residence]]&lt;&gt;Table1[[#This Row],[Country_of_Transaction]], OR(Table1[[#This Row],[Merchant_Category]]="Electronics", Table1[[#This Row],[Merchant_Category]]="Travel")), "unsafe merchant transaction", "safe merchant transaction")</f>
        <v>unsafe merchant transaction</v>
      </c>
    </row>
    <row r="530" spans="1:18">
      <c r="A530" t="s">
        <v>3348</v>
      </c>
      <c r="B530" t="s">
        <v>124</v>
      </c>
      <c r="C530">
        <v>1</v>
      </c>
      <c r="D530" t="s">
        <v>15</v>
      </c>
      <c r="E530" t="s">
        <v>3</v>
      </c>
      <c r="F530" s="2">
        <v>45972</v>
      </c>
      <c r="G530">
        <v>3102.6</v>
      </c>
      <c r="H530" s="1">
        <f>AVERAGEIF(Table1[Customer_ID], Table1[[#This Row],[Customer_ID]], Table1[Transaction_Amount])</f>
        <v>4320.8560784313731</v>
      </c>
      <c r="I530" t="s">
        <v>972</v>
      </c>
      <c r="J530" t="s">
        <v>31</v>
      </c>
      <c r="K530" t="s">
        <v>10</v>
      </c>
      <c r="L530">
        <v>2</v>
      </c>
      <c r="M530" t="s">
        <v>56</v>
      </c>
      <c r="N530" t="s">
        <v>32</v>
      </c>
      <c r="O530" t="s">
        <v>393</v>
      </c>
      <c r="P530" s="6" t="str">
        <f>IF(Table1[[#This Row],[Transaction_Amount]]&lt;=Table1[[#This Row],[avg_transaction_amount]], "usual transaction", "unusual transaction")</f>
        <v>usual transaction</v>
      </c>
      <c r="Q530" s="6" t="str">
        <f>IF(AND(Table1[[#This Row],[Country_of_Residence]]&lt;&gt;Table1[[#This Row],[Country_of_Transaction]], OR(Table1[[#This Row],[Authentication_Type]]="Biometric", Table1[[#This Row],[Authentication_Type]]="OTP")), "safe location transaction", "unsafe location transaction")</f>
        <v>safe location transaction</v>
      </c>
      <c r="R530" s="6" t="str">
        <f>IF(AND(Table1[[#This Row],[Country_of_Residence]]&lt;&gt;Table1[[#This Row],[Country_of_Transaction]], OR(Table1[[#This Row],[Merchant_Category]]="Electronics", Table1[[#This Row],[Merchant_Category]]="Travel")), "unsafe merchant transaction", "safe merchant transaction")</f>
        <v>safe merchant transaction</v>
      </c>
    </row>
    <row r="531" spans="1:18">
      <c r="A531" t="s">
        <v>3349</v>
      </c>
      <c r="B531" t="s">
        <v>124</v>
      </c>
      <c r="C531">
        <v>1</v>
      </c>
      <c r="D531" t="s">
        <v>9</v>
      </c>
      <c r="E531" t="s">
        <v>3</v>
      </c>
      <c r="F531" s="2">
        <v>45684</v>
      </c>
      <c r="G531">
        <v>4157.59</v>
      </c>
      <c r="H531" s="1">
        <f>AVERAGEIF(Table1[Customer_ID], Table1[[#This Row],[Customer_ID]], Table1[Transaction_Amount])</f>
        <v>4320.8560784313731</v>
      </c>
      <c r="I531" t="s">
        <v>973</v>
      </c>
      <c r="J531" t="s">
        <v>41</v>
      </c>
      <c r="K531" t="s">
        <v>12</v>
      </c>
      <c r="L531">
        <v>3</v>
      </c>
      <c r="M531" t="s">
        <v>33</v>
      </c>
      <c r="N531" t="s">
        <v>33</v>
      </c>
      <c r="O531" t="s">
        <v>393</v>
      </c>
      <c r="P531" s="6" t="str">
        <f>IF(Table1[[#This Row],[Transaction_Amount]]&lt;=Table1[[#This Row],[avg_transaction_amount]], "usual transaction", "unusual transaction")</f>
        <v>usual transaction</v>
      </c>
      <c r="Q531" s="6" t="str">
        <f>IF(AND(Table1[[#This Row],[Country_of_Residence]]&lt;&gt;Table1[[#This Row],[Country_of_Transaction]], OR(Table1[[#This Row],[Authentication_Type]]="Biometric", Table1[[#This Row],[Authentication_Type]]="OTP")), "safe location transaction", "unsafe location transaction")</f>
        <v>unsafe location transaction</v>
      </c>
      <c r="R531" s="6" t="str">
        <f>IF(AND(Table1[[#This Row],[Country_of_Residence]]&lt;&gt;Table1[[#This Row],[Country_of_Transaction]], OR(Table1[[#This Row],[Merchant_Category]]="Electronics", Table1[[#This Row],[Merchant_Category]]="Travel")), "unsafe merchant transaction", "safe merchant transaction")</f>
        <v>safe merchant transaction</v>
      </c>
    </row>
    <row r="532" spans="1:18">
      <c r="A532" t="s">
        <v>3449</v>
      </c>
      <c r="B532" t="s">
        <v>124</v>
      </c>
      <c r="C532">
        <v>1</v>
      </c>
      <c r="D532" t="s">
        <v>9</v>
      </c>
      <c r="E532" t="s">
        <v>3</v>
      </c>
      <c r="F532" s="2">
        <v>45967</v>
      </c>
      <c r="G532">
        <v>3197.79</v>
      </c>
      <c r="H532" s="1">
        <f>AVERAGEIF(Table1[Customer_ID], Table1[[#This Row],[Customer_ID]], Table1[Transaction_Amount])</f>
        <v>4320.8560784313731</v>
      </c>
      <c r="I532" t="s">
        <v>980</v>
      </c>
      <c r="J532" t="s">
        <v>50</v>
      </c>
      <c r="K532" t="s">
        <v>10</v>
      </c>
      <c r="L532">
        <v>4</v>
      </c>
      <c r="M532" t="s">
        <v>32</v>
      </c>
      <c r="N532" t="s">
        <v>33</v>
      </c>
      <c r="O532" t="s">
        <v>393</v>
      </c>
      <c r="P532" s="6" t="str">
        <f>IF(Table1[[#This Row],[Transaction_Amount]]&lt;=Table1[[#This Row],[avg_transaction_amount]], "usual transaction", "unusual transaction")</f>
        <v>usual transaction</v>
      </c>
      <c r="Q532" s="6" t="str">
        <f>IF(AND(Table1[[#This Row],[Country_of_Residence]]&lt;&gt;Table1[[#This Row],[Country_of_Transaction]], OR(Table1[[#This Row],[Authentication_Type]]="Biometric", Table1[[#This Row],[Authentication_Type]]="OTP")), "safe location transaction", "unsafe location transaction")</f>
        <v>safe location transaction</v>
      </c>
      <c r="R532" s="6" t="str">
        <f>IF(AND(Table1[[#This Row],[Country_of_Residence]]&lt;&gt;Table1[[#This Row],[Country_of_Transaction]], OR(Table1[[#This Row],[Merchant_Category]]="Electronics", Table1[[#This Row],[Merchant_Category]]="Travel")), "unsafe merchant transaction", "safe merchant transaction")</f>
        <v>unsafe merchant transaction</v>
      </c>
    </row>
    <row r="533" spans="1:18">
      <c r="A533" t="s">
        <v>3487</v>
      </c>
      <c r="B533" t="s">
        <v>124</v>
      </c>
      <c r="C533">
        <v>1</v>
      </c>
      <c r="D533" t="s">
        <v>9</v>
      </c>
      <c r="E533" t="s">
        <v>3</v>
      </c>
      <c r="F533" s="2">
        <v>45909</v>
      </c>
      <c r="G533">
        <v>3565.43</v>
      </c>
      <c r="H533" s="1">
        <f>AVERAGEIF(Table1[Customer_ID], Table1[[#This Row],[Customer_ID]], Table1[Transaction_Amount])</f>
        <v>4320.8560784313731</v>
      </c>
      <c r="I533" t="s">
        <v>1104</v>
      </c>
      <c r="J533" t="s">
        <v>46</v>
      </c>
      <c r="K533" t="s">
        <v>10</v>
      </c>
      <c r="L533">
        <v>2</v>
      </c>
      <c r="M533" t="s">
        <v>51</v>
      </c>
      <c r="N533" t="s">
        <v>32</v>
      </c>
      <c r="O533" t="s">
        <v>393</v>
      </c>
      <c r="P533" s="6" t="str">
        <f>IF(Table1[[#This Row],[Transaction_Amount]]&lt;=Table1[[#This Row],[avg_transaction_amount]], "usual transaction", "unusual transaction")</f>
        <v>usual transaction</v>
      </c>
      <c r="Q533" s="6" t="str">
        <f>IF(AND(Table1[[#This Row],[Country_of_Residence]]&lt;&gt;Table1[[#This Row],[Country_of_Transaction]], OR(Table1[[#This Row],[Authentication_Type]]="Biometric", Table1[[#This Row],[Authentication_Type]]="OTP")), "safe location transaction", "unsafe location transaction")</f>
        <v>safe location transaction</v>
      </c>
      <c r="R533" s="6" t="str">
        <f>IF(AND(Table1[[#This Row],[Country_of_Residence]]&lt;&gt;Table1[[#This Row],[Country_of_Transaction]], OR(Table1[[#This Row],[Merchant_Category]]="Electronics", Table1[[#This Row],[Merchant_Category]]="Travel")), "unsafe merchant transaction", "safe merchant transaction")</f>
        <v>safe merchant transaction</v>
      </c>
    </row>
    <row r="534" spans="1:18">
      <c r="A534" t="s">
        <v>3559</v>
      </c>
      <c r="B534" t="s">
        <v>124</v>
      </c>
      <c r="C534">
        <v>1</v>
      </c>
      <c r="D534" t="s">
        <v>15</v>
      </c>
      <c r="E534" t="s">
        <v>5</v>
      </c>
      <c r="F534" s="2">
        <v>45912</v>
      </c>
      <c r="G534">
        <v>9787.44</v>
      </c>
      <c r="H534" s="1">
        <f>AVERAGEIF(Table1[Customer_ID], Table1[[#This Row],[Customer_ID]], Table1[Transaction_Amount])</f>
        <v>4320.8560784313731</v>
      </c>
      <c r="I534" t="s">
        <v>1172</v>
      </c>
      <c r="J534" t="s">
        <v>41</v>
      </c>
      <c r="K534" t="s">
        <v>8</v>
      </c>
      <c r="L534">
        <v>2</v>
      </c>
      <c r="M534" t="s">
        <v>55</v>
      </c>
      <c r="N534" t="s">
        <v>32</v>
      </c>
      <c r="O534" t="s">
        <v>392</v>
      </c>
      <c r="P534" s="6" t="str">
        <f>IF(Table1[[#This Row],[Transaction_Amount]]&lt;=Table1[[#This Row],[avg_transaction_amount]], "usual transaction", "unusual transaction")</f>
        <v>unusual transaction</v>
      </c>
      <c r="Q534" s="6" t="str">
        <f>IF(AND(Table1[[#This Row],[Country_of_Residence]]&lt;&gt;Table1[[#This Row],[Country_of_Transaction]], OR(Table1[[#This Row],[Authentication_Type]]="Biometric", Table1[[#This Row],[Authentication_Type]]="OTP")), "safe location transaction", "unsafe location transaction")</f>
        <v>safe location transaction</v>
      </c>
      <c r="R534" s="6" t="str">
        <f>IF(AND(Table1[[#This Row],[Country_of_Residence]]&lt;&gt;Table1[[#This Row],[Country_of_Transaction]], OR(Table1[[#This Row],[Merchant_Category]]="Electronics", Table1[[#This Row],[Merchant_Category]]="Travel")), "unsafe merchant transaction", "safe merchant transaction")</f>
        <v>safe merchant transaction</v>
      </c>
    </row>
    <row r="535" spans="1:18">
      <c r="A535" t="s">
        <v>3637</v>
      </c>
      <c r="B535" t="s">
        <v>124</v>
      </c>
      <c r="C535">
        <v>1</v>
      </c>
      <c r="D535" t="s">
        <v>15</v>
      </c>
      <c r="E535" t="s">
        <v>6</v>
      </c>
      <c r="F535" s="2">
        <v>45764</v>
      </c>
      <c r="G535">
        <v>8106.32</v>
      </c>
      <c r="H535" s="1">
        <f>AVERAGEIF(Table1[Customer_ID], Table1[[#This Row],[Customer_ID]], Table1[Transaction_Amount])</f>
        <v>4320.8560784313731</v>
      </c>
      <c r="I535" t="s">
        <v>1242</v>
      </c>
      <c r="J535" t="s">
        <v>31</v>
      </c>
      <c r="K535" t="s">
        <v>12</v>
      </c>
      <c r="L535">
        <v>3</v>
      </c>
      <c r="M535" t="s">
        <v>47</v>
      </c>
      <c r="N535" t="s">
        <v>33</v>
      </c>
      <c r="O535" t="s">
        <v>392</v>
      </c>
      <c r="P535" s="6" t="str">
        <f>IF(Table1[[#This Row],[Transaction_Amount]]&lt;=Table1[[#This Row],[avg_transaction_amount]], "usual transaction", "unusual transaction")</f>
        <v>unusual transaction</v>
      </c>
      <c r="Q535" s="6" t="str">
        <f>IF(AND(Table1[[#This Row],[Country_of_Residence]]&lt;&gt;Table1[[#This Row],[Country_of_Transaction]], OR(Table1[[#This Row],[Authentication_Type]]="Biometric", Table1[[#This Row],[Authentication_Type]]="OTP")), "safe location transaction", "unsafe location transaction")</f>
        <v>unsafe location transaction</v>
      </c>
      <c r="R535" s="6" t="str">
        <f>IF(AND(Table1[[#This Row],[Country_of_Residence]]&lt;&gt;Table1[[#This Row],[Country_of_Transaction]], OR(Table1[[#This Row],[Merchant_Category]]="Electronics", Table1[[#This Row],[Merchant_Category]]="Travel")), "unsafe merchant transaction", "safe merchant transaction")</f>
        <v>safe merchant transaction</v>
      </c>
    </row>
    <row r="536" spans="1:18">
      <c r="A536" t="s">
        <v>3642</v>
      </c>
      <c r="B536" t="s">
        <v>124</v>
      </c>
      <c r="C536">
        <v>1</v>
      </c>
      <c r="D536" t="s">
        <v>9</v>
      </c>
      <c r="E536" t="s">
        <v>5</v>
      </c>
      <c r="F536" s="2">
        <v>45899</v>
      </c>
      <c r="G536">
        <v>2937.46</v>
      </c>
      <c r="H536" s="1">
        <f>AVERAGEIF(Table1[Customer_ID], Table1[[#This Row],[Customer_ID]], Table1[Transaction_Amount])</f>
        <v>4320.8560784313731</v>
      </c>
      <c r="I536" t="s">
        <v>1247</v>
      </c>
      <c r="J536" t="s">
        <v>50</v>
      </c>
      <c r="K536" t="s">
        <v>12</v>
      </c>
      <c r="L536">
        <v>1</v>
      </c>
      <c r="M536" t="s">
        <v>33</v>
      </c>
      <c r="N536" t="s">
        <v>47</v>
      </c>
      <c r="O536" t="s">
        <v>392</v>
      </c>
      <c r="P536" s="6" t="str">
        <f>IF(Table1[[#This Row],[Transaction_Amount]]&lt;=Table1[[#This Row],[avg_transaction_amount]], "usual transaction", "unusual transaction")</f>
        <v>usual transaction</v>
      </c>
      <c r="Q536" s="6" t="str">
        <f>IF(AND(Table1[[#This Row],[Country_of_Residence]]&lt;&gt;Table1[[#This Row],[Country_of_Transaction]], OR(Table1[[#This Row],[Authentication_Type]]="Biometric", Table1[[#This Row],[Authentication_Type]]="OTP")), "safe location transaction", "unsafe location transaction")</f>
        <v>unsafe location transaction</v>
      </c>
      <c r="R536" s="6" t="str">
        <f>IF(AND(Table1[[#This Row],[Country_of_Residence]]&lt;&gt;Table1[[#This Row],[Country_of_Transaction]], OR(Table1[[#This Row],[Merchant_Category]]="Electronics", Table1[[#This Row],[Merchant_Category]]="Travel")), "unsafe merchant transaction", "safe merchant transaction")</f>
        <v>unsafe merchant transaction</v>
      </c>
    </row>
    <row r="537" spans="1:18">
      <c r="A537" t="s">
        <v>3699</v>
      </c>
      <c r="B537" t="s">
        <v>124</v>
      </c>
      <c r="C537">
        <v>1</v>
      </c>
      <c r="D537" t="s">
        <v>9</v>
      </c>
      <c r="E537" t="s">
        <v>6</v>
      </c>
      <c r="F537" s="2">
        <v>45672</v>
      </c>
      <c r="G537">
        <v>6094.12</v>
      </c>
      <c r="H537" s="1">
        <f>AVERAGEIF(Table1[Customer_ID], Table1[[#This Row],[Customer_ID]], Table1[Transaction_Amount])</f>
        <v>4320.8560784313731</v>
      </c>
      <c r="I537" t="s">
        <v>1188</v>
      </c>
      <c r="J537" t="s">
        <v>46</v>
      </c>
      <c r="K537" t="s">
        <v>10</v>
      </c>
      <c r="L537">
        <v>2</v>
      </c>
      <c r="M537" t="s">
        <v>51</v>
      </c>
      <c r="N537" t="s">
        <v>33</v>
      </c>
      <c r="O537" t="s">
        <v>393</v>
      </c>
      <c r="P537" s="6" t="str">
        <f>IF(Table1[[#This Row],[Transaction_Amount]]&lt;=Table1[[#This Row],[avg_transaction_amount]], "usual transaction", "unusual transaction")</f>
        <v>unusual transaction</v>
      </c>
      <c r="Q537" s="6" t="str">
        <f>IF(AND(Table1[[#This Row],[Country_of_Residence]]&lt;&gt;Table1[[#This Row],[Country_of_Transaction]], OR(Table1[[#This Row],[Authentication_Type]]="Biometric", Table1[[#This Row],[Authentication_Type]]="OTP")), "safe location transaction", "unsafe location transaction")</f>
        <v>safe location transaction</v>
      </c>
      <c r="R537" s="6" t="str">
        <f>IF(AND(Table1[[#This Row],[Country_of_Residence]]&lt;&gt;Table1[[#This Row],[Country_of_Transaction]], OR(Table1[[#This Row],[Merchant_Category]]="Electronics", Table1[[#This Row],[Merchant_Category]]="Travel")), "unsafe merchant transaction", "safe merchant transaction")</f>
        <v>safe merchant transaction</v>
      </c>
    </row>
    <row r="538" spans="1:18">
      <c r="A538" t="s">
        <v>3712</v>
      </c>
      <c r="B538" t="s">
        <v>124</v>
      </c>
      <c r="C538">
        <v>1</v>
      </c>
      <c r="D538" t="s">
        <v>9</v>
      </c>
      <c r="E538" t="s">
        <v>420</v>
      </c>
      <c r="F538" s="2">
        <v>45815</v>
      </c>
      <c r="G538">
        <v>3097.01</v>
      </c>
      <c r="H538" s="1">
        <f>AVERAGEIF(Table1[Customer_ID], Table1[[#This Row],[Customer_ID]], Table1[Transaction_Amount])</f>
        <v>4320.8560784313731</v>
      </c>
      <c r="I538" t="s">
        <v>1309</v>
      </c>
      <c r="J538" t="s">
        <v>36</v>
      </c>
      <c r="K538" t="s">
        <v>10</v>
      </c>
      <c r="L538">
        <v>3</v>
      </c>
      <c r="M538" t="s">
        <v>412</v>
      </c>
      <c r="N538" t="s">
        <v>56</v>
      </c>
      <c r="O538" t="s">
        <v>393</v>
      </c>
      <c r="P538" s="6" t="str">
        <f>IF(Table1[[#This Row],[Transaction_Amount]]&lt;=Table1[[#This Row],[avg_transaction_amount]], "usual transaction", "unusual transaction")</f>
        <v>usual transaction</v>
      </c>
      <c r="Q538" s="6" t="str">
        <f>IF(AND(Table1[[#This Row],[Country_of_Residence]]&lt;&gt;Table1[[#This Row],[Country_of_Transaction]], OR(Table1[[#This Row],[Authentication_Type]]="Biometric", Table1[[#This Row],[Authentication_Type]]="OTP")), "safe location transaction", "unsafe location transaction")</f>
        <v>safe location transaction</v>
      </c>
      <c r="R538" s="6" t="str">
        <f>IF(AND(Table1[[#This Row],[Country_of_Residence]]&lt;&gt;Table1[[#This Row],[Country_of_Transaction]], OR(Table1[[#This Row],[Merchant_Category]]="Electronics", Table1[[#This Row],[Merchant_Category]]="Travel")), "unsafe merchant transaction", "safe merchant transaction")</f>
        <v>safe merchant transaction</v>
      </c>
    </row>
    <row r="539" spans="1:18">
      <c r="A539" t="s">
        <v>3792</v>
      </c>
      <c r="B539" t="s">
        <v>124</v>
      </c>
      <c r="C539">
        <v>1</v>
      </c>
      <c r="D539" t="s">
        <v>9</v>
      </c>
      <c r="E539" t="s">
        <v>5</v>
      </c>
      <c r="F539" s="2">
        <v>45740</v>
      </c>
      <c r="G539">
        <v>2904.29</v>
      </c>
      <c r="H539" s="1">
        <f>AVERAGEIF(Table1[Customer_ID], Table1[[#This Row],[Customer_ID]], Table1[Transaction_Amount])</f>
        <v>4320.8560784313731</v>
      </c>
      <c r="I539" t="s">
        <v>1378</v>
      </c>
      <c r="J539" t="s">
        <v>36</v>
      </c>
      <c r="K539" t="s">
        <v>14</v>
      </c>
      <c r="L539">
        <v>1</v>
      </c>
      <c r="M539" t="s">
        <v>412</v>
      </c>
      <c r="N539" t="s">
        <v>47</v>
      </c>
      <c r="O539" t="s">
        <v>393</v>
      </c>
      <c r="P539" s="6" t="str">
        <f>IF(Table1[[#This Row],[Transaction_Amount]]&lt;=Table1[[#This Row],[avg_transaction_amount]], "usual transaction", "unusual transaction")</f>
        <v>usual transaction</v>
      </c>
      <c r="Q539" s="6" t="str">
        <f>IF(AND(Table1[[#This Row],[Country_of_Residence]]&lt;&gt;Table1[[#This Row],[Country_of_Transaction]], OR(Table1[[#This Row],[Authentication_Type]]="Biometric", Table1[[#This Row],[Authentication_Type]]="OTP")), "safe location transaction", "unsafe location transaction")</f>
        <v>unsafe location transaction</v>
      </c>
      <c r="R539" s="6" t="str">
        <f>IF(AND(Table1[[#This Row],[Country_of_Residence]]&lt;&gt;Table1[[#This Row],[Country_of_Transaction]], OR(Table1[[#This Row],[Merchant_Category]]="Electronics", Table1[[#This Row],[Merchant_Category]]="Travel")), "unsafe merchant transaction", "safe merchant transaction")</f>
        <v>safe merchant transaction</v>
      </c>
    </row>
    <row r="540" spans="1:18">
      <c r="A540" t="s">
        <v>3837</v>
      </c>
      <c r="B540" t="s">
        <v>124</v>
      </c>
      <c r="C540">
        <v>1</v>
      </c>
      <c r="D540" t="s">
        <v>9</v>
      </c>
      <c r="E540" t="s">
        <v>5</v>
      </c>
      <c r="F540" s="2">
        <v>45942</v>
      </c>
      <c r="G540">
        <v>5385.49</v>
      </c>
      <c r="H540" s="1">
        <f>AVERAGEIF(Table1[Customer_ID], Table1[[#This Row],[Customer_ID]], Table1[Transaction_Amount])</f>
        <v>4320.8560784313731</v>
      </c>
      <c r="I540" t="s">
        <v>1414</v>
      </c>
      <c r="J540" t="s">
        <v>36</v>
      </c>
      <c r="K540" t="s">
        <v>12</v>
      </c>
      <c r="L540">
        <v>1</v>
      </c>
      <c r="M540" t="s">
        <v>37</v>
      </c>
      <c r="N540" t="s">
        <v>51</v>
      </c>
      <c r="O540" t="s">
        <v>392</v>
      </c>
      <c r="P540" s="6" t="str">
        <f>IF(Table1[[#This Row],[Transaction_Amount]]&lt;=Table1[[#This Row],[avg_transaction_amount]], "usual transaction", "unusual transaction")</f>
        <v>unusual transaction</v>
      </c>
      <c r="Q540" s="6" t="str">
        <f>IF(AND(Table1[[#This Row],[Country_of_Residence]]&lt;&gt;Table1[[#This Row],[Country_of_Transaction]], OR(Table1[[#This Row],[Authentication_Type]]="Biometric", Table1[[#This Row],[Authentication_Type]]="OTP")), "safe location transaction", "unsafe location transaction")</f>
        <v>unsafe location transaction</v>
      </c>
      <c r="R540" s="6" t="str">
        <f>IF(AND(Table1[[#This Row],[Country_of_Residence]]&lt;&gt;Table1[[#This Row],[Country_of_Transaction]], OR(Table1[[#This Row],[Merchant_Category]]="Electronics", Table1[[#This Row],[Merchant_Category]]="Travel")), "unsafe merchant transaction", "safe merchant transaction")</f>
        <v>safe merchant transaction</v>
      </c>
    </row>
    <row r="541" spans="1:18">
      <c r="A541" t="s">
        <v>3877</v>
      </c>
      <c r="B541" t="s">
        <v>124</v>
      </c>
      <c r="C541">
        <v>1</v>
      </c>
      <c r="D541" t="s">
        <v>15</v>
      </c>
      <c r="E541" t="s">
        <v>420</v>
      </c>
      <c r="F541" s="2">
        <v>45939</v>
      </c>
      <c r="G541">
        <v>2584.52</v>
      </c>
      <c r="H541" s="1">
        <f>AVERAGEIF(Table1[Customer_ID], Table1[[#This Row],[Customer_ID]], Table1[Transaction_Amount])</f>
        <v>4320.8560784313731</v>
      </c>
      <c r="I541" t="s">
        <v>363</v>
      </c>
      <c r="J541" t="s">
        <v>31</v>
      </c>
      <c r="K541" t="s">
        <v>12</v>
      </c>
      <c r="L541">
        <v>2</v>
      </c>
      <c r="M541" t="s">
        <v>47</v>
      </c>
      <c r="N541" t="s">
        <v>47</v>
      </c>
      <c r="O541" t="s">
        <v>393</v>
      </c>
      <c r="P541" s="6" t="str">
        <f>IF(Table1[[#This Row],[Transaction_Amount]]&lt;=Table1[[#This Row],[avg_transaction_amount]], "usual transaction", "unusual transaction")</f>
        <v>usual transaction</v>
      </c>
      <c r="Q541" s="6" t="str">
        <f>IF(AND(Table1[[#This Row],[Country_of_Residence]]&lt;&gt;Table1[[#This Row],[Country_of_Transaction]], OR(Table1[[#This Row],[Authentication_Type]]="Biometric", Table1[[#This Row],[Authentication_Type]]="OTP")), "safe location transaction", "unsafe location transaction")</f>
        <v>unsafe location transaction</v>
      </c>
      <c r="R541" s="6" t="str">
        <f>IF(AND(Table1[[#This Row],[Country_of_Residence]]&lt;&gt;Table1[[#This Row],[Country_of_Transaction]], OR(Table1[[#This Row],[Merchant_Category]]="Electronics", Table1[[#This Row],[Merchant_Category]]="Travel")), "unsafe merchant transaction", "safe merchant transaction")</f>
        <v>safe merchant transaction</v>
      </c>
    </row>
    <row r="542" spans="1:18">
      <c r="A542" t="s">
        <v>3898</v>
      </c>
      <c r="B542" t="s">
        <v>124</v>
      </c>
      <c r="C542">
        <v>1</v>
      </c>
      <c r="D542" t="s">
        <v>9</v>
      </c>
      <c r="E542" t="s">
        <v>5</v>
      </c>
      <c r="F542" s="2">
        <v>45907</v>
      </c>
      <c r="G542">
        <v>212.96</v>
      </c>
      <c r="H542" s="1">
        <f>AVERAGEIF(Table1[Customer_ID], Table1[[#This Row],[Customer_ID]], Table1[Transaction_Amount])</f>
        <v>4320.8560784313731</v>
      </c>
      <c r="I542" t="s">
        <v>1465</v>
      </c>
      <c r="J542" t="s">
        <v>36</v>
      </c>
      <c r="K542" t="s">
        <v>14</v>
      </c>
      <c r="L542">
        <v>1</v>
      </c>
      <c r="M542" t="s">
        <v>47</v>
      </c>
      <c r="N542" t="s">
        <v>42</v>
      </c>
      <c r="O542" t="s">
        <v>393</v>
      </c>
      <c r="P542" s="6" t="str">
        <f>IF(Table1[[#This Row],[Transaction_Amount]]&lt;=Table1[[#This Row],[avg_transaction_amount]], "usual transaction", "unusual transaction")</f>
        <v>usual transaction</v>
      </c>
      <c r="Q542" s="6" t="str">
        <f>IF(AND(Table1[[#This Row],[Country_of_Residence]]&lt;&gt;Table1[[#This Row],[Country_of_Transaction]], OR(Table1[[#This Row],[Authentication_Type]]="Biometric", Table1[[#This Row],[Authentication_Type]]="OTP")), "safe location transaction", "unsafe location transaction")</f>
        <v>unsafe location transaction</v>
      </c>
      <c r="R542" s="6" t="str">
        <f>IF(AND(Table1[[#This Row],[Country_of_Residence]]&lt;&gt;Table1[[#This Row],[Country_of_Transaction]], OR(Table1[[#This Row],[Merchant_Category]]="Electronics", Table1[[#This Row],[Merchant_Category]]="Travel")), "unsafe merchant transaction", "safe merchant transaction")</f>
        <v>safe merchant transaction</v>
      </c>
    </row>
    <row r="543" spans="1:18">
      <c r="A543" t="s">
        <v>3901</v>
      </c>
      <c r="B543" t="s">
        <v>124</v>
      </c>
      <c r="C543">
        <v>1</v>
      </c>
      <c r="D543" t="s">
        <v>15</v>
      </c>
      <c r="E543" t="s">
        <v>3</v>
      </c>
      <c r="F543" s="2">
        <v>45918</v>
      </c>
      <c r="G543">
        <v>7456.16</v>
      </c>
      <c r="H543" s="1">
        <f>AVERAGEIF(Table1[Customer_ID], Table1[[#This Row],[Customer_ID]], Table1[Transaction_Amount])</f>
        <v>4320.8560784313731</v>
      </c>
      <c r="I543" t="s">
        <v>1468</v>
      </c>
      <c r="J543" t="s">
        <v>50</v>
      </c>
      <c r="K543" t="s">
        <v>10</v>
      </c>
      <c r="L543">
        <v>3</v>
      </c>
      <c r="M543" t="s">
        <v>56</v>
      </c>
      <c r="N543" t="s">
        <v>51</v>
      </c>
      <c r="O543" t="s">
        <v>393</v>
      </c>
      <c r="P543" s="6" t="str">
        <f>IF(Table1[[#This Row],[Transaction_Amount]]&lt;=Table1[[#This Row],[avg_transaction_amount]], "usual transaction", "unusual transaction")</f>
        <v>unusual transaction</v>
      </c>
      <c r="Q543" s="6" t="str">
        <f>IF(AND(Table1[[#This Row],[Country_of_Residence]]&lt;&gt;Table1[[#This Row],[Country_of_Transaction]], OR(Table1[[#This Row],[Authentication_Type]]="Biometric", Table1[[#This Row],[Authentication_Type]]="OTP")), "safe location transaction", "unsafe location transaction")</f>
        <v>safe location transaction</v>
      </c>
      <c r="R543" s="6" t="str">
        <f>IF(AND(Table1[[#This Row],[Country_of_Residence]]&lt;&gt;Table1[[#This Row],[Country_of_Transaction]], OR(Table1[[#This Row],[Merchant_Category]]="Electronics", Table1[[#This Row],[Merchant_Category]]="Travel")), "unsafe merchant transaction", "safe merchant transaction")</f>
        <v>unsafe merchant transaction</v>
      </c>
    </row>
    <row r="544" spans="1:18">
      <c r="A544" t="s">
        <v>3903</v>
      </c>
      <c r="B544" t="s">
        <v>124</v>
      </c>
      <c r="C544">
        <v>1</v>
      </c>
      <c r="D544" t="s">
        <v>9</v>
      </c>
      <c r="E544" t="s">
        <v>5</v>
      </c>
      <c r="F544" s="2">
        <v>45731</v>
      </c>
      <c r="G544">
        <v>9332.83</v>
      </c>
      <c r="H544" s="1">
        <f>AVERAGEIF(Table1[Customer_ID], Table1[[#This Row],[Customer_ID]], Table1[Transaction_Amount])</f>
        <v>4320.8560784313731</v>
      </c>
      <c r="I544" t="s">
        <v>1470</v>
      </c>
      <c r="J544" t="s">
        <v>31</v>
      </c>
      <c r="K544" t="s">
        <v>8</v>
      </c>
      <c r="L544">
        <v>2</v>
      </c>
      <c r="M544" t="s">
        <v>56</v>
      </c>
      <c r="N544" t="s">
        <v>55</v>
      </c>
      <c r="O544" t="s">
        <v>392</v>
      </c>
      <c r="P544" s="6" t="str">
        <f>IF(Table1[[#This Row],[Transaction_Amount]]&lt;=Table1[[#This Row],[avg_transaction_amount]], "usual transaction", "unusual transaction")</f>
        <v>unusual transaction</v>
      </c>
      <c r="Q544" s="6" t="str">
        <f>IF(AND(Table1[[#This Row],[Country_of_Residence]]&lt;&gt;Table1[[#This Row],[Country_of_Transaction]], OR(Table1[[#This Row],[Authentication_Type]]="Biometric", Table1[[#This Row],[Authentication_Type]]="OTP")), "safe location transaction", "unsafe location transaction")</f>
        <v>safe location transaction</v>
      </c>
      <c r="R544" s="6" t="str">
        <f>IF(AND(Table1[[#This Row],[Country_of_Residence]]&lt;&gt;Table1[[#This Row],[Country_of_Transaction]], OR(Table1[[#This Row],[Merchant_Category]]="Electronics", Table1[[#This Row],[Merchant_Category]]="Travel")), "unsafe merchant transaction", "safe merchant transaction")</f>
        <v>safe merchant transaction</v>
      </c>
    </row>
    <row r="545" spans="1:18">
      <c r="A545" t="s">
        <v>3946</v>
      </c>
      <c r="B545" t="s">
        <v>124</v>
      </c>
      <c r="C545">
        <v>1</v>
      </c>
      <c r="D545" t="s">
        <v>15</v>
      </c>
      <c r="E545" t="s">
        <v>5</v>
      </c>
      <c r="F545" s="2">
        <v>45824</v>
      </c>
      <c r="G545">
        <v>1512.53</v>
      </c>
      <c r="H545" s="1">
        <f>AVERAGEIF(Table1[Customer_ID], Table1[[#This Row],[Customer_ID]], Table1[Transaction_Amount])</f>
        <v>4320.8560784313731</v>
      </c>
      <c r="I545" t="s">
        <v>1510</v>
      </c>
      <c r="J545" t="s">
        <v>41</v>
      </c>
      <c r="K545" t="s">
        <v>14</v>
      </c>
      <c r="L545">
        <v>3</v>
      </c>
      <c r="M545" t="s">
        <v>55</v>
      </c>
      <c r="N545" t="s">
        <v>42</v>
      </c>
      <c r="O545" t="s">
        <v>392</v>
      </c>
      <c r="P545" s="6" t="str">
        <f>IF(Table1[[#This Row],[Transaction_Amount]]&lt;=Table1[[#This Row],[avg_transaction_amount]], "usual transaction", "unusual transaction")</f>
        <v>usual transaction</v>
      </c>
      <c r="Q545" s="6" t="str">
        <f>IF(AND(Table1[[#This Row],[Country_of_Residence]]&lt;&gt;Table1[[#This Row],[Country_of_Transaction]], OR(Table1[[#This Row],[Authentication_Type]]="Biometric", Table1[[#This Row],[Authentication_Type]]="OTP")), "safe location transaction", "unsafe location transaction")</f>
        <v>unsafe location transaction</v>
      </c>
      <c r="R545" s="6" t="str">
        <f>IF(AND(Table1[[#This Row],[Country_of_Residence]]&lt;&gt;Table1[[#This Row],[Country_of_Transaction]], OR(Table1[[#This Row],[Merchant_Category]]="Electronics", Table1[[#This Row],[Merchant_Category]]="Travel")), "unsafe merchant transaction", "safe merchant transaction")</f>
        <v>safe merchant transaction</v>
      </c>
    </row>
    <row r="546" spans="1:18">
      <c r="A546" t="s">
        <v>4049</v>
      </c>
      <c r="B546" t="s">
        <v>124</v>
      </c>
      <c r="C546">
        <v>1</v>
      </c>
      <c r="D546" t="s">
        <v>9</v>
      </c>
      <c r="E546" t="s">
        <v>420</v>
      </c>
      <c r="F546" s="2">
        <v>45994</v>
      </c>
      <c r="G546">
        <v>6205.18</v>
      </c>
      <c r="H546" s="1">
        <f>AVERAGEIF(Table1[Customer_ID], Table1[[#This Row],[Customer_ID]], Table1[Transaction_Amount])</f>
        <v>4320.8560784313731</v>
      </c>
      <c r="I546" t="s">
        <v>1603</v>
      </c>
      <c r="J546" t="s">
        <v>31</v>
      </c>
      <c r="K546" t="s">
        <v>8</v>
      </c>
      <c r="L546">
        <v>0</v>
      </c>
      <c r="M546" t="s">
        <v>33</v>
      </c>
      <c r="N546" t="s">
        <v>42</v>
      </c>
      <c r="O546" t="s">
        <v>393</v>
      </c>
      <c r="P546" s="6" t="str">
        <f>IF(Table1[[#This Row],[Transaction_Amount]]&lt;=Table1[[#This Row],[avg_transaction_amount]], "usual transaction", "unusual transaction")</f>
        <v>unusual transaction</v>
      </c>
      <c r="Q546" s="6" t="str">
        <f>IF(AND(Table1[[#This Row],[Country_of_Residence]]&lt;&gt;Table1[[#This Row],[Country_of_Transaction]], OR(Table1[[#This Row],[Authentication_Type]]="Biometric", Table1[[#This Row],[Authentication_Type]]="OTP")), "safe location transaction", "unsafe location transaction")</f>
        <v>safe location transaction</v>
      </c>
      <c r="R546" s="6" t="str">
        <f>IF(AND(Table1[[#This Row],[Country_of_Residence]]&lt;&gt;Table1[[#This Row],[Country_of_Transaction]], OR(Table1[[#This Row],[Merchant_Category]]="Electronics", Table1[[#This Row],[Merchant_Category]]="Travel")), "unsafe merchant transaction", "safe merchant transaction")</f>
        <v>safe merchant transaction</v>
      </c>
    </row>
    <row r="547" spans="1:18">
      <c r="A547" t="s">
        <v>4051</v>
      </c>
      <c r="B547" t="s">
        <v>124</v>
      </c>
      <c r="C547">
        <v>1</v>
      </c>
      <c r="D547" t="s">
        <v>15</v>
      </c>
      <c r="E547" t="s">
        <v>420</v>
      </c>
      <c r="F547" s="2">
        <v>45745</v>
      </c>
      <c r="G547">
        <v>5787.65</v>
      </c>
      <c r="H547" s="1">
        <f>AVERAGEIF(Table1[Customer_ID], Table1[[#This Row],[Customer_ID]], Table1[Transaction_Amount])</f>
        <v>4320.8560784313731</v>
      </c>
      <c r="I547" t="s">
        <v>1605</v>
      </c>
      <c r="J547" t="s">
        <v>50</v>
      </c>
      <c r="K547" t="s">
        <v>10</v>
      </c>
      <c r="L547">
        <v>5</v>
      </c>
      <c r="M547" t="s">
        <v>37</v>
      </c>
      <c r="N547" t="s">
        <v>55</v>
      </c>
      <c r="O547" t="s">
        <v>392</v>
      </c>
      <c r="P547" s="6" t="str">
        <f>IF(Table1[[#This Row],[Transaction_Amount]]&lt;=Table1[[#This Row],[avg_transaction_amount]], "usual transaction", "unusual transaction")</f>
        <v>unusual transaction</v>
      </c>
      <c r="Q547" s="6" t="str">
        <f>IF(AND(Table1[[#This Row],[Country_of_Residence]]&lt;&gt;Table1[[#This Row],[Country_of_Transaction]], OR(Table1[[#This Row],[Authentication_Type]]="Biometric", Table1[[#This Row],[Authentication_Type]]="OTP")), "safe location transaction", "unsafe location transaction")</f>
        <v>safe location transaction</v>
      </c>
      <c r="R547" s="6" t="str">
        <f>IF(AND(Table1[[#This Row],[Country_of_Residence]]&lt;&gt;Table1[[#This Row],[Country_of_Transaction]], OR(Table1[[#This Row],[Merchant_Category]]="Electronics", Table1[[#This Row],[Merchant_Category]]="Travel")), "unsafe merchant transaction", "safe merchant transaction")</f>
        <v>unsafe merchant transaction</v>
      </c>
    </row>
    <row r="548" spans="1:18">
      <c r="A548" t="s">
        <v>4115</v>
      </c>
      <c r="B548" t="s">
        <v>124</v>
      </c>
      <c r="C548">
        <v>1</v>
      </c>
      <c r="D548" t="s">
        <v>15</v>
      </c>
      <c r="E548" t="s">
        <v>6</v>
      </c>
      <c r="F548" s="2">
        <v>45928</v>
      </c>
      <c r="G548">
        <v>7317.95</v>
      </c>
      <c r="H548" s="1">
        <f>AVERAGEIF(Table1[Customer_ID], Table1[[#This Row],[Customer_ID]], Table1[Transaction_Amount])</f>
        <v>4320.8560784313731</v>
      </c>
      <c r="I548" t="s">
        <v>1072</v>
      </c>
      <c r="J548" t="s">
        <v>36</v>
      </c>
      <c r="K548" t="s">
        <v>14</v>
      </c>
      <c r="L548">
        <v>1</v>
      </c>
      <c r="M548" t="s">
        <v>56</v>
      </c>
      <c r="N548" t="s">
        <v>51</v>
      </c>
      <c r="O548" t="s">
        <v>393</v>
      </c>
      <c r="P548" s="6" t="str">
        <f>IF(Table1[[#This Row],[Transaction_Amount]]&lt;=Table1[[#This Row],[avg_transaction_amount]], "usual transaction", "unusual transaction")</f>
        <v>unusual transaction</v>
      </c>
      <c r="Q548" s="6" t="str">
        <f>IF(AND(Table1[[#This Row],[Country_of_Residence]]&lt;&gt;Table1[[#This Row],[Country_of_Transaction]], OR(Table1[[#This Row],[Authentication_Type]]="Biometric", Table1[[#This Row],[Authentication_Type]]="OTP")), "safe location transaction", "unsafe location transaction")</f>
        <v>unsafe location transaction</v>
      </c>
      <c r="R548" s="6" t="str">
        <f>IF(AND(Table1[[#This Row],[Country_of_Residence]]&lt;&gt;Table1[[#This Row],[Country_of_Transaction]], OR(Table1[[#This Row],[Merchant_Category]]="Electronics", Table1[[#This Row],[Merchant_Category]]="Travel")), "unsafe merchant transaction", "safe merchant transaction")</f>
        <v>safe merchant transaction</v>
      </c>
    </row>
    <row r="549" spans="1:18">
      <c r="A549" t="s">
        <v>4187</v>
      </c>
      <c r="B549" t="s">
        <v>124</v>
      </c>
      <c r="C549">
        <v>1</v>
      </c>
      <c r="D549" t="s">
        <v>9</v>
      </c>
      <c r="E549" t="s">
        <v>5</v>
      </c>
      <c r="F549" s="2">
        <v>45843</v>
      </c>
      <c r="G549">
        <v>886.92</v>
      </c>
      <c r="H549" s="1">
        <f>AVERAGEIF(Table1[Customer_ID], Table1[[#This Row],[Customer_ID]], Table1[Transaction_Amount])</f>
        <v>4320.8560784313731</v>
      </c>
      <c r="I549" t="s">
        <v>581</v>
      </c>
      <c r="J549" t="s">
        <v>41</v>
      </c>
      <c r="K549" t="s">
        <v>14</v>
      </c>
      <c r="L549">
        <v>2</v>
      </c>
      <c r="M549" t="s">
        <v>37</v>
      </c>
      <c r="N549" t="s">
        <v>412</v>
      </c>
      <c r="O549" t="s">
        <v>393</v>
      </c>
      <c r="P549" s="6" t="str">
        <f>IF(Table1[[#This Row],[Transaction_Amount]]&lt;=Table1[[#This Row],[avg_transaction_amount]], "usual transaction", "unusual transaction")</f>
        <v>usual transaction</v>
      </c>
      <c r="Q549" s="6" t="str">
        <f>IF(AND(Table1[[#This Row],[Country_of_Residence]]&lt;&gt;Table1[[#This Row],[Country_of_Transaction]], OR(Table1[[#This Row],[Authentication_Type]]="Biometric", Table1[[#This Row],[Authentication_Type]]="OTP")), "safe location transaction", "unsafe location transaction")</f>
        <v>unsafe location transaction</v>
      </c>
      <c r="R549" s="6" t="str">
        <f>IF(AND(Table1[[#This Row],[Country_of_Residence]]&lt;&gt;Table1[[#This Row],[Country_of_Transaction]], OR(Table1[[#This Row],[Merchant_Category]]="Electronics", Table1[[#This Row],[Merchant_Category]]="Travel")), "unsafe merchant transaction", "safe merchant transaction")</f>
        <v>safe merchant transaction</v>
      </c>
    </row>
    <row r="550" spans="1:18">
      <c r="A550" t="s">
        <v>4213</v>
      </c>
      <c r="B550" t="s">
        <v>124</v>
      </c>
      <c r="C550">
        <v>1</v>
      </c>
      <c r="D550" t="s">
        <v>15</v>
      </c>
      <c r="E550" t="s">
        <v>6</v>
      </c>
      <c r="F550" s="2">
        <v>45730</v>
      </c>
      <c r="G550">
        <v>2137.71</v>
      </c>
      <c r="H550" s="1">
        <f>AVERAGEIF(Table1[Customer_ID], Table1[[#This Row],[Customer_ID]], Table1[Transaction_Amount])</f>
        <v>4320.8560784313731</v>
      </c>
      <c r="I550" t="s">
        <v>1733</v>
      </c>
      <c r="J550" t="s">
        <v>31</v>
      </c>
      <c r="K550" t="s">
        <v>10</v>
      </c>
      <c r="L550">
        <v>4</v>
      </c>
      <c r="M550" t="s">
        <v>37</v>
      </c>
      <c r="N550" t="s">
        <v>37</v>
      </c>
      <c r="O550" t="s">
        <v>392</v>
      </c>
      <c r="P550" s="6" t="str">
        <f>IF(Table1[[#This Row],[Transaction_Amount]]&lt;=Table1[[#This Row],[avg_transaction_amount]], "usual transaction", "unusual transaction")</f>
        <v>usual transaction</v>
      </c>
      <c r="Q550" s="6" t="str">
        <f>IF(AND(Table1[[#This Row],[Country_of_Residence]]&lt;&gt;Table1[[#This Row],[Country_of_Transaction]], OR(Table1[[#This Row],[Authentication_Type]]="Biometric", Table1[[#This Row],[Authentication_Type]]="OTP")), "safe location transaction", "unsafe location transaction")</f>
        <v>unsafe location transaction</v>
      </c>
      <c r="R550" s="6" t="str">
        <f>IF(AND(Table1[[#This Row],[Country_of_Residence]]&lt;&gt;Table1[[#This Row],[Country_of_Transaction]], OR(Table1[[#This Row],[Merchant_Category]]="Electronics", Table1[[#This Row],[Merchant_Category]]="Travel")), "unsafe merchant transaction", "safe merchant transaction")</f>
        <v>safe merchant transaction</v>
      </c>
    </row>
    <row r="551" spans="1:18">
      <c r="A551" t="s">
        <v>4313</v>
      </c>
      <c r="B551" t="s">
        <v>124</v>
      </c>
      <c r="C551">
        <v>1</v>
      </c>
      <c r="D551" t="s">
        <v>9</v>
      </c>
      <c r="E551" t="s">
        <v>3</v>
      </c>
      <c r="F551" s="2">
        <v>45728</v>
      </c>
      <c r="G551">
        <v>761</v>
      </c>
      <c r="H551" s="1">
        <f>AVERAGEIF(Table1[Customer_ID], Table1[[#This Row],[Customer_ID]], Table1[Transaction_Amount])</f>
        <v>4320.8560784313731</v>
      </c>
      <c r="I551" t="s">
        <v>1821</v>
      </c>
      <c r="J551" t="s">
        <v>41</v>
      </c>
      <c r="K551" t="s">
        <v>12</v>
      </c>
      <c r="L551">
        <v>5</v>
      </c>
      <c r="M551" t="s">
        <v>47</v>
      </c>
      <c r="N551" t="s">
        <v>32</v>
      </c>
      <c r="O551" t="s">
        <v>393</v>
      </c>
      <c r="P551" s="6" t="str">
        <f>IF(Table1[[#This Row],[Transaction_Amount]]&lt;=Table1[[#This Row],[avg_transaction_amount]], "usual transaction", "unusual transaction")</f>
        <v>usual transaction</v>
      </c>
      <c r="Q551" s="6" t="str">
        <f>IF(AND(Table1[[#This Row],[Country_of_Residence]]&lt;&gt;Table1[[#This Row],[Country_of_Transaction]], OR(Table1[[#This Row],[Authentication_Type]]="Biometric", Table1[[#This Row],[Authentication_Type]]="OTP")), "safe location transaction", "unsafe location transaction")</f>
        <v>unsafe location transaction</v>
      </c>
      <c r="R551" s="6" t="str">
        <f>IF(AND(Table1[[#This Row],[Country_of_Residence]]&lt;&gt;Table1[[#This Row],[Country_of_Transaction]], OR(Table1[[#This Row],[Merchant_Category]]="Electronics", Table1[[#This Row],[Merchant_Category]]="Travel")), "unsafe merchant transaction", "safe merchant transaction")</f>
        <v>safe merchant transaction</v>
      </c>
    </row>
    <row r="552" spans="1:18">
      <c r="A552" t="s">
        <v>4427</v>
      </c>
      <c r="B552" t="s">
        <v>124</v>
      </c>
      <c r="C552">
        <v>1</v>
      </c>
      <c r="D552" t="s">
        <v>9</v>
      </c>
      <c r="E552" t="s">
        <v>5</v>
      </c>
      <c r="F552" s="2">
        <v>45854</v>
      </c>
      <c r="G552">
        <v>6694.41</v>
      </c>
      <c r="H552" s="1">
        <f>AVERAGEIF(Table1[Customer_ID], Table1[[#This Row],[Customer_ID]], Table1[Transaction_Amount])</f>
        <v>4320.8560784313731</v>
      </c>
      <c r="I552" t="s">
        <v>1924</v>
      </c>
      <c r="J552" t="s">
        <v>31</v>
      </c>
      <c r="K552" t="s">
        <v>8</v>
      </c>
      <c r="L552">
        <v>0</v>
      </c>
      <c r="M552" t="s">
        <v>47</v>
      </c>
      <c r="N552" t="s">
        <v>55</v>
      </c>
      <c r="O552" t="s">
        <v>392</v>
      </c>
      <c r="P552" s="6" t="str">
        <f>IF(Table1[[#This Row],[Transaction_Amount]]&lt;=Table1[[#This Row],[avg_transaction_amount]], "usual transaction", "unusual transaction")</f>
        <v>unusual transaction</v>
      </c>
      <c r="Q552" s="6" t="str">
        <f>IF(AND(Table1[[#This Row],[Country_of_Residence]]&lt;&gt;Table1[[#This Row],[Country_of_Transaction]], OR(Table1[[#This Row],[Authentication_Type]]="Biometric", Table1[[#This Row],[Authentication_Type]]="OTP")), "safe location transaction", "unsafe location transaction")</f>
        <v>safe location transaction</v>
      </c>
      <c r="R552" s="6" t="str">
        <f>IF(AND(Table1[[#This Row],[Country_of_Residence]]&lt;&gt;Table1[[#This Row],[Country_of_Transaction]], OR(Table1[[#This Row],[Merchant_Category]]="Electronics", Table1[[#This Row],[Merchant_Category]]="Travel")), "unsafe merchant transaction", "safe merchant transaction")</f>
        <v>safe merchant transaction</v>
      </c>
    </row>
    <row r="553" spans="1:18">
      <c r="A553" t="s">
        <v>4490</v>
      </c>
      <c r="B553" t="s">
        <v>124</v>
      </c>
      <c r="C553">
        <v>1</v>
      </c>
      <c r="D553" t="s">
        <v>9</v>
      </c>
      <c r="E553" t="s">
        <v>3</v>
      </c>
      <c r="F553" s="2">
        <v>45816</v>
      </c>
      <c r="G553">
        <v>7589.07</v>
      </c>
      <c r="H553" s="1">
        <f>AVERAGEIF(Table1[Customer_ID], Table1[[#This Row],[Customer_ID]], Table1[Transaction_Amount])</f>
        <v>4320.8560784313731</v>
      </c>
      <c r="I553" t="s">
        <v>1979</v>
      </c>
      <c r="J553" t="s">
        <v>36</v>
      </c>
      <c r="K553" t="s">
        <v>14</v>
      </c>
      <c r="L553">
        <v>0</v>
      </c>
      <c r="M553" t="s">
        <v>42</v>
      </c>
      <c r="N553" t="s">
        <v>51</v>
      </c>
      <c r="O553" t="s">
        <v>392</v>
      </c>
      <c r="P553" s="6" t="str">
        <f>IF(Table1[[#This Row],[Transaction_Amount]]&lt;=Table1[[#This Row],[avg_transaction_amount]], "usual transaction", "unusual transaction")</f>
        <v>unusual transaction</v>
      </c>
      <c r="Q553" s="6" t="str">
        <f>IF(AND(Table1[[#This Row],[Country_of_Residence]]&lt;&gt;Table1[[#This Row],[Country_of_Transaction]], OR(Table1[[#This Row],[Authentication_Type]]="Biometric", Table1[[#This Row],[Authentication_Type]]="OTP")), "safe location transaction", "unsafe location transaction")</f>
        <v>unsafe location transaction</v>
      </c>
      <c r="R553" s="6" t="str">
        <f>IF(AND(Table1[[#This Row],[Country_of_Residence]]&lt;&gt;Table1[[#This Row],[Country_of_Transaction]], OR(Table1[[#This Row],[Merchant_Category]]="Electronics", Table1[[#This Row],[Merchant_Category]]="Travel")), "unsafe merchant transaction", "safe merchant transaction")</f>
        <v>safe merchant transaction</v>
      </c>
    </row>
    <row r="554" spans="1:18">
      <c r="A554" t="s">
        <v>4566</v>
      </c>
      <c r="B554" t="s">
        <v>124</v>
      </c>
      <c r="C554">
        <v>1</v>
      </c>
      <c r="D554" t="s">
        <v>15</v>
      </c>
      <c r="E554" t="s">
        <v>6</v>
      </c>
      <c r="F554" s="2">
        <v>45716</v>
      </c>
      <c r="G554">
        <v>2416.06</v>
      </c>
      <c r="H554" s="1">
        <f>AVERAGEIF(Table1[Customer_ID], Table1[[#This Row],[Customer_ID]], Table1[Transaction_Amount])</f>
        <v>4320.8560784313731</v>
      </c>
      <c r="I554" t="s">
        <v>2040</v>
      </c>
      <c r="J554" t="s">
        <v>50</v>
      </c>
      <c r="K554" t="s">
        <v>10</v>
      </c>
      <c r="L554">
        <v>4</v>
      </c>
      <c r="M554" t="s">
        <v>33</v>
      </c>
      <c r="N554" t="s">
        <v>32</v>
      </c>
      <c r="O554" t="s">
        <v>392</v>
      </c>
      <c r="P554" s="6" t="str">
        <f>IF(Table1[[#This Row],[Transaction_Amount]]&lt;=Table1[[#This Row],[avg_transaction_amount]], "usual transaction", "unusual transaction")</f>
        <v>usual transaction</v>
      </c>
      <c r="Q554" s="6" t="str">
        <f>IF(AND(Table1[[#This Row],[Country_of_Residence]]&lt;&gt;Table1[[#This Row],[Country_of_Transaction]], OR(Table1[[#This Row],[Authentication_Type]]="Biometric", Table1[[#This Row],[Authentication_Type]]="OTP")), "safe location transaction", "unsafe location transaction")</f>
        <v>safe location transaction</v>
      </c>
      <c r="R554" s="6" t="str">
        <f>IF(AND(Table1[[#This Row],[Country_of_Residence]]&lt;&gt;Table1[[#This Row],[Country_of_Transaction]], OR(Table1[[#This Row],[Merchant_Category]]="Electronics", Table1[[#This Row],[Merchant_Category]]="Travel")), "unsafe merchant transaction", "safe merchant transaction")</f>
        <v>unsafe merchant transaction</v>
      </c>
    </row>
    <row r="555" spans="1:18">
      <c r="A555" t="s">
        <v>4575</v>
      </c>
      <c r="B555" t="s">
        <v>124</v>
      </c>
      <c r="C555">
        <v>1</v>
      </c>
      <c r="D555" t="s">
        <v>9</v>
      </c>
      <c r="E555" t="s">
        <v>5</v>
      </c>
      <c r="F555" s="2">
        <v>45876</v>
      </c>
      <c r="G555">
        <v>2359.6</v>
      </c>
      <c r="H555" s="1">
        <f>AVERAGEIF(Table1[Customer_ID], Table1[[#This Row],[Customer_ID]], Table1[Transaction_Amount])</f>
        <v>4320.8560784313731</v>
      </c>
      <c r="I555" t="s">
        <v>2045</v>
      </c>
      <c r="J555" t="s">
        <v>50</v>
      </c>
      <c r="K555" t="s">
        <v>8</v>
      </c>
      <c r="L555">
        <v>3</v>
      </c>
      <c r="M555" t="s">
        <v>37</v>
      </c>
      <c r="N555" t="s">
        <v>412</v>
      </c>
      <c r="O555" t="s">
        <v>392</v>
      </c>
      <c r="P555" s="6" t="str">
        <f>IF(Table1[[#This Row],[Transaction_Amount]]&lt;=Table1[[#This Row],[avg_transaction_amount]], "usual transaction", "unusual transaction")</f>
        <v>usual transaction</v>
      </c>
      <c r="Q555" s="6" t="str">
        <f>IF(AND(Table1[[#This Row],[Country_of_Residence]]&lt;&gt;Table1[[#This Row],[Country_of_Transaction]], OR(Table1[[#This Row],[Authentication_Type]]="Biometric", Table1[[#This Row],[Authentication_Type]]="OTP")), "safe location transaction", "unsafe location transaction")</f>
        <v>safe location transaction</v>
      </c>
      <c r="R555" s="6" t="str">
        <f>IF(AND(Table1[[#This Row],[Country_of_Residence]]&lt;&gt;Table1[[#This Row],[Country_of_Transaction]], OR(Table1[[#This Row],[Merchant_Category]]="Electronics", Table1[[#This Row],[Merchant_Category]]="Travel")), "unsafe merchant transaction", "safe merchant transaction")</f>
        <v>unsafe merchant transaction</v>
      </c>
    </row>
    <row r="556" spans="1:18">
      <c r="A556" t="s">
        <v>4584</v>
      </c>
      <c r="B556" t="s">
        <v>124</v>
      </c>
      <c r="C556">
        <v>1</v>
      </c>
      <c r="D556" t="s">
        <v>9</v>
      </c>
      <c r="E556" t="s">
        <v>3</v>
      </c>
      <c r="F556" s="2">
        <v>45952</v>
      </c>
      <c r="G556">
        <v>4276.29</v>
      </c>
      <c r="H556" s="1">
        <f>AVERAGEIF(Table1[Customer_ID], Table1[[#This Row],[Customer_ID]], Table1[Transaction_Amount])</f>
        <v>4320.8560784313731</v>
      </c>
      <c r="I556" t="s">
        <v>2054</v>
      </c>
      <c r="J556" t="s">
        <v>46</v>
      </c>
      <c r="K556" t="s">
        <v>10</v>
      </c>
      <c r="L556">
        <v>4</v>
      </c>
      <c r="M556" t="s">
        <v>55</v>
      </c>
      <c r="N556" t="s">
        <v>56</v>
      </c>
      <c r="O556" t="s">
        <v>393</v>
      </c>
      <c r="P556" s="6" t="str">
        <f>IF(Table1[[#This Row],[Transaction_Amount]]&lt;=Table1[[#This Row],[avg_transaction_amount]], "usual transaction", "unusual transaction")</f>
        <v>usual transaction</v>
      </c>
      <c r="Q556" s="6" t="str">
        <f>IF(AND(Table1[[#This Row],[Country_of_Residence]]&lt;&gt;Table1[[#This Row],[Country_of_Transaction]], OR(Table1[[#This Row],[Authentication_Type]]="Biometric", Table1[[#This Row],[Authentication_Type]]="OTP")), "safe location transaction", "unsafe location transaction")</f>
        <v>safe location transaction</v>
      </c>
      <c r="R556" s="6" t="str">
        <f>IF(AND(Table1[[#This Row],[Country_of_Residence]]&lt;&gt;Table1[[#This Row],[Country_of_Transaction]], OR(Table1[[#This Row],[Merchant_Category]]="Electronics", Table1[[#This Row],[Merchant_Category]]="Travel")), "unsafe merchant transaction", "safe merchant transaction")</f>
        <v>safe merchant transaction</v>
      </c>
    </row>
    <row r="557" spans="1:18">
      <c r="A557" t="s">
        <v>4601</v>
      </c>
      <c r="B557" t="s">
        <v>124</v>
      </c>
      <c r="C557">
        <v>1</v>
      </c>
      <c r="D557" t="s">
        <v>15</v>
      </c>
      <c r="E557" t="s">
        <v>3</v>
      </c>
      <c r="F557" s="2">
        <v>45819</v>
      </c>
      <c r="G557">
        <v>321.72000000000003</v>
      </c>
      <c r="H557" s="1">
        <f>AVERAGEIF(Table1[Customer_ID], Table1[[#This Row],[Customer_ID]], Table1[Transaction_Amount])</f>
        <v>4320.8560784313731</v>
      </c>
      <c r="I557" t="s">
        <v>2068</v>
      </c>
      <c r="J557" t="s">
        <v>50</v>
      </c>
      <c r="K557" t="s">
        <v>12</v>
      </c>
      <c r="L557">
        <v>0</v>
      </c>
      <c r="M557" t="s">
        <v>32</v>
      </c>
      <c r="N557" t="s">
        <v>56</v>
      </c>
      <c r="O557" t="s">
        <v>393</v>
      </c>
      <c r="P557" s="6" t="str">
        <f>IF(Table1[[#This Row],[Transaction_Amount]]&lt;=Table1[[#This Row],[avg_transaction_amount]], "usual transaction", "unusual transaction")</f>
        <v>usual transaction</v>
      </c>
      <c r="Q557" s="6" t="str">
        <f>IF(AND(Table1[[#This Row],[Country_of_Residence]]&lt;&gt;Table1[[#This Row],[Country_of_Transaction]], OR(Table1[[#This Row],[Authentication_Type]]="Biometric", Table1[[#This Row],[Authentication_Type]]="OTP")), "safe location transaction", "unsafe location transaction")</f>
        <v>unsafe location transaction</v>
      </c>
      <c r="R557" s="6" t="str">
        <f>IF(AND(Table1[[#This Row],[Country_of_Residence]]&lt;&gt;Table1[[#This Row],[Country_of_Transaction]], OR(Table1[[#This Row],[Merchant_Category]]="Electronics", Table1[[#This Row],[Merchant_Category]]="Travel")), "unsafe merchant transaction", "safe merchant transaction")</f>
        <v>unsafe merchant transaction</v>
      </c>
    </row>
    <row r="558" spans="1:18">
      <c r="A558" t="s">
        <v>4624</v>
      </c>
      <c r="B558" t="s">
        <v>124</v>
      </c>
      <c r="C558">
        <v>1</v>
      </c>
      <c r="D558" t="s">
        <v>15</v>
      </c>
      <c r="E558" t="s">
        <v>5</v>
      </c>
      <c r="F558" s="2">
        <v>45914</v>
      </c>
      <c r="G558">
        <v>1263.8399999999999</v>
      </c>
      <c r="H558" s="1">
        <f>AVERAGEIF(Table1[Customer_ID], Table1[[#This Row],[Customer_ID]], Table1[Transaction_Amount])</f>
        <v>4320.8560784313731</v>
      </c>
      <c r="I558" t="s">
        <v>2088</v>
      </c>
      <c r="J558" t="s">
        <v>50</v>
      </c>
      <c r="K558" t="s">
        <v>14</v>
      </c>
      <c r="L558">
        <v>1</v>
      </c>
      <c r="M558" t="s">
        <v>412</v>
      </c>
      <c r="N558" t="s">
        <v>55</v>
      </c>
      <c r="O558" t="s">
        <v>393</v>
      </c>
      <c r="P558" s="6" t="str">
        <f>IF(Table1[[#This Row],[Transaction_Amount]]&lt;=Table1[[#This Row],[avg_transaction_amount]], "usual transaction", "unusual transaction")</f>
        <v>usual transaction</v>
      </c>
      <c r="Q558" s="6" t="str">
        <f>IF(AND(Table1[[#This Row],[Country_of_Residence]]&lt;&gt;Table1[[#This Row],[Country_of_Transaction]], OR(Table1[[#This Row],[Authentication_Type]]="Biometric", Table1[[#This Row],[Authentication_Type]]="OTP")), "safe location transaction", "unsafe location transaction")</f>
        <v>unsafe location transaction</v>
      </c>
      <c r="R558" s="6" t="str">
        <f>IF(AND(Table1[[#This Row],[Country_of_Residence]]&lt;&gt;Table1[[#This Row],[Country_of_Transaction]], OR(Table1[[#This Row],[Merchant_Category]]="Electronics", Table1[[#This Row],[Merchant_Category]]="Travel")), "unsafe merchant transaction", "safe merchant transaction")</f>
        <v>unsafe merchant transaction</v>
      </c>
    </row>
    <row r="559" spans="1:18">
      <c r="A559" t="s">
        <v>4638</v>
      </c>
      <c r="B559" t="s">
        <v>124</v>
      </c>
      <c r="C559">
        <v>1</v>
      </c>
      <c r="D559" t="s">
        <v>15</v>
      </c>
      <c r="E559" t="s">
        <v>5</v>
      </c>
      <c r="F559" s="2">
        <v>45664</v>
      </c>
      <c r="G559">
        <v>5544.53</v>
      </c>
      <c r="H559" s="1">
        <f>AVERAGEIF(Table1[Customer_ID], Table1[[#This Row],[Customer_ID]], Table1[Transaction_Amount])</f>
        <v>4320.8560784313731</v>
      </c>
      <c r="I559" t="s">
        <v>2099</v>
      </c>
      <c r="J559" t="s">
        <v>36</v>
      </c>
      <c r="K559" t="s">
        <v>14</v>
      </c>
      <c r="L559">
        <v>1</v>
      </c>
      <c r="M559" t="s">
        <v>33</v>
      </c>
      <c r="N559" t="s">
        <v>55</v>
      </c>
      <c r="O559" t="s">
        <v>393</v>
      </c>
      <c r="P559" s="6" t="str">
        <f>IF(Table1[[#This Row],[Transaction_Amount]]&lt;=Table1[[#This Row],[avg_transaction_amount]], "usual transaction", "unusual transaction")</f>
        <v>unusual transaction</v>
      </c>
      <c r="Q559" s="6" t="str">
        <f>IF(AND(Table1[[#This Row],[Country_of_Residence]]&lt;&gt;Table1[[#This Row],[Country_of_Transaction]], OR(Table1[[#This Row],[Authentication_Type]]="Biometric", Table1[[#This Row],[Authentication_Type]]="OTP")), "safe location transaction", "unsafe location transaction")</f>
        <v>unsafe location transaction</v>
      </c>
      <c r="R559" s="6" t="str">
        <f>IF(AND(Table1[[#This Row],[Country_of_Residence]]&lt;&gt;Table1[[#This Row],[Country_of_Transaction]], OR(Table1[[#This Row],[Merchant_Category]]="Electronics", Table1[[#This Row],[Merchant_Category]]="Travel")), "unsafe merchant transaction", "safe merchant transaction")</f>
        <v>safe merchant transaction</v>
      </c>
    </row>
    <row r="560" spans="1:18">
      <c r="A560" t="s">
        <v>4882</v>
      </c>
      <c r="B560" t="s">
        <v>124</v>
      </c>
      <c r="C560">
        <v>1</v>
      </c>
      <c r="D560" t="s">
        <v>9</v>
      </c>
      <c r="E560" t="s">
        <v>3</v>
      </c>
      <c r="F560" s="2">
        <v>45757</v>
      </c>
      <c r="G560">
        <v>7884.78</v>
      </c>
      <c r="H560" s="1">
        <f>AVERAGEIF(Table1[Customer_ID], Table1[[#This Row],[Customer_ID]], Table1[Transaction_Amount])</f>
        <v>4320.8560784313731</v>
      </c>
      <c r="I560" t="s">
        <v>2286</v>
      </c>
      <c r="J560" t="s">
        <v>46</v>
      </c>
      <c r="K560" t="s">
        <v>12</v>
      </c>
      <c r="L560">
        <v>5</v>
      </c>
      <c r="M560" t="s">
        <v>37</v>
      </c>
      <c r="N560" t="s">
        <v>47</v>
      </c>
      <c r="O560" t="s">
        <v>392</v>
      </c>
      <c r="P560" s="6" t="str">
        <f>IF(Table1[[#This Row],[Transaction_Amount]]&lt;=Table1[[#This Row],[avg_transaction_amount]], "usual transaction", "unusual transaction")</f>
        <v>unusual transaction</v>
      </c>
      <c r="Q560" s="6" t="str">
        <f>IF(AND(Table1[[#This Row],[Country_of_Residence]]&lt;&gt;Table1[[#This Row],[Country_of_Transaction]], OR(Table1[[#This Row],[Authentication_Type]]="Biometric", Table1[[#This Row],[Authentication_Type]]="OTP")), "safe location transaction", "unsafe location transaction")</f>
        <v>unsafe location transaction</v>
      </c>
      <c r="R560" s="6" t="str">
        <f>IF(AND(Table1[[#This Row],[Country_of_Residence]]&lt;&gt;Table1[[#This Row],[Country_of_Transaction]], OR(Table1[[#This Row],[Merchant_Category]]="Electronics", Table1[[#This Row],[Merchant_Category]]="Travel")), "unsafe merchant transaction", "safe merchant transaction")</f>
        <v>safe merchant transaction</v>
      </c>
    </row>
    <row r="561" spans="1:18">
      <c r="A561" t="s">
        <v>5225</v>
      </c>
      <c r="B561" t="s">
        <v>124</v>
      </c>
      <c r="C561">
        <v>1</v>
      </c>
      <c r="D561" t="s">
        <v>9</v>
      </c>
      <c r="E561" t="s">
        <v>3</v>
      </c>
      <c r="F561" s="2">
        <v>45923</v>
      </c>
      <c r="G561">
        <v>7557.62</v>
      </c>
      <c r="H561" s="1">
        <f>AVERAGEIF(Table1[Customer_ID], Table1[[#This Row],[Customer_ID]], Table1[Transaction_Amount])</f>
        <v>4320.8560784313731</v>
      </c>
      <c r="I561" t="s">
        <v>2548</v>
      </c>
      <c r="J561" t="s">
        <v>50</v>
      </c>
      <c r="K561" t="s">
        <v>10</v>
      </c>
      <c r="L561">
        <v>5</v>
      </c>
      <c r="M561" t="s">
        <v>33</v>
      </c>
      <c r="N561" t="s">
        <v>412</v>
      </c>
      <c r="O561" t="s">
        <v>393</v>
      </c>
      <c r="P561" s="6" t="str">
        <f>IF(Table1[[#This Row],[Transaction_Amount]]&lt;=Table1[[#This Row],[avg_transaction_amount]], "usual transaction", "unusual transaction")</f>
        <v>unusual transaction</v>
      </c>
      <c r="Q561" s="6" t="str">
        <f>IF(AND(Table1[[#This Row],[Country_of_Residence]]&lt;&gt;Table1[[#This Row],[Country_of_Transaction]], OR(Table1[[#This Row],[Authentication_Type]]="Biometric", Table1[[#This Row],[Authentication_Type]]="OTP")), "safe location transaction", "unsafe location transaction")</f>
        <v>safe location transaction</v>
      </c>
      <c r="R561" s="6" t="str">
        <f>IF(AND(Table1[[#This Row],[Country_of_Residence]]&lt;&gt;Table1[[#This Row],[Country_of_Transaction]], OR(Table1[[#This Row],[Merchant_Category]]="Electronics", Table1[[#This Row],[Merchant_Category]]="Travel")), "unsafe merchant transaction", "safe merchant transaction")</f>
        <v>unsafe merchant transaction</v>
      </c>
    </row>
    <row r="562" spans="1:18">
      <c r="A562" t="s">
        <v>5229</v>
      </c>
      <c r="B562" t="s">
        <v>124</v>
      </c>
      <c r="C562">
        <v>1</v>
      </c>
      <c r="D562" t="s">
        <v>9</v>
      </c>
      <c r="E562" t="s">
        <v>5</v>
      </c>
      <c r="F562" s="2">
        <v>45890</v>
      </c>
      <c r="G562">
        <v>6668.3</v>
      </c>
      <c r="H562" s="1">
        <f>AVERAGEIF(Table1[Customer_ID], Table1[[#This Row],[Customer_ID]], Table1[Transaction_Amount])</f>
        <v>4320.8560784313731</v>
      </c>
      <c r="I562" t="s">
        <v>2551</v>
      </c>
      <c r="J562" t="s">
        <v>36</v>
      </c>
      <c r="K562" t="s">
        <v>12</v>
      </c>
      <c r="L562">
        <v>2</v>
      </c>
      <c r="M562" t="s">
        <v>55</v>
      </c>
      <c r="N562" t="s">
        <v>33</v>
      </c>
      <c r="O562" t="s">
        <v>393</v>
      </c>
      <c r="P562" s="6" t="str">
        <f>IF(Table1[[#This Row],[Transaction_Amount]]&lt;=Table1[[#This Row],[avg_transaction_amount]], "usual transaction", "unusual transaction")</f>
        <v>unusual transaction</v>
      </c>
      <c r="Q562" s="6" t="str">
        <f>IF(AND(Table1[[#This Row],[Country_of_Residence]]&lt;&gt;Table1[[#This Row],[Country_of_Transaction]], OR(Table1[[#This Row],[Authentication_Type]]="Biometric", Table1[[#This Row],[Authentication_Type]]="OTP")), "safe location transaction", "unsafe location transaction")</f>
        <v>unsafe location transaction</v>
      </c>
      <c r="R562" s="6" t="str">
        <f>IF(AND(Table1[[#This Row],[Country_of_Residence]]&lt;&gt;Table1[[#This Row],[Country_of_Transaction]], OR(Table1[[#This Row],[Merchant_Category]]="Electronics", Table1[[#This Row],[Merchant_Category]]="Travel")), "unsafe merchant transaction", "safe merchant transaction")</f>
        <v>safe merchant transaction</v>
      </c>
    </row>
    <row r="563" spans="1:18">
      <c r="A563" t="s">
        <v>5241</v>
      </c>
      <c r="B563" t="s">
        <v>124</v>
      </c>
      <c r="C563">
        <v>1</v>
      </c>
      <c r="D563" t="s">
        <v>9</v>
      </c>
      <c r="E563" t="s">
        <v>5</v>
      </c>
      <c r="F563" s="2">
        <v>45895</v>
      </c>
      <c r="G563">
        <v>8622.08</v>
      </c>
      <c r="H563" s="1">
        <f>AVERAGEIF(Table1[Customer_ID], Table1[[#This Row],[Customer_ID]], Table1[Transaction_Amount])</f>
        <v>4320.8560784313731</v>
      </c>
      <c r="I563" t="s">
        <v>2563</v>
      </c>
      <c r="J563" t="s">
        <v>46</v>
      </c>
      <c r="K563" t="s">
        <v>14</v>
      </c>
      <c r="L563">
        <v>2</v>
      </c>
      <c r="M563" t="s">
        <v>33</v>
      </c>
      <c r="N563" t="s">
        <v>47</v>
      </c>
      <c r="O563" t="s">
        <v>393</v>
      </c>
      <c r="P563" s="6" t="str">
        <f>IF(Table1[[#This Row],[Transaction_Amount]]&lt;=Table1[[#This Row],[avg_transaction_amount]], "usual transaction", "unusual transaction")</f>
        <v>unusual transaction</v>
      </c>
      <c r="Q563" s="6" t="str">
        <f>IF(AND(Table1[[#This Row],[Country_of_Residence]]&lt;&gt;Table1[[#This Row],[Country_of_Transaction]], OR(Table1[[#This Row],[Authentication_Type]]="Biometric", Table1[[#This Row],[Authentication_Type]]="OTP")), "safe location transaction", "unsafe location transaction")</f>
        <v>unsafe location transaction</v>
      </c>
      <c r="R563" s="6" t="str">
        <f>IF(AND(Table1[[#This Row],[Country_of_Residence]]&lt;&gt;Table1[[#This Row],[Country_of_Transaction]], OR(Table1[[#This Row],[Merchant_Category]]="Electronics", Table1[[#This Row],[Merchant_Category]]="Travel")), "unsafe merchant transaction", "safe merchant transaction")</f>
        <v>safe merchant transaction</v>
      </c>
    </row>
    <row r="564" spans="1:18">
      <c r="A564" t="s">
        <v>5447</v>
      </c>
      <c r="B564" t="s">
        <v>124</v>
      </c>
      <c r="C564">
        <v>1</v>
      </c>
      <c r="D564" t="s">
        <v>15</v>
      </c>
      <c r="E564" t="s">
        <v>420</v>
      </c>
      <c r="F564" s="2">
        <v>45960</v>
      </c>
      <c r="G564">
        <v>6872.51</v>
      </c>
      <c r="H564" s="1">
        <f>AVERAGEIF(Table1[Customer_ID], Table1[[#This Row],[Customer_ID]], Table1[Transaction_Amount])</f>
        <v>4320.8560784313731</v>
      </c>
      <c r="I564" t="s">
        <v>2713</v>
      </c>
      <c r="J564" t="s">
        <v>50</v>
      </c>
      <c r="K564" t="s">
        <v>14</v>
      </c>
      <c r="L564">
        <v>2</v>
      </c>
      <c r="M564" t="s">
        <v>51</v>
      </c>
      <c r="N564" t="s">
        <v>51</v>
      </c>
      <c r="O564" t="s">
        <v>393</v>
      </c>
      <c r="P564" s="6" t="str">
        <f>IF(Table1[[#This Row],[Transaction_Amount]]&lt;=Table1[[#This Row],[avg_transaction_amount]], "usual transaction", "unusual transaction")</f>
        <v>unusual transaction</v>
      </c>
      <c r="Q564" s="6" t="str">
        <f>IF(AND(Table1[[#This Row],[Country_of_Residence]]&lt;&gt;Table1[[#This Row],[Country_of_Transaction]], OR(Table1[[#This Row],[Authentication_Type]]="Biometric", Table1[[#This Row],[Authentication_Type]]="OTP")), "safe location transaction", "unsafe location transaction")</f>
        <v>unsafe location transaction</v>
      </c>
      <c r="R564" s="6" t="str">
        <f>IF(AND(Table1[[#This Row],[Country_of_Residence]]&lt;&gt;Table1[[#This Row],[Country_of_Transaction]], OR(Table1[[#This Row],[Merchant_Category]]="Electronics", Table1[[#This Row],[Merchant_Category]]="Travel")), "unsafe merchant transaction", "safe merchant transaction")</f>
        <v>safe merchant transaction</v>
      </c>
    </row>
    <row r="565" spans="1:18">
      <c r="A565" t="s">
        <v>5486</v>
      </c>
      <c r="B565" t="s">
        <v>124</v>
      </c>
      <c r="C565">
        <v>1</v>
      </c>
      <c r="D565" t="s">
        <v>9</v>
      </c>
      <c r="E565" t="s">
        <v>6</v>
      </c>
      <c r="F565" s="2">
        <v>45743</v>
      </c>
      <c r="G565">
        <v>4706.8</v>
      </c>
      <c r="H565" s="1">
        <f>AVERAGEIF(Table1[Customer_ID], Table1[[#This Row],[Customer_ID]], Table1[Transaction_Amount])</f>
        <v>4320.8560784313731</v>
      </c>
      <c r="I565" t="s">
        <v>2743</v>
      </c>
      <c r="J565" t="s">
        <v>31</v>
      </c>
      <c r="K565" t="s">
        <v>14</v>
      </c>
      <c r="L565">
        <v>5</v>
      </c>
      <c r="M565" t="s">
        <v>412</v>
      </c>
      <c r="N565" t="s">
        <v>56</v>
      </c>
      <c r="O565" t="s">
        <v>392</v>
      </c>
      <c r="P565" s="6" t="str">
        <f>IF(Table1[[#This Row],[Transaction_Amount]]&lt;=Table1[[#This Row],[avg_transaction_amount]], "usual transaction", "unusual transaction")</f>
        <v>unusual transaction</v>
      </c>
      <c r="Q565" s="6" t="str">
        <f>IF(AND(Table1[[#This Row],[Country_of_Residence]]&lt;&gt;Table1[[#This Row],[Country_of_Transaction]], OR(Table1[[#This Row],[Authentication_Type]]="Biometric", Table1[[#This Row],[Authentication_Type]]="OTP")), "safe location transaction", "unsafe location transaction")</f>
        <v>unsafe location transaction</v>
      </c>
      <c r="R565" s="6" t="str">
        <f>IF(AND(Table1[[#This Row],[Country_of_Residence]]&lt;&gt;Table1[[#This Row],[Country_of_Transaction]], OR(Table1[[#This Row],[Merchant_Category]]="Electronics", Table1[[#This Row],[Merchant_Category]]="Travel")), "unsafe merchant transaction", "safe merchant transaction")</f>
        <v>safe merchant transaction</v>
      </c>
    </row>
    <row r="566" spans="1:18">
      <c r="A566" t="s">
        <v>2789</v>
      </c>
      <c r="B566" t="s">
        <v>438</v>
      </c>
      <c r="C566">
        <v>1</v>
      </c>
      <c r="D566" t="s">
        <v>9</v>
      </c>
      <c r="E566" t="s">
        <v>3</v>
      </c>
      <c r="F566" s="2">
        <v>45715</v>
      </c>
      <c r="G566">
        <v>7425.25</v>
      </c>
      <c r="H566" s="1">
        <f>AVERAGEIF(Table1[Customer_ID], Table1[[#This Row],[Customer_ID]], Table1[Transaction_Amount])</f>
        <v>4796.3042592592574</v>
      </c>
      <c r="I566" t="s">
        <v>439</v>
      </c>
      <c r="J566" t="s">
        <v>41</v>
      </c>
      <c r="K566" t="s">
        <v>10</v>
      </c>
      <c r="L566">
        <v>2</v>
      </c>
      <c r="M566" t="s">
        <v>33</v>
      </c>
      <c r="N566" t="s">
        <v>42</v>
      </c>
      <c r="O566" t="s">
        <v>393</v>
      </c>
      <c r="P566" s="6" t="str">
        <f>IF(Table1[[#This Row],[Transaction_Amount]]&lt;=Table1[[#This Row],[avg_transaction_amount]], "usual transaction", "unusual transaction")</f>
        <v>unusual transaction</v>
      </c>
      <c r="Q566" s="6" t="str">
        <f>IF(AND(Table1[[#This Row],[Country_of_Residence]]&lt;&gt;Table1[[#This Row],[Country_of_Transaction]], OR(Table1[[#This Row],[Authentication_Type]]="Biometric", Table1[[#This Row],[Authentication_Type]]="OTP")), "safe location transaction", "unsafe location transaction")</f>
        <v>safe location transaction</v>
      </c>
      <c r="R566" s="6" t="str">
        <f>IF(AND(Table1[[#This Row],[Country_of_Residence]]&lt;&gt;Table1[[#This Row],[Country_of_Transaction]], OR(Table1[[#This Row],[Merchant_Category]]="Electronics", Table1[[#This Row],[Merchant_Category]]="Travel")), "unsafe merchant transaction", "safe merchant transaction")</f>
        <v>safe merchant transaction</v>
      </c>
    </row>
    <row r="567" spans="1:18">
      <c r="A567" t="s">
        <v>2791</v>
      </c>
      <c r="B567" t="s">
        <v>438</v>
      </c>
      <c r="C567">
        <v>1</v>
      </c>
      <c r="D567" t="s">
        <v>9</v>
      </c>
      <c r="E567" t="s">
        <v>3</v>
      </c>
      <c r="F567" s="2">
        <v>45749</v>
      </c>
      <c r="G567">
        <v>9763.25</v>
      </c>
      <c r="H567" s="1">
        <f>AVERAGEIF(Table1[Customer_ID], Table1[[#This Row],[Customer_ID]], Table1[Transaction_Amount])</f>
        <v>4796.3042592592574</v>
      </c>
      <c r="I567" t="s">
        <v>441</v>
      </c>
      <c r="J567" t="s">
        <v>36</v>
      </c>
      <c r="K567" t="s">
        <v>12</v>
      </c>
      <c r="L567">
        <v>2</v>
      </c>
      <c r="M567" t="s">
        <v>42</v>
      </c>
      <c r="N567" t="s">
        <v>32</v>
      </c>
      <c r="O567" t="s">
        <v>393</v>
      </c>
      <c r="P567" s="6" t="str">
        <f>IF(Table1[[#This Row],[Transaction_Amount]]&lt;=Table1[[#This Row],[avg_transaction_amount]], "usual transaction", "unusual transaction")</f>
        <v>unusual transaction</v>
      </c>
      <c r="Q567" s="6" t="str">
        <f>IF(AND(Table1[[#This Row],[Country_of_Residence]]&lt;&gt;Table1[[#This Row],[Country_of_Transaction]], OR(Table1[[#This Row],[Authentication_Type]]="Biometric", Table1[[#This Row],[Authentication_Type]]="OTP")), "safe location transaction", "unsafe location transaction")</f>
        <v>unsafe location transaction</v>
      </c>
      <c r="R567" s="6" t="str">
        <f>IF(AND(Table1[[#This Row],[Country_of_Residence]]&lt;&gt;Table1[[#This Row],[Country_of_Transaction]], OR(Table1[[#This Row],[Merchant_Category]]="Electronics", Table1[[#This Row],[Merchant_Category]]="Travel")), "unsafe merchant transaction", "safe merchant transaction")</f>
        <v>safe merchant transaction</v>
      </c>
    </row>
    <row r="568" spans="1:18">
      <c r="A568" t="s">
        <v>2821</v>
      </c>
      <c r="B568" t="s">
        <v>438</v>
      </c>
      <c r="C568">
        <v>1</v>
      </c>
      <c r="D568" t="s">
        <v>9</v>
      </c>
      <c r="E568" t="s">
        <v>5</v>
      </c>
      <c r="F568" s="2">
        <v>45674</v>
      </c>
      <c r="G568">
        <v>76.62</v>
      </c>
      <c r="H568" s="1">
        <f>AVERAGEIF(Table1[Customer_ID], Table1[[#This Row],[Customer_ID]], Table1[Transaction_Amount])</f>
        <v>4796.3042592592574</v>
      </c>
      <c r="I568" t="s">
        <v>472</v>
      </c>
      <c r="J568" t="s">
        <v>50</v>
      </c>
      <c r="K568" t="s">
        <v>8</v>
      </c>
      <c r="L568">
        <v>0</v>
      </c>
      <c r="M568" t="s">
        <v>55</v>
      </c>
      <c r="N568" t="s">
        <v>37</v>
      </c>
      <c r="O568" t="s">
        <v>392</v>
      </c>
      <c r="P568" s="6" t="str">
        <f>IF(Table1[[#This Row],[Transaction_Amount]]&lt;=Table1[[#This Row],[avg_transaction_amount]], "usual transaction", "unusual transaction")</f>
        <v>usual transaction</v>
      </c>
      <c r="Q568" s="6" t="str">
        <f>IF(AND(Table1[[#This Row],[Country_of_Residence]]&lt;&gt;Table1[[#This Row],[Country_of_Transaction]], OR(Table1[[#This Row],[Authentication_Type]]="Biometric", Table1[[#This Row],[Authentication_Type]]="OTP")), "safe location transaction", "unsafe location transaction")</f>
        <v>safe location transaction</v>
      </c>
      <c r="R568" s="6" t="str">
        <f>IF(AND(Table1[[#This Row],[Country_of_Residence]]&lt;&gt;Table1[[#This Row],[Country_of_Transaction]], OR(Table1[[#This Row],[Merchant_Category]]="Electronics", Table1[[#This Row],[Merchant_Category]]="Travel")), "unsafe merchant transaction", "safe merchant transaction")</f>
        <v>unsafe merchant transaction</v>
      </c>
    </row>
    <row r="569" spans="1:18">
      <c r="A569" t="s">
        <v>2973</v>
      </c>
      <c r="B569" t="s">
        <v>438</v>
      </c>
      <c r="C569">
        <v>1</v>
      </c>
      <c r="D569" t="s">
        <v>9</v>
      </c>
      <c r="E569" t="s">
        <v>6</v>
      </c>
      <c r="F569" s="2">
        <v>46010</v>
      </c>
      <c r="G569">
        <v>4440.8</v>
      </c>
      <c r="H569" s="1">
        <f>AVERAGEIF(Table1[Customer_ID], Table1[[#This Row],[Customer_ID]], Table1[Transaction_Amount])</f>
        <v>4796.3042592592574</v>
      </c>
      <c r="I569" t="s">
        <v>621</v>
      </c>
      <c r="J569" t="s">
        <v>46</v>
      </c>
      <c r="K569" t="s">
        <v>14</v>
      </c>
      <c r="L569">
        <v>0</v>
      </c>
      <c r="M569" t="s">
        <v>51</v>
      </c>
      <c r="N569" t="s">
        <v>37</v>
      </c>
      <c r="O569" t="s">
        <v>392</v>
      </c>
      <c r="P569" s="6" t="str">
        <f>IF(Table1[[#This Row],[Transaction_Amount]]&lt;=Table1[[#This Row],[avg_transaction_amount]], "usual transaction", "unusual transaction")</f>
        <v>usual transaction</v>
      </c>
      <c r="Q569" s="6" t="str">
        <f>IF(AND(Table1[[#This Row],[Country_of_Residence]]&lt;&gt;Table1[[#This Row],[Country_of_Transaction]], OR(Table1[[#This Row],[Authentication_Type]]="Biometric", Table1[[#This Row],[Authentication_Type]]="OTP")), "safe location transaction", "unsafe location transaction")</f>
        <v>unsafe location transaction</v>
      </c>
      <c r="R569" s="6" t="str">
        <f>IF(AND(Table1[[#This Row],[Country_of_Residence]]&lt;&gt;Table1[[#This Row],[Country_of_Transaction]], OR(Table1[[#This Row],[Merchant_Category]]="Electronics", Table1[[#This Row],[Merchant_Category]]="Travel")), "unsafe merchant transaction", "safe merchant transaction")</f>
        <v>safe merchant transaction</v>
      </c>
    </row>
    <row r="570" spans="1:18">
      <c r="A570" t="s">
        <v>2994</v>
      </c>
      <c r="B570" t="s">
        <v>438</v>
      </c>
      <c r="C570">
        <v>1</v>
      </c>
      <c r="D570" t="s">
        <v>15</v>
      </c>
      <c r="E570" t="s">
        <v>5</v>
      </c>
      <c r="F570" s="2">
        <v>45764</v>
      </c>
      <c r="G570">
        <v>4523.1899999999996</v>
      </c>
      <c r="H570" s="1">
        <f>AVERAGEIF(Table1[Customer_ID], Table1[[#This Row],[Customer_ID]], Table1[Transaction_Amount])</f>
        <v>4796.3042592592574</v>
      </c>
      <c r="I570" t="s">
        <v>641</v>
      </c>
      <c r="J570" t="s">
        <v>36</v>
      </c>
      <c r="K570" t="s">
        <v>14</v>
      </c>
      <c r="L570">
        <v>0</v>
      </c>
      <c r="M570" t="s">
        <v>32</v>
      </c>
      <c r="N570" t="s">
        <v>42</v>
      </c>
      <c r="O570" t="s">
        <v>393</v>
      </c>
      <c r="P570" s="6" t="str">
        <f>IF(Table1[[#This Row],[Transaction_Amount]]&lt;=Table1[[#This Row],[avg_transaction_amount]], "usual transaction", "unusual transaction")</f>
        <v>usual transaction</v>
      </c>
      <c r="Q570" s="6" t="str">
        <f>IF(AND(Table1[[#This Row],[Country_of_Residence]]&lt;&gt;Table1[[#This Row],[Country_of_Transaction]], OR(Table1[[#This Row],[Authentication_Type]]="Biometric", Table1[[#This Row],[Authentication_Type]]="OTP")), "safe location transaction", "unsafe location transaction")</f>
        <v>unsafe location transaction</v>
      </c>
      <c r="R570" s="6" t="str">
        <f>IF(AND(Table1[[#This Row],[Country_of_Residence]]&lt;&gt;Table1[[#This Row],[Country_of_Transaction]], OR(Table1[[#This Row],[Merchant_Category]]="Electronics", Table1[[#This Row],[Merchant_Category]]="Travel")), "unsafe merchant transaction", "safe merchant transaction")</f>
        <v>safe merchant transaction</v>
      </c>
    </row>
    <row r="571" spans="1:18">
      <c r="A571" t="s">
        <v>3006</v>
      </c>
      <c r="B571" t="s">
        <v>438</v>
      </c>
      <c r="C571">
        <v>1</v>
      </c>
      <c r="D571" t="s">
        <v>9</v>
      </c>
      <c r="E571" t="s">
        <v>5</v>
      </c>
      <c r="F571" s="2">
        <v>45747</v>
      </c>
      <c r="G571">
        <v>7336.9</v>
      </c>
      <c r="H571" s="1">
        <f>AVERAGEIF(Table1[Customer_ID], Table1[[#This Row],[Customer_ID]], Table1[Transaction_Amount])</f>
        <v>4796.3042592592574</v>
      </c>
      <c r="I571" t="s">
        <v>653</v>
      </c>
      <c r="J571" t="s">
        <v>46</v>
      </c>
      <c r="K571" t="s">
        <v>12</v>
      </c>
      <c r="L571">
        <v>3</v>
      </c>
      <c r="M571" t="s">
        <v>37</v>
      </c>
      <c r="N571" t="s">
        <v>37</v>
      </c>
      <c r="O571" t="s">
        <v>392</v>
      </c>
      <c r="P571" s="6" t="str">
        <f>IF(Table1[[#This Row],[Transaction_Amount]]&lt;=Table1[[#This Row],[avg_transaction_amount]], "usual transaction", "unusual transaction")</f>
        <v>unusual transaction</v>
      </c>
      <c r="Q571" s="6" t="str">
        <f>IF(AND(Table1[[#This Row],[Country_of_Residence]]&lt;&gt;Table1[[#This Row],[Country_of_Transaction]], OR(Table1[[#This Row],[Authentication_Type]]="Biometric", Table1[[#This Row],[Authentication_Type]]="OTP")), "safe location transaction", "unsafe location transaction")</f>
        <v>unsafe location transaction</v>
      </c>
      <c r="R571" s="6" t="str">
        <f>IF(AND(Table1[[#This Row],[Country_of_Residence]]&lt;&gt;Table1[[#This Row],[Country_of_Transaction]], OR(Table1[[#This Row],[Merchant_Category]]="Electronics", Table1[[#This Row],[Merchant_Category]]="Travel")), "unsafe merchant transaction", "safe merchant transaction")</f>
        <v>safe merchant transaction</v>
      </c>
    </row>
    <row r="572" spans="1:18">
      <c r="A572" t="s">
        <v>3159</v>
      </c>
      <c r="B572" t="s">
        <v>438</v>
      </c>
      <c r="C572">
        <v>1</v>
      </c>
      <c r="D572" t="s">
        <v>15</v>
      </c>
      <c r="E572" t="s">
        <v>5</v>
      </c>
      <c r="F572" s="2">
        <v>45869</v>
      </c>
      <c r="G572">
        <v>1972.94</v>
      </c>
      <c r="H572" s="1">
        <f>AVERAGEIF(Table1[Customer_ID], Table1[[#This Row],[Customer_ID]], Table1[Transaction_Amount])</f>
        <v>4796.3042592592574</v>
      </c>
      <c r="I572" t="s">
        <v>150</v>
      </c>
      <c r="J572" t="s">
        <v>46</v>
      </c>
      <c r="K572" t="s">
        <v>10</v>
      </c>
      <c r="L572">
        <v>1</v>
      </c>
      <c r="M572" t="s">
        <v>47</v>
      </c>
      <c r="N572" t="s">
        <v>47</v>
      </c>
      <c r="O572" t="s">
        <v>393</v>
      </c>
      <c r="P572" s="6" t="str">
        <f>IF(Table1[[#This Row],[Transaction_Amount]]&lt;=Table1[[#This Row],[avg_transaction_amount]], "usual transaction", "unusual transaction")</f>
        <v>usual transaction</v>
      </c>
      <c r="Q572" s="6" t="str">
        <f>IF(AND(Table1[[#This Row],[Country_of_Residence]]&lt;&gt;Table1[[#This Row],[Country_of_Transaction]], OR(Table1[[#This Row],[Authentication_Type]]="Biometric", Table1[[#This Row],[Authentication_Type]]="OTP")), "safe location transaction", "unsafe location transaction")</f>
        <v>unsafe location transaction</v>
      </c>
      <c r="R572" s="6" t="str">
        <f>IF(AND(Table1[[#This Row],[Country_of_Residence]]&lt;&gt;Table1[[#This Row],[Country_of_Transaction]], OR(Table1[[#This Row],[Merchant_Category]]="Electronics", Table1[[#This Row],[Merchant_Category]]="Travel")), "unsafe merchant transaction", "safe merchant transaction")</f>
        <v>safe merchant transaction</v>
      </c>
    </row>
    <row r="573" spans="1:18">
      <c r="A573" t="s">
        <v>3182</v>
      </c>
      <c r="B573" t="s">
        <v>438</v>
      </c>
      <c r="C573">
        <v>1</v>
      </c>
      <c r="D573" t="s">
        <v>15</v>
      </c>
      <c r="E573" t="s">
        <v>6</v>
      </c>
      <c r="F573" s="2">
        <v>45935</v>
      </c>
      <c r="G573">
        <v>2772.69</v>
      </c>
      <c r="H573" s="1">
        <f>AVERAGEIF(Table1[Customer_ID], Table1[[#This Row],[Customer_ID]], Table1[Transaction_Amount])</f>
        <v>4796.3042592592574</v>
      </c>
      <c r="I573" t="s">
        <v>817</v>
      </c>
      <c r="J573" t="s">
        <v>50</v>
      </c>
      <c r="K573" t="s">
        <v>12</v>
      </c>
      <c r="L573">
        <v>5</v>
      </c>
      <c r="M573" t="s">
        <v>37</v>
      </c>
      <c r="N573" t="s">
        <v>55</v>
      </c>
      <c r="O573" t="s">
        <v>392</v>
      </c>
      <c r="P573" s="6" t="str">
        <f>IF(Table1[[#This Row],[Transaction_Amount]]&lt;=Table1[[#This Row],[avg_transaction_amount]], "usual transaction", "unusual transaction")</f>
        <v>usual transaction</v>
      </c>
      <c r="Q573" s="6" t="str">
        <f>IF(AND(Table1[[#This Row],[Country_of_Residence]]&lt;&gt;Table1[[#This Row],[Country_of_Transaction]], OR(Table1[[#This Row],[Authentication_Type]]="Biometric", Table1[[#This Row],[Authentication_Type]]="OTP")), "safe location transaction", "unsafe location transaction")</f>
        <v>unsafe location transaction</v>
      </c>
      <c r="R573" s="6" t="str">
        <f>IF(AND(Table1[[#This Row],[Country_of_Residence]]&lt;&gt;Table1[[#This Row],[Country_of_Transaction]], OR(Table1[[#This Row],[Merchant_Category]]="Electronics", Table1[[#This Row],[Merchant_Category]]="Travel")), "unsafe merchant transaction", "safe merchant transaction")</f>
        <v>unsafe merchant transaction</v>
      </c>
    </row>
    <row r="574" spans="1:18">
      <c r="A574" t="s">
        <v>3257</v>
      </c>
      <c r="B574" t="s">
        <v>438</v>
      </c>
      <c r="C574">
        <v>1</v>
      </c>
      <c r="D574" t="s">
        <v>15</v>
      </c>
      <c r="E574" t="s">
        <v>6</v>
      </c>
      <c r="F574" s="2">
        <v>45944</v>
      </c>
      <c r="G574">
        <v>1069.06</v>
      </c>
      <c r="H574" s="1">
        <f>AVERAGEIF(Table1[Customer_ID], Table1[[#This Row],[Customer_ID]], Table1[Transaction_Amount])</f>
        <v>4796.3042592592574</v>
      </c>
      <c r="I574" t="s">
        <v>887</v>
      </c>
      <c r="J574" t="s">
        <v>41</v>
      </c>
      <c r="K574" t="s">
        <v>10</v>
      </c>
      <c r="L574">
        <v>3</v>
      </c>
      <c r="M574" t="s">
        <v>47</v>
      </c>
      <c r="N574" t="s">
        <v>32</v>
      </c>
      <c r="O574" t="s">
        <v>392</v>
      </c>
      <c r="P574" s="6" t="str">
        <f>IF(Table1[[#This Row],[Transaction_Amount]]&lt;=Table1[[#This Row],[avg_transaction_amount]], "usual transaction", "unusual transaction")</f>
        <v>usual transaction</v>
      </c>
      <c r="Q574" s="6" t="str">
        <f>IF(AND(Table1[[#This Row],[Country_of_Residence]]&lt;&gt;Table1[[#This Row],[Country_of_Transaction]], OR(Table1[[#This Row],[Authentication_Type]]="Biometric", Table1[[#This Row],[Authentication_Type]]="OTP")), "safe location transaction", "unsafe location transaction")</f>
        <v>safe location transaction</v>
      </c>
      <c r="R574" s="6" t="str">
        <f>IF(AND(Table1[[#This Row],[Country_of_Residence]]&lt;&gt;Table1[[#This Row],[Country_of_Transaction]], OR(Table1[[#This Row],[Merchant_Category]]="Electronics", Table1[[#This Row],[Merchant_Category]]="Travel")), "unsafe merchant transaction", "safe merchant transaction")</f>
        <v>safe merchant transaction</v>
      </c>
    </row>
    <row r="575" spans="1:18">
      <c r="A575" t="s">
        <v>3303</v>
      </c>
      <c r="B575" t="s">
        <v>438</v>
      </c>
      <c r="C575">
        <v>1</v>
      </c>
      <c r="D575" t="s">
        <v>9</v>
      </c>
      <c r="E575" t="s">
        <v>3</v>
      </c>
      <c r="F575" s="2">
        <v>45884</v>
      </c>
      <c r="G575">
        <v>7074.33</v>
      </c>
      <c r="H575" s="1">
        <f>AVERAGEIF(Table1[Customer_ID], Table1[[#This Row],[Customer_ID]], Table1[Transaction_Amount])</f>
        <v>4796.3042592592574</v>
      </c>
      <c r="I575" t="s">
        <v>930</v>
      </c>
      <c r="J575" t="s">
        <v>36</v>
      </c>
      <c r="K575" t="s">
        <v>8</v>
      </c>
      <c r="L575">
        <v>0</v>
      </c>
      <c r="M575" t="s">
        <v>42</v>
      </c>
      <c r="N575" t="s">
        <v>32</v>
      </c>
      <c r="O575" t="s">
        <v>393</v>
      </c>
      <c r="P575" s="6" t="str">
        <f>IF(Table1[[#This Row],[Transaction_Amount]]&lt;=Table1[[#This Row],[avg_transaction_amount]], "usual transaction", "unusual transaction")</f>
        <v>unusual transaction</v>
      </c>
      <c r="Q575" s="6" t="str">
        <f>IF(AND(Table1[[#This Row],[Country_of_Residence]]&lt;&gt;Table1[[#This Row],[Country_of_Transaction]], OR(Table1[[#This Row],[Authentication_Type]]="Biometric", Table1[[#This Row],[Authentication_Type]]="OTP")), "safe location transaction", "unsafe location transaction")</f>
        <v>safe location transaction</v>
      </c>
      <c r="R575" s="6" t="str">
        <f>IF(AND(Table1[[#This Row],[Country_of_Residence]]&lt;&gt;Table1[[#This Row],[Country_of_Transaction]], OR(Table1[[#This Row],[Merchant_Category]]="Electronics", Table1[[#This Row],[Merchant_Category]]="Travel")), "unsafe merchant transaction", "safe merchant transaction")</f>
        <v>safe merchant transaction</v>
      </c>
    </row>
    <row r="576" spans="1:18">
      <c r="A576" t="s">
        <v>3396</v>
      </c>
      <c r="B576" t="s">
        <v>438</v>
      </c>
      <c r="C576">
        <v>1</v>
      </c>
      <c r="D576" t="s">
        <v>9</v>
      </c>
      <c r="E576" t="s">
        <v>3</v>
      </c>
      <c r="F576" s="2">
        <v>45695</v>
      </c>
      <c r="G576">
        <v>2565.0300000000002</v>
      </c>
      <c r="H576" s="1">
        <f>AVERAGEIF(Table1[Customer_ID], Table1[[#This Row],[Customer_ID]], Table1[Transaction_Amount])</f>
        <v>4796.3042592592574</v>
      </c>
      <c r="I576" t="s">
        <v>1017</v>
      </c>
      <c r="J576" t="s">
        <v>36</v>
      </c>
      <c r="K576" t="s">
        <v>14</v>
      </c>
      <c r="L576">
        <v>5</v>
      </c>
      <c r="M576" t="s">
        <v>56</v>
      </c>
      <c r="N576" t="s">
        <v>55</v>
      </c>
      <c r="O576" t="s">
        <v>393</v>
      </c>
      <c r="P576" s="6" t="str">
        <f>IF(Table1[[#This Row],[Transaction_Amount]]&lt;=Table1[[#This Row],[avg_transaction_amount]], "usual transaction", "unusual transaction")</f>
        <v>usual transaction</v>
      </c>
      <c r="Q576" s="6" t="str">
        <f>IF(AND(Table1[[#This Row],[Country_of_Residence]]&lt;&gt;Table1[[#This Row],[Country_of_Transaction]], OR(Table1[[#This Row],[Authentication_Type]]="Biometric", Table1[[#This Row],[Authentication_Type]]="OTP")), "safe location transaction", "unsafe location transaction")</f>
        <v>unsafe location transaction</v>
      </c>
      <c r="R576" s="6" t="str">
        <f>IF(AND(Table1[[#This Row],[Country_of_Residence]]&lt;&gt;Table1[[#This Row],[Country_of_Transaction]], OR(Table1[[#This Row],[Merchant_Category]]="Electronics", Table1[[#This Row],[Merchant_Category]]="Travel")), "unsafe merchant transaction", "safe merchant transaction")</f>
        <v>safe merchant transaction</v>
      </c>
    </row>
    <row r="577" spans="1:18">
      <c r="A577" t="s">
        <v>3452</v>
      </c>
      <c r="B577" t="s">
        <v>438</v>
      </c>
      <c r="C577">
        <v>1</v>
      </c>
      <c r="D577" t="s">
        <v>15</v>
      </c>
      <c r="E577" t="s">
        <v>5</v>
      </c>
      <c r="F577" s="2">
        <v>46005</v>
      </c>
      <c r="G577">
        <v>3214.06</v>
      </c>
      <c r="H577" s="1">
        <f>AVERAGEIF(Table1[Customer_ID], Table1[[#This Row],[Customer_ID]], Table1[Transaction_Amount])</f>
        <v>4796.3042592592574</v>
      </c>
      <c r="I577" t="s">
        <v>1070</v>
      </c>
      <c r="J577" t="s">
        <v>36</v>
      </c>
      <c r="K577" t="s">
        <v>12</v>
      </c>
      <c r="L577">
        <v>2</v>
      </c>
      <c r="M577" t="s">
        <v>412</v>
      </c>
      <c r="N577" t="s">
        <v>33</v>
      </c>
      <c r="O577" t="s">
        <v>392</v>
      </c>
      <c r="P577" s="6" t="str">
        <f>IF(Table1[[#This Row],[Transaction_Amount]]&lt;=Table1[[#This Row],[avg_transaction_amount]], "usual transaction", "unusual transaction")</f>
        <v>usual transaction</v>
      </c>
      <c r="Q577" s="6" t="str">
        <f>IF(AND(Table1[[#This Row],[Country_of_Residence]]&lt;&gt;Table1[[#This Row],[Country_of_Transaction]], OR(Table1[[#This Row],[Authentication_Type]]="Biometric", Table1[[#This Row],[Authentication_Type]]="OTP")), "safe location transaction", "unsafe location transaction")</f>
        <v>unsafe location transaction</v>
      </c>
      <c r="R577" s="6" t="str">
        <f>IF(AND(Table1[[#This Row],[Country_of_Residence]]&lt;&gt;Table1[[#This Row],[Country_of_Transaction]], OR(Table1[[#This Row],[Merchant_Category]]="Electronics", Table1[[#This Row],[Merchant_Category]]="Travel")), "unsafe merchant transaction", "safe merchant transaction")</f>
        <v>safe merchant transaction</v>
      </c>
    </row>
    <row r="578" spans="1:18">
      <c r="A578" t="s">
        <v>3556</v>
      </c>
      <c r="B578" t="s">
        <v>438</v>
      </c>
      <c r="C578">
        <v>1</v>
      </c>
      <c r="D578" t="s">
        <v>9</v>
      </c>
      <c r="E578" t="s">
        <v>420</v>
      </c>
      <c r="F578" s="2">
        <v>45956</v>
      </c>
      <c r="G578">
        <v>6808.07</v>
      </c>
      <c r="H578" s="1">
        <f>AVERAGEIF(Table1[Customer_ID], Table1[[#This Row],[Customer_ID]], Table1[Transaction_Amount])</f>
        <v>4796.3042592592574</v>
      </c>
      <c r="I578" t="s">
        <v>1169</v>
      </c>
      <c r="J578" t="s">
        <v>46</v>
      </c>
      <c r="K578" t="s">
        <v>8</v>
      </c>
      <c r="L578">
        <v>0</v>
      </c>
      <c r="M578" t="s">
        <v>412</v>
      </c>
      <c r="N578" t="s">
        <v>412</v>
      </c>
      <c r="O578" t="s">
        <v>393</v>
      </c>
      <c r="P578" s="6" t="str">
        <f>IF(Table1[[#This Row],[Transaction_Amount]]&lt;=Table1[[#This Row],[avg_transaction_amount]], "usual transaction", "unusual transaction")</f>
        <v>unusual transaction</v>
      </c>
      <c r="Q578" s="6" t="str">
        <f>IF(AND(Table1[[#This Row],[Country_of_Residence]]&lt;&gt;Table1[[#This Row],[Country_of_Transaction]], OR(Table1[[#This Row],[Authentication_Type]]="Biometric", Table1[[#This Row],[Authentication_Type]]="OTP")), "safe location transaction", "unsafe location transaction")</f>
        <v>unsafe location transaction</v>
      </c>
      <c r="R578" s="6" t="str">
        <f>IF(AND(Table1[[#This Row],[Country_of_Residence]]&lt;&gt;Table1[[#This Row],[Country_of_Transaction]], OR(Table1[[#This Row],[Merchant_Category]]="Electronics", Table1[[#This Row],[Merchant_Category]]="Travel")), "unsafe merchant transaction", "safe merchant transaction")</f>
        <v>safe merchant transaction</v>
      </c>
    </row>
    <row r="579" spans="1:18">
      <c r="A579" t="s">
        <v>3693</v>
      </c>
      <c r="B579" t="s">
        <v>438</v>
      </c>
      <c r="C579">
        <v>1</v>
      </c>
      <c r="D579" t="s">
        <v>15</v>
      </c>
      <c r="E579" t="s">
        <v>3</v>
      </c>
      <c r="F579" s="2">
        <v>45674</v>
      </c>
      <c r="G579">
        <v>2486.39</v>
      </c>
      <c r="H579" s="1">
        <f>AVERAGEIF(Table1[Customer_ID], Table1[[#This Row],[Customer_ID]], Table1[Transaction_Amount])</f>
        <v>4796.3042592592574</v>
      </c>
      <c r="I579" t="s">
        <v>1292</v>
      </c>
      <c r="J579" t="s">
        <v>41</v>
      </c>
      <c r="K579" t="s">
        <v>8</v>
      </c>
      <c r="L579">
        <v>3</v>
      </c>
      <c r="M579" t="s">
        <v>32</v>
      </c>
      <c r="N579" t="s">
        <v>56</v>
      </c>
      <c r="O579" t="s">
        <v>393</v>
      </c>
      <c r="P579" s="6" t="str">
        <f>IF(Table1[[#This Row],[Transaction_Amount]]&lt;=Table1[[#This Row],[avg_transaction_amount]], "usual transaction", "unusual transaction")</f>
        <v>usual transaction</v>
      </c>
      <c r="Q579" s="6" t="str">
        <f>IF(AND(Table1[[#This Row],[Country_of_Residence]]&lt;&gt;Table1[[#This Row],[Country_of_Transaction]], OR(Table1[[#This Row],[Authentication_Type]]="Biometric", Table1[[#This Row],[Authentication_Type]]="OTP")), "safe location transaction", "unsafe location transaction")</f>
        <v>safe location transaction</v>
      </c>
      <c r="R579" s="6" t="str">
        <f>IF(AND(Table1[[#This Row],[Country_of_Residence]]&lt;&gt;Table1[[#This Row],[Country_of_Transaction]], OR(Table1[[#This Row],[Merchant_Category]]="Electronics", Table1[[#This Row],[Merchant_Category]]="Travel")), "unsafe merchant transaction", "safe merchant transaction")</f>
        <v>safe merchant transaction</v>
      </c>
    </row>
    <row r="580" spans="1:18">
      <c r="A580" t="s">
        <v>3711</v>
      </c>
      <c r="B580" t="s">
        <v>438</v>
      </c>
      <c r="C580">
        <v>1</v>
      </c>
      <c r="D580" t="s">
        <v>15</v>
      </c>
      <c r="E580" t="s">
        <v>5</v>
      </c>
      <c r="F580" s="2">
        <v>45922</v>
      </c>
      <c r="G580">
        <v>8530.9500000000007</v>
      </c>
      <c r="H580" s="1">
        <f>AVERAGEIF(Table1[Customer_ID], Table1[[#This Row],[Customer_ID]], Table1[Transaction_Amount])</f>
        <v>4796.3042592592574</v>
      </c>
      <c r="I580" t="s">
        <v>1308</v>
      </c>
      <c r="J580" t="s">
        <v>50</v>
      </c>
      <c r="K580" t="s">
        <v>12</v>
      </c>
      <c r="L580">
        <v>2</v>
      </c>
      <c r="M580" t="s">
        <v>47</v>
      </c>
      <c r="N580" t="s">
        <v>37</v>
      </c>
      <c r="O580" t="s">
        <v>393</v>
      </c>
      <c r="P580" s="6" t="str">
        <f>IF(Table1[[#This Row],[Transaction_Amount]]&lt;=Table1[[#This Row],[avg_transaction_amount]], "usual transaction", "unusual transaction")</f>
        <v>unusual transaction</v>
      </c>
      <c r="Q580" s="6" t="str">
        <f>IF(AND(Table1[[#This Row],[Country_of_Residence]]&lt;&gt;Table1[[#This Row],[Country_of_Transaction]], OR(Table1[[#This Row],[Authentication_Type]]="Biometric", Table1[[#This Row],[Authentication_Type]]="OTP")), "safe location transaction", "unsafe location transaction")</f>
        <v>unsafe location transaction</v>
      </c>
      <c r="R580" s="6" t="str">
        <f>IF(AND(Table1[[#This Row],[Country_of_Residence]]&lt;&gt;Table1[[#This Row],[Country_of_Transaction]], OR(Table1[[#This Row],[Merchant_Category]]="Electronics", Table1[[#This Row],[Merchant_Category]]="Travel")), "unsafe merchant transaction", "safe merchant transaction")</f>
        <v>unsafe merchant transaction</v>
      </c>
    </row>
    <row r="581" spans="1:18">
      <c r="A581" t="s">
        <v>3813</v>
      </c>
      <c r="B581" t="s">
        <v>438</v>
      </c>
      <c r="C581">
        <v>1</v>
      </c>
      <c r="D581" t="s">
        <v>9</v>
      </c>
      <c r="E581" t="s">
        <v>420</v>
      </c>
      <c r="F581" s="2">
        <v>45917</v>
      </c>
      <c r="G581">
        <v>3976.95</v>
      </c>
      <c r="H581" s="1">
        <f>AVERAGEIF(Table1[Customer_ID], Table1[[#This Row],[Customer_ID]], Table1[Transaction_Amount])</f>
        <v>4796.3042592592574</v>
      </c>
      <c r="I581" t="s">
        <v>1395</v>
      </c>
      <c r="J581" t="s">
        <v>46</v>
      </c>
      <c r="K581" t="s">
        <v>8</v>
      </c>
      <c r="L581">
        <v>2</v>
      </c>
      <c r="M581" t="s">
        <v>51</v>
      </c>
      <c r="N581" t="s">
        <v>55</v>
      </c>
      <c r="O581" t="s">
        <v>392</v>
      </c>
      <c r="P581" s="6" t="str">
        <f>IF(Table1[[#This Row],[Transaction_Amount]]&lt;=Table1[[#This Row],[avg_transaction_amount]], "usual transaction", "unusual transaction")</f>
        <v>usual transaction</v>
      </c>
      <c r="Q581" s="6" t="str">
        <f>IF(AND(Table1[[#This Row],[Country_of_Residence]]&lt;&gt;Table1[[#This Row],[Country_of_Transaction]], OR(Table1[[#This Row],[Authentication_Type]]="Biometric", Table1[[#This Row],[Authentication_Type]]="OTP")), "safe location transaction", "unsafe location transaction")</f>
        <v>safe location transaction</v>
      </c>
      <c r="R581" s="6" t="str">
        <f>IF(AND(Table1[[#This Row],[Country_of_Residence]]&lt;&gt;Table1[[#This Row],[Country_of_Transaction]], OR(Table1[[#This Row],[Merchant_Category]]="Electronics", Table1[[#This Row],[Merchant_Category]]="Travel")), "unsafe merchant transaction", "safe merchant transaction")</f>
        <v>safe merchant transaction</v>
      </c>
    </row>
    <row r="582" spans="1:18">
      <c r="A582" t="s">
        <v>3911</v>
      </c>
      <c r="B582" t="s">
        <v>438</v>
      </c>
      <c r="C582">
        <v>1</v>
      </c>
      <c r="D582" t="s">
        <v>15</v>
      </c>
      <c r="E582" t="s">
        <v>3</v>
      </c>
      <c r="F582" s="2">
        <v>45700</v>
      </c>
      <c r="G582">
        <v>5999.92</v>
      </c>
      <c r="H582" s="1">
        <f>AVERAGEIF(Table1[Customer_ID], Table1[[#This Row],[Customer_ID]], Table1[Transaction_Amount])</f>
        <v>4796.3042592592574</v>
      </c>
      <c r="I582" t="s">
        <v>1476</v>
      </c>
      <c r="J582" t="s">
        <v>46</v>
      </c>
      <c r="K582" t="s">
        <v>8</v>
      </c>
      <c r="L582">
        <v>3</v>
      </c>
      <c r="M582" t="s">
        <v>32</v>
      </c>
      <c r="N582" t="s">
        <v>42</v>
      </c>
      <c r="O582" t="s">
        <v>392</v>
      </c>
      <c r="P582" s="6" t="str">
        <f>IF(Table1[[#This Row],[Transaction_Amount]]&lt;=Table1[[#This Row],[avg_transaction_amount]], "usual transaction", "unusual transaction")</f>
        <v>unusual transaction</v>
      </c>
      <c r="Q582" s="6" t="str">
        <f>IF(AND(Table1[[#This Row],[Country_of_Residence]]&lt;&gt;Table1[[#This Row],[Country_of_Transaction]], OR(Table1[[#This Row],[Authentication_Type]]="Biometric", Table1[[#This Row],[Authentication_Type]]="OTP")), "safe location transaction", "unsafe location transaction")</f>
        <v>safe location transaction</v>
      </c>
      <c r="R582" s="6" t="str">
        <f>IF(AND(Table1[[#This Row],[Country_of_Residence]]&lt;&gt;Table1[[#This Row],[Country_of_Transaction]], OR(Table1[[#This Row],[Merchant_Category]]="Electronics", Table1[[#This Row],[Merchant_Category]]="Travel")), "unsafe merchant transaction", "safe merchant transaction")</f>
        <v>safe merchant transaction</v>
      </c>
    </row>
    <row r="583" spans="1:18">
      <c r="A583" t="s">
        <v>3962</v>
      </c>
      <c r="B583" t="s">
        <v>438</v>
      </c>
      <c r="C583">
        <v>1</v>
      </c>
      <c r="D583" t="s">
        <v>9</v>
      </c>
      <c r="E583" t="s">
        <v>3</v>
      </c>
      <c r="F583" s="2">
        <v>45701</v>
      </c>
      <c r="G583">
        <v>3776.63</v>
      </c>
      <c r="H583" s="1">
        <f>AVERAGEIF(Table1[Customer_ID], Table1[[#This Row],[Customer_ID]], Table1[Transaction_Amount])</f>
        <v>4796.3042592592574</v>
      </c>
      <c r="I583" t="s">
        <v>1523</v>
      </c>
      <c r="J583" t="s">
        <v>31</v>
      </c>
      <c r="K583" t="s">
        <v>12</v>
      </c>
      <c r="L583">
        <v>3</v>
      </c>
      <c r="M583" t="s">
        <v>32</v>
      </c>
      <c r="N583" t="s">
        <v>56</v>
      </c>
      <c r="O583" t="s">
        <v>392</v>
      </c>
      <c r="P583" s="6" t="str">
        <f>IF(Table1[[#This Row],[Transaction_Amount]]&lt;=Table1[[#This Row],[avg_transaction_amount]], "usual transaction", "unusual transaction")</f>
        <v>usual transaction</v>
      </c>
      <c r="Q583" s="6" t="str">
        <f>IF(AND(Table1[[#This Row],[Country_of_Residence]]&lt;&gt;Table1[[#This Row],[Country_of_Transaction]], OR(Table1[[#This Row],[Authentication_Type]]="Biometric", Table1[[#This Row],[Authentication_Type]]="OTP")), "safe location transaction", "unsafe location transaction")</f>
        <v>unsafe location transaction</v>
      </c>
      <c r="R583" s="6" t="str">
        <f>IF(AND(Table1[[#This Row],[Country_of_Residence]]&lt;&gt;Table1[[#This Row],[Country_of_Transaction]], OR(Table1[[#This Row],[Merchant_Category]]="Electronics", Table1[[#This Row],[Merchant_Category]]="Travel")), "unsafe merchant transaction", "safe merchant transaction")</f>
        <v>safe merchant transaction</v>
      </c>
    </row>
    <row r="584" spans="1:18">
      <c r="A584" t="s">
        <v>4055</v>
      </c>
      <c r="B584" t="s">
        <v>438</v>
      </c>
      <c r="C584">
        <v>1</v>
      </c>
      <c r="D584" t="s">
        <v>9</v>
      </c>
      <c r="E584" t="s">
        <v>420</v>
      </c>
      <c r="F584" s="2">
        <v>45715</v>
      </c>
      <c r="G584">
        <v>601.6</v>
      </c>
      <c r="H584" s="1">
        <f>AVERAGEIF(Table1[Customer_ID], Table1[[#This Row],[Customer_ID]], Table1[Transaction_Amount])</f>
        <v>4796.3042592592574</v>
      </c>
      <c r="I584" t="s">
        <v>1609</v>
      </c>
      <c r="J584" t="s">
        <v>50</v>
      </c>
      <c r="K584" t="s">
        <v>12</v>
      </c>
      <c r="L584">
        <v>4</v>
      </c>
      <c r="M584" t="s">
        <v>33</v>
      </c>
      <c r="N584" t="s">
        <v>33</v>
      </c>
      <c r="O584" t="s">
        <v>392</v>
      </c>
      <c r="P584" s="6" t="str">
        <f>IF(Table1[[#This Row],[Transaction_Amount]]&lt;=Table1[[#This Row],[avg_transaction_amount]], "usual transaction", "unusual transaction")</f>
        <v>usual transaction</v>
      </c>
      <c r="Q584" s="6" t="str">
        <f>IF(AND(Table1[[#This Row],[Country_of_Residence]]&lt;&gt;Table1[[#This Row],[Country_of_Transaction]], OR(Table1[[#This Row],[Authentication_Type]]="Biometric", Table1[[#This Row],[Authentication_Type]]="OTP")), "safe location transaction", "unsafe location transaction")</f>
        <v>unsafe location transaction</v>
      </c>
      <c r="R584" s="6" t="str">
        <f>IF(AND(Table1[[#This Row],[Country_of_Residence]]&lt;&gt;Table1[[#This Row],[Country_of_Transaction]], OR(Table1[[#This Row],[Merchant_Category]]="Electronics", Table1[[#This Row],[Merchant_Category]]="Travel")), "unsafe merchant transaction", "safe merchant transaction")</f>
        <v>safe merchant transaction</v>
      </c>
    </row>
    <row r="585" spans="1:18">
      <c r="A585" t="s">
        <v>4111</v>
      </c>
      <c r="B585" t="s">
        <v>438</v>
      </c>
      <c r="C585">
        <v>1</v>
      </c>
      <c r="D585" t="s">
        <v>15</v>
      </c>
      <c r="E585" t="s">
        <v>5</v>
      </c>
      <c r="F585" s="2">
        <v>45750</v>
      </c>
      <c r="G585">
        <v>8562.98</v>
      </c>
      <c r="H585" s="1">
        <f>AVERAGEIF(Table1[Customer_ID], Table1[[#This Row],[Customer_ID]], Table1[Transaction_Amount])</f>
        <v>4796.3042592592574</v>
      </c>
      <c r="I585" t="s">
        <v>1649</v>
      </c>
      <c r="J585" t="s">
        <v>36</v>
      </c>
      <c r="K585" t="s">
        <v>8</v>
      </c>
      <c r="L585">
        <v>2</v>
      </c>
      <c r="M585" t="s">
        <v>56</v>
      </c>
      <c r="N585" t="s">
        <v>42</v>
      </c>
      <c r="O585" t="s">
        <v>393</v>
      </c>
      <c r="P585" s="6" t="str">
        <f>IF(Table1[[#This Row],[Transaction_Amount]]&lt;=Table1[[#This Row],[avg_transaction_amount]], "usual transaction", "unusual transaction")</f>
        <v>unusual transaction</v>
      </c>
      <c r="Q585" s="6" t="str">
        <f>IF(AND(Table1[[#This Row],[Country_of_Residence]]&lt;&gt;Table1[[#This Row],[Country_of_Transaction]], OR(Table1[[#This Row],[Authentication_Type]]="Biometric", Table1[[#This Row],[Authentication_Type]]="OTP")), "safe location transaction", "unsafe location transaction")</f>
        <v>safe location transaction</v>
      </c>
      <c r="R585" s="6" t="str">
        <f>IF(AND(Table1[[#This Row],[Country_of_Residence]]&lt;&gt;Table1[[#This Row],[Country_of_Transaction]], OR(Table1[[#This Row],[Merchant_Category]]="Electronics", Table1[[#This Row],[Merchant_Category]]="Travel")), "unsafe merchant transaction", "safe merchant transaction")</f>
        <v>safe merchant transaction</v>
      </c>
    </row>
    <row r="586" spans="1:18">
      <c r="A586" t="s">
        <v>4208</v>
      </c>
      <c r="B586" t="s">
        <v>438</v>
      </c>
      <c r="C586">
        <v>1</v>
      </c>
      <c r="D586" t="s">
        <v>9</v>
      </c>
      <c r="E586" t="s">
        <v>6</v>
      </c>
      <c r="F586" s="2">
        <v>46016</v>
      </c>
      <c r="G586">
        <v>1550.22</v>
      </c>
      <c r="H586" s="1">
        <f>AVERAGEIF(Table1[Customer_ID], Table1[[#This Row],[Customer_ID]], Table1[Transaction_Amount])</f>
        <v>4796.3042592592574</v>
      </c>
      <c r="I586" t="s">
        <v>1728</v>
      </c>
      <c r="J586" t="s">
        <v>41</v>
      </c>
      <c r="K586" t="s">
        <v>12</v>
      </c>
      <c r="L586">
        <v>0</v>
      </c>
      <c r="M586" t="s">
        <v>37</v>
      </c>
      <c r="N586" t="s">
        <v>51</v>
      </c>
      <c r="O586" t="s">
        <v>393</v>
      </c>
      <c r="P586" s="6" t="str">
        <f>IF(Table1[[#This Row],[Transaction_Amount]]&lt;=Table1[[#This Row],[avg_transaction_amount]], "usual transaction", "unusual transaction")</f>
        <v>usual transaction</v>
      </c>
      <c r="Q586" s="6" t="str">
        <f>IF(AND(Table1[[#This Row],[Country_of_Residence]]&lt;&gt;Table1[[#This Row],[Country_of_Transaction]], OR(Table1[[#This Row],[Authentication_Type]]="Biometric", Table1[[#This Row],[Authentication_Type]]="OTP")), "safe location transaction", "unsafe location transaction")</f>
        <v>unsafe location transaction</v>
      </c>
      <c r="R586" s="6" t="str">
        <f>IF(AND(Table1[[#This Row],[Country_of_Residence]]&lt;&gt;Table1[[#This Row],[Country_of_Transaction]], OR(Table1[[#This Row],[Merchant_Category]]="Electronics", Table1[[#This Row],[Merchant_Category]]="Travel")), "unsafe merchant transaction", "safe merchant transaction")</f>
        <v>safe merchant transaction</v>
      </c>
    </row>
    <row r="587" spans="1:18">
      <c r="A587" t="s">
        <v>4244</v>
      </c>
      <c r="B587" t="s">
        <v>438</v>
      </c>
      <c r="C587">
        <v>1</v>
      </c>
      <c r="D587" t="s">
        <v>9</v>
      </c>
      <c r="E587" t="s">
        <v>420</v>
      </c>
      <c r="F587" s="2">
        <v>45858</v>
      </c>
      <c r="G587">
        <v>8159.91</v>
      </c>
      <c r="H587" s="1">
        <f>AVERAGEIF(Table1[Customer_ID], Table1[[#This Row],[Customer_ID]], Table1[Transaction_Amount])</f>
        <v>4796.3042592592574</v>
      </c>
      <c r="I587" t="s">
        <v>1759</v>
      </c>
      <c r="J587" t="s">
        <v>36</v>
      </c>
      <c r="K587" t="s">
        <v>14</v>
      </c>
      <c r="L587">
        <v>5</v>
      </c>
      <c r="M587" t="s">
        <v>42</v>
      </c>
      <c r="N587" t="s">
        <v>55</v>
      </c>
      <c r="O587" t="s">
        <v>392</v>
      </c>
      <c r="P587" s="6" t="str">
        <f>IF(Table1[[#This Row],[Transaction_Amount]]&lt;=Table1[[#This Row],[avg_transaction_amount]], "usual transaction", "unusual transaction")</f>
        <v>unusual transaction</v>
      </c>
      <c r="Q587" s="6" t="str">
        <f>IF(AND(Table1[[#This Row],[Country_of_Residence]]&lt;&gt;Table1[[#This Row],[Country_of_Transaction]], OR(Table1[[#This Row],[Authentication_Type]]="Biometric", Table1[[#This Row],[Authentication_Type]]="OTP")), "safe location transaction", "unsafe location transaction")</f>
        <v>unsafe location transaction</v>
      </c>
      <c r="R587" s="6" t="str">
        <f>IF(AND(Table1[[#This Row],[Country_of_Residence]]&lt;&gt;Table1[[#This Row],[Country_of_Transaction]], OR(Table1[[#This Row],[Merchant_Category]]="Electronics", Table1[[#This Row],[Merchant_Category]]="Travel")), "unsafe merchant transaction", "safe merchant transaction")</f>
        <v>safe merchant transaction</v>
      </c>
    </row>
    <row r="588" spans="1:18">
      <c r="A588" t="s">
        <v>4259</v>
      </c>
      <c r="B588" t="s">
        <v>438</v>
      </c>
      <c r="C588">
        <v>1</v>
      </c>
      <c r="D588" t="s">
        <v>9</v>
      </c>
      <c r="E588" t="s">
        <v>5</v>
      </c>
      <c r="F588" s="2">
        <v>45694</v>
      </c>
      <c r="G588">
        <v>152.72999999999999</v>
      </c>
      <c r="H588" s="1">
        <f>AVERAGEIF(Table1[Customer_ID], Table1[[#This Row],[Customer_ID]], Table1[Transaction_Amount])</f>
        <v>4796.3042592592574</v>
      </c>
      <c r="I588" t="s">
        <v>1773</v>
      </c>
      <c r="J588" t="s">
        <v>46</v>
      </c>
      <c r="K588" t="s">
        <v>8</v>
      </c>
      <c r="L588">
        <v>3</v>
      </c>
      <c r="M588" t="s">
        <v>37</v>
      </c>
      <c r="N588" t="s">
        <v>42</v>
      </c>
      <c r="O588" t="s">
        <v>393</v>
      </c>
      <c r="P588" s="6" t="str">
        <f>IF(Table1[[#This Row],[Transaction_Amount]]&lt;=Table1[[#This Row],[avg_transaction_amount]], "usual transaction", "unusual transaction")</f>
        <v>usual transaction</v>
      </c>
      <c r="Q588" s="6" t="str">
        <f>IF(AND(Table1[[#This Row],[Country_of_Residence]]&lt;&gt;Table1[[#This Row],[Country_of_Transaction]], OR(Table1[[#This Row],[Authentication_Type]]="Biometric", Table1[[#This Row],[Authentication_Type]]="OTP")), "safe location transaction", "unsafe location transaction")</f>
        <v>safe location transaction</v>
      </c>
      <c r="R588" s="6" t="str">
        <f>IF(AND(Table1[[#This Row],[Country_of_Residence]]&lt;&gt;Table1[[#This Row],[Country_of_Transaction]], OR(Table1[[#This Row],[Merchant_Category]]="Electronics", Table1[[#This Row],[Merchant_Category]]="Travel")), "unsafe merchant transaction", "safe merchant transaction")</f>
        <v>safe merchant transaction</v>
      </c>
    </row>
    <row r="589" spans="1:18">
      <c r="A589" t="s">
        <v>4292</v>
      </c>
      <c r="B589" t="s">
        <v>438</v>
      </c>
      <c r="C589">
        <v>1</v>
      </c>
      <c r="D589" t="s">
        <v>15</v>
      </c>
      <c r="E589" t="s">
        <v>3</v>
      </c>
      <c r="F589" s="2">
        <v>45715</v>
      </c>
      <c r="G589">
        <v>4173.7299999999996</v>
      </c>
      <c r="H589" s="1">
        <f>AVERAGEIF(Table1[Customer_ID], Table1[[#This Row],[Customer_ID]], Table1[Transaction_Amount])</f>
        <v>4796.3042592592574</v>
      </c>
      <c r="I589" t="s">
        <v>1802</v>
      </c>
      <c r="J589" t="s">
        <v>36</v>
      </c>
      <c r="K589" t="s">
        <v>14</v>
      </c>
      <c r="L589">
        <v>5</v>
      </c>
      <c r="M589" t="s">
        <v>32</v>
      </c>
      <c r="N589" t="s">
        <v>412</v>
      </c>
      <c r="O589" t="s">
        <v>392</v>
      </c>
      <c r="P589" s="6" t="str">
        <f>IF(Table1[[#This Row],[Transaction_Amount]]&lt;=Table1[[#This Row],[avg_transaction_amount]], "usual transaction", "unusual transaction")</f>
        <v>usual transaction</v>
      </c>
      <c r="Q589" s="6" t="str">
        <f>IF(AND(Table1[[#This Row],[Country_of_Residence]]&lt;&gt;Table1[[#This Row],[Country_of_Transaction]], OR(Table1[[#This Row],[Authentication_Type]]="Biometric", Table1[[#This Row],[Authentication_Type]]="OTP")), "safe location transaction", "unsafe location transaction")</f>
        <v>unsafe location transaction</v>
      </c>
      <c r="R589" s="6" t="str">
        <f>IF(AND(Table1[[#This Row],[Country_of_Residence]]&lt;&gt;Table1[[#This Row],[Country_of_Transaction]], OR(Table1[[#This Row],[Merchant_Category]]="Electronics", Table1[[#This Row],[Merchant_Category]]="Travel")), "unsafe merchant transaction", "safe merchant transaction")</f>
        <v>safe merchant transaction</v>
      </c>
    </row>
    <row r="590" spans="1:18">
      <c r="A590" t="s">
        <v>4298</v>
      </c>
      <c r="B590" t="s">
        <v>438</v>
      </c>
      <c r="C590">
        <v>1</v>
      </c>
      <c r="D590" t="s">
        <v>15</v>
      </c>
      <c r="E590" t="s">
        <v>3</v>
      </c>
      <c r="F590" s="2">
        <v>45785</v>
      </c>
      <c r="G590">
        <v>7030.09</v>
      </c>
      <c r="H590" s="1">
        <f>AVERAGEIF(Table1[Customer_ID], Table1[[#This Row],[Customer_ID]], Table1[Transaction_Amount])</f>
        <v>4796.3042592592574</v>
      </c>
      <c r="I590" t="s">
        <v>1808</v>
      </c>
      <c r="J590" t="s">
        <v>46</v>
      </c>
      <c r="K590" t="s">
        <v>10</v>
      </c>
      <c r="L590">
        <v>0</v>
      </c>
      <c r="M590" t="s">
        <v>47</v>
      </c>
      <c r="N590" t="s">
        <v>55</v>
      </c>
      <c r="O590" t="s">
        <v>392</v>
      </c>
      <c r="P590" s="6" t="str">
        <f>IF(Table1[[#This Row],[Transaction_Amount]]&lt;=Table1[[#This Row],[avg_transaction_amount]], "usual transaction", "unusual transaction")</f>
        <v>unusual transaction</v>
      </c>
      <c r="Q590" s="6" t="str">
        <f>IF(AND(Table1[[#This Row],[Country_of_Residence]]&lt;&gt;Table1[[#This Row],[Country_of_Transaction]], OR(Table1[[#This Row],[Authentication_Type]]="Biometric", Table1[[#This Row],[Authentication_Type]]="OTP")), "safe location transaction", "unsafe location transaction")</f>
        <v>safe location transaction</v>
      </c>
      <c r="R590" s="6" t="str">
        <f>IF(AND(Table1[[#This Row],[Country_of_Residence]]&lt;&gt;Table1[[#This Row],[Country_of_Transaction]], OR(Table1[[#This Row],[Merchant_Category]]="Electronics", Table1[[#This Row],[Merchant_Category]]="Travel")), "unsafe merchant transaction", "safe merchant transaction")</f>
        <v>safe merchant transaction</v>
      </c>
    </row>
    <row r="591" spans="1:18">
      <c r="A591" t="s">
        <v>4300</v>
      </c>
      <c r="B591" t="s">
        <v>438</v>
      </c>
      <c r="C591">
        <v>1</v>
      </c>
      <c r="D591" t="s">
        <v>15</v>
      </c>
      <c r="E591" t="s">
        <v>5</v>
      </c>
      <c r="F591" s="2">
        <v>45729</v>
      </c>
      <c r="G591">
        <v>1850.4</v>
      </c>
      <c r="H591" s="1">
        <f>AVERAGEIF(Table1[Customer_ID], Table1[[#This Row],[Customer_ID]], Table1[Transaction_Amount])</f>
        <v>4796.3042592592574</v>
      </c>
      <c r="I591" t="s">
        <v>1810</v>
      </c>
      <c r="J591" t="s">
        <v>31</v>
      </c>
      <c r="K591" t="s">
        <v>8</v>
      </c>
      <c r="L591">
        <v>0</v>
      </c>
      <c r="M591" t="s">
        <v>33</v>
      </c>
      <c r="N591" t="s">
        <v>51</v>
      </c>
      <c r="O591" t="s">
        <v>393</v>
      </c>
      <c r="P591" s="6" t="str">
        <f>IF(Table1[[#This Row],[Transaction_Amount]]&lt;=Table1[[#This Row],[avg_transaction_amount]], "usual transaction", "unusual transaction")</f>
        <v>usual transaction</v>
      </c>
      <c r="Q591" s="6" t="str">
        <f>IF(AND(Table1[[#This Row],[Country_of_Residence]]&lt;&gt;Table1[[#This Row],[Country_of_Transaction]], OR(Table1[[#This Row],[Authentication_Type]]="Biometric", Table1[[#This Row],[Authentication_Type]]="OTP")), "safe location transaction", "unsafe location transaction")</f>
        <v>safe location transaction</v>
      </c>
      <c r="R591" s="6" t="str">
        <f>IF(AND(Table1[[#This Row],[Country_of_Residence]]&lt;&gt;Table1[[#This Row],[Country_of_Transaction]], OR(Table1[[#This Row],[Merchant_Category]]="Electronics", Table1[[#This Row],[Merchant_Category]]="Travel")), "unsafe merchant transaction", "safe merchant transaction")</f>
        <v>safe merchant transaction</v>
      </c>
    </row>
    <row r="592" spans="1:18">
      <c r="A592" t="s">
        <v>4312</v>
      </c>
      <c r="B592" t="s">
        <v>438</v>
      </c>
      <c r="C592">
        <v>1</v>
      </c>
      <c r="D592" t="s">
        <v>9</v>
      </c>
      <c r="E592" t="s">
        <v>5</v>
      </c>
      <c r="F592" s="2">
        <v>45983</v>
      </c>
      <c r="G592">
        <v>5632.35</v>
      </c>
      <c r="H592" s="1">
        <f>AVERAGEIF(Table1[Customer_ID], Table1[[#This Row],[Customer_ID]], Table1[Transaction_Amount])</f>
        <v>4796.3042592592574</v>
      </c>
      <c r="I592" t="s">
        <v>1820</v>
      </c>
      <c r="J592" t="s">
        <v>41</v>
      </c>
      <c r="K592" t="s">
        <v>12</v>
      </c>
      <c r="L592">
        <v>4</v>
      </c>
      <c r="M592" t="s">
        <v>32</v>
      </c>
      <c r="N592" t="s">
        <v>412</v>
      </c>
      <c r="O592" t="s">
        <v>392</v>
      </c>
      <c r="P592" s="6" t="str">
        <f>IF(Table1[[#This Row],[Transaction_Amount]]&lt;=Table1[[#This Row],[avg_transaction_amount]], "usual transaction", "unusual transaction")</f>
        <v>unusual transaction</v>
      </c>
      <c r="Q592" s="6" t="str">
        <f>IF(AND(Table1[[#This Row],[Country_of_Residence]]&lt;&gt;Table1[[#This Row],[Country_of_Transaction]], OR(Table1[[#This Row],[Authentication_Type]]="Biometric", Table1[[#This Row],[Authentication_Type]]="OTP")), "safe location transaction", "unsafe location transaction")</f>
        <v>unsafe location transaction</v>
      </c>
      <c r="R592" s="6" t="str">
        <f>IF(AND(Table1[[#This Row],[Country_of_Residence]]&lt;&gt;Table1[[#This Row],[Country_of_Transaction]], OR(Table1[[#This Row],[Merchant_Category]]="Electronics", Table1[[#This Row],[Merchant_Category]]="Travel")), "unsafe merchant transaction", "safe merchant transaction")</f>
        <v>safe merchant transaction</v>
      </c>
    </row>
    <row r="593" spans="1:18">
      <c r="A593" t="s">
        <v>4385</v>
      </c>
      <c r="B593" t="s">
        <v>438</v>
      </c>
      <c r="C593">
        <v>1</v>
      </c>
      <c r="D593" t="s">
        <v>9</v>
      </c>
      <c r="E593" t="s">
        <v>3</v>
      </c>
      <c r="F593" s="2">
        <v>45899</v>
      </c>
      <c r="G593">
        <v>5603.21</v>
      </c>
      <c r="H593" s="1">
        <f>AVERAGEIF(Table1[Customer_ID], Table1[[#This Row],[Customer_ID]], Table1[Transaction_Amount])</f>
        <v>4796.3042592592574</v>
      </c>
      <c r="I593" t="s">
        <v>1885</v>
      </c>
      <c r="J593" t="s">
        <v>41</v>
      </c>
      <c r="K593" t="s">
        <v>10</v>
      </c>
      <c r="L593">
        <v>5</v>
      </c>
      <c r="M593" t="s">
        <v>55</v>
      </c>
      <c r="N593" t="s">
        <v>47</v>
      </c>
      <c r="O593" t="s">
        <v>392</v>
      </c>
      <c r="P593" s="6" t="str">
        <f>IF(Table1[[#This Row],[Transaction_Amount]]&lt;=Table1[[#This Row],[avg_transaction_amount]], "usual transaction", "unusual transaction")</f>
        <v>unusual transaction</v>
      </c>
      <c r="Q593" s="6" t="str">
        <f>IF(AND(Table1[[#This Row],[Country_of_Residence]]&lt;&gt;Table1[[#This Row],[Country_of_Transaction]], OR(Table1[[#This Row],[Authentication_Type]]="Biometric", Table1[[#This Row],[Authentication_Type]]="OTP")), "safe location transaction", "unsafe location transaction")</f>
        <v>safe location transaction</v>
      </c>
      <c r="R593" s="6" t="str">
        <f>IF(AND(Table1[[#This Row],[Country_of_Residence]]&lt;&gt;Table1[[#This Row],[Country_of_Transaction]], OR(Table1[[#This Row],[Merchant_Category]]="Electronics", Table1[[#This Row],[Merchant_Category]]="Travel")), "unsafe merchant transaction", "safe merchant transaction")</f>
        <v>safe merchant transaction</v>
      </c>
    </row>
    <row r="594" spans="1:18">
      <c r="A594" t="s">
        <v>4389</v>
      </c>
      <c r="B594" t="s">
        <v>438</v>
      </c>
      <c r="C594">
        <v>1</v>
      </c>
      <c r="D594" t="s">
        <v>15</v>
      </c>
      <c r="E594" t="s">
        <v>420</v>
      </c>
      <c r="F594" s="2">
        <v>45966</v>
      </c>
      <c r="G594">
        <v>9704.26</v>
      </c>
      <c r="H594" s="1">
        <f>AVERAGEIF(Table1[Customer_ID], Table1[[#This Row],[Customer_ID]], Table1[Transaction_Amount])</f>
        <v>4796.3042592592574</v>
      </c>
      <c r="I594" t="s">
        <v>1889</v>
      </c>
      <c r="J594" t="s">
        <v>41</v>
      </c>
      <c r="K594" t="s">
        <v>14</v>
      </c>
      <c r="L594">
        <v>3</v>
      </c>
      <c r="M594" t="s">
        <v>37</v>
      </c>
      <c r="N594" t="s">
        <v>56</v>
      </c>
      <c r="O594" t="s">
        <v>393</v>
      </c>
      <c r="P594" s="6" t="str">
        <f>IF(Table1[[#This Row],[Transaction_Amount]]&lt;=Table1[[#This Row],[avg_transaction_amount]], "usual transaction", "unusual transaction")</f>
        <v>unusual transaction</v>
      </c>
      <c r="Q594" s="6" t="str">
        <f>IF(AND(Table1[[#This Row],[Country_of_Residence]]&lt;&gt;Table1[[#This Row],[Country_of_Transaction]], OR(Table1[[#This Row],[Authentication_Type]]="Biometric", Table1[[#This Row],[Authentication_Type]]="OTP")), "safe location transaction", "unsafe location transaction")</f>
        <v>unsafe location transaction</v>
      </c>
      <c r="R594" s="6" t="str">
        <f>IF(AND(Table1[[#This Row],[Country_of_Residence]]&lt;&gt;Table1[[#This Row],[Country_of_Transaction]], OR(Table1[[#This Row],[Merchant_Category]]="Electronics", Table1[[#This Row],[Merchant_Category]]="Travel")), "unsafe merchant transaction", "safe merchant transaction")</f>
        <v>safe merchant transaction</v>
      </c>
    </row>
    <row r="595" spans="1:18">
      <c r="A595" t="s">
        <v>4407</v>
      </c>
      <c r="B595" t="s">
        <v>438</v>
      </c>
      <c r="C595">
        <v>1</v>
      </c>
      <c r="D595" t="s">
        <v>15</v>
      </c>
      <c r="E595" t="s">
        <v>6</v>
      </c>
      <c r="F595" s="2">
        <v>45927</v>
      </c>
      <c r="G595">
        <v>4391.53</v>
      </c>
      <c r="H595" s="1">
        <f>AVERAGEIF(Table1[Customer_ID], Table1[[#This Row],[Customer_ID]], Table1[Transaction_Amount])</f>
        <v>4796.3042592592574</v>
      </c>
      <c r="I595" t="s">
        <v>1464</v>
      </c>
      <c r="J595" t="s">
        <v>46</v>
      </c>
      <c r="K595" t="s">
        <v>8</v>
      </c>
      <c r="L595">
        <v>1</v>
      </c>
      <c r="M595" t="s">
        <v>56</v>
      </c>
      <c r="N595" t="s">
        <v>42</v>
      </c>
      <c r="O595" t="s">
        <v>393</v>
      </c>
      <c r="P595" s="6" t="str">
        <f>IF(Table1[[#This Row],[Transaction_Amount]]&lt;=Table1[[#This Row],[avg_transaction_amount]], "usual transaction", "unusual transaction")</f>
        <v>usual transaction</v>
      </c>
      <c r="Q595" s="6" t="str">
        <f>IF(AND(Table1[[#This Row],[Country_of_Residence]]&lt;&gt;Table1[[#This Row],[Country_of_Transaction]], OR(Table1[[#This Row],[Authentication_Type]]="Biometric", Table1[[#This Row],[Authentication_Type]]="OTP")), "safe location transaction", "unsafe location transaction")</f>
        <v>safe location transaction</v>
      </c>
      <c r="R595" s="6" t="str">
        <f>IF(AND(Table1[[#This Row],[Country_of_Residence]]&lt;&gt;Table1[[#This Row],[Country_of_Transaction]], OR(Table1[[#This Row],[Merchant_Category]]="Electronics", Table1[[#This Row],[Merchant_Category]]="Travel")), "unsafe merchant transaction", "safe merchant transaction")</f>
        <v>safe merchant transaction</v>
      </c>
    </row>
    <row r="596" spans="1:18">
      <c r="A596" t="s">
        <v>4417</v>
      </c>
      <c r="B596" t="s">
        <v>438</v>
      </c>
      <c r="C596">
        <v>1</v>
      </c>
      <c r="D596" t="s">
        <v>15</v>
      </c>
      <c r="E596" t="s">
        <v>420</v>
      </c>
      <c r="F596" s="2">
        <v>45793</v>
      </c>
      <c r="G596">
        <v>5552</v>
      </c>
      <c r="H596" s="1">
        <f>AVERAGEIF(Table1[Customer_ID], Table1[[#This Row],[Customer_ID]], Table1[Transaction_Amount])</f>
        <v>4796.3042592592574</v>
      </c>
      <c r="I596" t="s">
        <v>1916</v>
      </c>
      <c r="J596" t="s">
        <v>31</v>
      </c>
      <c r="K596" t="s">
        <v>8</v>
      </c>
      <c r="L596">
        <v>5</v>
      </c>
      <c r="M596" t="s">
        <v>412</v>
      </c>
      <c r="N596" t="s">
        <v>33</v>
      </c>
      <c r="O596" t="s">
        <v>393</v>
      </c>
      <c r="P596" s="6" t="str">
        <f>IF(Table1[[#This Row],[Transaction_Amount]]&lt;=Table1[[#This Row],[avg_transaction_amount]], "usual transaction", "unusual transaction")</f>
        <v>unusual transaction</v>
      </c>
      <c r="Q596" s="6" t="str">
        <f>IF(AND(Table1[[#This Row],[Country_of_Residence]]&lt;&gt;Table1[[#This Row],[Country_of_Transaction]], OR(Table1[[#This Row],[Authentication_Type]]="Biometric", Table1[[#This Row],[Authentication_Type]]="OTP")), "safe location transaction", "unsafe location transaction")</f>
        <v>safe location transaction</v>
      </c>
      <c r="R596" s="6" t="str">
        <f>IF(AND(Table1[[#This Row],[Country_of_Residence]]&lt;&gt;Table1[[#This Row],[Country_of_Transaction]], OR(Table1[[#This Row],[Merchant_Category]]="Electronics", Table1[[#This Row],[Merchant_Category]]="Travel")), "unsafe merchant transaction", "safe merchant transaction")</f>
        <v>safe merchant transaction</v>
      </c>
    </row>
    <row r="597" spans="1:18">
      <c r="A597" t="s">
        <v>4419</v>
      </c>
      <c r="B597" t="s">
        <v>438</v>
      </c>
      <c r="C597">
        <v>1</v>
      </c>
      <c r="D597" t="s">
        <v>9</v>
      </c>
      <c r="E597" t="s">
        <v>5</v>
      </c>
      <c r="F597" s="2">
        <v>45779</v>
      </c>
      <c r="G597">
        <v>1902.4</v>
      </c>
      <c r="H597" s="1">
        <f>AVERAGEIF(Table1[Customer_ID], Table1[[#This Row],[Customer_ID]], Table1[Transaction_Amount])</f>
        <v>4796.3042592592574</v>
      </c>
      <c r="I597" t="s">
        <v>1918</v>
      </c>
      <c r="J597" t="s">
        <v>50</v>
      </c>
      <c r="K597" t="s">
        <v>14</v>
      </c>
      <c r="L597">
        <v>4</v>
      </c>
      <c r="M597" t="s">
        <v>412</v>
      </c>
      <c r="N597" t="s">
        <v>55</v>
      </c>
      <c r="O597" t="s">
        <v>392</v>
      </c>
      <c r="P597" s="6" t="str">
        <f>IF(Table1[[#This Row],[Transaction_Amount]]&lt;=Table1[[#This Row],[avg_transaction_amount]], "usual transaction", "unusual transaction")</f>
        <v>usual transaction</v>
      </c>
      <c r="Q597" s="6" t="str">
        <f>IF(AND(Table1[[#This Row],[Country_of_Residence]]&lt;&gt;Table1[[#This Row],[Country_of_Transaction]], OR(Table1[[#This Row],[Authentication_Type]]="Biometric", Table1[[#This Row],[Authentication_Type]]="OTP")), "safe location transaction", "unsafe location transaction")</f>
        <v>unsafe location transaction</v>
      </c>
      <c r="R597" s="6" t="str">
        <f>IF(AND(Table1[[#This Row],[Country_of_Residence]]&lt;&gt;Table1[[#This Row],[Country_of_Transaction]], OR(Table1[[#This Row],[Merchant_Category]]="Electronics", Table1[[#This Row],[Merchant_Category]]="Travel")), "unsafe merchant transaction", "safe merchant transaction")</f>
        <v>unsafe merchant transaction</v>
      </c>
    </row>
    <row r="598" spans="1:18">
      <c r="A598" t="s">
        <v>4420</v>
      </c>
      <c r="B598" t="s">
        <v>438</v>
      </c>
      <c r="C598">
        <v>1</v>
      </c>
      <c r="D598" t="s">
        <v>15</v>
      </c>
      <c r="E598" t="s">
        <v>6</v>
      </c>
      <c r="F598" s="2">
        <v>45661</v>
      </c>
      <c r="G598">
        <v>3517.53</v>
      </c>
      <c r="H598" s="1">
        <f>AVERAGEIF(Table1[Customer_ID], Table1[[#This Row],[Customer_ID]], Table1[Transaction_Amount])</f>
        <v>4796.3042592592574</v>
      </c>
      <c r="I598" t="s">
        <v>1919</v>
      </c>
      <c r="J598" t="s">
        <v>50</v>
      </c>
      <c r="K598" t="s">
        <v>10</v>
      </c>
      <c r="L598">
        <v>0</v>
      </c>
      <c r="M598" t="s">
        <v>42</v>
      </c>
      <c r="N598" t="s">
        <v>51</v>
      </c>
      <c r="O598" t="s">
        <v>393</v>
      </c>
      <c r="P598" s="6" t="str">
        <f>IF(Table1[[#This Row],[Transaction_Amount]]&lt;=Table1[[#This Row],[avg_transaction_amount]], "usual transaction", "unusual transaction")</f>
        <v>usual transaction</v>
      </c>
      <c r="Q598" s="6" t="str">
        <f>IF(AND(Table1[[#This Row],[Country_of_Residence]]&lt;&gt;Table1[[#This Row],[Country_of_Transaction]], OR(Table1[[#This Row],[Authentication_Type]]="Biometric", Table1[[#This Row],[Authentication_Type]]="OTP")), "safe location transaction", "unsafe location transaction")</f>
        <v>safe location transaction</v>
      </c>
      <c r="R598" s="6" t="str">
        <f>IF(AND(Table1[[#This Row],[Country_of_Residence]]&lt;&gt;Table1[[#This Row],[Country_of_Transaction]], OR(Table1[[#This Row],[Merchant_Category]]="Electronics", Table1[[#This Row],[Merchant_Category]]="Travel")), "unsafe merchant transaction", "safe merchant transaction")</f>
        <v>unsafe merchant transaction</v>
      </c>
    </row>
    <row r="599" spans="1:18">
      <c r="A599" t="s">
        <v>4448</v>
      </c>
      <c r="B599" t="s">
        <v>438</v>
      </c>
      <c r="C599">
        <v>1</v>
      </c>
      <c r="D599" t="s">
        <v>9</v>
      </c>
      <c r="E599" t="s">
        <v>5</v>
      </c>
      <c r="F599" s="2">
        <v>45794</v>
      </c>
      <c r="G599">
        <v>2905.96</v>
      </c>
      <c r="H599" s="1">
        <f>AVERAGEIF(Table1[Customer_ID], Table1[[#This Row],[Customer_ID]], Table1[Transaction_Amount])</f>
        <v>4796.3042592592574</v>
      </c>
      <c r="I599" t="s">
        <v>1942</v>
      </c>
      <c r="J599" t="s">
        <v>46</v>
      </c>
      <c r="K599" t="s">
        <v>12</v>
      </c>
      <c r="L599">
        <v>2</v>
      </c>
      <c r="M599" t="s">
        <v>51</v>
      </c>
      <c r="N599" t="s">
        <v>56</v>
      </c>
      <c r="O599" t="s">
        <v>393</v>
      </c>
      <c r="P599" s="6" t="str">
        <f>IF(Table1[[#This Row],[Transaction_Amount]]&lt;=Table1[[#This Row],[avg_transaction_amount]], "usual transaction", "unusual transaction")</f>
        <v>usual transaction</v>
      </c>
      <c r="Q599" s="6" t="str">
        <f>IF(AND(Table1[[#This Row],[Country_of_Residence]]&lt;&gt;Table1[[#This Row],[Country_of_Transaction]], OR(Table1[[#This Row],[Authentication_Type]]="Biometric", Table1[[#This Row],[Authentication_Type]]="OTP")), "safe location transaction", "unsafe location transaction")</f>
        <v>unsafe location transaction</v>
      </c>
      <c r="R599" s="6" t="str">
        <f>IF(AND(Table1[[#This Row],[Country_of_Residence]]&lt;&gt;Table1[[#This Row],[Country_of_Transaction]], OR(Table1[[#This Row],[Merchant_Category]]="Electronics", Table1[[#This Row],[Merchant_Category]]="Travel")), "unsafe merchant transaction", "safe merchant transaction")</f>
        <v>safe merchant transaction</v>
      </c>
    </row>
    <row r="600" spans="1:18">
      <c r="A600" t="s">
        <v>4464</v>
      </c>
      <c r="B600" t="s">
        <v>438</v>
      </c>
      <c r="C600">
        <v>1</v>
      </c>
      <c r="D600" t="s">
        <v>15</v>
      </c>
      <c r="E600" t="s">
        <v>6</v>
      </c>
      <c r="F600" s="2">
        <v>46014</v>
      </c>
      <c r="G600">
        <v>4081.99</v>
      </c>
      <c r="H600" s="1">
        <f>AVERAGEIF(Table1[Customer_ID], Table1[[#This Row],[Customer_ID]], Table1[Transaction_Amount])</f>
        <v>4796.3042592592574</v>
      </c>
      <c r="I600" t="s">
        <v>1957</v>
      </c>
      <c r="J600" t="s">
        <v>46</v>
      </c>
      <c r="K600" t="s">
        <v>10</v>
      </c>
      <c r="L600">
        <v>5</v>
      </c>
      <c r="M600" t="s">
        <v>55</v>
      </c>
      <c r="N600" t="s">
        <v>51</v>
      </c>
      <c r="O600" t="s">
        <v>393</v>
      </c>
      <c r="P600" s="6" t="str">
        <f>IF(Table1[[#This Row],[Transaction_Amount]]&lt;=Table1[[#This Row],[avg_transaction_amount]], "usual transaction", "unusual transaction")</f>
        <v>usual transaction</v>
      </c>
      <c r="Q600" s="6" t="str">
        <f>IF(AND(Table1[[#This Row],[Country_of_Residence]]&lt;&gt;Table1[[#This Row],[Country_of_Transaction]], OR(Table1[[#This Row],[Authentication_Type]]="Biometric", Table1[[#This Row],[Authentication_Type]]="OTP")), "safe location transaction", "unsafe location transaction")</f>
        <v>safe location transaction</v>
      </c>
      <c r="R600" s="6" t="str">
        <f>IF(AND(Table1[[#This Row],[Country_of_Residence]]&lt;&gt;Table1[[#This Row],[Country_of_Transaction]], OR(Table1[[#This Row],[Merchant_Category]]="Electronics", Table1[[#This Row],[Merchant_Category]]="Travel")), "unsafe merchant transaction", "safe merchant transaction")</f>
        <v>safe merchant transaction</v>
      </c>
    </row>
    <row r="601" spans="1:18">
      <c r="A601" t="s">
        <v>4472</v>
      </c>
      <c r="B601" t="s">
        <v>438</v>
      </c>
      <c r="C601">
        <v>1</v>
      </c>
      <c r="D601" t="s">
        <v>15</v>
      </c>
      <c r="E601" t="s">
        <v>3</v>
      </c>
      <c r="F601" s="2">
        <v>45943</v>
      </c>
      <c r="G601">
        <v>8008.1</v>
      </c>
      <c r="H601" s="1">
        <f>AVERAGEIF(Table1[Customer_ID], Table1[[#This Row],[Customer_ID]], Table1[Transaction_Amount])</f>
        <v>4796.3042592592574</v>
      </c>
      <c r="I601" t="s">
        <v>1963</v>
      </c>
      <c r="J601" t="s">
        <v>46</v>
      </c>
      <c r="K601" t="s">
        <v>10</v>
      </c>
      <c r="L601">
        <v>1</v>
      </c>
      <c r="M601" t="s">
        <v>32</v>
      </c>
      <c r="N601" t="s">
        <v>47</v>
      </c>
      <c r="O601" t="s">
        <v>392</v>
      </c>
      <c r="P601" s="6" t="str">
        <f>IF(Table1[[#This Row],[Transaction_Amount]]&lt;=Table1[[#This Row],[avg_transaction_amount]], "usual transaction", "unusual transaction")</f>
        <v>unusual transaction</v>
      </c>
      <c r="Q601" s="6" t="str">
        <f>IF(AND(Table1[[#This Row],[Country_of_Residence]]&lt;&gt;Table1[[#This Row],[Country_of_Transaction]], OR(Table1[[#This Row],[Authentication_Type]]="Biometric", Table1[[#This Row],[Authentication_Type]]="OTP")), "safe location transaction", "unsafe location transaction")</f>
        <v>safe location transaction</v>
      </c>
      <c r="R601" s="6" t="str">
        <f>IF(AND(Table1[[#This Row],[Country_of_Residence]]&lt;&gt;Table1[[#This Row],[Country_of_Transaction]], OR(Table1[[#This Row],[Merchant_Category]]="Electronics", Table1[[#This Row],[Merchant_Category]]="Travel")), "unsafe merchant transaction", "safe merchant transaction")</f>
        <v>safe merchant transaction</v>
      </c>
    </row>
    <row r="602" spans="1:18">
      <c r="A602" t="s">
        <v>4481</v>
      </c>
      <c r="B602" t="s">
        <v>438</v>
      </c>
      <c r="C602">
        <v>1</v>
      </c>
      <c r="D602" t="s">
        <v>15</v>
      </c>
      <c r="E602" t="s">
        <v>3</v>
      </c>
      <c r="F602" s="2">
        <v>45854</v>
      </c>
      <c r="G602">
        <v>9614.4</v>
      </c>
      <c r="H602" s="1">
        <f>AVERAGEIF(Table1[Customer_ID], Table1[[#This Row],[Customer_ID]], Table1[Transaction_Amount])</f>
        <v>4796.3042592592574</v>
      </c>
      <c r="I602" t="s">
        <v>1970</v>
      </c>
      <c r="J602" t="s">
        <v>31</v>
      </c>
      <c r="K602" t="s">
        <v>8</v>
      </c>
      <c r="L602">
        <v>4</v>
      </c>
      <c r="M602" t="s">
        <v>56</v>
      </c>
      <c r="N602" t="s">
        <v>42</v>
      </c>
      <c r="O602" t="s">
        <v>392</v>
      </c>
      <c r="P602" s="6" t="str">
        <f>IF(Table1[[#This Row],[Transaction_Amount]]&lt;=Table1[[#This Row],[avg_transaction_amount]], "usual transaction", "unusual transaction")</f>
        <v>unusual transaction</v>
      </c>
      <c r="Q602" s="6" t="str">
        <f>IF(AND(Table1[[#This Row],[Country_of_Residence]]&lt;&gt;Table1[[#This Row],[Country_of_Transaction]], OR(Table1[[#This Row],[Authentication_Type]]="Biometric", Table1[[#This Row],[Authentication_Type]]="OTP")), "safe location transaction", "unsafe location transaction")</f>
        <v>safe location transaction</v>
      </c>
      <c r="R602" s="6" t="str">
        <f>IF(AND(Table1[[#This Row],[Country_of_Residence]]&lt;&gt;Table1[[#This Row],[Country_of_Transaction]], OR(Table1[[#This Row],[Merchant_Category]]="Electronics", Table1[[#This Row],[Merchant_Category]]="Travel")), "unsafe merchant transaction", "safe merchant transaction")</f>
        <v>safe merchant transaction</v>
      </c>
    </row>
    <row r="603" spans="1:18">
      <c r="A603" t="s">
        <v>4565</v>
      </c>
      <c r="B603" t="s">
        <v>438</v>
      </c>
      <c r="C603">
        <v>1</v>
      </c>
      <c r="D603" t="s">
        <v>9</v>
      </c>
      <c r="E603" t="s">
        <v>420</v>
      </c>
      <c r="F603" s="2">
        <v>45868</v>
      </c>
      <c r="G603">
        <v>4079.62</v>
      </c>
      <c r="H603" s="1">
        <f>AVERAGEIF(Table1[Customer_ID], Table1[[#This Row],[Customer_ID]], Table1[Transaction_Amount])</f>
        <v>4796.3042592592574</v>
      </c>
      <c r="I603" t="s">
        <v>813</v>
      </c>
      <c r="J603" t="s">
        <v>31</v>
      </c>
      <c r="K603" t="s">
        <v>12</v>
      </c>
      <c r="L603">
        <v>0</v>
      </c>
      <c r="M603" t="s">
        <v>47</v>
      </c>
      <c r="N603" t="s">
        <v>56</v>
      </c>
      <c r="O603" t="s">
        <v>392</v>
      </c>
      <c r="P603" s="6" t="str">
        <f>IF(Table1[[#This Row],[Transaction_Amount]]&lt;=Table1[[#This Row],[avg_transaction_amount]], "usual transaction", "unusual transaction")</f>
        <v>usual transaction</v>
      </c>
      <c r="Q603" s="6" t="str">
        <f>IF(AND(Table1[[#This Row],[Country_of_Residence]]&lt;&gt;Table1[[#This Row],[Country_of_Transaction]], OR(Table1[[#This Row],[Authentication_Type]]="Biometric", Table1[[#This Row],[Authentication_Type]]="OTP")), "safe location transaction", "unsafe location transaction")</f>
        <v>unsafe location transaction</v>
      </c>
      <c r="R603" s="6" t="str">
        <f>IF(AND(Table1[[#This Row],[Country_of_Residence]]&lt;&gt;Table1[[#This Row],[Country_of_Transaction]], OR(Table1[[#This Row],[Merchant_Category]]="Electronics", Table1[[#This Row],[Merchant_Category]]="Travel")), "unsafe merchant transaction", "safe merchant transaction")</f>
        <v>safe merchant transaction</v>
      </c>
    </row>
    <row r="604" spans="1:18">
      <c r="A604" t="s">
        <v>4726</v>
      </c>
      <c r="B604" t="s">
        <v>438</v>
      </c>
      <c r="C604">
        <v>1</v>
      </c>
      <c r="D604" t="s">
        <v>9</v>
      </c>
      <c r="E604" t="s">
        <v>5</v>
      </c>
      <c r="F604" s="2">
        <v>45734</v>
      </c>
      <c r="G604">
        <v>5737.63</v>
      </c>
      <c r="H604" s="1">
        <f>AVERAGEIF(Table1[Customer_ID], Table1[[#This Row],[Customer_ID]], Table1[Transaction_Amount])</f>
        <v>4796.3042592592574</v>
      </c>
      <c r="I604" t="s">
        <v>2166</v>
      </c>
      <c r="J604" t="s">
        <v>46</v>
      </c>
      <c r="K604" t="s">
        <v>12</v>
      </c>
      <c r="L604">
        <v>3</v>
      </c>
      <c r="M604" t="s">
        <v>55</v>
      </c>
      <c r="N604" t="s">
        <v>32</v>
      </c>
      <c r="O604" t="s">
        <v>392</v>
      </c>
      <c r="P604" s="6" t="str">
        <f>IF(Table1[[#This Row],[Transaction_Amount]]&lt;=Table1[[#This Row],[avg_transaction_amount]], "usual transaction", "unusual transaction")</f>
        <v>unusual transaction</v>
      </c>
      <c r="Q604" s="6" t="str">
        <f>IF(AND(Table1[[#This Row],[Country_of_Residence]]&lt;&gt;Table1[[#This Row],[Country_of_Transaction]], OR(Table1[[#This Row],[Authentication_Type]]="Biometric", Table1[[#This Row],[Authentication_Type]]="OTP")), "safe location transaction", "unsafe location transaction")</f>
        <v>unsafe location transaction</v>
      </c>
      <c r="R604" s="6" t="str">
        <f>IF(AND(Table1[[#This Row],[Country_of_Residence]]&lt;&gt;Table1[[#This Row],[Country_of_Transaction]], OR(Table1[[#This Row],[Merchant_Category]]="Electronics", Table1[[#This Row],[Merchant_Category]]="Travel")), "unsafe merchant transaction", "safe merchant transaction")</f>
        <v>safe merchant transaction</v>
      </c>
    </row>
    <row r="605" spans="1:18">
      <c r="A605" t="s">
        <v>4735</v>
      </c>
      <c r="B605" t="s">
        <v>438</v>
      </c>
      <c r="C605">
        <v>1</v>
      </c>
      <c r="D605" t="s">
        <v>9</v>
      </c>
      <c r="E605" t="s">
        <v>6</v>
      </c>
      <c r="F605" s="2">
        <v>45801</v>
      </c>
      <c r="G605">
        <v>7341.52</v>
      </c>
      <c r="H605" s="1">
        <f>AVERAGEIF(Table1[Customer_ID], Table1[[#This Row],[Customer_ID]], Table1[Transaction_Amount])</f>
        <v>4796.3042592592574</v>
      </c>
      <c r="I605" t="s">
        <v>2173</v>
      </c>
      <c r="J605" t="s">
        <v>41</v>
      </c>
      <c r="K605" t="s">
        <v>10</v>
      </c>
      <c r="L605">
        <v>5</v>
      </c>
      <c r="M605" t="s">
        <v>47</v>
      </c>
      <c r="N605" t="s">
        <v>47</v>
      </c>
      <c r="O605" t="s">
        <v>392</v>
      </c>
      <c r="P605" s="6" t="str">
        <f>IF(Table1[[#This Row],[Transaction_Amount]]&lt;=Table1[[#This Row],[avg_transaction_amount]], "usual transaction", "unusual transaction")</f>
        <v>unusual transaction</v>
      </c>
      <c r="Q605" s="6" t="str">
        <f>IF(AND(Table1[[#This Row],[Country_of_Residence]]&lt;&gt;Table1[[#This Row],[Country_of_Transaction]], OR(Table1[[#This Row],[Authentication_Type]]="Biometric", Table1[[#This Row],[Authentication_Type]]="OTP")), "safe location transaction", "unsafe location transaction")</f>
        <v>unsafe location transaction</v>
      </c>
      <c r="R605" s="6" t="str">
        <f>IF(AND(Table1[[#This Row],[Country_of_Residence]]&lt;&gt;Table1[[#This Row],[Country_of_Transaction]], OR(Table1[[#This Row],[Merchant_Category]]="Electronics", Table1[[#This Row],[Merchant_Category]]="Travel")), "unsafe merchant transaction", "safe merchant transaction")</f>
        <v>safe merchant transaction</v>
      </c>
    </row>
    <row r="606" spans="1:18">
      <c r="A606" t="s">
        <v>4792</v>
      </c>
      <c r="B606" t="s">
        <v>438</v>
      </c>
      <c r="C606">
        <v>1</v>
      </c>
      <c r="D606" t="s">
        <v>9</v>
      </c>
      <c r="E606" t="s">
        <v>6</v>
      </c>
      <c r="F606" s="2">
        <v>46000</v>
      </c>
      <c r="G606">
        <v>3000.48</v>
      </c>
      <c r="H606" s="1">
        <f>AVERAGEIF(Table1[Customer_ID], Table1[[#This Row],[Customer_ID]], Table1[Transaction_Amount])</f>
        <v>4796.3042592592574</v>
      </c>
      <c r="I606" t="s">
        <v>2215</v>
      </c>
      <c r="J606" t="s">
        <v>46</v>
      </c>
      <c r="K606" t="s">
        <v>14</v>
      </c>
      <c r="L606">
        <v>1</v>
      </c>
      <c r="M606" t="s">
        <v>51</v>
      </c>
      <c r="N606" t="s">
        <v>412</v>
      </c>
      <c r="O606" t="s">
        <v>393</v>
      </c>
      <c r="P606" s="6" t="str">
        <f>IF(Table1[[#This Row],[Transaction_Amount]]&lt;=Table1[[#This Row],[avg_transaction_amount]], "usual transaction", "unusual transaction")</f>
        <v>usual transaction</v>
      </c>
      <c r="Q606" s="6" t="str">
        <f>IF(AND(Table1[[#This Row],[Country_of_Residence]]&lt;&gt;Table1[[#This Row],[Country_of_Transaction]], OR(Table1[[#This Row],[Authentication_Type]]="Biometric", Table1[[#This Row],[Authentication_Type]]="OTP")), "safe location transaction", "unsafe location transaction")</f>
        <v>unsafe location transaction</v>
      </c>
      <c r="R606" s="6" t="str">
        <f>IF(AND(Table1[[#This Row],[Country_of_Residence]]&lt;&gt;Table1[[#This Row],[Country_of_Transaction]], OR(Table1[[#This Row],[Merchant_Category]]="Electronics", Table1[[#This Row],[Merchant_Category]]="Travel")), "unsafe merchant transaction", "safe merchant transaction")</f>
        <v>safe merchant transaction</v>
      </c>
    </row>
    <row r="607" spans="1:18">
      <c r="A607" t="s">
        <v>4871</v>
      </c>
      <c r="B607" t="s">
        <v>438</v>
      </c>
      <c r="C607">
        <v>1</v>
      </c>
      <c r="D607" t="s">
        <v>15</v>
      </c>
      <c r="E607" t="s">
        <v>5</v>
      </c>
      <c r="F607" s="2">
        <v>45861</v>
      </c>
      <c r="G607">
        <v>3893.46</v>
      </c>
      <c r="H607" s="1">
        <f>AVERAGEIF(Table1[Customer_ID], Table1[[#This Row],[Customer_ID]], Table1[Transaction_Amount])</f>
        <v>4796.3042592592574</v>
      </c>
      <c r="I607" t="s">
        <v>2276</v>
      </c>
      <c r="J607" t="s">
        <v>50</v>
      </c>
      <c r="K607" t="s">
        <v>14</v>
      </c>
      <c r="L607">
        <v>5</v>
      </c>
      <c r="M607" t="s">
        <v>56</v>
      </c>
      <c r="N607" t="s">
        <v>412</v>
      </c>
      <c r="O607" t="s">
        <v>393</v>
      </c>
      <c r="P607" s="6" t="str">
        <f>IF(Table1[[#This Row],[Transaction_Amount]]&lt;=Table1[[#This Row],[avg_transaction_amount]], "usual transaction", "unusual transaction")</f>
        <v>usual transaction</v>
      </c>
      <c r="Q607" s="6" t="str">
        <f>IF(AND(Table1[[#This Row],[Country_of_Residence]]&lt;&gt;Table1[[#This Row],[Country_of_Transaction]], OR(Table1[[#This Row],[Authentication_Type]]="Biometric", Table1[[#This Row],[Authentication_Type]]="OTP")), "safe location transaction", "unsafe location transaction")</f>
        <v>unsafe location transaction</v>
      </c>
      <c r="R607" s="6" t="str">
        <f>IF(AND(Table1[[#This Row],[Country_of_Residence]]&lt;&gt;Table1[[#This Row],[Country_of_Transaction]], OR(Table1[[#This Row],[Merchant_Category]]="Electronics", Table1[[#This Row],[Merchant_Category]]="Travel")), "unsafe merchant transaction", "safe merchant transaction")</f>
        <v>unsafe merchant transaction</v>
      </c>
    </row>
    <row r="608" spans="1:18">
      <c r="A608" t="s">
        <v>4890</v>
      </c>
      <c r="B608" t="s">
        <v>438</v>
      </c>
      <c r="C608">
        <v>1</v>
      </c>
      <c r="D608" t="s">
        <v>15</v>
      </c>
      <c r="E608" t="s">
        <v>420</v>
      </c>
      <c r="F608" s="2">
        <v>45865</v>
      </c>
      <c r="G608">
        <v>4950.3599999999997</v>
      </c>
      <c r="H608" s="1">
        <f>AVERAGEIF(Table1[Customer_ID], Table1[[#This Row],[Customer_ID]], Table1[Transaction_Amount])</f>
        <v>4796.3042592592574</v>
      </c>
      <c r="I608" t="s">
        <v>2293</v>
      </c>
      <c r="J608" t="s">
        <v>50</v>
      </c>
      <c r="K608" t="s">
        <v>8</v>
      </c>
      <c r="L608">
        <v>5</v>
      </c>
      <c r="M608" t="s">
        <v>56</v>
      </c>
      <c r="N608" t="s">
        <v>47</v>
      </c>
      <c r="O608" t="s">
        <v>392</v>
      </c>
      <c r="P608" s="6" t="str">
        <f>IF(Table1[[#This Row],[Transaction_Amount]]&lt;=Table1[[#This Row],[avg_transaction_amount]], "usual transaction", "unusual transaction")</f>
        <v>unusual transaction</v>
      </c>
      <c r="Q608" s="6" t="str">
        <f>IF(AND(Table1[[#This Row],[Country_of_Residence]]&lt;&gt;Table1[[#This Row],[Country_of_Transaction]], OR(Table1[[#This Row],[Authentication_Type]]="Biometric", Table1[[#This Row],[Authentication_Type]]="OTP")), "safe location transaction", "unsafe location transaction")</f>
        <v>safe location transaction</v>
      </c>
      <c r="R608" s="6" t="str">
        <f>IF(AND(Table1[[#This Row],[Country_of_Residence]]&lt;&gt;Table1[[#This Row],[Country_of_Transaction]], OR(Table1[[#This Row],[Merchant_Category]]="Electronics", Table1[[#This Row],[Merchant_Category]]="Travel")), "unsafe merchant transaction", "safe merchant transaction")</f>
        <v>unsafe merchant transaction</v>
      </c>
    </row>
    <row r="609" spans="1:18">
      <c r="A609" t="s">
        <v>4935</v>
      </c>
      <c r="B609" t="s">
        <v>438</v>
      </c>
      <c r="C609">
        <v>1</v>
      </c>
      <c r="D609" t="s">
        <v>9</v>
      </c>
      <c r="E609" t="s">
        <v>5</v>
      </c>
      <c r="F609" s="2">
        <v>45799</v>
      </c>
      <c r="G609">
        <v>4087.25</v>
      </c>
      <c r="H609" s="1">
        <f>AVERAGEIF(Table1[Customer_ID], Table1[[#This Row],[Customer_ID]], Table1[Transaction_Amount])</f>
        <v>4796.3042592592574</v>
      </c>
      <c r="I609" t="s">
        <v>2328</v>
      </c>
      <c r="J609" t="s">
        <v>46</v>
      </c>
      <c r="K609" t="s">
        <v>8</v>
      </c>
      <c r="L609">
        <v>0</v>
      </c>
      <c r="M609" t="s">
        <v>47</v>
      </c>
      <c r="N609" t="s">
        <v>33</v>
      </c>
      <c r="O609" t="s">
        <v>393</v>
      </c>
      <c r="P609" s="6" t="str">
        <f>IF(Table1[[#This Row],[Transaction_Amount]]&lt;=Table1[[#This Row],[avg_transaction_amount]], "usual transaction", "unusual transaction")</f>
        <v>usual transaction</v>
      </c>
      <c r="Q609" s="6" t="str">
        <f>IF(AND(Table1[[#This Row],[Country_of_Residence]]&lt;&gt;Table1[[#This Row],[Country_of_Transaction]], OR(Table1[[#This Row],[Authentication_Type]]="Biometric", Table1[[#This Row],[Authentication_Type]]="OTP")), "safe location transaction", "unsafe location transaction")</f>
        <v>safe location transaction</v>
      </c>
      <c r="R609" s="6" t="str">
        <f>IF(AND(Table1[[#This Row],[Country_of_Residence]]&lt;&gt;Table1[[#This Row],[Country_of_Transaction]], OR(Table1[[#This Row],[Merchant_Category]]="Electronics", Table1[[#This Row],[Merchant_Category]]="Travel")), "unsafe merchant transaction", "safe merchant transaction")</f>
        <v>safe merchant transaction</v>
      </c>
    </row>
    <row r="610" spans="1:18">
      <c r="A610" t="s">
        <v>5025</v>
      </c>
      <c r="B610" t="s">
        <v>438</v>
      </c>
      <c r="C610">
        <v>1</v>
      </c>
      <c r="D610" t="s">
        <v>15</v>
      </c>
      <c r="E610" t="s">
        <v>3</v>
      </c>
      <c r="F610" s="2">
        <v>46023</v>
      </c>
      <c r="G610">
        <v>9226.83</v>
      </c>
      <c r="H610" s="1">
        <f>AVERAGEIF(Table1[Customer_ID], Table1[[#This Row],[Customer_ID]], Table1[Transaction_Amount])</f>
        <v>4796.3042592592574</v>
      </c>
      <c r="I610" t="s">
        <v>2399</v>
      </c>
      <c r="J610" t="s">
        <v>36</v>
      </c>
      <c r="K610" t="s">
        <v>12</v>
      </c>
      <c r="L610">
        <v>3</v>
      </c>
      <c r="M610" t="s">
        <v>42</v>
      </c>
      <c r="N610" t="s">
        <v>32</v>
      </c>
      <c r="O610" t="s">
        <v>393</v>
      </c>
      <c r="P610" s="6" t="str">
        <f>IF(Table1[[#This Row],[Transaction_Amount]]&lt;=Table1[[#This Row],[avg_transaction_amount]], "usual transaction", "unusual transaction")</f>
        <v>unusual transaction</v>
      </c>
      <c r="Q610" s="6" t="str">
        <f>IF(AND(Table1[[#This Row],[Country_of_Residence]]&lt;&gt;Table1[[#This Row],[Country_of_Transaction]], OR(Table1[[#This Row],[Authentication_Type]]="Biometric", Table1[[#This Row],[Authentication_Type]]="OTP")), "safe location transaction", "unsafe location transaction")</f>
        <v>unsafe location transaction</v>
      </c>
      <c r="R610" s="6" t="str">
        <f>IF(AND(Table1[[#This Row],[Country_of_Residence]]&lt;&gt;Table1[[#This Row],[Country_of_Transaction]], OR(Table1[[#This Row],[Merchant_Category]]="Electronics", Table1[[#This Row],[Merchant_Category]]="Travel")), "unsafe merchant transaction", "safe merchant transaction")</f>
        <v>safe merchant transaction</v>
      </c>
    </row>
    <row r="611" spans="1:18">
      <c r="A611" t="s">
        <v>5076</v>
      </c>
      <c r="B611" t="s">
        <v>438</v>
      </c>
      <c r="C611">
        <v>1</v>
      </c>
      <c r="D611" t="s">
        <v>15</v>
      </c>
      <c r="E611" t="s">
        <v>420</v>
      </c>
      <c r="F611" s="2">
        <v>45757</v>
      </c>
      <c r="G611">
        <v>8912.11</v>
      </c>
      <c r="H611" s="1">
        <f>AVERAGEIF(Table1[Customer_ID], Table1[[#This Row],[Customer_ID]], Table1[Transaction_Amount])</f>
        <v>4796.3042592592574</v>
      </c>
      <c r="I611" t="s">
        <v>217</v>
      </c>
      <c r="J611" t="s">
        <v>41</v>
      </c>
      <c r="K611" t="s">
        <v>10</v>
      </c>
      <c r="L611">
        <v>0</v>
      </c>
      <c r="M611" t="s">
        <v>42</v>
      </c>
      <c r="N611" t="s">
        <v>56</v>
      </c>
      <c r="O611" t="s">
        <v>392</v>
      </c>
      <c r="P611" s="6" t="str">
        <f>IF(Table1[[#This Row],[Transaction_Amount]]&lt;=Table1[[#This Row],[avg_transaction_amount]], "usual transaction", "unusual transaction")</f>
        <v>unusual transaction</v>
      </c>
      <c r="Q611" s="6" t="str">
        <f>IF(AND(Table1[[#This Row],[Country_of_Residence]]&lt;&gt;Table1[[#This Row],[Country_of_Transaction]], OR(Table1[[#This Row],[Authentication_Type]]="Biometric", Table1[[#This Row],[Authentication_Type]]="OTP")), "safe location transaction", "unsafe location transaction")</f>
        <v>safe location transaction</v>
      </c>
      <c r="R611" s="6" t="str">
        <f>IF(AND(Table1[[#This Row],[Country_of_Residence]]&lt;&gt;Table1[[#This Row],[Country_of_Transaction]], OR(Table1[[#This Row],[Merchant_Category]]="Electronics", Table1[[#This Row],[Merchant_Category]]="Travel")), "unsafe merchant transaction", "safe merchant transaction")</f>
        <v>safe merchant transaction</v>
      </c>
    </row>
    <row r="612" spans="1:18">
      <c r="A612" t="s">
        <v>5094</v>
      </c>
      <c r="B612" t="s">
        <v>438</v>
      </c>
      <c r="C612">
        <v>1</v>
      </c>
      <c r="D612" t="s">
        <v>9</v>
      </c>
      <c r="E612" t="s">
        <v>420</v>
      </c>
      <c r="F612" s="2">
        <v>45788</v>
      </c>
      <c r="G612">
        <v>2868.25</v>
      </c>
      <c r="H612" s="1">
        <f>AVERAGEIF(Table1[Customer_ID], Table1[[#This Row],[Customer_ID]], Table1[Transaction_Amount])</f>
        <v>4796.3042592592574</v>
      </c>
      <c r="I612" t="s">
        <v>2444</v>
      </c>
      <c r="J612" t="s">
        <v>31</v>
      </c>
      <c r="K612" t="s">
        <v>8</v>
      </c>
      <c r="L612">
        <v>1</v>
      </c>
      <c r="M612" t="s">
        <v>42</v>
      </c>
      <c r="N612" t="s">
        <v>37</v>
      </c>
      <c r="O612" t="s">
        <v>393</v>
      </c>
      <c r="P612" s="6" t="str">
        <f>IF(Table1[[#This Row],[Transaction_Amount]]&lt;=Table1[[#This Row],[avg_transaction_amount]], "usual transaction", "unusual transaction")</f>
        <v>usual transaction</v>
      </c>
      <c r="Q612" s="6" t="str">
        <f>IF(AND(Table1[[#This Row],[Country_of_Residence]]&lt;&gt;Table1[[#This Row],[Country_of_Transaction]], OR(Table1[[#This Row],[Authentication_Type]]="Biometric", Table1[[#This Row],[Authentication_Type]]="OTP")), "safe location transaction", "unsafe location transaction")</f>
        <v>safe location transaction</v>
      </c>
      <c r="R612" s="6" t="str">
        <f>IF(AND(Table1[[#This Row],[Country_of_Residence]]&lt;&gt;Table1[[#This Row],[Country_of_Transaction]], OR(Table1[[#This Row],[Merchant_Category]]="Electronics", Table1[[#This Row],[Merchant_Category]]="Travel")), "unsafe merchant transaction", "safe merchant transaction")</f>
        <v>safe merchant transaction</v>
      </c>
    </row>
    <row r="613" spans="1:18">
      <c r="A613" t="s">
        <v>5122</v>
      </c>
      <c r="B613" t="s">
        <v>438</v>
      </c>
      <c r="C613">
        <v>1</v>
      </c>
      <c r="D613" t="s">
        <v>9</v>
      </c>
      <c r="E613" t="s">
        <v>3</v>
      </c>
      <c r="F613" s="2">
        <v>45983</v>
      </c>
      <c r="G613">
        <v>4246.37</v>
      </c>
      <c r="H613" s="1">
        <f>AVERAGEIF(Table1[Customer_ID], Table1[[#This Row],[Customer_ID]], Table1[Transaction_Amount])</f>
        <v>4796.3042592592574</v>
      </c>
      <c r="I613" t="s">
        <v>2468</v>
      </c>
      <c r="J613" t="s">
        <v>46</v>
      </c>
      <c r="K613" t="s">
        <v>10</v>
      </c>
      <c r="L613">
        <v>0</v>
      </c>
      <c r="M613" t="s">
        <v>42</v>
      </c>
      <c r="N613" t="s">
        <v>412</v>
      </c>
      <c r="O613" t="s">
        <v>392</v>
      </c>
      <c r="P613" s="6" t="str">
        <f>IF(Table1[[#This Row],[Transaction_Amount]]&lt;=Table1[[#This Row],[avg_transaction_amount]], "usual transaction", "unusual transaction")</f>
        <v>usual transaction</v>
      </c>
      <c r="Q613" s="6" t="str">
        <f>IF(AND(Table1[[#This Row],[Country_of_Residence]]&lt;&gt;Table1[[#This Row],[Country_of_Transaction]], OR(Table1[[#This Row],[Authentication_Type]]="Biometric", Table1[[#This Row],[Authentication_Type]]="OTP")), "safe location transaction", "unsafe location transaction")</f>
        <v>safe location transaction</v>
      </c>
      <c r="R613" s="6" t="str">
        <f>IF(AND(Table1[[#This Row],[Country_of_Residence]]&lt;&gt;Table1[[#This Row],[Country_of_Transaction]], OR(Table1[[#This Row],[Merchant_Category]]="Electronics", Table1[[#This Row],[Merchant_Category]]="Travel")), "unsafe merchant transaction", "safe merchant transaction")</f>
        <v>safe merchant transaction</v>
      </c>
    </row>
    <row r="614" spans="1:18">
      <c r="A614" t="s">
        <v>5138</v>
      </c>
      <c r="B614" t="s">
        <v>438</v>
      </c>
      <c r="C614">
        <v>1</v>
      </c>
      <c r="D614" t="s">
        <v>15</v>
      </c>
      <c r="E614" t="s">
        <v>3</v>
      </c>
      <c r="F614" s="2">
        <v>45920</v>
      </c>
      <c r="G614">
        <v>1923.15</v>
      </c>
      <c r="H614" s="1">
        <f>AVERAGEIF(Table1[Customer_ID], Table1[[#This Row],[Customer_ID]], Table1[Transaction_Amount])</f>
        <v>4796.3042592592574</v>
      </c>
      <c r="I614" t="s">
        <v>2479</v>
      </c>
      <c r="J614" t="s">
        <v>46</v>
      </c>
      <c r="K614" t="s">
        <v>12</v>
      </c>
      <c r="L614">
        <v>2</v>
      </c>
      <c r="M614" t="s">
        <v>56</v>
      </c>
      <c r="N614" t="s">
        <v>33</v>
      </c>
      <c r="O614" t="s">
        <v>392</v>
      </c>
      <c r="P614" s="6" t="str">
        <f>IF(Table1[[#This Row],[Transaction_Amount]]&lt;=Table1[[#This Row],[avg_transaction_amount]], "usual transaction", "unusual transaction")</f>
        <v>usual transaction</v>
      </c>
      <c r="Q614" s="6" t="str">
        <f>IF(AND(Table1[[#This Row],[Country_of_Residence]]&lt;&gt;Table1[[#This Row],[Country_of_Transaction]], OR(Table1[[#This Row],[Authentication_Type]]="Biometric", Table1[[#This Row],[Authentication_Type]]="OTP")), "safe location transaction", "unsafe location transaction")</f>
        <v>unsafe location transaction</v>
      </c>
      <c r="R614" s="6" t="str">
        <f>IF(AND(Table1[[#This Row],[Country_of_Residence]]&lt;&gt;Table1[[#This Row],[Country_of_Transaction]], OR(Table1[[#This Row],[Merchant_Category]]="Electronics", Table1[[#This Row],[Merchant_Category]]="Travel")), "unsafe merchant transaction", "safe merchant transaction")</f>
        <v>safe merchant transaction</v>
      </c>
    </row>
    <row r="615" spans="1:18">
      <c r="A615" t="s">
        <v>5182</v>
      </c>
      <c r="B615" t="s">
        <v>438</v>
      </c>
      <c r="C615">
        <v>1</v>
      </c>
      <c r="D615" t="s">
        <v>9</v>
      </c>
      <c r="E615" t="s">
        <v>6</v>
      </c>
      <c r="F615" s="2">
        <v>45781</v>
      </c>
      <c r="G615">
        <v>9532.65</v>
      </c>
      <c r="H615" s="1">
        <f>AVERAGEIF(Table1[Customer_ID], Table1[[#This Row],[Customer_ID]], Table1[Transaction_Amount])</f>
        <v>4796.3042592592574</v>
      </c>
      <c r="I615" t="s">
        <v>2516</v>
      </c>
      <c r="J615" t="s">
        <v>36</v>
      </c>
      <c r="K615" t="s">
        <v>14</v>
      </c>
      <c r="L615">
        <v>0</v>
      </c>
      <c r="M615" t="s">
        <v>56</v>
      </c>
      <c r="N615" t="s">
        <v>55</v>
      </c>
      <c r="O615" t="s">
        <v>393</v>
      </c>
      <c r="P615" s="6" t="str">
        <f>IF(Table1[[#This Row],[Transaction_Amount]]&lt;=Table1[[#This Row],[avg_transaction_amount]], "usual transaction", "unusual transaction")</f>
        <v>unusual transaction</v>
      </c>
      <c r="Q615" s="6" t="str">
        <f>IF(AND(Table1[[#This Row],[Country_of_Residence]]&lt;&gt;Table1[[#This Row],[Country_of_Transaction]], OR(Table1[[#This Row],[Authentication_Type]]="Biometric", Table1[[#This Row],[Authentication_Type]]="OTP")), "safe location transaction", "unsafe location transaction")</f>
        <v>unsafe location transaction</v>
      </c>
      <c r="R615" s="6" t="str">
        <f>IF(AND(Table1[[#This Row],[Country_of_Residence]]&lt;&gt;Table1[[#This Row],[Country_of_Transaction]], OR(Table1[[#This Row],[Merchant_Category]]="Electronics", Table1[[#This Row],[Merchant_Category]]="Travel")), "unsafe merchant transaction", "safe merchant transaction")</f>
        <v>safe merchant transaction</v>
      </c>
    </row>
    <row r="616" spans="1:18">
      <c r="A616" t="s">
        <v>5296</v>
      </c>
      <c r="B616" t="s">
        <v>438</v>
      </c>
      <c r="C616">
        <v>1</v>
      </c>
      <c r="D616" t="s">
        <v>9</v>
      </c>
      <c r="E616" t="s">
        <v>6</v>
      </c>
      <c r="F616" s="2">
        <v>45705</v>
      </c>
      <c r="G616">
        <v>306.27</v>
      </c>
      <c r="H616" s="1">
        <f>AVERAGEIF(Table1[Customer_ID], Table1[[#This Row],[Customer_ID]], Table1[Transaction_Amount])</f>
        <v>4796.3042592592574</v>
      </c>
      <c r="I616" t="s">
        <v>2601</v>
      </c>
      <c r="J616" t="s">
        <v>31</v>
      </c>
      <c r="K616" t="s">
        <v>10</v>
      </c>
      <c r="L616">
        <v>2</v>
      </c>
      <c r="M616" t="s">
        <v>42</v>
      </c>
      <c r="N616" t="s">
        <v>55</v>
      </c>
      <c r="O616" t="s">
        <v>392</v>
      </c>
      <c r="P616" s="6" t="str">
        <f>IF(Table1[[#This Row],[Transaction_Amount]]&lt;=Table1[[#This Row],[avg_transaction_amount]], "usual transaction", "unusual transaction")</f>
        <v>usual transaction</v>
      </c>
      <c r="Q616" s="6" t="str">
        <f>IF(AND(Table1[[#This Row],[Country_of_Residence]]&lt;&gt;Table1[[#This Row],[Country_of_Transaction]], OR(Table1[[#This Row],[Authentication_Type]]="Biometric", Table1[[#This Row],[Authentication_Type]]="OTP")), "safe location transaction", "unsafe location transaction")</f>
        <v>safe location transaction</v>
      </c>
      <c r="R616" s="6" t="str">
        <f>IF(AND(Table1[[#This Row],[Country_of_Residence]]&lt;&gt;Table1[[#This Row],[Country_of_Transaction]], OR(Table1[[#This Row],[Merchant_Category]]="Electronics", Table1[[#This Row],[Merchant_Category]]="Travel")), "unsafe merchant transaction", "safe merchant transaction")</f>
        <v>safe merchant transaction</v>
      </c>
    </row>
    <row r="617" spans="1:18">
      <c r="A617" t="s">
        <v>5380</v>
      </c>
      <c r="B617" t="s">
        <v>438</v>
      </c>
      <c r="C617">
        <v>1</v>
      </c>
      <c r="D617" t="s">
        <v>9</v>
      </c>
      <c r="E617" t="s">
        <v>5</v>
      </c>
      <c r="F617" s="2">
        <v>45862</v>
      </c>
      <c r="G617">
        <v>1696.31</v>
      </c>
      <c r="H617" s="1">
        <f>AVERAGEIF(Table1[Customer_ID], Table1[[#This Row],[Customer_ID]], Table1[Transaction_Amount])</f>
        <v>4796.3042592592574</v>
      </c>
      <c r="I617" t="s">
        <v>2664</v>
      </c>
      <c r="J617" t="s">
        <v>41</v>
      </c>
      <c r="K617" t="s">
        <v>10</v>
      </c>
      <c r="L617">
        <v>4</v>
      </c>
      <c r="M617" t="s">
        <v>51</v>
      </c>
      <c r="N617" t="s">
        <v>56</v>
      </c>
      <c r="O617" t="s">
        <v>393</v>
      </c>
      <c r="P617" s="6" t="str">
        <f>IF(Table1[[#This Row],[Transaction_Amount]]&lt;=Table1[[#This Row],[avg_transaction_amount]], "usual transaction", "unusual transaction")</f>
        <v>usual transaction</v>
      </c>
      <c r="Q617" s="6" t="str">
        <f>IF(AND(Table1[[#This Row],[Country_of_Residence]]&lt;&gt;Table1[[#This Row],[Country_of_Transaction]], OR(Table1[[#This Row],[Authentication_Type]]="Biometric", Table1[[#This Row],[Authentication_Type]]="OTP")), "safe location transaction", "unsafe location transaction")</f>
        <v>safe location transaction</v>
      </c>
      <c r="R617" s="6" t="str">
        <f>IF(AND(Table1[[#This Row],[Country_of_Residence]]&lt;&gt;Table1[[#This Row],[Country_of_Transaction]], OR(Table1[[#This Row],[Merchant_Category]]="Electronics", Table1[[#This Row],[Merchant_Category]]="Travel")), "unsafe merchant transaction", "safe merchant transaction")</f>
        <v>safe merchant transaction</v>
      </c>
    </row>
    <row r="618" spans="1:18">
      <c r="A618" t="s">
        <v>5384</v>
      </c>
      <c r="B618" t="s">
        <v>438</v>
      </c>
      <c r="C618">
        <v>1</v>
      </c>
      <c r="D618" t="s">
        <v>9</v>
      </c>
      <c r="E618" t="s">
        <v>3</v>
      </c>
      <c r="F618" s="2">
        <v>45806</v>
      </c>
      <c r="G618">
        <v>5725.77</v>
      </c>
      <c r="H618" s="1">
        <f>AVERAGEIF(Table1[Customer_ID], Table1[[#This Row],[Customer_ID]], Table1[Transaction_Amount])</f>
        <v>4796.3042592592574</v>
      </c>
      <c r="I618" t="s">
        <v>2668</v>
      </c>
      <c r="J618" t="s">
        <v>31</v>
      </c>
      <c r="K618" t="s">
        <v>10</v>
      </c>
      <c r="L618">
        <v>1</v>
      </c>
      <c r="M618" t="s">
        <v>33</v>
      </c>
      <c r="N618" t="s">
        <v>51</v>
      </c>
      <c r="O618" t="s">
        <v>393</v>
      </c>
      <c r="P618" s="6" t="str">
        <f>IF(Table1[[#This Row],[Transaction_Amount]]&lt;=Table1[[#This Row],[avg_transaction_amount]], "usual transaction", "unusual transaction")</f>
        <v>unusual transaction</v>
      </c>
      <c r="Q618" s="6" t="str">
        <f>IF(AND(Table1[[#This Row],[Country_of_Residence]]&lt;&gt;Table1[[#This Row],[Country_of_Transaction]], OR(Table1[[#This Row],[Authentication_Type]]="Biometric", Table1[[#This Row],[Authentication_Type]]="OTP")), "safe location transaction", "unsafe location transaction")</f>
        <v>safe location transaction</v>
      </c>
      <c r="R618" s="6" t="str">
        <f>IF(AND(Table1[[#This Row],[Country_of_Residence]]&lt;&gt;Table1[[#This Row],[Country_of_Transaction]], OR(Table1[[#This Row],[Merchant_Category]]="Electronics", Table1[[#This Row],[Merchant_Category]]="Travel")), "unsafe merchant transaction", "safe merchant transaction")</f>
        <v>safe merchant transaction</v>
      </c>
    </row>
    <row r="619" spans="1:18">
      <c r="A619" t="s">
        <v>5431</v>
      </c>
      <c r="B619" t="s">
        <v>438</v>
      </c>
      <c r="C619">
        <v>1</v>
      </c>
      <c r="D619" t="s">
        <v>9</v>
      </c>
      <c r="E619" t="s">
        <v>3</v>
      </c>
      <c r="F619" s="2">
        <v>45669</v>
      </c>
      <c r="G619">
        <v>4663.9799999999996</v>
      </c>
      <c r="H619" s="1">
        <f>AVERAGEIF(Table1[Customer_ID], Table1[[#This Row],[Customer_ID]], Table1[Transaction_Amount])</f>
        <v>4796.3042592592574</v>
      </c>
      <c r="I619" t="s">
        <v>2702</v>
      </c>
      <c r="J619" t="s">
        <v>46</v>
      </c>
      <c r="K619" t="s">
        <v>8</v>
      </c>
      <c r="L619">
        <v>2</v>
      </c>
      <c r="M619" t="s">
        <v>55</v>
      </c>
      <c r="N619" t="s">
        <v>42</v>
      </c>
      <c r="O619" t="s">
        <v>393</v>
      </c>
      <c r="P619" s="6" t="str">
        <f>IF(Table1[[#This Row],[Transaction_Amount]]&lt;=Table1[[#This Row],[avg_transaction_amount]], "usual transaction", "unusual transaction")</f>
        <v>usual transaction</v>
      </c>
      <c r="Q619" s="6" t="str">
        <f>IF(AND(Table1[[#This Row],[Country_of_Residence]]&lt;&gt;Table1[[#This Row],[Country_of_Transaction]], OR(Table1[[#This Row],[Authentication_Type]]="Biometric", Table1[[#This Row],[Authentication_Type]]="OTP")), "safe location transaction", "unsafe location transaction")</f>
        <v>safe location transaction</v>
      </c>
      <c r="R619" s="6" t="str">
        <f>IF(AND(Table1[[#This Row],[Country_of_Residence]]&lt;&gt;Table1[[#This Row],[Country_of_Transaction]], OR(Table1[[#This Row],[Merchant_Category]]="Electronics", Table1[[#This Row],[Merchant_Category]]="Travel")), "unsafe merchant transaction", "safe merchant transaction")</f>
        <v>safe merchant transaction</v>
      </c>
    </row>
    <row r="620" spans="1:18">
      <c r="A620" t="s">
        <v>128</v>
      </c>
      <c r="B620" t="s">
        <v>129</v>
      </c>
      <c r="C620">
        <v>1</v>
      </c>
      <c r="D620" t="s">
        <v>11</v>
      </c>
      <c r="E620" t="s">
        <v>5</v>
      </c>
      <c r="F620" s="2">
        <v>45709.484027777798</v>
      </c>
      <c r="G620">
        <v>9427.1</v>
      </c>
      <c r="H620" s="1">
        <f>AVERAGEIF(Table1[Customer_ID], Table1[[#This Row],[Customer_ID]], Table1[Transaction_Amount])</f>
        <v>5172.7072580645145</v>
      </c>
      <c r="I620" t="s">
        <v>130</v>
      </c>
      <c r="J620" t="s">
        <v>50</v>
      </c>
      <c r="K620" t="s">
        <v>14</v>
      </c>
      <c r="L620">
        <v>4</v>
      </c>
      <c r="M620" t="s">
        <v>131</v>
      </c>
      <c r="N620" t="s">
        <v>77</v>
      </c>
      <c r="O620" t="s">
        <v>393</v>
      </c>
      <c r="P620" t="str">
        <f>IF(Table1[[#This Row],[Transaction_Amount]]&lt;=Table1[[#This Row],[avg_transaction_amount]], "usual transaction", "unusual transaction")</f>
        <v>unusual transaction</v>
      </c>
      <c r="Q620" t="str">
        <f>IF(AND(Table1[[#This Row],[Country_of_Residence]]&lt;&gt;Table1[[#This Row],[Country_of_Transaction]], OR(Table1[[#This Row],[Authentication_Type]]="Biometric", Table1[[#This Row],[Authentication_Type]]="OTP")), "safe location transaction", "unsafe location transaction")</f>
        <v>unsafe location transaction</v>
      </c>
      <c r="R620" t="str">
        <f>IF(AND(Table1[[#This Row],[Country_of_Residence]]&lt;&gt;Table1[[#This Row],[Country_of_Transaction]], OR(Table1[[#This Row],[Merchant_Category]]="Electronics", Table1[[#This Row],[Merchant_Category]]="Travel")), "unsafe merchant transaction", "safe merchant transaction")</f>
        <v>unsafe merchant transaction</v>
      </c>
    </row>
    <row r="621" spans="1:18">
      <c r="A621" t="s">
        <v>138</v>
      </c>
      <c r="B621" t="s">
        <v>129</v>
      </c>
      <c r="C621">
        <v>1</v>
      </c>
      <c r="D621" t="s">
        <v>11</v>
      </c>
      <c r="E621" t="s">
        <v>6</v>
      </c>
      <c r="F621" s="2">
        <v>45851.650694444397</v>
      </c>
      <c r="G621">
        <v>5763.63</v>
      </c>
      <c r="H621" s="1">
        <f>AVERAGEIF(Table1[Customer_ID], Table1[[#This Row],[Customer_ID]], Table1[Transaction_Amount])</f>
        <v>5172.7072580645145</v>
      </c>
      <c r="I621" t="s">
        <v>139</v>
      </c>
      <c r="J621" t="s">
        <v>31</v>
      </c>
      <c r="K621" t="s">
        <v>14</v>
      </c>
      <c r="L621">
        <v>4</v>
      </c>
      <c r="M621" t="s">
        <v>131</v>
      </c>
      <c r="N621" t="s">
        <v>140</v>
      </c>
      <c r="O621" t="s">
        <v>392</v>
      </c>
      <c r="P621" t="str">
        <f>IF(Table1[[#This Row],[Transaction_Amount]]&lt;=Table1[[#This Row],[avg_transaction_amount]], "usual transaction", "unusual transaction")</f>
        <v>unusual transaction</v>
      </c>
      <c r="Q621" t="str">
        <f>IF(AND(Table1[[#This Row],[Country_of_Residence]]&lt;&gt;Table1[[#This Row],[Country_of_Transaction]], OR(Table1[[#This Row],[Authentication_Type]]="Biometric", Table1[[#This Row],[Authentication_Type]]="OTP")), "safe location transaction", "unsafe location transaction")</f>
        <v>unsafe location transaction</v>
      </c>
      <c r="R621" t="str">
        <f>IF(AND(Table1[[#This Row],[Country_of_Residence]]&lt;&gt;Table1[[#This Row],[Country_of_Transaction]], OR(Table1[[#This Row],[Merchant_Category]]="Electronics", Table1[[#This Row],[Merchant_Category]]="Travel")), "unsafe merchant transaction", "safe merchant transaction")</f>
        <v>safe merchant transaction</v>
      </c>
    </row>
    <row r="622" spans="1:18">
      <c r="A622" t="s">
        <v>141</v>
      </c>
      <c r="B622" t="s">
        <v>129</v>
      </c>
      <c r="C622">
        <v>1</v>
      </c>
      <c r="D622" t="s">
        <v>13</v>
      </c>
      <c r="E622" t="s">
        <v>5</v>
      </c>
      <c r="F622" s="2">
        <v>45704.135416666701</v>
      </c>
      <c r="G622">
        <v>9980.01</v>
      </c>
      <c r="H622" s="1">
        <f>AVERAGEIF(Table1[Customer_ID], Table1[[#This Row],[Customer_ID]], Table1[Transaction_Amount])</f>
        <v>5172.7072580645145</v>
      </c>
      <c r="I622" t="s">
        <v>142</v>
      </c>
      <c r="J622" t="s">
        <v>50</v>
      </c>
      <c r="K622" t="s">
        <v>8</v>
      </c>
      <c r="L622">
        <v>1</v>
      </c>
      <c r="M622" t="s">
        <v>131</v>
      </c>
      <c r="N622" t="s">
        <v>143</v>
      </c>
      <c r="O622" t="s">
        <v>393</v>
      </c>
      <c r="P622" t="str">
        <f>IF(Table1[[#This Row],[Transaction_Amount]]&lt;=Table1[[#This Row],[avg_transaction_amount]], "usual transaction", "unusual transaction")</f>
        <v>unusual transaction</v>
      </c>
      <c r="Q622" t="str">
        <f>IF(AND(Table1[[#This Row],[Country_of_Residence]]&lt;&gt;Table1[[#This Row],[Country_of_Transaction]], OR(Table1[[#This Row],[Authentication_Type]]="Biometric", Table1[[#This Row],[Authentication_Type]]="OTP")), "safe location transaction", "unsafe location transaction")</f>
        <v>safe location transaction</v>
      </c>
      <c r="R622" t="str">
        <f>IF(AND(Table1[[#This Row],[Country_of_Residence]]&lt;&gt;Table1[[#This Row],[Country_of_Transaction]], OR(Table1[[#This Row],[Merchant_Category]]="Electronics", Table1[[#This Row],[Merchant_Category]]="Travel")), "unsafe merchant transaction", "safe merchant transaction")</f>
        <v>unsafe merchant transaction</v>
      </c>
    </row>
    <row r="623" spans="1:18">
      <c r="A623" t="s">
        <v>132</v>
      </c>
      <c r="B623" t="s">
        <v>129</v>
      </c>
      <c r="C623">
        <v>1</v>
      </c>
      <c r="D623" t="s">
        <v>13</v>
      </c>
      <c r="E623" t="s">
        <v>6</v>
      </c>
      <c r="F623" s="2">
        <v>45809.046527777798</v>
      </c>
      <c r="G623">
        <v>8004.85</v>
      </c>
      <c r="H623" s="1">
        <f>AVERAGEIF(Table1[Customer_ID], Table1[[#This Row],[Customer_ID]], Table1[Transaction_Amount])</f>
        <v>5172.7072580645145</v>
      </c>
      <c r="I623" t="s">
        <v>133</v>
      </c>
      <c r="J623" t="s">
        <v>41</v>
      </c>
      <c r="K623" t="s">
        <v>8</v>
      </c>
      <c r="L623">
        <v>1</v>
      </c>
      <c r="M623" t="s">
        <v>131</v>
      </c>
      <c r="N623" t="s">
        <v>134</v>
      </c>
      <c r="O623" t="s">
        <v>392</v>
      </c>
      <c r="P623" t="str">
        <f>IF(Table1[[#This Row],[Transaction_Amount]]&lt;=Table1[[#This Row],[avg_transaction_amount]], "usual transaction", "unusual transaction")</f>
        <v>unusual transaction</v>
      </c>
      <c r="Q623" t="str">
        <f>IF(AND(Table1[[#This Row],[Country_of_Residence]]&lt;&gt;Table1[[#This Row],[Country_of_Transaction]], OR(Table1[[#This Row],[Authentication_Type]]="Biometric", Table1[[#This Row],[Authentication_Type]]="OTP")), "safe location transaction", "unsafe location transaction")</f>
        <v>safe location transaction</v>
      </c>
      <c r="R623" t="str">
        <f>IF(AND(Table1[[#This Row],[Country_of_Residence]]&lt;&gt;Table1[[#This Row],[Country_of_Transaction]], OR(Table1[[#This Row],[Merchant_Category]]="Electronics", Table1[[#This Row],[Merchant_Category]]="Travel")), "unsafe merchant transaction", "safe merchant transaction")</f>
        <v>safe merchant transaction</v>
      </c>
    </row>
    <row r="624" spans="1:18">
      <c r="A624" t="s">
        <v>135</v>
      </c>
      <c r="B624" t="s">
        <v>129</v>
      </c>
      <c r="C624">
        <v>1</v>
      </c>
      <c r="D624" t="s">
        <v>13</v>
      </c>
      <c r="E624" t="s">
        <v>4</v>
      </c>
      <c r="F624" s="2">
        <v>45796.973611111098</v>
      </c>
      <c r="G624">
        <v>8280.0499999999993</v>
      </c>
      <c r="H624" s="1">
        <f>AVERAGEIF(Table1[Customer_ID], Table1[[#This Row],[Customer_ID]], Table1[Transaction_Amount])</f>
        <v>5172.7072580645145</v>
      </c>
      <c r="I624" t="s">
        <v>136</v>
      </c>
      <c r="J624" t="s">
        <v>50</v>
      </c>
      <c r="K624" t="s">
        <v>8</v>
      </c>
      <c r="L624">
        <v>2</v>
      </c>
      <c r="M624" t="s">
        <v>131</v>
      </c>
      <c r="N624" t="s">
        <v>137</v>
      </c>
      <c r="O624" t="s">
        <v>393</v>
      </c>
      <c r="P624" t="str">
        <f>IF(Table1[[#This Row],[Transaction_Amount]]&lt;=Table1[[#This Row],[avg_transaction_amount]], "usual transaction", "unusual transaction")</f>
        <v>unusual transaction</v>
      </c>
      <c r="Q624" t="str">
        <f>IF(AND(Table1[[#This Row],[Country_of_Residence]]&lt;&gt;Table1[[#This Row],[Country_of_Transaction]], OR(Table1[[#This Row],[Authentication_Type]]="Biometric", Table1[[#This Row],[Authentication_Type]]="OTP")), "safe location transaction", "unsafe location transaction")</f>
        <v>safe location transaction</v>
      </c>
      <c r="R624" t="str">
        <f>IF(AND(Table1[[#This Row],[Country_of_Residence]]&lt;&gt;Table1[[#This Row],[Country_of_Transaction]], OR(Table1[[#This Row],[Merchant_Category]]="Electronics", Table1[[#This Row],[Merchant_Category]]="Travel")), "unsafe merchant transaction", "safe merchant transaction")</f>
        <v>unsafe merchant transaction</v>
      </c>
    </row>
    <row r="625" spans="1:18">
      <c r="A625" t="s">
        <v>2811</v>
      </c>
      <c r="B625" t="s">
        <v>129</v>
      </c>
      <c r="C625">
        <v>1</v>
      </c>
      <c r="D625" t="s">
        <v>9</v>
      </c>
      <c r="E625" t="s">
        <v>420</v>
      </c>
      <c r="F625" s="2">
        <v>45896</v>
      </c>
      <c r="G625">
        <v>7351.26</v>
      </c>
      <c r="H625" s="1">
        <f>AVERAGEIF(Table1[Customer_ID], Table1[[#This Row],[Customer_ID]], Table1[Transaction_Amount])</f>
        <v>5172.7072580645145</v>
      </c>
      <c r="I625" t="s">
        <v>462</v>
      </c>
      <c r="J625" t="s">
        <v>50</v>
      </c>
      <c r="K625" t="s">
        <v>12</v>
      </c>
      <c r="L625">
        <v>0</v>
      </c>
      <c r="M625" t="s">
        <v>37</v>
      </c>
      <c r="N625" t="s">
        <v>47</v>
      </c>
      <c r="O625" t="s">
        <v>392</v>
      </c>
      <c r="P625" s="6" t="str">
        <f>IF(Table1[[#This Row],[Transaction_Amount]]&lt;=Table1[[#This Row],[avg_transaction_amount]], "usual transaction", "unusual transaction")</f>
        <v>unusual transaction</v>
      </c>
      <c r="Q625" s="6" t="str">
        <f>IF(AND(Table1[[#This Row],[Country_of_Residence]]&lt;&gt;Table1[[#This Row],[Country_of_Transaction]], OR(Table1[[#This Row],[Authentication_Type]]="Biometric", Table1[[#This Row],[Authentication_Type]]="OTP")), "safe location transaction", "unsafe location transaction")</f>
        <v>unsafe location transaction</v>
      </c>
      <c r="R625" s="6" t="str">
        <f>IF(AND(Table1[[#This Row],[Country_of_Residence]]&lt;&gt;Table1[[#This Row],[Country_of_Transaction]], OR(Table1[[#This Row],[Merchant_Category]]="Electronics", Table1[[#This Row],[Merchant_Category]]="Travel")), "unsafe merchant transaction", "safe merchant transaction")</f>
        <v>unsafe merchant transaction</v>
      </c>
    </row>
    <row r="626" spans="1:18">
      <c r="A626" t="s">
        <v>2861</v>
      </c>
      <c r="B626" t="s">
        <v>129</v>
      </c>
      <c r="C626">
        <v>1</v>
      </c>
      <c r="D626" t="s">
        <v>15</v>
      </c>
      <c r="E626" t="s">
        <v>5</v>
      </c>
      <c r="F626" s="2">
        <v>45694</v>
      </c>
      <c r="G626">
        <v>1335.4</v>
      </c>
      <c r="H626" s="1">
        <f>AVERAGEIF(Table1[Customer_ID], Table1[[#This Row],[Customer_ID]], Table1[Transaction_Amount])</f>
        <v>5172.7072580645145</v>
      </c>
      <c r="I626" t="s">
        <v>513</v>
      </c>
      <c r="J626" t="s">
        <v>36</v>
      </c>
      <c r="K626" t="s">
        <v>10</v>
      </c>
      <c r="L626">
        <v>3</v>
      </c>
      <c r="M626" t="s">
        <v>32</v>
      </c>
      <c r="N626" t="s">
        <v>51</v>
      </c>
      <c r="O626" t="s">
        <v>393</v>
      </c>
      <c r="P626" s="6" t="str">
        <f>IF(Table1[[#This Row],[Transaction_Amount]]&lt;=Table1[[#This Row],[avg_transaction_amount]], "usual transaction", "unusual transaction")</f>
        <v>usual transaction</v>
      </c>
      <c r="Q626" s="6" t="str">
        <f>IF(AND(Table1[[#This Row],[Country_of_Residence]]&lt;&gt;Table1[[#This Row],[Country_of_Transaction]], OR(Table1[[#This Row],[Authentication_Type]]="Biometric", Table1[[#This Row],[Authentication_Type]]="OTP")), "safe location transaction", "unsafe location transaction")</f>
        <v>safe location transaction</v>
      </c>
      <c r="R626" s="6" t="str">
        <f>IF(AND(Table1[[#This Row],[Country_of_Residence]]&lt;&gt;Table1[[#This Row],[Country_of_Transaction]], OR(Table1[[#This Row],[Merchant_Category]]="Electronics", Table1[[#This Row],[Merchant_Category]]="Travel")), "unsafe merchant transaction", "safe merchant transaction")</f>
        <v>safe merchant transaction</v>
      </c>
    </row>
    <row r="627" spans="1:18">
      <c r="A627" t="s">
        <v>2917</v>
      </c>
      <c r="B627" t="s">
        <v>129</v>
      </c>
      <c r="C627">
        <v>1</v>
      </c>
      <c r="D627" t="s">
        <v>9</v>
      </c>
      <c r="E627" t="s">
        <v>420</v>
      </c>
      <c r="F627" s="2">
        <v>45921</v>
      </c>
      <c r="G627">
        <v>6129</v>
      </c>
      <c r="H627" s="1">
        <f>AVERAGEIF(Table1[Customer_ID], Table1[[#This Row],[Customer_ID]], Table1[Transaction_Amount])</f>
        <v>5172.7072580645145</v>
      </c>
      <c r="I627" t="s">
        <v>566</v>
      </c>
      <c r="J627" t="s">
        <v>36</v>
      </c>
      <c r="K627" t="s">
        <v>10</v>
      </c>
      <c r="L627">
        <v>1</v>
      </c>
      <c r="M627" t="s">
        <v>42</v>
      </c>
      <c r="N627" t="s">
        <v>47</v>
      </c>
      <c r="O627" t="s">
        <v>393</v>
      </c>
      <c r="P627" s="6" t="str">
        <f>IF(Table1[[#This Row],[Transaction_Amount]]&lt;=Table1[[#This Row],[avg_transaction_amount]], "usual transaction", "unusual transaction")</f>
        <v>unusual transaction</v>
      </c>
      <c r="Q627" s="6" t="str">
        <f>IF(AND(Table1[[#This Row],[Country_of_Residence]]&lt;&gt;Table1[[#This Row],[Country_of_Transaction]], OR(Table1[[#This Row],[Authentication_Type]]="Biometric", Table1[[#This Row],[Authentication_Type]]="OTP")), "safe location transaction", "unsafe location transaction")</f>
        <v>safe location transaction</v>
      </c>
      <c r="R627" s="6" t="str">
        <f>IF(AND(Table1[[#This Row],[Country_of_Residence]]&lt;&gt;Table1[[#This Row],[Country_of_Transaction]], OR(Table1[[#This Row],[Merchant_Category]]="Electronics", Table1[[#This Row],[Merchant_Category]]="Travel")), "unsafe merchant transaction", "safe merchant transaction")</f>
        <v>safe merchant transaction</v>
      </c>
    </row>
    <row r="628" spans="1:18">
      <c r="A628" t="s">
        <v>2996</v>
      </c>
      <c r="B628" t="s">
        <v>129</v>
      </c>
      <c r="C628">
        <v>1</v>
      </c>
      <c r="D628" t="s">
        <v>9</v>
      </c>
      <c r="E628" t="s">
        <v>6</v>
      </c>
      <c r="F628" s="2">
        <v>45706</v>
      </c>
      <c r="G628">
        <v>359.27</v>
      </c>
      <c r="H628" s="1">
        <f>AVERAGEIF(Table1[Customer_ID], Table1[[#This Row],[Customer_ID]], Table1[Transaction_Amount])</f>
        <v>5172.7072580645145</v>
      </c>
      <c r="I628" t="s">
        <v>643</v>
      </c>
      <c r="J628" t="s">
        <v>46</v>
      </c>
      <c r="K628" t="s">
        <v>10</v>
      </c>
      <c r="L628">
        <v>0</v>
      </c>
      <c r="M628" t="s">
        <v>412</v>
      </c>
      <c r="N628" t="s">
        <v>55</v>
      </c>
      <c r="O628" t="s">
        <v>392</v>
      </c>
      <c r="P628" s="6" t="str">
        <f>IF(Table1[[#This Row],[Transaction_Amount]]&lt;=Table1[[#This Row],[avg_transaction_amount]], "usual transaction", "unusual transaction")</f>
        <v>usual transaction</v>
      </c>
      <c r="Q628" s="6" t="str">
        <f>IF(AND(Table1[[#This Row],[Country_of_Residence]]&lt;&gt;Table1[[#This Row],[Country_of_Transaction]], OR(Table1[[#This Row],[Authentication_Type]]="Biometric", Table1[[#This Row],[Authentication_Type]]="OTP")), "safe location transaction", "unsafe location transaction")</f>
        <v>safe location transaction</v>
      </c>
      <c r="R628" s="6" t="str">
        <f>IF(AND(Table1[[#This Row],[Country_of_Residence]]&lt;&gt;Table1[[#This Row],[Country_of_Transaction]], OR(Table1[[#This Row],[Merchant_Category]]="Electronics", Table1[[#This Row],[Merchant_Category]]="Travel")), "unsafe merchant transaction", "safe merchant transaction")</f>
        <v>safe merchant transaction</v>
      </c>
    </row>
    <row r="629" spans="1:18">
      <c r="A629" t="s">
        <v>3007</v>
      </c>
      <c r="B629" t="s">
        <v>129</v>
      </c>
      <c r="C629">
        <v>1</v>
      </c>
      <c r="D629" t="s">
        <v>9</v>
      </c>
      <c r="E629" t="s">
        <v>3</v>
      </c>
      <c r="F629" s="2">
        <v>45751</v>
      </c>
      <c r="G629">
        <v>7301.87</v>
      </c>
      <c r="H629" s="1">
        <f>AVERAGEIF(Table1[Customer_ID], Table1[[#This Row],[Customer_ID]], Table1[Transaction_Amount])</f>
        <v>5172.7072580645145</v>
      </c>
      <c r="I629" t="s">
        <v>654</v>
      </c>
      <c r="J629" t="s">
        <v>41</v>
      </c>
      <c r="K629" t="s">
        <v>12</v>
      </c>
      <c r="L629">
        <v>5</v>
      </c>
      <c r="M629" t="s">
        <v>32</v>
      </c>
      <c r="N629" t="s">
        <v>47</v>
      </c>
      <c r="O629" t="s">
        <v>392</v>
      </c>
      <c r="P629" s="6" t="str">
        <f>IF(Table1[[#This Row],[Transaction_Amount]]&lt;=Table1[[#This Row],[avg_transaction_amount]], "usual transaction", "unusual transaction")</f>
        <v>unusual transaction</v>
      </c>
      <c r="Q629" s="6" t="str">
        <f>IF(AND(Table1[[#This Row],[Country_of_Residence]]&lt;&gt;Table1[[#This Row],[Country_of_Transaction]], OR(Table1[[#This Row],[Authentication_Type]]="Biometric", Table1[[#This Row],[Authentication_Type]]="OTP")), "safe location transaction", "unsafe location transaction")</f>
        <v>unsafe location transaction</v>
      </c>
      <c r="R629" s="6" t="str">
        <f>IF(AND(Table1[[#This Row],[Country_of_Residence]]&lt;&gt;Table1[[#This Row],[Country_of_Transaction]], OR(Table1[[#This Row],[Merchant_Category]]="Electronics", Table1[[#This Row],[Merchant_Category]]="Travel")), "unsafe merchant transaction", "safe merchant transaction")</f>
        <v>safe merchant transaction</v>
      </c>
    </row>
    <row r="630" spans="1:18">
      <c r="A630" t="s">
        <v>3015</v>
      </c>
      <c r="B630" t="s">
        <v>129</v>
      </c>
      <c r="C630">
        <v>1</v>
      </c>
      <c r="D630" t="s">
        <v>15</v>
      </c>
      <c r="E630" t="s">
        <v>420</v>
      </c>
      <c r="F630" s="2">
        <v>45680</v>
      </c>
      <c r="G630">
        <v>3741.65</v>
      </c>
      <c r="H630" s="1">
        <f>AVERAGEIF(Table1[Customer_ID], Table1[[#This Row],[Customer_ID]], Table1[Transaction_Amount])</f>
        <v>5172.7072580645145</v>
      </c>
      <c r="I630" t="s">
        <v>662</v>
      </c>
      <c r="J630" t="s">
        <v>36</v>
      </c>
      <c r="K630" t="s">
        <v>14</v>
      </c>
      <c r="L630">
        <v>1</v>
      </c>
      <c r="M630" t="s">
        <v>37</v>
      </c>
      <c r="N630" t="s">
        <v>412</v>
      </c>
      <c r="O630" t="s">
        <v>392</v>
      </c>
      <c r="P630" s="6" t="str">
        <f>IF(Table1[[#This Row],[Transaction_Amount]]&lt;=Table1[[#This Row],[avg_transaction_amount]], "usual transaction", "unusual transaction")</f>
        <v>usual transaction</v>
      </c>
      <c r="Q630" s="6" t="str">
        <f>IF(AND(Table1[[#This Row],[Country_of_Residence]]&lt;&gt;Table1[[#This Row],[Country_of_Transaction]], OR(Table1[[#This Row],[Authentication_Type]]="Biometric", Table1[[#This Row],[Authentication_Type]]="OTP")), "safe location transaction", "unsafe location transaction")</f>
        <v>unsafe location transaction</v>
      </c>
      <c r="R630" s="6" t="str">
        <f>IF(AND(Table1[[#This Row],[Country_of_Residence]]&lt;&gt;Table1[[#This Row],[Country_of_Transaction]], OR(Table1[[#This Row],[Merchant_Category]]="Electronics", Table1[[#This Row],[Merchant_Category]]="Travel")), "unsafe merchant transaction", "safe merchant transaction")</f>
        <v>safe merchant transaction</v>
      </c>
    </row>
    <row r="631" spans="1:18">
      <c r="A631" t="s">
        <v>3045</v>
      </c>
      <c r="B631" t="s">
        <v>129</v>
      </c>
      <c r="C631">
        <v>1</v>
      </c>
      <c r="D631" t="s">
        <v>9</v>
      </c>
      <c r="E631" t="s">
        <v>5</v>
      </c>
      <c r="F631" s="2">
        <v>45876</v>
      </c>
      <c r="G631">
        <v>8747.7000000000007</v>
      </c>
      <c r="H631" s="1">
        <f>AVERAGEIF(Table1[Customer_ID], Table1[[#This Row],[Customer_ID]], Table1[Transaction_Amount])</f>
        <v>5172.7072580645145</v>
      </c>
      <c r="I631" t="s">
        <v>690</v>
      </c>
      <c r="J631" t="s">
        <v>31</v>
      </c>
      <c r="K631" t="s">
        <v>10</v>
      </c>
      <c r="L631">
        <v>0</v>
      </c>
      <c r="M631" t="s">
        <v>42</v>
      </c>
      <c r="N631" t="s">
        <v>42</v>
      </c>
      <c r="O631" t="s">
        <v>393</v>
      </c>
      <c r="P631" s="6" t="str">
        <f>IF(Table1[[#This Row],[Transaction_Amount]]&lt;=Table1[[#This Row],[avg_transaction_amount]], "usual transaction", "unusual transaction")</f>
        <v>unusual transaction</v>
      </c>
      <c r="Q631" s="6" t="str">
        <f>IF(AND(Table1[[#This Row],[Country_of_Residence]]&lt;&gt;Table1[[#This Row],[Country_of_Transaction]], OR(Table1[[#This Row],[Authentication_Type]]="Biometric", Table1[[#This Row],[Authentication_Type]]="OTP")), "safe location transaction", "unsafe location transaction")</f>
        <v>unsafe location transaction</v>
      </c>
      <c r="R631" s="6" t="str">
        <f>IF(AND(Table1[[#This Row],[Country_of_Residence]]&lt;&gt;Table1[[#This Row],[Country_of_Transaction]], OR(Table1[[#This Row],[Merchant_Category]]="Electronics", Table1[[#This Row],[Merchant_Category]]="Travel")), "unsafe merchant transaction", "safe merchant transaction")</f>
        <v>safe merchant transaction</v>
      </c>
    </row>
    <row r="632" spans="1:18">
      <c r="A632" t="s">
        <v>3134</v>
      </c>
      <c r="B632" t="s">
        <v>129</v>
      </c>
      <c r="C632">
        <v>1</v>
      </c>
      <c r="D632" t="s">
        <v>9</v>
      </c>
      <c r="E632" t="s">
        <v>6</v>
      </c>
      <c r="F632" s="2">
        <v>45708</v>
      </c>
      <c r="G632">
        <v>8741.25</v>
      </c>
      <c r="H632" s="1">
        <f>AVERAGEIF(Table1[Customer_ID], Table1[[#This Row],[Customer_ID]], Table1[Transaction_Amount])</f>
        <v>5172.7072580645145</v>
      </c>
      <c r="I632" t="s">
        <v>774</v>
      </c>
      <c r="J632" t="s">
        <v>36</v>
      </c>
      <c r="K632" t="s">
        <v>14</v>
      </c>
      <c r="L632">
        <v>0</v>
      </c>
      <c r="M632" t="s">
        <v>51</v>
      </c>
      <c r="N632" t="s">
        <v>55</v>
      </c>
      <c r="O632" t="s">
        <v>392</v>
      </c>
      <c r="P632" s="6" t="str">
        <f>IF(Table1[[#This Row],[Transaction_Amount]]&lt;=Table1[[#This Row],[avg_transaction_amount]], "usual transaction", "unusual transaction")</f>
        <v>unusual transaction</v>
      </c>
      <c r="Q632" s="6" t="str">
        <f>IF(AND(Table1[[#This Row],[Country_of_Residence]]&lt;&gt;Table1[[#This Row],[Country_of_Transaction]], OR(Table1[[#This Row],[Authentication_Type]]="Biometric", Table1[[#This Row],[Authentication_Type]]="OTP")), "safe location transaction", "unsafe location transaction")</f>
        <v>unsafe location transaction</v>
      </c>
      <c r="R632" s="6" t="str">
        <f>IF(AND(Table1[[#This Row],[Country_of_Residence]]&lt;&gt;Table1[[#This Row],[Country_of_Transaction]], OR(Table1[[#This Row],[Merchant_Category]]="Electronics", Table1[[#This Row],[Merchant_Category]]="Travel")), "unsafe merchant transaction", "safe merchant transaction")</f>
        <v>safe merchant transaction</v>
      </c>
    </row>
    <row r="633" spans="1:18">
      <c r="A633" t="s">
        <v>3163</v>
      </c>
      <c r="B633" t="s">
        <v>129</v>
      </c>
      <c r="C633">
        <v>1</v>
      </c>
      <c r="D633" t="s">
        <v>15</v>
      </c>
      <c r="E633" t="s">
        <v>420</v>
      </c>
      <c r="F633" s="2">
        <v>45869</v>
      </c>
      <c r="G633">
        <v>7798.37</v>
      </c>
      <c r="H633" s="1">
        <f>AVERAGEIF(Table1[Customer_ID], Table1[[#This Row],[Customer_ID]], Table1[Transaction_Amount])</f>
        <v>5172.7072580645145</v>
      </c>
      <c r="I633" t="s">
        <v>800</v>
      </c>
      <c r="J633" t="s">
        <v>31</v>
      </c>
      <c r="K633" t="s">
        <v>12</v>
      </c>
      <c r="L633">
        <v>3</v>
      </c>
      <c r="M633" t="s">
        <v>55</v>
      </c>
      <c r="N633" t="s">
        <v>47</v>
      </c>
      <c r="O633" t="s">
        <v>392</v>
      </c>
      <c r="P633" s="6" t="str">
        <f>IF(Table1[[#This Row],[Transaction_Amount]]&lt;=Table1[[#This Row],[avg_transaction_amount]], "usual transaction", "unusual transaction")</f>
        <v>unusual transaction</v>
      </c>
      <c r="Q633" s="6" t="str">
        <f>IF(AND(Table1[[#This Row],[Country_of_Residence]]&lt;&gt;Table1[[#This Row],[Country_of_Transaction]], OR(Table1[[#This Row],[Authentication_Type]]="Biometric", Table1[[#This Row],[Authentication_Type]]="OTP")), "safe location transaction", "unsafe location transaction")</f>
        <v>unsafe location transaction</v>
      </c>
      <c r="R633" s="6" t="str">
        <f>IF(AND(Table1[[#This Row],[Country_of_Residence]]&lt;&gt;Table1[[#This Row],[Country_of_Transaction]], OR(Table1[[#This Row],[Merchant_Category]]="Electronics", Table1[[#This Row],[Merchant_Category]]="Travel")), "unsafe merchant transaction", "safe merchant transaction")</f>
        <v>safe merchant transaction</v>
      </c>
    </row>
    <row r="634" spans="1:18">
      <c r="A634" t="s">
        <v>3221</v>
      </c>
      <c r="B634" t="s">
        <v>129</v>
      </c>
      <c r="C634">
        <v>1</v>
      </c>
      <c r="D634" t="s">
        <v>9</v>
      </c>
      <c r="E634" t="s">
        <v>420</v>
      </c>
      <c r="F634" s="2">
        <v>46013</v>
      </c>
      <c r="G634">
        <v>9265.06</v>
      </c>
      <c r="H634" s="1">
        <f>AVERAGEIF(Table1[Customer_ID], Table1[[#This Row],[Customer_ID]], Table1[Transaction_Amount])</f>
        <v>5172.7072580645145</v>
      </c>
      <c r="I634" t="s">
        <v>854</v>
      </c>
      <c r="J634" t="s">
        <v>46</v>
      </c>
      <c r="K634" t="s">
        <v>12</v>
      </c>
      <c r="L634">
        <v>5</v>
      </c>
      <c r="M634" t="s">
        <v>37</v>
      </c>
      <c r="N634" t="s">
        <v>33</v>
      </c>
      <c r="O634" t="s">
        <v>393</v>
      </c>
      <c r="P634" s="6" t="str">
        <f>IF(Table1[[#This Row],[Transaction_Amount]]&lt;=Table1[[#This Row],[avg_transaction_amount]], "usual transaction", "unusual transaction")</f>
        <v>unusual transaction</v>
      </c>
      <c r="Q634" s="6" t="str">
        <f>IF(AND(Table1[[#This Row],[Country_of_Residence]]&lt;&gt;Table1[[#This Row],[Country_of_Transaction]], OR(Table1[[#This Row],[Authentication_Type]]="Biometric", Table1[[#This Row],[Authentication_Type]]="OTP")), "safe location transaction", "unsafe location transaction")</f>
        <v>unsafe location transaction</v>
      </c>
      <c r="R634" s="6" t="str">
        <f>IF(AND(Table1[[#This Row],[Country_of_Residence]]&lt;&gt;Table1[[#This Row],[Country_of_Transaction]], OR(Table1[[#This Row],[Merchant_Category]]="Electronics", Table1[[#This Row],[Merchant_Category]]="Travel")), "unsafe merchant transaction", "safe merchant transaction")</f>
        <v>safe merchant transaction</v>
      </c>
    </row>
    <row r="635" spans="1:18">
      <c r="A635" t="s">
        <v>3411</v>
      </c>
      <c r="B635" t="s">
        <v>129</v>
      </c>
      <c r="C635">
        <v>1</v>
      </c>
      <c r="D635" t="s">
        <v>9</v>
      </c>
      <c r="E635" t="s">
        <v>6</v>
      </c>
      <c r="F635" s="2">
        <v>45797</v>
      </c>
      <c r="G635">
        <v>6078.22</v>
      </c>
      <c r="H635" s="1">
        <f>AVERAGEIF(Table1[Customer_ID], Table1[[#This Row],[Customer_ID]], Table1[Transaction_Amount])</f>
        <v>5172.7072580645145</v>
      </c>
      <c r="I635" t="s">
        <v>1031</v>
      </c>
      <c r="J635" t="s">
        <v>50</v>
      </c>
      <c r="K635" t="s">
        <v>8</v>
      </c>
      <c r="L635">
        <v>3</v>
      </c>
      <c r="M635" t="s">
        <v>42</v>
      </c>
      <c r="N635" t="s">
        <v>47</v>
      </c>
      <c r="O635" t="s">
        <v>393</v>
      </c>
      <c r="P635" s="6" t="str">
        <f>IF(Table1[[#This Row],[Transaction_Amount]]&lt;=Table1[[#This Row],[avg_transaction_amount]], "usual transaction", "unusual transaction")</f>
        <v>unusual transaction</v>
      </c>
      <c r="Q635" s="6" t="str">
        <f>IF(AND(Table1[[#This Row],[Country_of_Residence]]&lt;&gt;Table1[[#This Row],[Country_of_Transaction]], OR(Table1[[#This Row],[Authentication_Type]]="Biometric", Table1[[#This Row],[Authentication_Type]]="OTP")), "safe location transaction", "unsafe location transaction")</f>
        <v>safe location transaction</v>
      </c>
      <c r="R635" s="6" t="str">
        <f>IF(AND(Table1[[#This Row],[Country_of_Residence]]&lt;&gt;Table1[[#This Row],[Country_of_Transaction]], OR(Table1[[#This Row],[Merchant_Category]]="Electronics", Table1[[#This Row],[Merchant_Category]]="Travel")), "unsafe merchant transaction", "safe merchant transaction")</f>
        <v>unsafe merchant transaction</v>
      </c>
    </row>
    <row r="636" spans="1:18">
      <c r="A636" t="s">
        <v>3420</v>
      </c>
      <c r="B636" t="s">
        <v>129</v>
      </c>
      <c r="C636">
        <v>1</v>
      </c>
      <c r="D636" t="s">
        <v>15</v>
      </c>
      <c r="E636" t="s">
        <v>420</v>
      </c>
      <c r="F636" s="2">
        <v>45751</v>
      </c>
      <c r="G636">
        <v>3777.78</v>
      </c>
      <c r="H636" s="1">
        <f>AVERAGEIF(Table1[Customer_ID], Table1[[#This Row],[Customer_ID]], Table1[Transaction_Amount])</f>
        <v>5172.7072580645145</v>
      </c>
      <c r="I636" t="s">
        <v>1040</v>
      </c>
      <c r="J636" t="s">
        <v>36</v>
      </c>
      <c r="K636" t="s">
        <v>12</v>
      </c>
      <c r="L636">
        <v>1</v>
      </c>
      <c r="M636" t="s">
        <v>55</v>
      </c>
      <c r="N636" t="s">
        <v>412</v>
      </c>
      <c r="O636" t="s">
        <v>392</v>
      </c>
      <c r="P636" s="6" t="str">
        <f>IF(Table1[[#This Row],[Transaction_Amount]]&lt;=Table1[[#This Row],[avg_transaction_amount]], "usual transaction", "unusual transaction")</f>
        <v>usual transaction</v>
      </c>
      <c r="Q636" s="6" t="str">
        <f>IF(AND(Table1[[#This Row],[Country_of_Residence]]&lt;&gt;Table1[[#This Row],[Country_of_Transaction]], OR(Table1[[#This Row],[Authentication_Type]]="Biometric", Table1[[#This Row],[Authentication_Type]]="OTP")), "safe location transaction", "unsafe location transaction")</f>
        <v>unsafe location transaction</v>
      </c>
      <c r="R636" s="6" t="str">
        <f>IF(AND(Table1[[#This Row],[Country_of_Residence]]&lt;&gt;Table1[[#This Row],[Country_of_Transaction]], OR(Table1[[#This Row],[Merchant_Category]]="Electronics", Table1[[#This Row],[Merchant_Category]]="Travel")), "unsafe merchant transaction", "safe merchant transaction")</f>
        <v>safe merchant transaction</v>
      </c>
    </row>
    <row r="637" spans="1:18">
      <c r="A637" t="s">
        <v>3583</v>
      </c>
      <c r="B637" t="s">
        <v>129</v>
      </c>
      <c r="C637">
        <v>1</v>
      </c>
      <c r="D637" t="s">
        <v>9</v>
      </c>
      <c r="E637" t="s">
        <v>6</v>
      </c>
      <c r="F637" s="2">
        <v>45764</v>
      </c>
      <c r="G637">
        <v>6839.49</v>
      </c>
      <c r="H637" s="1">
        <f>AVERAGEIF(Table1[Customer_ID], Table1[[#This Row],[Customer_ID]], Table1[Transaction_Amount])</f>
        <v>5172.7072580645145</v>
      </c>
      <c r="I637" t="s">
        <v>1192</v>
      </c>
      <c r="J637" t="s">
        <v>41</v>
      </c>
      <c r="K637" t="s">
        <v>14</v>
      </c>
      <c r="L637">
        <v>2</v>
      </c>
      <c r="M637" t="s">
        <v>33</v>
      </c>
      <c r="N637" t="s">
        <v>42</v>
      </c>
      <c r="O637" t="s">
        <v>392</v>
      </c>
      <c r="P637" s="6" t="str">
        <f>IF(Table1[[#This Row],[Transaction_Amount]]&lt;=Table1[[#This Row],[avg_transaction_amount]], "usual transaction", "unusual transaction")</f>
        <v>unusual transaction</v>
      </c>
      <c r="Q637" s="6" t="str">
        <f>IF(AND(Table1[[#This Row],[Country_of_Residence]]&lt;&gt;Table1[[#This Row],[Country_of_Transaction]], OR(Table1[[#This Row],[Authentication_Type]]="Biometric", Table1[[#This Row],[Authentication_Type]]="OTP")), "safe location transaction", "unsafe location transaction")</f>
        <v>unsafe location transaction</v>
      </c>
      <c r="R637" s="6" t="str">
        <f>IF(AND(Table1[[#This Row],[Country_of_Residence]]&lt;&gt;Table1[[#This Row],[Country_of_Transaction]], OR(Table1[[#This Row],[Merchant_Category]]="Electronics", Table1[[#This Row],[Merchant_Category]]="Travel")), "unsafe merchant transaction", "safe merchant transaction")</f>
        <v>safe merchant transaction</v>
      </c>
    </row>
    <row r="638" spans="1:18">
      <c r="A638" t="s">
        <v>3656</v>
      </c>
      <c r="B638" t="s">
        <v>129</v>
      </c>
      <c r="C638">
        <v>1</v>
      </c>
      <c r="D638" t="s">
        <v>15</v>
      </c>
      <c r="E638" t="s">
        <v>5</v>
      </c>
      <c r="F638" s="2">
        <v>45798</v>
      </c>
      <c r="G638">
        <v>6371.23</v>
      </c>
      <c r="H638" s="1">
        <f>AVERAGEIF(Table1[Customer_ID], Table1[[#This Row],[Customer_ID]], Table1[Transaction_Amount])</f>
        <v>5172.7072580645145</v>
      </c>
      <c r="I638" t="s">
        <v>1259</v>
      </c>
      <c r="J638" t="s">
        <v>31</v>
      </c>
      <c r="K638" t="s">
        <v>14</v>
      </c>
      <c r="L638">
        <v>3</v>
      </c>
      <c r="M638" t="s">
        <v>32</v>
      </c>
      <c r="N638" t="s">
        <v>47</v>
      </c>
      <c r="O638" t="s">
        <v>392</v>
      </c>
      <c r="P638" s="6" t="str">
        <f>IF(Table1[[#This Row],[Transaction_Amount]]&lt;=Table1[[#This Row],[avg_transaction_amount]], "usual transaction", "unusual transaction")</f>
        <v>unusual transaction</v>
      </c>
      <c r="Q638" s="6" t="str">
        <f>IF(AND(Table1[[#This Row],[Country_of_Residence]]&lt;&gt;Table1[[#This Row],[Country_of_Transaction]], OR(Table1[[#This Row],[Authentication_Type]]="Biometric", Table1[[#This Row],[Authentication_Type]]="OTP")), "safe location transaction", "unsafe location transaction")</f>
        <v>unsafe location transaction</v>
      </c>
      <c r="R638" s="6" t="str">
        <f>IF(AND(Table1[[#This Row],[Country_of_Residence]]&lt;&gt;Table1[[#This Row],[Country_of_Transaction]], OR(Table1[[#This Row],[Merchant_Category]]="Electronics", Table1[[#This Row],[Merchant_Category]]="Travel")), "unsafe merchant transaction", "safe merchant transaction")</f>
        <v>safe merchant transaction</v>
      </c>
    </row>
    <row r="639" spans="1:18">
      <c r="A639" t="s">
        <v>3701</v>
      </c>
      <c r="B639" t="s">
        <v>129</v>
      </c>
      <c r="C639">
        <v>1</v>
      </c>
      <c r="D639" t="s">
        <v>15</v>
      </c>
      <c r="E639" t="s">
        <v>5</v>
      </c>
      <c r="F639" s="2">
        <v>45773</v>
      </c>
      <c r="G639">
        <v>4865.78</v>
      </c>
      <c r="H639" s="1">
        <f>AVERAGEIF(Table1[Customer_ID], Table1[[#This Row],[Customer_ID]], Table1[Transaction_Amount])</f>
        <v>5172.7072580645145</v>
      </c>
      <c r="I639" t="s">
        <v>1298</v>
      </c>
      <c r="J639" t="s">
        <v>46</v>
      </c>
      <c r="K639" t="s">
        <v>12</v>
      </c>
      <c r="L639">
        <v>2</v>
      </c>
      <c r="M639" t="s">
        <v>32</v>
      </c>
      <c r="N639" t="s">
        <v>55</v>
      </c>
      <c r="O639" t="s">
        <v>393</v>
      </c>
      <c r="P639" s="6" t="str">
        <f>IF(Table1[[#This Row],[Transaction_Amount]]&lt;=Table1[[#This Row],[avg_transaction_amount]], "usual transaction", "unusual transaction")</f>
        <v>usual transaction</v>
      </c>
      <c r="Q639" s="6" t="str">
        <f>IF(AND(Table1[[#This Row],[Country_of_Residence]]&lt;&gt;Table1[[#This Row],[Country_of_Transaction]], OR(Table1[[#This Row],[Authentication_Type]]="Biometric", Table1[[#This Row],[Authentication_Type]]="OTP")), "safe location transaction", "unsafe location transaction")</f>
        <v>unsafe location transaction</v>
      </c>
      <c r="R639" s="6" t="str">
        <f>IF(AND(Table1[[#This Row],[Country_of_Residence]]&lt;&gt;Table1[[#This Row],[Country_of_Transaction]], OR(Table1[[#This Row],[Merchant_Category]]="Electronics", Table1[[#This Row],[Merchant_Category]]="Travel")), "unsafe merchant transaction", "safe merchant transaction")</f>
        <v>safe merchant transaction</v>
      </c>
    </row>
    <row r="640" spans="1:18">
      <c r="A640" t="s">
        <v>3709</v>
      </c>
      <c r="B640" t="s">
        <v>129</v>
      </c>
      <c r="C640">
        <v>1</v>
      </c>
      <c r="D640" t="s">
        <v>9</v>
      </c>
      <c r="E640" t="s">
        <v>3</v>
      </c>
      <c r="F640" s="2">
        <v>45884</v>
      </c>
      <c r="G640">
        <v>702.32</v>
      </c>
      <c r="H640" s="1">
        <f>AVERAGEIF(Table1[Customer_ID], Table1[[#This Row],[Customer_ID]], Table1[Transaction_Amount])</f>
        <v>5172.7072580645145</v>
      </c>
      <c r="I640" t="s">
        <v>1306</v>
      </c>
      <c r="J640" t="s">
        <v>46</v>
      </c>
      <c r="K640" t="s">
        <v>12</v>
      </c>
      <c r="L640">
        <v>0</v>
      </c>
      <c r="M640" t="s">
        <v>55</v>
      </c>
      <c r="N640" t="s">
        <v>55</v>
      </c>
      <c r="O640" t="s">
        <v>393</v>
      </c>
      <c r="P640" s="6" t="str">
        <f>IF(Table1[[#This Row],[Transaction_Amount]]&lt;=Table1[[#This Row],[avg_transaction_amount]], "usual transaction", "unusual transaction")</f>
        <v>usual transaction</v>
      </c>
      <c r="Q640" s="6" t="str">
        <f>IF(AND(Table1[[#This Row],[Country_of_Residence]]&lt;&gt;Table1[[#This Row],[Country_of_Transaction]], OR(Table1[[#This Row],[Authentication_Type]]="Biometric", Table1[[#This Row],[Authentication_Type]]="OTP")), "safe location transaction", "unsafe location transaction")</f>
        <v>unsafe location transaction</v>
      </c>
      <c r="R640" s="6" t="str">
        <f>IF(AND(Table1[[#This Row],[Country_of_Residence]]&lt;&gt;Table1[[#This Row],[Country_of_Transaction]], OR(Table1[[#This Row],[Merchant_Category]]="Electronics", Table1[[#This Row],[Merchant_Category]]="Travel")), "unsafe merchant transaction", "safe merchant transaction")</f>
        <v>safe merchant transaction</v>
      </c>
    </row>
    <row r="641" spans="1:18">
      <c r="A641" t="s">
        <v>3727</v>
      </c>
      <c r="B641" t="s">
        <v>129</v>
      </c>
      <c r="C641">
        <v>1</v>
      </c>
      <c r="D641" t="s">
        <v>15</v>
      </c>
      <c r="E641" t="s">
        <v>6</v>
      </c>
      <c r="F641" s="2">
        <v>45765</v>
      </c>
      <c r="G641">
        <v>5091.7</v>
      </c>
      <c r="H641" s="1">
        <f>AVERAGEIF(Table1[Customer_ID], Table1[[#This Row],[Customer_ID]], Table1[Transaction_Amount])</f>
        <v>5172.7072580645145</v>
      </c>
      <c r="I641" t="s">
        <v>1323</v>
      </c>
      <c r="J641" t="s">
        <v>41</v>
      </c>
      <c r="K641" t="s">
        <v>14</v>
      </c>
      <c r="L641">
        <v>5</v>
      </c>
      <c r="M641" t="s">
        <v>51</v>
      </c>
      <c r="N641" t="s">
        <v>56</v>
      </c>
      <c r="O641" t="s">
        <v>392</v>
      </c>
      <c r="P641" s="6" t="str">
        <f>IF(Table1[[#This Row],[Transaction_Amount]]&lt;=Table1[[#This Row],[avg_transaction_amount]], "usual transaction", "unusual transaction")</f>
        <v>usual transaction</v>
      </c>
      <c r="Q641" s="6" t="str">
        <f>IF(AND(Table1[[#This Row],[Country_of_Residence]]&lt;&gt;Table1[[#This Row],[Country_of_Transaction]], OR(Table1[[#This Row],[Authentication_Type]]="Biometric", Table1[[#This Row],[Authentication_Type]]="OTP")), "safe location transaction", "unsafe location transaction")</f>
        <v>unsafe location transaction</v>
      </c>
      <c r="R641" s="6" t="str">
        <f>IF(AND(Table1[[#This Row],[Country_of_Residence]]&lt;&gt;Table1[[#This Row],[Country_of_Transaction]], OR(Table1[[#This Row],[Merchant_Category]]="Electronics", Table1[[#This Row],[Merchant_Category]]="Travel")), "unsafe merchant transaction", "safe merchant transaction")</f>
        <v>safe merchant transaction</v>
      </c>
    </row>
    <row r="642" spans="1:18">
      <c r="A642" t="s">
        <v>3738</v>
      </c>
      <c r="B642" t="s">
        <v>129</v>
      </c>
      <c r="C642">
        <v>1</v>
      </c>
      <c r="D642" t="s">
        <v>15</v>
      </c>
      <c r="E642" t="s">
        <v>6</v>
      </c>
      <c r="F642" s="2">
        <v>45861</v>
      </c>
      <c r="G642">
        <v>192.5</v>
      </c>
      <c r="H642" s="1">
        <f>AVERAGEIF(Table1[Customer_ID], Table1[[#This Row],[Customer_ID]], Table1[Transaction_Amount])</f>
        <v>5172.7072580645145</v>
      </c>
      <c r="I642" t="s">
        <v>1332</v>
      </c>
      <c r="J642" t="s">
        <v>41</v>
      </c>
      <c r="K642" t="s">
        <v>8</v>
      </c>
      <c r="L642">
        <v>3</v>
      </c>
      <c r="M642" t="s">
        <v>51</v>
      </c>
      <c r="N642" t="s">
        <v>55</v>
      </c>
      <c r="O642" t="s">
        <v>393</v>
      </c>
      <c r="P642" s="6" t="str">
        <f>IF(Table1[[#This Row],[Transaction_Amount]]&lt;=Table1[[#This Row],[avg_transaction_amount]], "usual transaction", "unusual transaction")</f>
        <v>usual transaction</v>
      </c>
      <c r="Q642" s="6" t="str">
        <f>IF(AND(Table1[[#This Row],[Country_of_Residence]]&lt;&gt;Table1[[#This Row],[Country_of_Transaction]], OR(Table1[[#This Row],[Authentication_Type]]="Biometric", Table1[[#This Row],[Authentication_Type]]="OTP")), "safe location transaction", "unsafe location transaction")</f>
        <v>safe location transaction</v>
      </c>
      <c r="R642" s="6" t="str">
        <f>IF(AND(Table1[[#This Row],[Country_of_Residence]]&lt;&gt;Table1[[#This Row],[Country_of_Transaction]], OR(Table1[[#This Row],[Merchant_Category]]="Electronics", Table1[[#This Row],[Merchant_Category]]="Travel")), "unsafe merchant transaction", "safe merchant transaction")</f>
        <v>safe merchant transaction</v>
      </c>
    </row>
    <row r="643" spans="1:18">
      <c r="A643" t="s">
        <v>3769</v>
      </c>
      <c r="B643" t="s">
        <v>129</v>
      </c>
      <c r="C643">
        <v>1</v>
      </c>
      <c r="D643" t="s">
        <v>9</v>
      </c>
      <c r="E643" t="s">
        <v>3</v>
      </c>
      <c r="F643" s="2">
        <v>45752</v>
      </c>
      <c r="G643">
        <v>7087.27</v>
      </c>
      <c r="H643" s="1">
        <f>AVERAGEIF(Table1[Customer_ID], Table1[[#This Row],[Customer_ID]], Table1[Transaction_Amount])</f>
        <v>5172.7072580645145</v>
      </c>
      <c r="I643" t="s">
        <v>1359</v>
      </c>
      <c r="J643" t="s">
        <v>46</v>
      </c>
      <c r="K643" t="s">
        <v>12</v>
      </c>
      <c r="L643">
        <v>2</v>
      </c>
      <c r="M643" t="s">
        <v>32</v>
      </c>
      <c r="N643" t="s">
        <v>51</v>
      </c>
      <c r="O643" t="s">
        <v>393</v>
      </c>
      <c r="P643" s="6" t="str">
        <f>IF(Table1[[#This Row],[Transaction_Amount]]&lt;=Table1[[#This Row],[avg_transaction_amount]], "usual transaction", "unusual transaction")</f>
        <v>unusual transaction</v>
      </c>
      <c r="Q643" s="6" t="str">
        <f>IF(AND(Table1[[#This Row],[Country_of_Residence]]&lt;&gt;Table1[[#This Row],[Country_of_Transaction]], OR(Table1[[#This Row],[Authentication_Type]]="Biometric", Table1[[#This Row],[Authentication_Type]]="OTP")), "safe location transaction", "unsafe location transaction")</f>
        <v>unsafe location transaction</v>
      </c>
      <c r="R643" s="6" t="str">
        <f>IF(AND(Table1[[#This Row],[Country_of_Residence]]&lt;&gt;Table1[[#This Row],[Country_of_Transaction]], OR(Table1[[#This Row],[Merchant_Category]]="Electronics", Table1[[#This Row],[Merchant_Category]]="Travel")), "unsafe merchant transaction", "safe merchant transaction")</f>
        <v>safe merchant transaction</v>
      </c>
    </row>
    <row r="644" spans="1:18">
      <c r="A644" t="s">
        <v>3812</v>
      </c>
      <c r="B644" t="s">
        <v>129</v>
      </c>
      <c r="C644">
        <v>1</v>
      </c>
      <c r="D644" t="s">
        <v>15</v>
      </c>
      <c r="E644" t="s">
        <v>5</v>
      </c>
      <c r="F644" s="2">
        <v>45731</v>
      </c>
      <c r="G644">
        <v>5100.46</v>
      </c>
      <c r="H644" s="1">
        <f>AVERAGEIF(Table1[Customer_ID], Table1[[#This Row],[Customer_ID]], Table1[Transaction_Amount])</f>
        <v>5172.7072580645145</v>
      </c>
      <c r="I644" t="s">
        <v>1394</v>
      </c>
      <c r="J644" t="s">
        <v>31</v>
      </c>
      <c r="K644" t="s">
        <v>10</v>
      </c>
      <c r="L644">
        <v>1</v>
      </c>
      <c r="M644" t="s">
        <v>42</v>
      </c>
      <c r="N644" t="s">
        <v>51</v>
      </c>
      <c r="O644" t="s">
        <v>392</v>
      </c>
      <c r="P644" s="6" t="str">
        <f>IF(Table1[[#This Row],[Transaction_Amount]]&lt;=Table1[[#This Row],[avg_transaction_amount]], "usual transaction", "unusual transaction")</f>
        <v>usual transaction</v>
      </c>
      <c r="Q644" s="6" t="str">
        <f>IF(AND(Table1[[#This Row],[Country_of_Residence]]&lt;&gt;Table1[[#This Row],[Country_of_Transaction]], OR(Table1[[#This Row],[Authentication_Type]]="Biometric", Table1[[#This Row],[Authentication_Type]]="OTP")), "safe location transaction", "unsafe location transaction")</f>
        <v>safe location transaction</v>
      </c>
      <c r="R644" s="6" t="str">
        <f>IF(AND(Table1[[#This Row],[Country_of_Residence]]&lt;&gt;Table1[[#This Row],[Country_of_Transaction]], OR(Table1[[#This Row],[Merchant_Category]]="Electronics", Table1[[#This Row],[Merchant_Category]]="Travel")), "unsafe merchant transaction", "safe merchant transaction")</f>
        <v>safe merchant transaction</v>
      </c>
    </row>
    <row r="645" spans="1:18">
      <c r="A645" t="s">
        <v>3831</v>
      </c>
      <c r="B645" t="s">
        <v>129</v>
      </c>
      <c r="C645">
        <v>1</v>
      </c>
      <c r="D645" t="s">
        <v>15</v>
      </c>
      <c r="E645" t="s">
        <v>5</v>
      </c>
      <c r="F645" s="2">
        <v>45823</v>
      </c>
      <c r="G645">
        <v>3299.77</v>
      </c>
      <c r="H645" s="1">
        <f>AVERAGEIF(Table1[Customer_ID], Table1[[#This Row],[Customer_ID]], Table1[Transaction_Amount])</f>
        <v>5172.7072580645145</v>
      </c>
      <c r="I645" t="s">
        <v>1410</v>
      </c>
      <c r="J645" t="s">
        <v>41</v>
      </c>
      <c r="K645" t="s">
        <v>10</v>
      </c>
      <c r="L645">
        <v>5</v>
      </c>
      <c r="M645" t="s">
        <v>42</v>
      </c>
      <c r="N645" t="s">
        <v>47</v>
      </c>
      <c r="O645" t="s">
        <v>392</v>
      </c>
      <c r="P645" s="6" t="str">
        <f>IF(Table1[[#This Row],[Transaction_Amount]]&lt;=Table1[[#This Row],[avg_transaction_amount]], "usual transaction", "unusual transaction")</f>
        <v>usual transaction</v>
      </c>
      <c r="Q645" s="6" t="str">
        <f>IF(AND(Table1[[#This Row],[Country_of_Residence]]&lt;&gt;Table1[[#This Row],[Country_of_Transaction]], OR(Table1[[#This Row],[Authentication_Type]]="Biometric", Table1[[#This Row],[Authentication_Type]]="OTP")), "safe location transaction", "unsafe location transaction")</f>
        <v>safe location transaction</v>
      </c>
      <c r="R645" s="6" t="str">
        <f>IF(AND(Table1[[#This Row],[Country_of_Residence]]&lt;&gt;Table1[[#This Row],[Country_of_Transaction]], OR(Table1[[#This Row],[Merchant_Category]]="Electronics", Table1[[#This Row],[Merchant_Category]]="Travel")), "unsafe merchant transaction", "safe merchant transaction")</f>
        <v>safe merchant transaction</v>
      </c>
    </row>
    <row r="646" spans="1:18">
      <c r="A646" t="s">
        <v>3879</v>
      </c>
      <c r="B646" t="s">
        <v>129</v>
      </c>
      <c r="C646">
        <v>1</v>
      </c>
      <c r="D646" t="s">
        <v>15</v>
      </c>
      <c r="E646" t="s">
        <v>3</v>
      </c>
      <c r="F646" s="2">
        <v>45693</v>
      </c>
      <c r="G646">
        <v>1273.02</v>
      </c>
      <c r="H646" s="1">
        <f>AVERAGEIF(Table1[Customer_ID], Table1[[#This Row],[Customer_ID]], Table1[Transaction_Amount])</f>
        <v>5172.7072580645145</v>
      </c>
      <c r="I646" t="s">
        <v>1450</v>
      </c>
      <c r="J646" t="s">
        <v>41</v>
      </c>
      <c r="K646" t="s">
        <v>14</v>
      </c>
      <c r="L646">
        <v>1</v>
      </c>
      <c r="M646" t="s">
        <v>32</v>
      </c>
      <c r="N646" t="s">
        <v>56</v>
      </c>
      <c r="O646" t="s">
        <v>392</v>
      </c>
      <c r="P646" s="6" t="str">
        <f>IF(Table1[[#This Row],[Transaction_Amount]]&lt;=Table1[[#This Row],[avg_transaction_amount]], "usual transaction", "unusual transaction")</f>
        <v>usual transaction</v>
      </c>
      <c r="Q646" s="6" t="str">
        <f>IF(AND(Table1[[#This Row],[Country_of_Residence]]&lt;&gt;Table1[[#This Row],[Country_of_Transaction]], OR(Table1[[#This Row],[Authentication_Type]]="Biometric", Table1[[#This Row],[Authentication_Type]]="OTP")), "safe location transaction", "unsafe location transaction")</f>
        <v>unsafe location transaction</v>
      </c>
      <c r="R646" s="6" t="str">
        <f>IF(AND(Table1[[#This Row],[Country_of_Residence]]&lt;&gt;Table1[[#This Row],[Country_of_Transaction]], OR(Table1[[#This Row],[Merchant_Category]]="Electronics", Table1[[#This Row],[Merchant_Category]]="Travel")), "unsafe merchant transaction", "safe merchant transaction")</f>
        <v>safe merchant transaction</v>
      </c>
    </row>
    <row r="647" spans="1:18">
      <c r="A647" t="s">
        <v>3926</v>
      </c>
      <c r="B647" t="s">
        <v>129</v>
      </c>
      <c r="C647">
        <v>1</v>
      </c>
      <c r="D647" t="s">
        <v>9</v>
      </c>
      <c r="E647" t="s">
        <v>3</v>
      </c>
      <c r="F647" s="2">
        <v>45826</v>
      </c>
      <c r="G647">
        <v>5473.38</v>
      </c>
      <c r="H647" s="1">
        <f>AVERAGEIF(Table1[Customer_ID], Table1[[#This Row],[Customer_ID]], Table1[Transaction_Amount])</f>
        <v>5172.7072580645145</v>
      </c>
      <c r="I647" t="s">
        <v>1490</v>
      </c>
      <c r="J647" t="s">
        <v>36</v>
      </c>
      <c r="K647" t="s">
        <v>10</v>
      </c>
      <c r="L647">
        <v>0</v>
      </c>
      <c r="M647" t="s">
        <v>42</v>
      </c>
      <c r="N647" t="s">
        <v>37</v>
      </c>
      <c r="O647" t="s">
        <v>392</v>
      </c>
      <c r="P647" s="6" t="str">
        <f>IF(Table1[[#This Row],[Transaction_Amount]]&lt;=Table1[[#This Row],[avg_transaction_amount]], "usual transaction", "unusual transaction")</f>
        <v>unusual transaction</v>
      </c>
      <c r="Q647" s="6" t="str">
        <f>IF(AND(Table1[[#This Row],[Country_of_Residence]]&lt;&gt;Table1[[#This Row],[Country_of_Transaction]], OR(Table1[[#This Row],[Authentication_Type]]="Biometric", Table1[[#This Row],[Authentication_Type]]="OTP")), "safe location transaction", "unsafe location transaction")</f>
        <v>safe location transaction</v>
      </c>
      <c r="R647" s="6" t="str">
        <f>IF(AND(Table1[[#This Row],[Country_of_Residence]]&lt;&gt;Table1[[#This Row],[Country_of_Transaction]], OR(Table1[[#This Row],[Merchant_Category]]="Electronics", Table1[[#This Row],[Merchant_Category]]="Travel")), "unsafe merchant transaction", "safe merchant transaction")</f>
        <v>safe merchant transaction</v>
      </c>
    </row>
    <row r="648" spans="1:18">
      <c r="A648" t="s">
        <v>3960</v>
      </c>
      <c r="B648" t="s">
        <v>129</v>
      </c>
      <c r="C648">
        <v>1</v>
      </c>
      <c r="D648" t="s">
        <v>15</v>
      </c>
      <c r="E648" t="s">
        <v>6</v>
      </c>
      <c r="F648" s="2">
        <v>45758</v>
      </c>
      <c r="G648">
        <v>8232.02</v>
      </c>
      <c r="H648" s="1">
        <f>AVERAGEIF(Table1[Customer_ID], Table1[[#This Row],[Customer_ID]], Table1[Transaction_Amount])</f>
        <v>5172.7072580645145</v>
      </c>
      <c r="I648" t="s">
        <v>1521</v>
      </c>
      <c r="J648" t="s">
        <v>46</v>
      </c>
      <c r="K648" t="s">
        <v>14</v>
      </c>
      <c r="L648">
        <v>3</v>
      </c>
      <c r="M648" t="s">
        <v>412</v>
      </c>
      <c r="N648" t="s">
        <v>47</v>
      </c>
      <c r="O648" t="s">
        <v>392</v>
      </c>
      <c r="P648" s="6" t="str">
        <f>IF(Table1[[#This Row],[Transaction_Amount]]&lt;=Table1[[#This Row],[avg_transaction_amount]], "usual transaction", "unusual transaction")</f>
        <v>unusual transaction</v>
      </c>
      <c r="Q648" s="6" t="str">
        <f>IF(AND(Table1[[#This Row],[Country_of_Residence]]&lt;&gt;Table1[[#This Row],[Country_of_Transaction]], OR(Table1[[#This Row],[Authentication_Type]]="Biometric", Table1[[#This Row],[Authentication_Type]]="OTP")), "safe location transaction", "unsafe location transaction")</f>
        <v>unsafe location transaction</v>
      </c>
      <c r="R648" s="6" t="str">
        <f>IF(AND(Table1[[#This Row],[Country_of_Residence]]&lt;&gt;Table1[[#This Row],[Country_of_Transaction]], OR(Table1[[#This Row],[Merchant_Category]]="Electronics", Table1[[#This Row],[Merchant_Category]]="Travel")), "unsafe merchant transaction", "safe merchant transaction")</f>
        <v>safe merchant transaction</v>
      </c>
    </row>
    <row r="649" spans="1:18">
      <c r="A649" t="s">
        <v>3967</v>
      </c>
      <c r="B649" t="s">
        <v>129</v>
      </c>
      <c r="C649">
        <v>1</v>
      </c>
      <c r="D649" t="s">
        <v>15</v>
      </c>
      <c r="E649" t="s">
        <v>6</v>
      </c>
      <c r="F649" s="2">
        <v>45770</v>
      </c>
      <c r="G649">
        <v>487.98</v>
      </c>
      <c r="H649" s="1">
        <f>AVERAGEIF(Table1[Customer_ID], Table1[[#This Row],[Customer_ID]], Table1[Transaction_Amount])</f>
        <v>5172.7072580645145</v>
      </c>
      <c r="I649" t="s">
        <v>1528</v>
      </c>
      <c r="J649" t="s">
        <v>41</v>
      </c>
      <c r="K649" t="s">
        <v>12</v>
      </c>
      <c r="L649">
        <v>4</v>
      </c>
      <c r="M649" t="s">
        <v>47</v>
      </c>
      <c r="N649" t="s">
        <v>32</v>
      </c>
      <c r="O649" t="s">
        <v>393</v>
      </c>
      <c r="P649" s="6" t="str">
        <f>IF(Table1[[#This Row],[Transaction_Amount]]&lt;=Table1[[#This Row],[avg_transaction_amount]], "usual transaction", "unusual transaction")</f>
        <v>usual transaction</v>
      </c>
      <c r="Q649" s="6" t="str">
        <f>IF(AND(Table1[[#This Row],[Country_of_Residence]]&lt;&gt;Table1[[#This Row],[Country_of_Transaction]], OR(Table1[[#This Row],[Authentication_Type]]="Biometric", Table1[[#This Row],[Authentication_Type]]="OTP")), "safe location transaction", "unsafe location transaction")</f>
        <v>unsafe location transaction</v>
      </c>
      <c r="R649" s="6" t="str">
        <f>IF(AND(Table1[[#This Row],[Country_of_Residence]]&lt;&gt;Table1[[#This Row],[Country_of_Transaction]], OR(Table1[[#This Row],[Merchant_Category]]="Electronics", Table1[[#This Row],[Merchant_Category]]="Travel")), "unsafe merchant transaction", "safe merchant transaction")</f>
        <v>safe merchant transaction</v>
      </c>
    </row>
    <row r="650" spans="1:18">
      <c r="A650" t="s">
        <v>4001</v>
      </c>
      <c r="B650" t="s">
        <v>129</v>
      </c>
      <c r="C650">
        <v>1</v>
      </c>
      <c r="D650" t="s">
        <v>15</v>
      </c>
      <c r="E650" t="s">
        <v>6</v>
      </c>
      <c r="F650" s="2">
        <v>45824</v>
      </c>
      <c r="G650">
        <v>7505.3</v>
      </c>
      <c r="H650" s="1">
        <f>AVERAGEIF(Table1[Customer_ID], Table1[[#This Row],[Customer_ID]], Table1[Transaction_Amount])</f>
        <v>5172.7072580645145</v>
      </c>
      <c r="I650" t="s">
        <v>1560</v>
      </c>
      <c r="J650" t="s">
        <v>46</v>
      </c>
      <c r="K650" t="s">
        <v>12</v>
      </c>
      <c r="L650">
        <v>5</v>
      </c>
      <c r="M650" t="s">
        <v>33</v>
      </c>
      <c r="N650" t="s">
        <v>412</v>
      </c>
      <c r="O650" t="s">
        <v>393</v>
      </c>
      <c r="P650" s="6" t="str">
        <f>IF(Table1[[#This Row],[Transaction_Amount]]&lt;=Table1[[#This Row],[avg_transaction_amount]], "usual transaction", "unusual transaction")</f>
        <v>unusual transaction</v>
      </c>
      <c r="Q650" s="6" t="str">
        <f>IF(AND(Table1[[#This Row],[Country_of_Residence]]&lt;&gt;Table1[[#This Row],[Country_of_Transaction]], OR(Table1[[#This Row],[Authentication_Type]]="Biometric", Table1[[#This Row],[Authentication_Type]]="OTP")), "safe location transaction", "unsafe location transaction")</f>
        <v>unsafe location transaction</v>
      </c>
      <c r="R650" s="6" t="str">
        <f>IF(AND(Table1[[#This Row],[Country_of_Residence]]&lt;&gt;Table1[[#This Row],[Country_of_Transaction]], OR(Table1[[#This Row],[Merchant_Category]]="Electronics", Table1[[#This Row],[Merchant_Category]]="Travel")), "unsafe merchant transaction", "safe merchant transaction")</f>
        <v>safe merchant transaction</v>
      </c>
    </row>
    <row r="651" spans="1:18">
      <c r="A651" t="s">
        <v>4048</v>
      </c>
      <c r="B651" t="s">
        <v>129</v>
      </c>
      <c r="C651">
        <v>1</v>
      </c>
      <c r="D651" t="s">
        <v>9</v>
      </c>
      <c r="E651" t="s">
        <v>5</v>
      </c>
      <c r="F651" s="2">
        <v>45843</v>
      </c>
      <c r="G651">
        <v>9003.52</v>
      </c>
      <c r="H651" s="1">
        <f>AVERAGEIF(Table1[Customer_ID], Table1[[#This Row],[Customer_ID]], Table1[Transaction_Amount])</f>
        <v>5172.7072580645145</v>
      </c>
      <c r="I651" t="s">
        <v>1602</v>
      </c>
      <c r="J651" t="s">
        <v>36</v>
      </c>
      <c r="K651" t="s">
        <v>12</v>
      </c>
      <c r="L651">
        <v>3</v>
      </c>
      <c r="M651" t="s">
        <v>42</v>
      </c>
      <c r="N651" t="s">
        <v>412</v>
      </c>
      <c r="O651" t="s">
        <v>393</v>
      </c>
      <c r="P651" s="6" t="str">
        <f>IF(Table1[[#This Row],[Transaction_Amount]]&lt;=Table1[[#This Row],[avg_transaction_amount]], "usual transaction", "unusual transaction")</f>
        <v>unusual transaction</v>
      </c>
      <c r="Q651" s="6" t="str">
        <f>IF(AND(Table1[[#This Row],[Country_of_Residence]]&lt;&gt;Table1[[#This Row],[Country_of_Transaction]], OR(Table1[[#This Row],[Authentication_Type]]="Biometric", Table1[[#This Row],[Authentication_Type]]="OTP")), "safe location transaction", "unsafe location transaction")</f>
        <v>unsafe location transaction</v>
      </c>
      <c r="R651" s="6" t="str">
        <f>IF(AND(Table1[[#This Row],[Country_of_Residence]]&lt;&gt;Table1[[#This Row],[Country_of_Transaction]], OR(Table1[[#This Row],[Merchant_Category]]="Electronics", Table1[[#This Row],[Merchant_Category]]="Travel")), "unsafe merchant transaction", "safe merchant transaction")</f>
        <v>safe merchant transaction</v>
      </c>
    </row>
    <row r="652" spans="1:18">
      <c r="A652" t="s">
        <v>4077</v>
      </c>
      <c r="B652" t="s">
        <v>129</v>
      </c>
      <c r="C652">
        <v>1</v>
      </c>
      <c r="D652" t="s">
        <v>15</v>
      </c>
      <c r="E652" t="s">
        <v>420</v>
      </c>
      <c r="F652" s="2">
        <v>45751</v>
      </c>
      <c r="G652">
        <v>1186.3499999999999</v>
      </c>
      <c r="H652" s="1">
        <f>AVERAGEIF(Table1[Customer_ID], Table1[[#This Row],[Customer_ID]], Table1[Transaction_Amount])</f>
        <v>5172.7072580645145</v>
      </c>
      <c r="I652" t="s">
        <v>1275</v>
      </c>
      <c r="J652" t="s">
        <v>41</v>
      </c>
      <c r="K652" t="s">
        <v>14</v>
      </c>
      <c r="L652">
        <v>3</v>
      </c>
      <c r="M652" t="s">
        <v>56</v>
      </c>
      <c r="N652" t="s">
        <v>56</v>
      </c>
      <c r="O652" t="s">
        <v>393</v>
      </c>
      <c r="P652" s="6" t="str">
        <f>IF(Table1[[#This Row],[Transaction_Amount]]&lt;=Table1[[#This Row],[avg_transaction_amount]], "usual transaction", "unusual transaction")</f>
        <v>usual transaction</v>
      </c>
      <c r="Q652" s="6" t="str">
        <f>IF(AND(Table1[[#This Row],[Country_of_Residence]]&lt;&gt;Table1[[#This Row],[Country_of_Transaction]], OR(Table1[[#This Row],[Authentication_Type]]="Biometric", Table1[[#This Row],[Authentication_Type]]="OTP")), "safe location transaction", "unsafe location transaction")</f>
        <v>unsafe location transaction</v>
      </c>
      <c r="R652" s="6" t="str">
        <f>IF(AND(Table1[[#This Row],[Country_of_Residence]]&lt;&gt;Table1[[#This Row],[Country_of_Transaction]], OR(Table1[[#This Row],[Merchant_Category]]="Electronics", Table1[[#This Row],[Merchant_Category]]="Travel")), "unsafe merchant transaction", "safe merchant transaction")</f>
        <v>safe merchant transaction</v>
      </c>
    </row>
    <row r="653" spans="1:18">
      <c r="A653" t="s">
        <v>4082</v>
      </c>
      <c r="B653" t="s">
        <v>129</v>
      </c>
      <c r="C653">
        <v>1</v>
      </c>
      <c r="D653" t="s">
        <v>15</v>
      </c>
      <c r="E653" t="s">
        <v>5</v>
      </c>
      <c r="F653" s="2">
        <v>45989</v>
      </c>
      <c r="G653">
        <v>470.85</v>
      </c>
      <c r="H653" s="1">
        <f>AVERAGEIF(Table1[Customer_ID], Table1[[#This Row],[Customer_ID]], Table1[Transaction_Amount])</f>
        <v>5172.7072580645145</v>
      </c>
      <c r="I653" t="s">
        <v>1626</v>
      </c>
      <c r="J653" t="s">
        <v>36</v>
      </c>
      <c r="K653" t="s">
        <v>8</v>
      </c>
      <c r="L653">
        <v>5</v>
      </c>
      <c r="M653" t="s">
        <v>55</v>
      </c>
      <c r="N653" t="s">
        <v>32</v>
      </c>
      <c r="O653" t="s">
        <v>392</v>
      </c>
      <c r="P653" s="6" t="str">
        <f>IF(Table1[[#This Row],[Transaction_Amount]]&lt;=Table1[[#This Row],[avg_transaction_amount]], "usual transaction", "unusual transaction")</f>
        <v>usual transaction</v>
      </c>
      <c r="Q653" s="6" t="str">
        <f>IF(AND(Table1[[#This Row],[Country_of_Residence]]&lt;&gt;Table1[[#This Row],[Country_of_Transaction]], OR(Table1[[#This Row],[Authentication_Type]]="Biometric", Table1[[#This Row],[Authentication_Type]]="OTP")), "safe location transaction", "unsafe location transaction")</f>
        <v>safe location transaction</v>
      </c>
      <c r="R653" s="6" t="str">
        <f>IF(AND(Table1[[#This Row],[Country_of_Residence]]&lt;&gt;Table1[[#This Row],[Country_of_Transaction]], OR(Table1[[#This Row],[Merchant_Category]]="Electronics", Table1[[#This Row],[Merchant_Category]]="Travel")), "unsafe merchant transaction", "safe merchant transaction")</f>
        <v>safe merchant transaction</v>
      </c>
    </row>
    <row r="654" spans="1:18">
      <c r="A654" t="s">
        <v>4123</v>
      </c>
      <c r="B654" t="s">
        <v>129</v>
      </c>
      <c r="C654">
        <v>1</v>
      </c>
      <c r="D654" t="s">
        <v>9</v>
      </c>
      <c r="E654" t="s">
        <v>5</v>
      </c>
      <c r="F654" s="2">
        <v>45792</v>
      </c>
      <c r="G654">
        <v>2824.6</v>
      </c>
      <c r="H654" s="1">
        <f>AVERAGEIF(Table1[Customer_ID], Table1[[#This Row],[Customer_ID]], Table1[Transaction_Amount])</f>
        <v>5172.7072580645145</v>
      </c>
      <c r="I654" t="s">
        <v>1657</v>
      </c>
      <c r="J654" t="s">
        <v>41</v>
      </c>
      <c r="K654" t="s">
        <v>12</v>
      </c>
      <c r="L654">
        <v>4</v>
      </c>
      <c r="M654" t="s">
        <v>51</v>
      </c>
      <c r="N654" t="s">
        <v>32</v>
      </c>
      <c r="O654" t="s">
        <v>393</v>
      </c>
      <c r="P654" s="6" t="str">
        <f>IF(Table1[[#This Row],[Transaction_Amount]]&lt;=Table1[[#This Row],[avg_transaction_amount]], "usual transaction", "unusual transaction")</f>
        <v>usual transaction</v>
      </c>
      <c r="Q654" s="6" t="str">
        <f>IF(AND(Table1[[#This Row],[Country_of_Residence]]&lt;&gt;Table1[[#This Row],[Country_of_Transaction]], OR(Table1[[#This Row],[Authentication_Type]]="Biometric", Table1[[#This Row],[Authentication_Type]]="OTP")), "safe location transaction", "unsafe location transaction")</f>
        <v>unsafe location transaction</v>
      </c>
      <c r="R654" s="6" t="str">
        <f>IF(AND(Table1[[#This Row],[Country_of_Residence]]&lt;&gt;Table1[[#This Row],[Country_of_Transaction]], OR(Table1[[#This Row],[Merchant_Category]]="Electronics", Table1[[#This Row],[Merchant_Category]]="Travel")), "unsafe merchant transaction", "safe merchant transaction")</f>
        <v>safe merchant transaction</v>
      </c>
    </row>
    <row r="655" spans="1:18">
      <c r="A655" t="s">
        <v>4178</v>
      </c>
      <c r="B655" t="s">
        <v>129</v>
      </c>
      <c r="C655">
        <v>1</v>
      </c>
      <c r="D655" t="s">
        <v>9</v>
      </c>
      <c r="E655" t="s">
        <v>3</v>
      </c>
      <c r="F655" s="2">
        <v>45994</v>
      </c>
      <c r="G655">
        <v>8046.87</v>
      </c>
      <c r="H655" s="1">
        <f>AVERAGEIF(Table1[Customer_ID], Table1[[#This Row],[Customer_ID]], Table1[Transaction_Amount])</f>
        <v>5172.7072580645145</v>
      </c>
      <c r="I655" t="s">
        <v>1700</v>
      </c>
      <c r="J655" t="s">
        <v>46</v>
      </c>
      <c r="K655" t="s">
        <v>12</v>
      </c>
      <c r="L655">
        <v>5</v>
      </c>
      <c r="M655" t="s">
        <v>47</v>
      </c>
      <c r="N655" t="s">
        <v>42</v>
      </c>
      <c r="O655" t="s">
        <v>392</v>
      </c>
      <c r="P655" s="6" t="str">
        <f>IF(Table1[[#This Row],[Transaction_Amount]]&lt;=Table1[[#This Row],[avg_transaction_amount]], "usual transaction", "unusual transaction")</f>
        <v>unusual transaction</v>
      </c>
      <c r="Q655" s="6" t="str">
        <f>IF(AND(Table1[[#This Row],[Country_of_Residence]]&lt;&gt;Table1[[#This Row],[Country_of_Transaction]], OR(Table1[[#This Row],[Authentication_Type]]="Biometric", Table1[[#This Row],[Authentication_Type]]="OTP")), "safe location transaction", "unsafe location transaction")</f>
        <v>unsafe location transaction</v>
      </c>
      <c r="R655" s="6" t="str">
        <f>IF(AND(Table1[[#This Row],[Country_of_Residence]]&lt;&gt;Table1[[#This Row],[Country_of_Transaction]], OR(Table1[[#This Row],[Merchant_Category]]="Electronics", Table1[[#This Row],[Merchant_Category]]="Travel")), "unsafe merchant transaction", "safe merchant transaction")</f>
        <v>safe merchant transaction</v>
      </c>
    </row>
    <row r="656" spans="1:18">
      <c r="A656" t="s">
        <v>4192</v>
      </c>
      <c r="B656" t="s">
        <v>129</v>
      </c>
      <c r="C656">
        <v>1</v>
      </c>
      <c r="D656" t="s">
        <v>9</v>
      </c>
      <c r="E656" t="s">
        <v>6</v>
      </c>
      <c r="F656" s="2">
        <v>45773</v>
      </c>
      <c r="G656">
        <v>8895.19</v>
      </c>
      <c r="H656" s="1">
        <f>AVERAGEIF(Table1[Customer_ID], Table1[[#This Row],[Customer_ID]], Table1[Transaction_Amount])</f>
        <v>5172.7072580645145</v>
      </c>
      <c r="I656" t="s">
        <v>1712</v>
      </c>
      <c r="J656" t="s">
        <v>46</v>
      </c>
      <c r="K656" t="s">
        <v>10</v>
      </c>
      <c r="L656">
        <v>5</v>
      </c>
      <c r="M656" t="s">
        <v>55</v>
      </c>
      <c r="N656" t="s">
        <v>32</v>
      </c>
      <c r="O656" t="s">
        <v>392</v>
      </c>
      <c r="P656" s="6" t="str">
        <f>IF(Table1[[#This Row],[Transaction_Amount]]&lt;=Table1[[#This Row],[avg_transaction_amount]], "usual transaction", "unusual transaction")</f>
        <v>unusual transaction</v>
      </c>
      <c r="Q656" s="6" t="str">
        <f>IF(AND(Table1[[#This Row],[Country_of_Residence]]&lt;&gt;Table1[[#This Row],[Country_of_Transaction]], OR(Table1[[#This Row],[Authentication_Type]]="Biometric", Table1[[#This Row],[Authentication_Type]]="OTP")), "safe location transaction", "unsafe location transaction")</f>
        <v>safe location transaction</v>
      </c>
      <c r="R656" s="6" t="str">
        <f>IF(AND(Table1[[#This Row],[Country_of_Residence]]&lt;&gt;Table1[[#This Row],[Country_of_Transaction]], OR(Table1[[#This Row],[Merchant_Category]]="Electronics", Table1[[#This Row],[Merchant_Category]]="Travel")), "unsafe merchant transaction", "safe merchant transaction")</f>
        <v>safe merchant transaction</v>
      </c>
    </row>
    <row r="657" spans="1:18">
      <c r="A657" t="s">
        <v>4225</v>
      </c>
      <c r="B657" t="s">
        <v>129</v>
      </c>
      <c r="C657">
        <v>1</v>
      </c>
      <c r="D657" t="s">
        <v>15</v>
      </c>
      <c r="E657" t="s">
        <v>3</v>
      </c>
      <c r="F657" s="2">
        <v>45958</v>
      </c>
      <c r="G657">
        <v>2370.09</v>
      </c>
      <c r="H657" s="1">
        <f>AVERAGEIF(Table1[Customer_ID], Table1[[#This Row],[Customer_ID]], Table1[Transaction_Amount])</f>
        <v>5172.7072580645145</v>
      </c>
      <c r="I657" t="s">
        <v>1744</v>
      </c>
      <c r="J657" t="s">
        <v>31</v>
      </c>
      <c r="K657" t="s">
        <v>14</v>
      </c>
      <c r="L657">
        <v>3</v>
      </c>
      <c r="M657" t="s">
        <v>56</v>
      </c>
      <c r="N657" t="s">
        <v>37</v>
      </c>
      <c r="O657" t="s">
        <v>393</v>
      </c>
      <c r="P657" s="6" t="str">
        <f>IF(Table1[[#This Row],[Transaction_Amount]]&lt;=Table1[[#This Row],[avg_transaction_amount]], "usual transaction", "unusual transaction")</f>
        <v>usual transaction</v>
      </c>
      <c r="Q657" s="6" t="str">
        <f>IF(AND(Table1[[#This Row],[Country_of_Residence]]&lt;&gt;Table1[[#This Row],[Country_of_Transaction]], OR(Table1[[#This Row],[Authentication_Type]]="Biometric", Table1[[#This Row],[Authentication_Type]]="OTP")), "safe location transaction", "unsafe location transaction")</f>
        <v>unsafe location transaction</v>
      </c>
      <c r="R657" s="6" t="str">
        <f>IF(AND(Table1[[#This Row],[Country_of_Residence]]&lt;&gt;Table1[[#This Row],[Country_of_Transaction]], OR(Table1[[#This Row],[Merchant_Category]]="Electronics", Table1[[#This Row],[Merchant_Category]]="Travel")), "unsafe merchant transaction", "safe merchant transaction")</f>
        <v>safe merchant transaction</v>
      </c>
    </row>
    <row r="658" spans="1:18">
      <c r="A658" t="s">
        <v>4281</v>
      </c>
      <c r="B658" t="s">
        <v>129</v>
      </c>
      <c r="C658">
        <v>1</v>
      </c>
      <c r="D658" t="s">
        <v>15</v>
      </c>
      <c r="E658" t="s">
        <v>420</v>
      </c>
      <c r="F658" s="2">
        <v>45850</v>
      </c>
      <c r="G658">
        <v>7357.52</v>
      </c>
      <c r="H658" s="1">
        <f>AVERAGEIF(Table1[Customer_ID], Table1[[#This Row],[Customer_ID]], Table1[Transaction_Amount])</f>
        <v>5172.7072580645145</v>
      </c>
      <c r="I658" t="s">
        <v>1793</v>
      </c>
      <c r="J658" t="s">
        <v>41</v>
      </c>
      <c r="K658" t="s">
        <v>8</v>
      </c>
      <c r="L658">
        <v>1</v>
      </c>
      <c r="M658" t="s">
        <v>51</v>
      </c>
      <c r="N658" t="s">
        <v>32</v>
      </c>
      <c r="O658" t="s">
        <v>392</v>
      </c>
      <c r="P658" s="6" t="str">
        <f>IF(Table1[[#This Row],[Transaction_Amount]]&lt;=Table1[[#This Row],[avg_transaction_amount]], "usual transaction", "unusual transaction")</f>
        <v>unusual transaction</v>
      </c>
      <c r="Q658" s="6" t="str">
        <f>IF(AND(Table1[[#This Row],[Country_of_Residence]]&lt;&gt;Table1[[#This Row],[Country_of_Transaction]], OR(Table1[[#This Row],[Authentication_Type]]="Biometric", Table1[[#This Row],[Authentication_Type]]="OTP")), "safe location transaction", "unsafe location transaction")</f>
        <v>safe location transaction</v>
      </c>
      <c r="R658" s="6" t="str">
        <f>IF(AND(Table1[[#This Row],[Country_of_Residence]]&lt;&gt;Table1[[#This Row],[Country_of_Transaction]], OR(Table1[[#This Row],[Merchant_Category]]="Electronics", Table1[[#This Row],[Merchant_Category]]="Travel")), "unsafe merchant transaction", "safe merchant transaction")</f>
        <v>safe merchant transaction</v>
      </c>
    </row>
    <row r="659" spans="1:18">
      <c r="A659" t="s">
        <v>4306</v>
      </c>
      <c r="B659" t="s">
        <v>129</v>
      </c>
      <c r="C659">
        <v>1</v>
      </c>
      <c r="D659" t="s">
        <v>15</v>
      </c>
      <c r="E659" t="s">
        <v>3</v>
      </c>
      <c r="F659" s="2">
        <v>45885</v>
      </c>
      <c r="G659">
        <v>3193.9</v>
      </c>
      <c r="H659" s="1">
        <f>AVERAGEIF(Table1[Customer_ID], Table1[[#This Row],[Customer_ID]], Table1[Transaction_Amount])</f>
        <v>5172.7072580645145</v>
      </c>
      <c r="I659" t="s">
        <v>1815</v>
      </c>
      <c r="J659" t="s">
        <v>36</v>
      </c>
      <c r="K659" t="s">
        <v>14</v>
      </c>
      <c r="L659">
        <v>5</v>
      </c>
      <c r="M659" t="s">
        <v>55</v>
      </c>
      <c r="N659" t="s">
        <v>51</v>
      </c>
      <c r="O659" t="s">
        <v>392</v>
      </c>
      <c r="P659" s="6" t="str">
        <f>IF(Table1[[#This Row],[Transaction_Amount]]&lt;=Table1[[#This Row],[avg_transaction_amount]], "usual transaction", "unusual transaction")</f>
        <v>usual transaction</v>
      </c>
      <c r="Q659" s="6" t="str">
        <f>IF(AND(Table1[[#This Row],[Country_of_Residence]]&lt;&gt;Table1[[#This Row],[Country_of_Transaction]], OR(Table1[[#This Row],[Authentication_Type]]="Biometric", Table1[[#This Row],[Authentication_Type]]="OTP")), "safe location transaction", "unsafe location transaction")</f>
        <v>unsafe location transaction</v>
      </c>
      <c r="R659" s="6" t="str">
        <f>IF(AND(Table1[[#This Row],[Country_of_Residence]]&lt;&gt;Table1[[#This Row],[Country_of_Transaction]], OR(Table1[[#This Row],[Merchant_Category]]="Electronics", Table1[[#This Row],[Merchant_Category]]="Travel")), "unsafe merchant transaction", "safe merchant transaction")</f>
        <v>safe merchant transaction</v>
      </c>
    </row>
    <row r="660" spans="1:18">
      <c r="A660" t="s">
        <v>4426</v>
      </c>
      <c r="B660" t="s">
        <v>129</v>
      </c>
      <c r="C660">
        <v>1</v>
      </c>
      <c r="D660" t="s">
        <v>15</v>
      </c>
      <c r="E660" t="s">
        <v>3</v>
      </c>
      <c r="F660" s="2">
        <v>45904</v>
      </c>
      <c r="G660">
        <v>3985.46</v>
      </c>
      <c r="H660" s="1">
        <f>AVERAGEIF(Table1[Customer_ID], Table1[[#This Row],[Customer_ID]], Table1[Transaction_Amount])</f>
        <v>5172.7072580645145</v>
      </c>
      <c r="I660" t="s">
        <v>1923</v>
      </c>
      <c r="J660" t="s">
        <v>36</v>
      </c>
      <c r="K660" t="s">
        <v>12</v>
      </c>
      <c r="L660">
        <v>3</v>
      </c>
      <c r="M660" t="s">
        <v>37</v>
      </c>
      <c r="N660" t="s">
        <v>47</v>
      </c>
      <c r="O660" t="s">
        <v>393</v>
      </c>
      <c r="P660" s="6" t="str">
        <f>IF(Table1[[#This Row],[Transaction_Amount]]&lt;=Table1[[#This Row],[avg_transaction_amount]], "usual transaction", "unusual transaction")</f>
        <v>usual transaction</v>
      </c>
      <c r="Q660" s="6" t="str">
        <f>IF(AND(Table1[[#This Row],[Country_of_Residence]]&lt;&gt;Table1[[#This Row],[Country_of_Transaction]], OR(Table1[[#This Row],[Authentication_Type]]="Biometric", Table1[[#This Row],[Authentication_Type]]="OTP")), "safe location transaction", "unsafe location transaction")</f>
        <v>unsafe location transaction</v>
      </c>
      <c r="R660" s="6" t="str">
        <f>IF(AND(Table1[[#This Row],[Country_of_Residence]]&lt;&gt;Table1[[#This Row],[Country_of_Transaction]], OR(Table1[[#This Row],[Merchant_Category]]="Electronics", Table1[[#This Row],[Merchant_Category]]="Travel")), "unsafe merchant transaction", "safe merchant transaction")</f>
        <v>safe merchant transaction</v>
      </c>
    </row>
    <row r="661" spans="1:18">
      <c r="A661" t="s">
        <v>4436</v>
      </c>
      <c r="B661" t="s">
        <v>129</v>
      </c>
      <c r="C661">
        <v>1</v>
      </c>
      <c r="D661" t="s">
        <v>15</v>
      </c>
      <c r="E661" t="s">
        <v>6</v>
      </c>
      <c r="F661" s="2">
        <v>45838</v>
      </c>
      <c r="G661">
        <v>1876.49</v>
      </c>
      <c r="H661" s="1">
        <f>AVERAGEIF(Table1[Customer_ID], Table1[[#This Row],[Customer_ID]], Table1[Transaction_Amount])</f>
        <v>5172.7072580645145</v>
      </c>
      <c r="I661" t="s">
        <v>1930</v>
      </c>
      <c r="J661" t="s">
        <v>46</v>
      </c>
      <c r="K661" t="s">
        <v>14</v>
      </c>
      <c r="L661">
        <v>3</v>
      </c>
      <c r="M661" t="s">
        <v>42</v>
      </c>
      <c r="N661" t="s">
        <v>33</v>
      </c>
      <c r="O661" t="s">
        <v>393</v>
      </c>
      <c r="P661" s="6" t="str">
        <f>IF(Table1[[#This Row],[Transaction_Amount]]&lt;=Table1[[#This Row],[avg_transaction_amount]], "usual transaction", "unusual transaction")</f>
        <v>usual transaction</v>
      </c>
      <c r="Q661" s="6" t="str">
        <f>IF(AND(Table1[[#This Row],[Country_of_Residence]]&lt;&gt;Table1[[#This Row],[Country_of_Transaction]], OR(Table1[[#This Row],[Authentication_Type]]="Biometric", Table1[[#This Row],[Authentication_Type]]="OTP")), "safe location transaction", "unsafe location transaction")</f>
        <v>unsafe location transaction</v>
      </c>
      <c r="R661" s="6" t="str">
        <f>IF(AND(Table1[[#This Row],[Country_of_Residence]]&lt;&gt;Table1[[#This Row],[Country_of_Transaction]], OR(Table1[[#This Row],[Merchant_Category]]="Electronics", Table1[[#This Row],[Merchant_Category]]="Travel")), "unsafe merchant transaction", "safe merchant transaction")</f>
        <v>safe merchant transaction</v>
      </c>
    </row>
    <row r="662" spans="1:18">
      <c r="A662" t="s">
        <v>4586</v>
      </c>
      <c r="B662" t="s">
        <v>129</v>
      </c>
      <c r="C662">
        <v>1</v>
      </c>
      <c r="D662" t="s">
        <v>15</v>
      </c>
      <c r="E662" t="s">
        <v>6</v>
      </c>
      <c r="F662" s="2">
        <v>45726</v>
      </c>
      <c r="G662">
        <v>8122.51</v>
      </c>
      <c r="H662" s="1">
        <f>AVERAGEIF(Table1[Customer_ID], Table1[[#This Row],[Customer_ID]], Table1[Transaction_Amount])</f>
        <v>5172.7072580645145</v>
      </c>
      <c r="I662" t="s">
        <v>2055</v>
      </c>
      <c r="J662" t="s">
        <v>50</v>
      </c>
      <c r="K662" t="s">
        <v>10</v>
      </c>
      <c r="L662">
        <v>0</v>
      </c>
      <c r="M662" t="s">
        <v>55</v>
      </c>
      <c r="N662" t="s">
        <v>47</v>
      </c>
      <c r="O662" t="s">
        <v>393</v>
      </c>
      <c r="P662" s="6" t="str">
        <f>IF(Table1[[#This Row],[Transaction_Amount]]&lt;=Table1[[#This Row],[avg_transaction_amount]], "usual transaction", "unusual transaction")</f>
        <v>unusual transaction</v>
      </c>
      <c r="Q662" s="6" t="str">
        <f>IF(AND(Table1[[#This Row],[Country_of_Residence]]&lt;&gt;Table1[[#This Row],[Country_of_Transaction]], OR(Table1[[#This Row],[Authentication_Type]]="Biometric", Table1[[#This Row],[Authentication_Type]]="OTP")), "safe location transaction", "unsafe location transaction")</f>
        <v>safe location transaction</v>
      </c>
      <c r="R662" s="6" t="str">
        <f>IF(AND(Table1[[#This Row],[Country_of_Residence]]&lt;&gt;Table1[[#This Row],[Country_of_Transaction]], OR(Table1[[#This Row],[Merchant_Category]]="Electronics", Table1[[#This Row],[Merchant_Category]]="Travel")), "unsafe merchant transaction", "safe merchant transaction")</f>
        <v>unsafe merchant transaction</v>
      </c>
    </row>
    <row r="663" spans="1:18">
      <c r="A663" t="s">
        <v>4634</v>
      </c>
      <c r="B663" t="s">
        <v>129</v>
      </c>
      <c r="C663">
        <v>1</v>
      </c>
      <c r="D663" t="s">
        <v>9</v>
      </c>
      <c r="E663" t="s">
        <v>6</v>
      </c>
      <c r="F663" s="2">
        <v>45857</v>
      </c>
      <c r="G663">
        <v>4510.1400000000003</v>
      </c>
      <c r="H663" s="1">
        <f>AVERAGEIF(Table1[Customer_ID], Table1[[#This Row],[Customer_ID]], Table1[Transaction_Amount])</f>
        <v>5172.7072580645145</v>
      </c>
      <c r="I663" t="s">
        <v>2096</v>
      </c>
      <c r="J663" t="s">
        <v>50</v>
      </c>
      <c r="K663" t="s">
        <v>8</v>
      </c>
      <c r="L663">
        <v>2</v>
      </c>
      <c r="M663" t="s">
        <v>412</v>
      </c>
      <c r="N663" t="s">
        <v>37</v>
      </c>
      <c r="O663" t="s">
        <v>393</v>
      </c>
      <c r="P663" s="6" t="str">
        <f>IF(Table1[[#This Row],[Transaction_Amount]]&lt;=Table1[[#This Row],[avg_transaction_amount]], "usual transaction", "unusual transaction")</f>
        <v>usual transaction</v>
      </c>
      <c r="Q663" s="6" t="str">
        <f>IF(AND(Table1[[#This Row],[Country_of_Residence]]&lt;&gt;Table1[[#This Row],[Country_of_Transaction]], OR(Table1[[#This Row],[Authentication_Type]]="Biometric", Table1[[#This Row],[Authentication_Type]]="OTP")), "safe location transaction", "unsafe location transaction")</f>
        <v>safe location transaction</v>
      </c>
      <c r="R663" s="6" t="str">
        <f>IF(AND(Table1[[#This Row],[Country_of_Residence]]&lt;&gt;Table1[[#This Row],[Country_of_Transaction]], OR(Table1[[#This Row],[Merchant_Category]]="Electronics", Table1[[#This Row],[Merchant_Category]]="Travel")), "unsafe merchant transaction", "safe merchant transaction")</f>
        <v>unsafe merchant transaction</v>
      </c>
    </row>
    <row r="664" spans="1:18">
      <c r="A664" t="s">
        <v>4711</v>
      </c>
      <c r="B664" t="s">
        <v>129</v>
      </c>
      <c r="C664">
        <v>1</v>
      </c>
      <c r="D664" t="s">
        <v>15</v>
      </c>
      <c r="E664" t="s">
        <v>5</v>
      </c>
      <c r="F664" s="2">
        <v>46015</v>
      </c>
      <c r="G664">
        <v>5290.94</v>
      </c>
      <c r="H664" s="1">
        <f>AVERAGEIF(Table1[Customer_ID], Table1[[#This Row],[Customer_ID]], Table1[Transaction_Amount])</f>
        <v>5172.7072580645145</v>
      </c>
      <c r="I664" t="s">
        <v>644</v>
      </c>
      <c r="J664" t="s">
        <v>50</v>
      </c>
      <c r="K664" t="s">
        <v>12</v>
      </c>
      <c r="L664">
        <v>4</v>
      </c>
      <c r="M664" t="s">
        <v>412</v>
      </c>
      <c r="N664" t="s">
        <v>55</v>
      </c>
      <c r="O664" t="s">
        <v>392</v>
      </c>
      <c r="P664" s="6" t="str">
        <f>IF(Table1[[#This Row],[Transaction_Amount]]&lt;=Table1[[#This Row],[avg_transaction_amount]], "usual transaction", "unusual transaction")</f>
        <v>unusual transaction</v>
      </c>
      <c r="Q664" s="6" t="str">
        <f>IF(AND(Table1[[#This Row],[Country_of_Residence]]&lt;&gt;Table1[[#This Row],[Country_of_Transaction]], OR(Table1[[#This Row],[Authentication_Type]]="Biometric", Table1[[#This Row],[Authentication_Type]]="OTP")), "safe location transaction", "unsafe location transaction")</f>
        <v>unsafe location transaction</v>
      </c>
      <c r="R664" s="6" t="str">
        <f>IF(AND(Table1[[#This Row],[Country_of_Residence]]&lt;&gt;Table1[[#This Row],[Country_of_Transaction]], OR(Table1[[#This Row],[Merchant_Category]]="Electronics", Table1[[#This Row],[Merchant_Category]]="Travel")), "unsafe merchant transaction", "safe merchant transaction")</f>
        <v>unsafe merchant transaction</v>
      </c>
    </row>
    <row r="665" spans="1:18">
      <c r="A665" t="s">
        <v>4763</v>
      </c>
      <c r="B665" t="s">
        <v>129</v>
      </c>
      <c r="C665">
        <v>1</v>
      </c>
      <c r="D665" t="s">
        <v>15</v>
      </c>
      <c r="E665" t="s">
        <v>3</v>
      </c>
      <c r="F665" s="2">
        <v>45789</v>
      </c>
      <c r="G665">
        <v>509.42</v>
      </c>
      <c r="H665" s="1">
        <f>AVERAGEIF(Table1[Customer_ID], Table1[[#This Row],[Customer_ID]], Table1[Transaction_Amount])</f>
        <v>5172.7072580645145</v>
      </c>
      <c r="I665" t="s">
        <v>1239</v>
      </c>
      <c r="J665" t="s">
        <v>31</v>
      </c>
      <c r="K665" t="s">
        <v>8</v>
      </c>
      <c r="L665">
        <v>0</v>
      </c>
      <c r="M665" t="s">
        <v>47</v>
      </c>
      <c r="N665" t="s">
        <v>32</v>
      </c>
      <c r="O665" t="s">
        <v>393</v>
      </c>
      <c r="P665" s="6" t="str">
        <f>IF(Table1[[#This Row],[Transaction_Amount]]&lt;=Table1[[#This Row],[avg_transaction_amount]], "usual transaction", "unusual transaction")</f>
        <v>usual transaction</v>
      </c>
      <c r="Q665" s="6" t="str">
        <f>IF(AND(Table1[[#This Row],[Country_of_Residence]]&lt;&gt;Table1[[#This Row],[Country_of_Transaction]], OR(Table1[[#This Row],[Authentication_Type]]="Biometric", Table1[[#This Row],[Authentication_Type]]="OTP")), "safe location transaction", "unsafe location transaction")</f>
        <v>safe location transaction</v>
      </c>
      <c r="R665" s="6" t="str">
        <f>IF(AND(Table1[[#This Row],[Country_of_Residence]]&lt;&gt;Table1[[#This Row],[Country_of_Transaction]], OR(Table1[[#This Row],[Merchant_Category]]="Electronics", Table1[[#This Row],[Merchant_Category]]="Travel")), "unsafe merchant transaction", "safe merchant transaction")</f>
        <v>safe merchant transaction</v>
      </c>
    </row>
    <row r="666" spans="1:18">
      <c r="A666" t="s">
        <v>4810</v>
      </c>
      <c r="B666" t="s">
        <v>129</v>
      </c>
      <c r="C666">
        <v>1</v>
      </c>
      <c r="D666" t="s">
        <v>9</v>
      </c>
      <c r="E666" t="s">
        <v>6</v>
      </c>
      <c r="F666" s="2">
        <v>45827</v>
      </c>
      <c r="G666">
        <v>7964.28</v>
      </c>
      <c r="H666" s="1">
        <f>AVERAGEIF(Table1[Customer_ID], Table1[[#This Row],[Customer_ID]], Table1[Transaction_Amount])</f>
        <v>5172.7072580645145</v>
      </c>
      <c r="I666" t="s">
        <v>2230</v>
      </c>
      <c r="J666" t="s">
        <v>50</v>
      </c>
      <c r="K666" t="s">
        <v>10</v>
      </c>
      <c r="L666">
        <v>1</v>
      </c>
      <c r="M666" t="s">
        <v>51</v>
      </c>
      <c r="N666" t="s">
        <v>412</v>
      </c>
      <c r="O666" t="s">
        <v>392</v>
      </c>
      <c r="P666" s="6" t="str">
        <f>IF(Table1[[#This Row],[Transaction_Amount]]&lt;=Table1[[#This Row],[avg_transaction_amount]], "usual transaction", "unusual transaction")</f>
        <v>unusual transaction</v>
      </c>
      <c r="Q666" s="6" t="str">
        <f>IF(AND(Table1[[#This Row],[Country_of_Residence]]&lt;&gt;Table1[[#This Row],[Country_of_Transaction]], OR(Table1[[#This Row],[Authentication_Type]]="Biometric", Table1[[#This Row],[Authentication_Type]]="OTP")), "safe location transaction", "unsafe location transaction")</f>
        <v>safe location transaction</v>
      </c>
      <c r="R666" s="6" t="str">
        <f>IF(AND(Table1[[#This Row],[Country_of_Residence]]&lt;&gt;Table1[[#This Row],[Country_of_Transaction]], OR(Table1[[#This Row],[Merchant_Category]]="Electronics", Table1[[#This Row],[Merchant_Category]]="Travel")), "unsafe merchant transaction", "safe merchant transaction")</f>
        <v>unsafe merchant transaction</v>
      </c>
    </row>
    <row r="667" spans="1:18">
      <c r="A667" t="s">
        <v>4829</v>
      </c>
      <c r="B667" t="s">
        <v>129</v>
      </c>
      <c r="C667">
        <v>1</v>
      </c>
      <c r="D667" t="s">
        <v>15</v>
      </c>
      <c r="E667" t="s">
        <v>5</v>
      </c>
      <c r="F667" s="2">
        <v>45692</v>
      </c>
      <c r="G667">
        <v>9150.5300000000007</v>
      </c>
      <c r="H667" s="1">
        <f>AVERAGEIF(Table1[Customer_ID], Table1[[#This Row],[Customer_ID]], Table1[Transaction_Amount])</f>
        <v>5172.7072580645145</v>
      </c>
      <c r="I667" t="s">
        <v>1590</v>
      </c>
      <c r="J667" t="s">
        <v>41</v>
      </c>
      <c r="K667" t="s">
        <v>8</v>
      </c>
      <c r="L667">
        <v>3</v>
      </c>
      <c r="M667" t="s">
        <v>412</v>
      </c>
      <c r="N667" t="s">
        <v>37</v>
      </c>
      <c r="O667" t="s">
        <v>393</v>
      </c>
      <c r="P667" s="6" t="str">
        <f>IF(Table1[[#This Row],[Transaction_Amount]]&lt;=Table1[[#This Row],[avg_transaction_amount]], "usual transaction", "unusual transaction")</f>
        <v>unusual transaction</v>
      </c>
      <c r="Q667" s="6" t="str">
        <f>IF(AND(Table1[[#This Row],[Country_of_Residence]]&lt;&gt;Table1[[#This Row],[Country_of_Transaction]], OR(Table1[[#This Row],[Authentication_Type]]="Biometric", Table1[[#This Row],[Authentication_Type]]="OTP")), "safe location transaction", "unsafe location transaction")</f>
        <v>safe location transaction</v>
      </c>
      <c r="R667" s="6" t="str">
        <f>IF(AND(Table1[[#This Row],[Country_of_Residence]]&lt;&gt;Table1[[#This Row],[Country_of_Transaction]], OR(Table1[[#This Row],[Merchant_Category]]="Electronics", Table1[[#This Row],[Merchant_Category]]="Travel")), "unsafe merchant transaction", "safe merchant transaction")</f>
        <v>safe merchant transaction</v>
      </c>
    </row>
    <row r="668" spans="1:18">
      <c r="A668" t="s">
        <v>4849</v>
      </c>
      <c r="B668" t="s">
        <v>129</v>
      </c>
      <c r="C668">
        <v>1</v>
      </c>
      <c r="D668" t="s">
        <v>9</v>
      </c>
      <c r="E668" t="s">
        <v>3</v>
      </c>
      <c r="F668" s="2">
        <v>45872</v>
      </c>
      <c r="G668">
        <v>7923.38</v>
      </c>
      <c r="H668" s="1">
        <f>AVERAGEIF(Table1[Customer_ID], Table1[[#This Row],[Customer_ID]], Table1[Transaction_Amount])</f>
        <v>5172.7072580645145</v>
      </c>
      <c r="I668" t="s">
        <v>2262</v>
      </c>
      <c r="J668" t="s">
        <v>36</v>
      </c>
      <c r="K668" t="s">
        <v>14</v>
      </c>
      <c r="L668">
        <v>3</v>
      </c>
      <c r="M668" t="s">
        <v>56</v>
      </c>
      <c r="N668" t="s">
        <v>51</v>
      </c>
      <c r="O668" t="s">
        <v>392</v>
      </c>
      <c r="P668" s="6" t="str">
        <f>IF(Table1[[#This Row],[Transaction_Amount]]&lt;=Table1[[#This Row],[avg_transaction_amount]], "usual transaction", "unusual transaction")</f>
        <v>unusual transaction</v>
      </c>
      <c r="Q668" s="6" t="str">
        <f>IF(AND(Table1[[#This Row],[Country_of_Residence]]&lt;&gt;Table1[[#This Row],[Country_of_Transaction]], OR(Table1[[#This Row],[Authentication_Type]]="Biometric", Table1[[#This Row],[Authentication_Type]]="OTP")), "safe location transaction", "unsafe location transaction")</f>
        <v>unsafe location transaction</v>
      </c>
      <c r="R668" s="6" t="str">
        <f>IF(AND(Table1[[#This Row],[Country_of_Residence]]&lt;&gt;Table1[[#This Row],[Country_of_Transaction]], OR(Table1[[#This Row],[Merchant_Category]]="Electronics", Table1[[#This Row],[Merchant_Category]]="Travel")), "unsafe merchant transaction", "safe merchant transaction")</f>
        <v>safe merchant transaction</v>
      </c>
    </row>
    <row r="669" spans="1:18">
      <c r="A669" t="s">
        <v>5022</v>
      </c>
      <c r="B669" t="s">
        <v>129</v>
      </c>
      <c r="C669">
        <v>1</v>
      </c>
      <c r="D669" t="s">
        <v>9</v>
      </c>
      <c r="E669" t="s">
        <v>5</v>
      </c>
      <c r="F669" s="2">
        <v>45790</v>
      </c>
      <c r="G669">
        <v>3164.56</v>
      </c>
      <c r="H669" s="1">
        <f>AVERAGEIF(Table1[Customer_ID], Table1[[#This Row],[Customer_ID]], Table1[Transaction_Amount])</f>
        <v>5172.7072580645145</v>
      </c>
      <c r="I669" t="s">
        <v>1551</v>
      </c>
      <c r="J669" t="s">
        <v>50</v>
      </c>
      <c r="K669" t="s">
        <v>12</v>
      </c>
      <c r="L669">
        <v>5</v>
      </c>
      <c r="M669" t="s">
        <v>56</v>
      </c>
      <c r="N669" t="s">
        <v>33</v>
      </c>
      <c r="O669" t="s">
        <v>393</v>
      </c>
      <c r="P669" s="6" t="str">
        <f>IF(Table1[[#This Row],[Transaction_Amount]]&lt;=Table1[[#This Row],[avg_transaction_amount]], "usual transaction", "unusual transaction")</f>
        <v>usual transaction</v>
      </c>
      <c r="Q669" s="6" t="str">
        <f>IF(AND(Table1[[#This Row],[Country_of_Residence]]&lt;&gt;Table1[[#This Row],[Country_of_Transaction]], OR(Table1[[#This Row],[Authentication_Type]]="Biometric", Table1[[#This Row],[Authentication_Type]]="OTP")), "safe location transaction", "unsafe location transaction")</f>
        <v>unsafe location transaction</v>
      </c>
      <c r="R669" s="6" t="str">
        <f>IF(AND(Table1[[#This Row],[Country_of_Residence]]&lt;&gt;Table1[[#This Row],[Country_of_Transaction]], OR(Table1[[#This Row],[Merchant_Category]]="Electronics", Table1[[#This Row],[Merchant_Category]]="Travel")), "unsafe merchant transaction", "safe merchant transaction")</f>
        <v>unsafe merchant transaction</v>
      </c>
    </row>
    <row r="670" spans="1:18">
      <c r="A670" t="s">
        <v>5026</v>
      </c>
      <c r="B670" t="s">
        <v>129</v>
      </c>
      <c r="C670">
        <v>1</v>
      </c>
      <c r="D670" t="s">
        <v>9</v>
      </c>
      <c r="E670" t="s">
        <v>3</v>
      </c>
      <c r="F670" s="2">
        <v>45768</v>
      </c>
      <c r="G670">
        <v>8868.93</v>
      </c>
      <c r="H670" s="1">
        <f>AVERAGEIF(Table1[Customer_ID], Table1[[#This Row],[Customer_ID]], Table1[Transaction_Amount])</f>
        <v>5172.7072580645145</v>
      </c>
      <c r="I670" t="s">
        <v>2400</v>
      </c>
      <c r="J670" t="s">
        <v>50</v>
      </c>
      <c r="K670" t="s">
        <v>14</v>
      </c>
      <c r="L670">
        <v>0</v>
      </c>
      <c r="M670" t="s">
        <v>33</v>
      </c>
      <c r="N670" t="s">
        <v>412</v>
      </c>
      <c r="O670" t="s">
        <v>392</v>
      </c>
      <c r="P670" s="6" t="str">
        <f>IF(Table1[[#This Row],[Transaction_Amount]]&lt;=Table1[[#This Row],[avg_transaction_amount]], "usual transaction", "unusual transaction")</f>
        <v>unusual transaction</v>
      </c>
      <c r="Q670" s="6" t="str">
        <f>IF(AND(Table1[[#This Row],[Country_of_Residence]]&lt;&gt;Table1[[#This Row],[Country_of_Transaction]], OR(Table1[[#This Row],[Authentication_Type]]="Biometric", Table1[[#This Row],[Authentication_Type]]="OTP")), "safe location transaction", "unsafe location transaction")</f>
        <v>unsafe location transaction</v>
      </c>
      <c r="R670" s="6" t="str">
        <f>IF(AND(Table1[[#This Row],[Country_of_Residence]]&lt;&gt;Table1[[#This Row],[Country_of_Transaction]], OR(Table1[[#This Row],[Merchant_Category]]="Electronics", Table1[[#This Row],[Merchant_Category]]="Travel")), "unsafe merchant transaction", "safe merchant transaction")</f>
        <v>unsafe merchant transaction</v>
      </c>
    </row>
    <row r="671" spans="1:18">
      <c r="A671" t="s">
        <v>5045</v>
      </c>
      <c r="B671" t="s">
        <v>129</v>
      </c>
      <c r="C671">
        <v>1</v>
      </c>
      <c r="D671" t="s">
        <v>15</v>
      </c>
      <c r="E671" t="s">
        <v>420</v>
      </c>
      <c r="F671" s="2">
        <v>45678</v>
      </c>
      <c r="G671">
        <v>4656.92</v>
      </c>
      <c r="H671" s="1">
        <f>AVERAGEIF(Table1[Customer_ID], Table1[[#This Row],[Customer_ID]], Table1[Transaction_Amount])</f>
        <v>5172.7072580645145</v>
      </c>
      <c r="I671" t="s">
        <v>2093</v>
      </c>
      <c r="J671" t="s">
        <v>36</v>
      </c>
      <c r="K671" t="s">
        <v>14</v>
      </c>
      <c r="L671">
        <v>4</v>
      </c>
      <c r="M671" t="s">
        <v>412</v>
      </c>
      <c r="N671" t="s">
        <v>55</v>
      </c>
      <c r="O671" t="s">
        <v>392</v>
      </c>
      <c r="P671" s="6" t="str">
        <f>IF(Table1[[#This Row],[Transaction_Amount]]&lt;=Table1[[#This Row],[avg_transaction_amount]], "usual transaction", "unusual transaction")</f>
        <v>usual transaction</v>
      </c>
      <c r="Q671" s="6" t="str">
        <f>IF(AND(Table1[[#This Row],[Country_of_Residence]]&lt;&gt;Table1[[#This Row],[Country_of_Transaction]], OR(Table1[[#This Row],[Authentication_Type]]="Biometric", Table1[[#This Row],[Authentication_Type]]="OTP")), "safe location transaction", "unsafe location transaction")</f>
        <v>unsafe location transaction</v>
      </c>
      <c r="R671" s="6" t="str">
        <f>IF(AND(Table1[[#This Row],[Country_of_Residence]]&lt;&gt;Table1[[#This Row],[Country_of_Transaction]], OR(Table1[[#This Row],[Merchant_Category]]="Electronics", Table1[[#This Row],[Merchant_Category]]="Travel")), "unsafe merchant transaction", "safe merchant transaction")</f>
        <v>safe merchant transaction</v>
      </c>
    </row>
    <row r="672" spans="1:18">
      <c r="A672" t="s">
        <v>5196</v>
      </c>
      <c r="B672" t="s">
        <v>129</v>
      </c>
      <c r="C672">
        <v>1</v>
      </c>
      <c r="D672" t="s">
        <v>9</v>
      </c>
      <c r="E672" t="s">
        <v>6</v>
      </c>
      <c r="F672" s="2">
        <v>45736</v>
      </c>
      <c r="G672">
        <v>3138.67</v>
      </c>
      <c r="H672" s="1">
        <f>AVERAGEIF(Table1[Customer_ID], Table1[[#This Row],[Customer_ID]], Table1[Transaction_Amount])</f>
        <v>5172.7072580645145</v>
      </c>
      <c r="I672" t="s">
        <v>967</v>
      </c>
      <c r="J672" t="s">
        <v>50</v>
      </c>
      <c r="K672" t="s">
        <v>8</v>
      </c>
      <c r="L672">
        <v>1</v>
      </c>
      <c r="M672" t="s">
        <v>47</v>
      </c>
      <c r="N672" t="s">
        <v>37</v>
      </c>
      <c r="O672" t="s">
        <v>392</v>
      </c>
      <c r="P672" s="6" t="str">
        <f>IF(Table1[[#This Row],[Transaction_Amount]]&lt;=Table1[[#This Row],[avg_transaction_amount]], "usual transaction", "unusual transaction")</f>
        <v>usual transaction</v>
      </c>
      <c r="Q672" s="6" t="str">
        <f>IF(AND(Table1[[#This Row],[Country_of_Residence]]&lt;&gt;Table1[[#This Row],[Country_of_Transaction]], OR(Table1[[#This Row],[Authentication_Type]]="Biometric", Table1[[#This Row],[Authentication_Type]]="OTP")), "safe location transaction", "unsafe location transaction")</f>
        <v>safe location transaction</v>
      </c>
      <c r="R672" s="6" t="str">
        <f>IF(AND(Table1[[#This Row],[Country_of_Residence]]&lt;&gt;Table1[[#This Row],[Country_of_Transaction]], OR(Table1[[#This Row],[Merchant_Category]]="Electronics", Table1[[#This Row],[Merchant_Category]]="Travel")), "unsafe merchant transaction", "safe merchant transaction")</f>
        <v>unsafe merchant transaction</v>
      </c>
    </row>
    <row r="673" spans="1:18">
      <c r="A673" t="s">
        <v>5266</v>
      </c>
      <c r="B673" t="s">
        <v>129</v>
      </c>
      <c r="C673">
        <v>1</v>
      </c>
      <c r="D673" t="s">
        <v>9</v>
      </c>
      <c r="E673" t="s">
        <v>420</v>
      </c>
      <c r="F673" s="2">
        <v>45974</v>
      </c>
      <c r="G673">
        <v>7506.37</v>
      </c>
      <c r="H673" s="1">
        <f>AVERAGEIF(Table1[Customer_ID], Table1[[#This Row],[Customer_ID]], Table1[Transaction_Amount])</f>
        <v>5172.7072580645145</v>
      </c>
      <c r="I673" t="s">
        <v>1893</v>
      </c>
      <c r="J673" t="s">
        <v>50</v>
      </c>
      <c r="K673" t="s">
        <v>10</v>
      </c>
      <c r="L673">
        <v>0</v>
      </c>
      <c r="M673" t="s">
        <v>412</v>
      </c>
      <c r="N673" t="s">
        <v>33</v>
      </c>
      <c r="O673" t="s">
        <v>393</v>
      </c>
      <c r="P673" s="6" t="str">
        <f>IF(Table1[[#This Row],[Transaction_Amount]]&lt;=Table1[[#This Row],[avg_transaction_amount]], "usual transaction", "unusual transaction")</f>
        <v>unusual transaction</v>
      </c>
      <c r="Q673" s="6" t="str">
        <f>IF(AND(Table1[[#This Row],[Country_of_Residence]]&lt;&gt;Table1[[#This Row],[Country_of_Transaction]], OR(Table1[[#This Row],[Authentication_Type]]="Biometric", Table1[[#This Row],[Authentication_Type]]="OTP")), "safe location transaction", "unsafe location transaction")</f>
        <v>safe location transaction</v>
      </c>
      <c r="R673" s="6" t="str">
        <f>IF(AND(Table1[[#This Row],[Country_of_Residence]]&lt;&gt;Table1[[#This Row],[Country_of_Transaction]], OR(Table1[[#This Row],[Merchant_Category]]="Electronics", Table1[[#This Row],[Merchant_Category]]="Travel")), "unsafe merchant transaction", "safe merchant transaction")</f>
        <v>unsafe merchant transaction</v>
      </c>
    </row>
    <row r="674" spans="1:18">
      <c r="A674" t="s">
        <v>5269</v>
      </c>
      <c r="B674" t="s">
        <v>129</v>
      </c>
      <c r="C674">
        <v>1</v>
      </c>
      <c r="D674" t="s">
        <v>9</v>
      </c>
      <c r="E674" t="s">
        <v>5</v>
      </c>
      <c r="F674" s="2">
        <v>45772</v>
      </c>
      <c r="G674">
        <v>7628.67</v>
      </c>
      <c r="H674" s="1">
        <f>AVERAGEIF(Table1[Customer_ID], Table1[[#This Row],[Customer_ID]], Table1[Transaction_Amount])</f>
        <v>5172.7072580645145</v>
      </c>
      <c r="I674" t="s">
        <v>2581</v>
      </c>
      <c r="J674" t="s">
        <v>31</v>
      </c>
      <c r="K674" t="s">
        <v>14</v>
      </c>
      <c r="L674">
        <v>4</v>
      </c>
      <c r="M674" t="s">
        <v>56</v>
      </c>
      <c r="N674" t="s">
        <v>47</v>
      </c>
      <c r="O674" t="s">
        <v>392</v>
      </c>
      <c r="P674" s="6" t="str">
        <f>IF(Table1[[#This Row],[Transaction_Amount]]&lt;=Table1[[#This Row],[avg_transaction_amount]], "usual transaction", "unusual transaction")</f>
        <v>unusual transaction</v>
      </c>
      <c r="Q674" s="6" t="str">
        <f>IF(AND(Table1[[#This Row],[Country_of_Residence]]&lt;&gt;Table1[[#This Row],[Country_of_Transaction]], OR(Table1[[#This Row],[Authentication_Type]]="Biometric", Table1[[#This Row],[Authentication_Type]]="OTP")), "safe location transaction", "unsafe location transaction")</f>
        <v>unsafe location transaction</v>
      </c>
      <c r="R674" s="6" t="str">
        <f>IF(AND(Table1[[#This Row],[Country_of_Residence]]&lt;&gt;Table1[[#This Row],[Country_of_Transaction]], OR(Table1[[#This Row],[Merchant_Category]]="Electronics", Table1[[#This Row],[Merchant_Category]]="Travel")), "unsafe merchant transaction", "safe merchant transaction")</f>
        <v>safe merchant transaction</v>
      </c>
    </row>
    <row r="675" spans="1:18">
      <c r="A675" t="s">
        <v>5283</v>
      </c>
      <c r="B675" t="s">
        <v>129</v>
      </c>
      <c r="C675">
        <v>1</v>
      </c>
      <c r="D675" t="s">
        <v>9</v>
      </c>
      <c r="E675" t="s">
        <v>3</v>
      </c>
      <c r="F675" s="2">
        <v>46007</v>
      </c>
      <c r="G675">
        <v>6301.44</v>
      </c>
      <c r="H675" s="1">
        <f>AVERAGEIF(Table1[Customer_ID], Table1[[#This Row],[Customer_ID]], Table1[Transaction_Amount])</f>
        <v>5172.7072580645145</v>
      </c>
      <c r="I675" t="s">
        <v>2591</v>
      </c>
      <c r="J675" t="s">
        <v>31</v>
      </c>
      <c r="K675" t="s">
        <v>8</v>
      </c>
      <c r="L675">
        <v>2</v>
      </c>
      <c r="M675" t="s">
        <v>33</v>
      </c>
      <c r="N675" t="s">
        <v>37</v>
      </c>
      <c r="O675" t="s">
        <v>393</v>
      </c>
      <c r="P675" s="6" t="str">
        <f>IF(Table1[[#This Row],[Transaction_Amount]]&lt;=Table1[[#This Row],[avg_transaction_amount]], "usual transaction", "unusual transaction")</f>
        <v>unusual transaction</v>
      </c>
      <c r="Q675" s="6" t="str">
        <f>IF(AND(Table1[[#This Row],[Country_of_Residence]]&lt;&gt;Table1[[#This Row],[Country_of_Transaction]], OR(Table1[[#This Row],[Authentication_Type]]="Biometric", Table1[[#This Row],[Authentication_Type]]="OTP")), "safe location transaction", "unsafe location transaction")</f>
        <v>safe location transaction</v>
      </c>
      <c r="R675" s="6" t="str">
        <f>IF(AND(Table1[[#This Row],[Country_of_Residence]]&lt;&gt;Table1[[#This Row],[Country_of_Transaction]], OR(Table1[[#This Row],[Merchant_Category]]="Electronics", Table1[[#This Row],[Merchant_Category]]="Travel")), "unsafe merchant transaction", "safe merchant transaction")</f>
        <v>safe merchant transaction</v>
      </c>
    </row>
    <row r="676" spans="1:18">
      <c r="A676" t="s">
        <v>5291</v>
      </c>
      <c r="B676" t="s">
        <v>129</v>
      </c>
      <c r="C676">
        <v>1</v>
      </c>
      <c r="D676" t="s">
        <v>15</v>
      </c>
      <c r="E676" t="s">
        <v>3</v>
      </c>
      <c r="F676" s="2">
        <v>45889</v>
      </c>
      <c r="G676">
        <v>5165.0200000000004</v>
      </c>
      <c r="H676" s="1">
        <f>AVERAGEIF(Table1[Customer_ID], Table1[[#This Row],[Customer_ID]], Table1[Transaction_Amount])</f>
        <v>5172.7072580645145</v>
      </c>
      <c r="I676" t="s">
        <v>2015</v>
      </c>
      <c r="J676" t="s">
        <v>46</v>
      </c>
      <c r="K676" t="s">
        <v>8</v>
      </c>
      <c r="L676">
        <v>2</v>
      </c>
      <c r="M676" t="s">
        <v>55</v>
      </c>
      <c r="N676" t="s">
        <v>32</v>
      </c>
      <c r="O676" t="s">
        <v>393</v>
      </c>
      <c r="P676" s="6" t="str">
        <f>IF(Table1[[#This Row],[Transaction_Amount]]&lt;=Table1[[#This Row],[avg_transaction_amount]], "usual transaction", "unusual transaction")</f>
        <v>usual transaction</v>
      </c>
      <c r="Q676" s="6" t="str">
        <f>IF(AND(Table1[[#This Row],[Country_of_Residence]]&lt;&gt;Table1[[#This Row],[Country_of_Transaction]], OR(Table1[[#This Row],[Authentication_Type]]="Biometric", Table1[[#This Row],[Authentication_Type]]="OTP")), "safe location transaction", "unsafe location transaction")</f>
        <v>safe location transaction</v>
      </c>
      <c r="R676" s="6" t="str">
        <f>IF(AND(Table1[[#This Row],[Country_of_Residence]]&lt;&gt;Table1[[#This Row],[Country_of_Transaction]], OR(Table1[[#This Row],[Merchant_Category]]="Electronics", Table1[[#This Row],[Merchant_Category]]="Travel")), "unsafe merchant transaction", "safe merchant transaction")</f>
        <v>safe merchant transaction</v>
      </c>
    </row>
    <row r="677" spans="1:18">
      <c r="A677" t="s">
        <v>5316</v>
      </c>
      <c r="B677" t="s">
        <v>129</v>
      </c>
      <c r="C677">
        <v>1</v>
      </c>
      <c r="D677" t="s">
        <v>15</v>
      </c>
      <c r="E677" t="s">
        <v>3</v>
      </c>
      <c r="F677" s="2">
        <v>45970</v>
      </c>
      <c r="G677">
        <v>484.92</v>
      </c>
      <c r="H677" s="1">
        <f>AVERAGEIF(Table1[Customer_ID], Table1[[#This Row],[Customer_ID]], Table1[Transaction_Amount])</f>
        <v>5172.7072580645145</v>
      </c>
      <c r="I677" t="s">
        <v>2617</v>
      </c>
      <c r="J677" t="s">
        <v>46</v>
      </c>
      <c r="K677" t="s">
        <v>12</v>
      </c>
      <c r="L677">
        <v>4</v>
      </c>
      <c r="M677" t="s">
        <v>56</v>
      </c>
      <c r="N677" t="s">
        <v>55</v>
      </c>
      <c r="O677" t="s">
        <v>393</v>
      </c>
      <c r="P677" s="6" t="str">
        <f>IF(Table1[[#This Row],[Transaction_Amount]]&lt;=Table1[[#This Row],[avg_transaction_amount]], "usual transaction", "unusual transaction")</f>
        <v>usual transaction</v>
      </c>
      <c r="Q677" s="6" t="str">
        <f>IF(AND(Table1[[#This Row],[Country_of_Residence]]&lt;&gt;Table1[[#This Row],[Country_of_Transaction]], OR(Table1[[#This Row],[Authentication_Type]]="Biometric", Table1[[#This Row],[Authentication_Type]]="OTP")), "safe location transaction", "unsafe location transaction")</f>
        <v>unsafe location transaction</v>
      </c>
      <c r="R677" s="6" t="str">
        <f>IF(AND(Table1[[#This Row],[Country_of_Residence]]&lt;&gt;Table1[[#This Row],[Country_of_Transaction]], OR(Table1[[#This Row],[Merchant_Category]]="Electronics", Table1[[#This Row],[Merchant_Category]]="Travel")), "unsafe merchant transaction", "safe merchant transaction")</f>
        <v>safe merchant transaction</v>
      </c>
    </row>
    <row r="678" spans="1:18">
      <c r="A678" t="s">
        <v>5319</v>
      </c>
      <c r="B678" t="s">
        <v>129</v>
      </c>
      <c r="C678">
        <v>1</v>
      </c>
      <c r="D678" t="s">
        <v>9</v>
      </c>
      <c r="E678" t="s">
        <v>420</v>
      </c>
      <c r="F678" s="2">
        <v>45807</v>
      </c>
      <c r="G678">
        <v>2974.76</v>
      </c>
      <c r="H678" s="1">
        <f>AVERAGEIF(Table1[Customer_ID], Table1[[#This Row],[Customer_ID]], Table1[Transaction_Amount])</f>
        <v>5172.7072580645145</v>
      </c>
      <c r="I678" t="s">
        <v>2619</v>
      </c>
      <c r="J678" t="s">
        <v>46</v>
      </c>
      <c r="K678" t="s">
        <v>8</v>
      </c>
      <c r="L678">
        <v>2</v>
      </c>
      <c r="M678" t="s">
        <v>37</v>
      </c>
      <c r="N678" t="s">
        <v>412</v>
      </c>
      <c r="O678" t="s">
        <v>393</v>
      </c>
      <c r="P678" s="6" t="str">
        <f>IF(Table1[[#This Row],[Transaction_Amount]]&lt;=Table1[[#This Row],[avg_transaction_amount]], "usual transaction", "unusual transaction")</f>
        <v>usual transaction</v>
      </c>
      <c r="Q678" s="6" t="str">
        <f>IF(AND(Table1[[#This Row],[Country_of_Residence]]&lt;&gt;Table1[[#This Row],[Country_of_Transaction]], OR(Table1[[#This Row],[Authentication_Type]]="Biometric", Table1[[#This Row],[Authentication_Type]]="OTP")), "safe location transaction", "unsafe location transaction")</f>
        <v>safe location transaction</v>
      </c>
      <c r="R678" s="6" t="str">
        <f>IF(AND(Table1[[#This Row],[Country_of_Residence]]&lt;&gt;Table1[[#This Row],[Country_of_Transaction]], OR(Table1[[#This Row],[Merchant_Category]]="Electronics", Table1[[#This Row],[Merchant_Category]]="Travel")), "unsafe merchant transaction", "safe merchant transaction")</f>
        <v>safe merchant transaction</v>
      </c>
    </row>
    <row r="679" spans="1:18">
      <c r="A679" t="s">
        <v>5376</v>
      </c>
      <c r="B679" t="s">
        <v>129</v>
      </c>
      <c r="C679">
        <v>1</v>
      </c>
      <c r="D679" t="s">
        <v>9</v>
      </c>
      <c r="E679" t="s">
        <v>5</v>
      </c>
      <c r="F679" s="2">
        <v>45871</v>
      </c>
      <c r="G679">
        <v>3053.78</v>
      </c>
      <c r="H679" s="1">
        <f>AVERAGEIF(Table1[Customer_ID], Table1[[#This Row],[Customer_ID]], Table1[Transaction_Amount])</f>
        <v>5172.7072580645145</v>
      </c>
      <c r="I679" t="s">
        <v>363</v>
      </c>
      <c r="J679" t="s">
        <v>46</v>
      </c>
      <c r="K679" t="s">
        <v>10</v>
      </c>
      <c r="L679">
        <v>1</v>
      </c>
      <c r="M679" t="s">
        <v>51</v>
      </c>
      <c r="N679" t="s">
        <v>37</v>
      </c>
      <c r="O679" t="s">
        <v>393</v>
      </c>
      <c r="P679" s="6" t="str">
        <f>IF(Table1[[#This Row],[Transaction_Amount]]&lt;=Table1[[#This Row],[avg_transaction_amount]], "usual transaction", "unusual transaction")</f>
        <v>usual transaction</v>
      </c>
      <c r="Q679" s="6" t="str">
        <f>IF(AND(Table1[[#This Row],[Country_of_Residence]]&lt;&gt;Table1[[#This Row],[Country_of_Transaction]], OR(Table1[[#This Row],[Authentication_Type]]="Biometric", Table1[[#This Row],[Authentication_Type]]="OTP")), "safe location transaction", "unsafe location transaction")</f>
        <v>safe location transaction</v>
      </c>
      <c r="R679" s="6" t="str">
        <f>IF(AND(Table1[[#This Row],[Country_of_Residence]]&lt;&gt;Table1[[#This Row],[Country_of_Transaction]], OR(Table1[[#This Row],[Merchant_Category]]="Electronics", Table1[[#This Row],[Merchant_Category]]="Travel")), "unsafe merchant transaction", "safe merchant transaction")</f>
        <v>safe merchant transaction</v>
      </c>
    </row>
    <row r="680" spans="1:18">
      <c r="A680" t="s">
        <v>5456</v>
      </c>
      <c r="B680" t="s">
        <v>129</v>
      </c>
      <c r="C680">
        <v>1</v>
      </c>
      <c r="D680" t="s">
        <v>15</v>
      </c>
      <c r="E680" t="s">
        <v>3</v>
      </c>
      <c r="F680" s="2">
        <v>45942</v>
      </c>
      <c r="G680">
        <v>92.8</v>
      </c>
      <c r="H680" s="1">
        <f>AVERAGEIF(Table1[Customer_ID], Table1[[#This Row],[Customer_ID]], Table1[Transaction_Amount])</f>
        <v>5172.7072580645145</v>
      </c>
      <c r="I680" t="s">
        <v>2721</v>
      </c>
      <c r="J680" t="s">
        <v>31</v>
      </c>
      <c r="K680" t="s">
        <v>14</v>
      </c>
      <c r="L680">
        <v>0</v>
      </c>
      <c r="M680" t="s">
        <v>47</v>
      </c>
      <c r="N680" t="s">
        <v>55</v>
      </c>
      <c r="O680" t="s">
        <v>392</v>
      </c>
      <c r="P680" s="6" t="str">
        <f>IF(Table1[[#This Row],[Transaction_Amount]]&lt;=Table1[[#This Row],[avg_transaction_amount]], "usual transaction", "unusual transaction")</f>
        <v>usual transaction</v>
      </c>
      <c r="Q680" s="6" t="str">
        <f>IF(AND(Table1[[#This Row],[Country_of_Residence]]&lt;&gt;Table1[[#This Row],[Country_of_Transaction]], OR(Table1[[#This Row],[Authentication_Type]]="Biometric", Table1[[#This Row],[Authentication_Type]]="OTP")), "safe location transaction", "unsafe location transaction")</f>
        <v>unsafe location transaction</v>
      </c>
      <c r="R680" s="6" t="str">
        <f>IF(AND(Table1[[#This Row],[Country_of_Residence]]&lt;&gt;Table1[[#This Row],[Country_of_Transaction]], OR(Table1[[#This Row],[Merchant_Category]]="Electronics", Table1[[#This Row],[Merchant_Category]]="Travel")), "unsafe merchant transaction", "safe merchant transaction")</f>
        <v>safe merchant transaction</v>
      </c>
    </row>
    <row r="681" spans="1:18">
      <c r="A681" t="s">
        <v>5509</v>
      </c>
      <c r="B681" t="s">
        <v>129</v>
      </c>
      <c r="C681">
        <v>1</v>
      </c>
      <c r="D681" t="s">
        <v>9</v>
      </c>
      <c r="E681" t="s">
        <v>5</v>
      </c>
      <c r="F681" s="2">
        <v>45964</v>
      </c>
      <c r="G681">
        <v>384.28</v>
      </c>
      <c r="H681" s="1">
        <f>AVERAGEIF(Table1[Customer_ID], Table1[[#This Row],[Customer_ID]], Table1[Transaction_Amount])</f>
        <v>5172.7072580645145</v>
      </c>
      <c r="I681" t="s">
        <v>2588</v>
      </c>
      <c r="J681" t="s">
        <v>31</v>
      </c>
      <c r="K681" t="s">
        <v>14</v>
      </c>
      <c r="L681">
        <v>2</v>
      </c>
      <c r="M681" t="s">
        <v>55</v>
      </c>
      <c r="N681" t="s">
        <v>56</v>
      </c>
      <c r="O681" t="s">
        <v>393</v>
      </c>
      <c r="P681" s="6" t="str">
        <f>IF(Table1[[#This Row],[Transaction_Amount]]&lt;=Table1[[#This Row],[avg_transaction_amount]], "usual transaction", "unusual transaction")</f>
        <v>usual transaction</v>
      </c>
      <c r="Q681" s="6" t="str">
        <f>IF(AND(Table1[[#This Row],[Country_of_Residence]]&lt;&gt;Table1[[#This Row],[Country_of_Transaction]], OR(Table1[[#This Row],[Authentication_Type]]="Biometric", Table1[[#This Row],[Authentication_Type]]="OTP")), "safe location transaction", "unsafe location transaction")</f>
        <v>unsafe location transaction</v>
      </c>
      <c r="R681" s="6" t="str">
        <f>IF(AND(Table1[[#This Row],[Country_of_Residence]]&lt;&gt;Table1[[#This Row],[Country_of_Transaction]], OR(Table1[[#This Row],[Merchant_Category]]="Electronics", Table1[[#This Row],[Merchant_Category]]="Travel")), "unsafe merchant transaction", "safe merchant transaction")</f>
        <v>safe merchant transaction</v>
      </c>
    </row>
    <row r="682" spans="1:18">
      <c r="A682" t="s">
        <v>144</v>
      </c>
      <c r="B682" t="s">
        <v>145</v>
      </c>
      <c r="C682">
        <v>1</v>
      </c>
      <c r="D682" t="s">
        <v>13</v>
      </c>
      <c r="E682" t="s">
        <v>3</v>
      </c>
      <c r="F682" s="2">
        <v>45734.431944444397</v>
      </c>
      <c r="G682">
        <v>4735.9799999999996</v>
      </c>
      <c r="H682" s="1">
        <f>AVERAGEIF(Table1[Customer_ID], Table1[[#This Row],[Customer_ID]], Table1[Transaction_Amount])</f>
        <v>4664.5025373134304</v>
      </c>
      <c r="I682" t="s">
        <v>146</v>
      </c>
      <c r="J682" t="s">
        <v>41</v>
      </c>
      <c r="K682" t="s">
        <v>10</v>
      </c>
      <c r="L682">
        <v>2</v>
      </c>
      <c r="M682" t="s">
        <v>108</v>
      </c>
      <c r="N682" t="s">
        <v>147</v>
      </c>
      <c r="O682" t="s">
        <v>393</v>
      </c>
      <c r="P682" t="str">
        <f>IF(Table1[[#This Row],[Transaction_Amount]]&lt;=Table1[[#This Row],[avg_transaction_amount]], "usual transaction", "unusual transaction")</f>
        <v>unusual transaction</v>
      </c>
      <c r="Q682" t="str">
        <f>IF(AND(Table1[[#This Row],[Country_of_Residence]]&lt;&gt;Table1[[#This Row],[Country_of_Transaction]], OR(Table1[[#This Row],[Authentication_Type]]="Biometric", Table1[[#This Row],[Authentication_Type]]="OTP")), "safe location transaction", "unsafe location transaction")</f>
        <v>safe location transaction</v>
      </c>
      <c r="R682" t="str">
        <f>IF(AND(Table1[[#This Row],[Country_of_Residence]]&lt;&gt;Table1[[#This Row],[Country_of_Transaction]], OR(Table1[[#This Row],[Merchant_Category]]="Electronics", Table1[[#This Row],[Merchant_Category]]="Travel")), "unsafe merchant transaction", "safe merchant transaction")</f>
        <v>safe merchant transaction</v>
      </c>
    </row>
    <row r="683" spans="1:18">
      <c r="A683" t="s">
        <v>2932</v>
      </c>
      <c r="B683" t="s">
        <v>145</v>
      </c>
      <c r="C683">
        <v>1</v>
      </c>
      <c r="D683" t="s">
        <v>15</v>
      </c>
      <c r="E683" t="s">
        <v>420</v>
      </c>
      <c r="F683" s="2">
        <v>45764</v>
      </c>
      <c r="G683">
        <v>8056.27</v>
      </c>
      <c r="H683" s="1">
        <f>AVERAGEIF(Table1[Customer_ID], Table1[[#This Row],[Customer_ID]], Table1[Transaction_Amount])</f>
        <v>4664.5025373134304</v>
      </c>
      <c r="I683" t="s">
        <v>581</v>
      </c>
      <c r="J683" t="s">
        <v>31</v>
      </c>
      <c r="K683" t="s">
        <v>12</v>
      </c>
      <c r="L683">
        <v>1</v>
      </c>
      <c r="M683" t="s">
        <v>32</v>
      </c>
      <c r="N683" t="s">
        <v>47</v>
      </c>
      <c r="O683" t="s">
        <v>392</v>
      </c>
      <c r="P683" s="6" t="str">
        <f>IF(Table1[[#This Row],[Transaction_Amount]]&lt;=Table1[[#This Row],[avg_transaction_amount]], "usual transaction", "unusual transaction")</f>
        <v>unusual transaction</v>
      </c>
      <c r="Q683" s="6" t="str">
        <f>IF(AND(Table1[[#This Row],[Country_of_Residence]]&lt;&gt;Table1[[#This Row],[Country_of_Transaction]], OR(Table1[[#This Row],[Authentication_Type]]="Biometric", Table1[[#This Row],[Authentication_Type]]="OTP")), "safe location transaction", "unsafe location transaction")</f>
        <v>unsafe location transaction</v>
      </c>
      <c r="R683" s="6" t="str">
        <f>IF(AND(Table1[[#This Row],[Country_of_Residence]]&lt;&gt;Table1[[#This Row],[Country_of_Transaction]], OR(Table1[[#This Row],[Merchant_Category]]="Electronics", Table1[[#This Row],[Merchant_Category]]="Travel")), "unsafe merchant transaction", "safe merchant transaction")</f>
        <v>safe merchant transaction</v>
      </c>
    </row>
    <row r="684" spans="1:18">
      <c r="A684" t="s">
        <v>2961</v>
      </c>
      <c r="B684" t="s">
        <v>145</v>
      </c>
      <c r="C684">
        <v>1</v>
      </c>
      <c r="D684" t="s">
        <v>9</v>
      </c>
      <c r="E684" t="s">
        <v>5</v>
      </c>
      <c r="F684" s="2">
        <v>45963</v>
      </c>
      <c r="G684">
        <v>4602.63</v>
      </c>
      <c r="H684" s="1">
        <f>AVERAGEIF(Table1[Customer_ID], Table1[[#This Row],[Customer_ID]], Table1[Transaction_Amount])</f>
        <v>4664.5025373134304</v>
      </c>
      <c r="I684" t="s">
        <v>609</v>
      </c>
      <c r="J684" t="s">
        <v>41</v>
      </c>
      <c r="K684" t="s">
        <v>10</v>
      </c>
      <c r="L684">
        <v>2</v>
      </c>
      <c r="M684" t="s">
        <v>51</v>
      </c>
      <c r="N684" t="s">
        <v>47</v>
      </c>
      <c r="O684" t="s">
        <v>392</v>
      </c>
      <c r="P684" s="6" t="str">
        <f>IF(Table1[[#This Row],[Transaction_Amount]]&lt;=Table1[[#This Row],[avg_transaction_amount]], "usual transaction", "unusual transaction")</f>
        <v>usual transaction</v>
      </c>
      <c r="Q684" s="6" t="str">
        <f>IF(AND(Table1[[#This Row],[Country_of_Residence]]&lt;&gt;Table1[[#This Row],[Country_of_Transaction]], OR(Table1[[#This Row],[Authentication_Type]]="Biometric", Table1[[#This Row],[Authentication_Type]]="OTP")), "safe location transaction", "unsafe location transaction")</f>
        <v>safe location transaction</v>
      </c>
      <c r="R684" s="6" t="str">
        <f>IF(AND(Table1[[#This Row],[Country_of_Residence]]&lt;&gt;Table1[[#This Row],[Country_of_Transaction]], OR(Table1[[#This Row],[Merchant_Category]]="Electronics", Table1[[#This Row],[Merchant_Category]]="Travel")), "unsafe merchant transaction", "safe merchant transaction")</f>
        <v>safe merchant transaction</v>
      </c>
    </row>
    <row r="685" spans="1:18">
      <c r="A685" t="s">
        <v>2997</v>
      </c>
      <c r="B685" t="s">
        <v>145</v>
      </c>
      <c r="C685">
        <v>1</v>
      </c>
      <c r="D685" t="s">
        <v>15</v>
      </c>
      <c r="E685" t="s">
        <v>5</v>
      </c>
      <c r="F685" s="2">
        <v>45696</v>
      </c>
      <c r="G685">
        <v>8245.5499999999993</v>
      </c>
      <c r="H685" s="1">
        <f>AVERAGEIF(Table1[Customer_ID], Table1[[#This Row],[Customer_ID]], Table1[Transaction_Amount])</f>
        <v>4664.5025373134304</v>
      </c>
      <c r="I685" t="s">
        <v>644</v>
      </c>
      <c r="J685" t="s">
        <v>46</v>
      </c>
      <c r="K685" t="s">
        <v>8</v>
      </c>
      <c r="L685">
        <v>1</v>
      </c>
      <c r="M685" t="s">
        <v>32</v>
      </c>
      <c r="N685" t="s">
        <v>51</v>
      </c>
      <c r="O685" t="s">
        <v>392</v>
      </c>
      <c r="P685" s="6" t="str">
        <f>IF(Table1[[#This Row],[Transaction_Amount]]&lt;=Table1[[#This Row],[avg_transaction_amount]], "usual transaction", "unusual transaction")</f>
        <v>unusual transaction</v>
      </c>
      <c r="Q685" s="6" t="str">
        <f>IF(AND(Table1[[#This Row],[Country_of_Residence]]&lt;&gt;Table1[[#This Row],[Country_of_Transaction]], OR(Table1[[#This Row],[Authentication_Type]]="Biometric", Table1[[#This Row],[Authentication_Type]]="OTP")), "safe location transaction", "unsafe location transaction")</f>
        <v>safe location transaction</v>
      </c>
      <c r="R685" s="6" t="str">
        <f>IF(AND(Table1[[#This Row],[Country_of_Residence]]&lt;&gt;Table1[[#This Row],[Country_of_Transaction]], OR(Table1[[#This Row],[Merchant_Category]]="Electronics", Table1[[#This Row],[Merchant_Category]]="Travel")), "unsafe merchant transaction", "safe merchant transaction")</f>
        <v>safe merchant transaction</v>
      </c>
    </row>
    <row r="686" spans="1:18">
      <c r="A686" t="s">
        <v>3000</v>
      </c>
      <c r="B686" t="s">
        <v>145</v>
      </c>
      <c r="C686">
        <v>1</v>
      </c>
      <c r="D686" t="s">
        <v>15</v>
      </c>
      <c r="E686" t="s">
        <v>3</v>
      </c>
      <c r="F686" s="2">
        <v>45853</v>
      </c>
      <c r="G686">
        <v>6444.39</v>
      </c>
      <c r="H686" s="1">
        <f>AVERAGEIF(Table1[Customer_ID], Table1[[#This Row],[Customer_ID]], Table1[Transaction_Amount])</f>
        <v>4664.5025373134304</v>
      </c>
      <c r="I686" t="s">
        <v>647</v>
      </c>
      <c r="J686" t="s">
        <v>36</v>
      </c>
      <c r="K686" t="s">
        <v>8</v>
      </c>
      <c r="L686">
        <v>2</v>
      </c>
      <c r="M686" t="s">
        <v>33</v>
      </c>
      <c r="N686" t="s">
        <v>51</v>
      </c>
      <c r="O686" t="s">
        <v>393</v>
      </c>
      <c r="P686" s="6" t="str">
        <f>IF(Table1[[#This Row],[Transaction_Amount]]&lt;=Table1[[#This Row],[avg_transaction_amount]], "usual transaction", "unusual transaction")</f>
        <v>unusual transaction</v>
      </c>
      <c r="Q686" s="6" t="str">
        <f>IF(AND(Table1[[#This Row],[Country_of_Residence]]&lt;&gt;Table1[[#This Row],[Country_of_Transaction]], OR(Table1[[#This Row],[Authentication_Type]]="Biometric", Table1[[#This Row],[Authentication_Type]]="OTP")), "safe location transaction", "unsafe location transaction")</f>
        <v>safe location transaction</v>
      </c>
      <c r="R686" s="6" t="str">
        <f>IF(AND(Table1[[#This Row],[Country_of_Residence]]&lt;&gt;Table1[[#This Row],[Country_of_Transaction]], OR(Table1[[#This Row],[Merchant_Category]]="Electronics", Table1[[#This Row],[Merchant_Category]]="Travel")), "unsafe merchant transaction", "safe merchant transaction")</f>
        <v>safe merchant transaction</v>
      </c>
    </row>
    <row r="687" spans="1:18">
      <c r="A687" t="s">
        <v>3059</v>
      </c>
      <c r="B687" t="s">
        <v>145</v>
      </c>
      <c r="C687">
        <v>1</v>
      </c>
      <c r="D687" t="s">
        <v>9</v>
      </c>
      <c r="E687" t="s">
        <v>6</v>
      </c>
      <c r="F687" s="2">
        <v>46021</v>
      </c>
      <c r="G687">
        <v>2136.64</v>
      </c>
      <c r="H687" s="1">
        <f>AVERAGEIF(Table1[Customer_ID], Table1[[#This Row],[Customer_ID]], Table1[Transaction_Amount])</f>
        <v>4664.5025373134304</v>
      </c>
      <c r="I687" t="s">
        <v>704</v>
      </c>
      <c r="J687" t="s">
        <v>41</v>
      </c>
      <c r="K687" t="s">
        <v>14</v>
      </c>
      <c r="L687">
        <v>5</v>
      </c>
      <c r="M687" t="s">
        <v>32</v>
      </c>
      <c r="N687" t="s">
        <v>51</v>
      </c>
      <c r="O687" t="s">
        <v>393</v>
      </c>
      <c r="P687" s="6" t="str">
        <f>IF(Table1[[#This Row],[Transaction_Amount]]&lt;=Table1[[#This Row],[avg_transaction_amount]], "usual transaction", "unusual transaction")</f>
        <v>usual transaction</v>
      </c>
      <c r="Q687" s="6" t="str">
        <f>IF(AND(Table1[[#This Row],[Country_of_Residence]]&lt;&gt;Table1[[#This Row],[Country_of_Transaction]], OR(Table1[[#This Row],[Authentication_Type]]="Biometric", Table1[[#This Row],[Authentication_Type]]="OTP")), "safe location transaction", "unsafe location transaction")</f>
        <v>unsafe location transaction</v>
      </c>
      <c r="R687" s="6" t="str">
        <f>IF(AND(Table1[[#This Row],[Country_of_Residence]]&lt;&gt;Table1[[#This Row],[Country_of_Transaction]], OR(Table1[[#This Row],[Merchant_Category]]="Electronics", Table1[[#This Row],[Merchant_Category]]="Travel")), "unsafe merchant transaction", "safe merchant transaction")</f>
        <v>safe merchant transaction</v>
      </c>
    </row>
    <row r="688" spans="1:18">
      <c r="A688" t="s">
        <v>3061</v>
      </c>
      <c r="B688" t="s">
        <v>145</v>
      </c>
      <c r="C688">
        <v>1</v>
      </c>
      <c r="D688" t="s">
        <v>9</v>
      </c>
      <c r="E688" t="s">
        <v>5</v>
      </c>
      <c r="F688" s="2">
        <v>45732</v>
      </c>
      <c r="G688">
        <v>2706.43</v>
      </c>
      <c r="H688" s="1">
        <f>AVERAGEIF(Table1[Customer_ID], Table1[[#This Row],[Customer_ID]], Table1[Transaction_Amount])</f>
        <v>4664.5025373134304</v>
      </c>
      <c r="I688" t="s">
        <v>706</v>
      </c>
      <c r="J688" t="s">
        <v>46</v>
      </c>
      <c r="K688" t="s">
        <v>10</v>
      </c>
      <c r="L688">
        <v>2</v>
      </c>
      <c r="M688" t="s">
        <v>47</v>
      </c>
      <c r="N688" t="s">
        <v>32</v>
      </c>
      <c r="O688" t="s">
        <v>392</v>
      </c>
      <c r="P688" s="6" t="str">
        <f>IF(Table1[[#This Row],[Transaction_Amount]]&lt;=Table1[[#This Row],[avg_transaction_amount]], "usual transaction", "unusual transaction")</f>
        <v>usual transaction</v>
      </c>
      <c r="Q688" s="6" t="str">
        <f>IF(AND(Table1[[#This Row],[Country_of_Residence]]&lt;&gt;Table1[[#This Row],[Country_of_Transaction]], OR(Table1[[#This Row],[Authentication_Type]]="Biometric", Table1[[#This Row],[Authentication_Type]]="OTP")), "safe location transaction", "unsafe location transaction")</f>
        <v>safe location transaction</v>
      </c>
      <c r="R688" s="6" t="str">
        <f>IF(AND(Table1[[#This Row],[Country_of_Residence]]&lt;&gt;Table1[[#This Row],[Country_of_Transaction]], OR(Table1[[#This Row],[Merchant_Category]]="Electronics", Table1[[#This Row],[Merchant_Category]]="Travel")), "unsafe merchant transaction", "safe merchant transaction")</f>
        <v>safe merchant transaction</v>
      </c>
    </row>
    <row r="689" spans="1:18">
      <c r="A689" t="s">
        <v>3223</v>
      </c>
      <c r="B689" t="s">
        <v>145</v>
      </c>
      <c r="C689">
        <v>1</v>
      </c>
      <c r="D689" t="s">
        <v>15</v>
      </c>
      <c r="E689" t="s">
        <v>5</v>
      </c>
      <c r="F689" s="2">
        <v>45934</v>
      </c>
      <c r="G689">
        <v>1219.2</v>
      </c>
      <c r="H689" s="1">
        <f>AVERAGEIF(Table1[Customer_ID], Table1[[#This Row],[Customer_ID]], Table1[Transaction_Amount])</f>
        <v>4664.5025373134304</v>
      </c>
      <c r="I689" t="s">
        <v>856</v>
      </c>
      <c r="J689" t="s">
        <v>36</v>
      </c>
      <c r="K689" t="s">
        <v>12</v>
      </c>
      <c r="L689">
        <v>2</v>
      </c>
      <c r="M689" t="s">
        <v>412</v>
      </c>
      <c r="N689" t="s">
        <v>55</v>
      </c>
      <c r="O689" t="s">
        <v>392</v>
      </c>
      <c r="P689" s="6" t="str">
        <f>IF(Table1[[#This Row],[Transaction_Amount]]&lt;=Table1[[#This Row],[avg_transaction_amount]], "usual transaction", "unusual transaction")</f>
        <v>usual transaction</v>
      </c>
      <c r="Q689" s="6" t="str">
        <f>IF(AND(Table1[[#This Row],[Country_of_Residence]]&lt;&gt;Table1[[#This Row],[Country_of_Transaction]], OR(Table1[[#This Row],[Authentication_Type]]="Biometric", Table1[[#This Row],[Authentication_Type]]="OTP")), "safe location transaction", "unsafe location transaction")</f>
        <v>unsafe location transaction</v>
      </c>
      <c r="R689" s="6" t="str">
        <f>IF(AND(Table1[[#This Row],[Country_of_Residence]]&lt;&gt;Table1[[#This Row],[Country_of_Transaction]], OR(Table1[[#This Row],[Merchant_Category]]="Electronics", Table1[[#This Row],[Merchant_Category]]="Travel")), "unsafe merchant transaction", "safe merchant transaction")</f>
        <v>safe merchant transaction</v>
      </c>
    </row>
    <row r="690" spans="1:18">
      <c r="A690" t="s">
        <v>3266</v>
      </c>
      <c r="B690" t="s">
        <v>145</v>
      </c>
      <c r="C690">
        <v>1</v>
      </c>
      <c r="D690" t="s">
        <v>9</v>
      </c>
      <c r="E690" t="s">
        <v>5</v>
      </c>
      <c r="F690" s="2">
        <v>45749</v>
      </c>
      <c r="G690">
        <v>8574.9</v>
      </c>
      <c r="H690" s="1">
        <f>AVERAGEIF(Table1[Customer_ID], Table1[[#This Row],[Customer_ID]], Table1[Transaction_Amount])</f>
        <v>4664.5025373134304</v>
      </c>
      <c r="I690" t="s">
        <v>894</v>
      </c>
      <c r="J690" t="s">
        <v>31</v>
      </c>
      <c r="K690" t="s">
        <v>8</v>
      </c>
      <c r="L690">
        <v>3</v>
      </c>
      <c r="M690" t="s">
        <v>33</v>
      </c>
      <c r="N690" t="s">
        <v>32</v>
      </c>
      <c r="O690" t="s">
        <v>392</v>
      </c>
      <c r="P690" s="6" t="str">
        <f>IF(Table1[[#This Row],[Transaction_Amount]]&lt;=Table1[[#This Row],[avg_transaction_amount]], "usual transaction", "unusual transaction")</f>
        <v>unusual transaction</v>
      </c>
      <c r="Q690" s="6" t="str">
        <f>IF(AND(Table1[[#This Row],[Country_of_Residence]]&lt;&gt;Table1[[#This Row],[Country_of_Transaction]], OR(Table1[[#This Row],[Authentication_Type]]="Biometric", Table1[[#This Row],[Authentication_Type]]="OTP")), "safe location transaction", "unsafe location transaction")</f>
        <v>safe location transaction</v>
      </c>
      <c r="R690" s="6" t="str">
        <f>IF(AND(Table1[[#This Row],[Country_of_Residence]]&lt;&gt;Table1[[#This Row],[Country_of_Transaction]], OR(Table1[[#This Row],[Merchant_Category]]="Electronics", Table1[[#This Row],[Merchant_Category]]="Travel")), "unsafe merchant transaction", "safe merchant transaction")</f>
        <v>safe merchant transaction</v>
      </c>
    </row>
    <row r="691" spans="1:18">
      <c r="A691" t="s">
        <v>3292</v>
      </c>
      <c r="B691" t="s">
        <v>145</v>
      </c>
      <c r="C691">
        <v>1</v>
      </c>
      <c r="D691" t="s">
        <v>15</v>
      </c>
      <c r="E691" t="s">
        <v>3</v>
      </c>
      <c r="F691" s="2">
        <v>45738</v>
      </c>
      <c r="G691">
        <v>6301.55</v>
      </c>
      <c r="H691" s="1">
        <f>AVERAGEIF(Table1[Customer_ID], Table1[[#This Row],[Customer_ID]], Table1[Transaction_Amount])</f>
        <v>4664.5025373134304</v>
      </c>
      <c r="I691" t="s">
        <v>920</v>
      </c>
      <c r="J691" t="s">
        <v>46</v>
      </c>
      <c r="K691" t="s">
        <v>8</v>
      </c>
      <c r="L691">
        <v>2</v>
      </c>
      <c r="M691" t="s">
        <v>47</v>
      </c>
      <c r="N691" t="s">
        <v>47</v>
      </c>
      <c r="O691" t="s">
        <v>392</v>
      </c>
      <c r="P691" s="6" t="str">
        <f>IF(Table1[[#This Row],[Transaction_Amount]]&lt;=Table1[[#This Row],[avg_transaction_amount]], "usual transaction", "unusual transaction")</f>
        <v>unusual transaction</v>
      </c>
      <c r="Q691" s="6" t="str">
        <f>IF(AND(Table1[[#This Row],[Country_of_Residence]]&lt;&gt;Table1[[#This Row],[Country_of_Transaction]], OR(Table1[[#This Row],[Authentication_Type]]="Biometric", Table1[[#This Row],[Authentication_Type]]="OTP")), "safe location transaction", "unsafe location transaction")</f>
        <v>unsafe location transaction</v>
      </c>
      <c r="R691" s="6" t="str">
        <f>IF(AND(Table1[[#This Row],[Country_of_Residence]]&lt;&gt;Table1[[#This Row],[Country_of_Transaction]], OR(Table1[[#This Row],[Merchant_Category]]="Electronics", Table1[[#This Row],[Merchant_Category]]="Travel")), "unsafe merchant transaction", "safe merchant transaction")</f>
        <v>safe merchant transaction</v>
      </c>
    </row>
    <row r="692" spans="1:18">
      <c r="A692" t="s">
        <v>3317</v>
      </c>
      <c r="B692" t="s">
        <v>145</v>
      </c>
      <c r="C692">
        <v>1</v>
      </c>
      <c r="D692" t="s">
        <v>15</v>
      </c>
      <c r="E692" t="s">
        <v>3</v>
      </c>
      <c r="F692" s="2">
        <v>45765</v>
      </c>
      <c r="G692">
        <v>1163.53</v>
      </c>
      <c r="H692" s="1">
        <f>AVERAGEIF(Table1[Customer_ID], Table1[[#This Row],[Customer_ID]], Table1[Transaction_Amount])</f>
        <v>4664.5025373134304</v>
      </c>
      <c r="I692" t="s">
        <v>943</v>
      </c>
      <c r="J692" t="s">
        <v>46</v>
      </c>
      <c r="K692" t="s">
        <v>8</v>
      </c>
      <c r="L692">
        <v>5</v>
      </c>
      <c r="M692" t="s">
        <v>33</v>
      </c>
      <c r="N692" t="s">
        <v>55</v>
      </c>
      <c r="O692" t="s">
        <v>392</v>
      </c>
      <c r="P692" s="6" t="str">
        <f>IF(Table1[[#This Row],[Transaction_Amount]]&lt;=Table1[[#This Row],[avg_transaction_amount]], "usual transaction", "unusual transaction")</f>
        <v>usual transaction</v>
      </c>
      <c r="Q692" s="6" t="str">
        <f>IF(AND(Table1[[#This Row],[Country_of_Residence]]&lt;&gt;Table1[[#This Row],[Country_of_Transaction]], OR(Table1[[#This Row],[Authentication_Type]]="Biometric", Table1[[#This Row],[Authentication_Type]]="OTP")), "safe location transaction", "unsafe location transaction")</f>
        <v>safe location transaction</v>
      </c>
      <c r="R692" s="6" t="str">
        <f>IF(AND(Table1[[#This Row],[Country_of_Residence]]&lt;&gt;Table1[[#This Row],[Country_of_Transaction]], OR(Table1[[#This Row],[Merchant_Category]]="Electronics", Table1[[#This Row],[Merchant_Category]]="Travel")), "unsafe merchant transaction", "safe merchant transaction")</f>
        <v>safe merchant transaction</v>
      </c>
    </row>
    <row r="693" spans="1:18">
      <c r="A693" t="s">
        <v>3319</v>
      </c>
      <c r="B693" t="s">
        <v>145</v>
      </c>
      <c r="C693">
        <v>1</v>
      </c>
      <c r="D693" t="s">
        <v>9</v>
      </c>
      <c r="E693" t="s">
        <v>3</v>
      </c>
      <c r="F693" s="2">
        <v>45828</v>
      </c>
      <c r="G693">
        <v>2983.57</v>
      </c>
      <c r="H693" s="1">
        <f>AVERAGEIF(Table1[Customer_ID], Table1[[#This Row],[Customer_ID]], Table1[Transaction_Amount])</f>
        <v>4664.5025373134304</v>
      </c>
      <c r="I693" t="s">
        <v>945</v>
      </c>
      <c r="J693" t="s">
        <v>36</v>
      </c>
      <c r="K693" t="s">
        <v>8</v>
      </c>
      <c r="L693">
        <v>3</v>
      </c>
      <c r="M693" t="s">
        <v>33</v>
      </c>
      <c r="N693" t="s">
        <v>37</v>
      </c>
      <c r="O693" t="s">
        <v>392</v>
      </c>
      <c r="P693" s="6" t="str">
        <f>IF(Table1[[#This Row],[Transaction_Amount]]&lt;=Table1[[#This Row],[avg_transaction_amount]], "usual transaction", "unusual transaction")</f>
        <v>usual transaction</v>
      </c>
      <c r="Q693" s="6" t="str">
        <f>IF(AND(Table1[[#This Row],[Country_of_Residence]]&lt;&gt;Table1[[#This Row],[Country_of_Transaction]], OR(Table1[[#This Row],[Authentication_Type]]="Biometric", Table1[[#This Row],[Authentication_Type]]="OTP")), "safe location transaction", "unsafe location transaction")</f>
        <v>safe location transaction</v>
      </c>
      <c r="R693" s="6" t="str">
        <f>IF(AND(Table1[[#This Row],[Country_of_Residence]]&lt;&gt;Table1[[#This Row],[Country_of_Transaction]], OR(Table1[[#This Row],[Merchant_Category]]="Electronics", Table1[[#This Row],[Merchant_Category]]="Travel")), "unsafe merchant transaction", "safe merchant transaction")</f>
        <v>safe merchant transaction</v>
      </c>
    </row>
    <row r="694" spans="1:18">
      <c r="A694" t="s">
        <v>3345</v>
      </c>
      <c r="B694" t="s">
        <v>145</v>
      </c>
      <c r="C694">
        <v>1</v>
      </c>
      <c r="D694" t="s">
        <v>15</v>
      </c>
      <c r="E694" t="s">
        <v>6</v>
      </c>
      <c r="F694" s="2">
        <v>45901</v>
      </c>
      <c r="G694">
        <v>9553.92</v>
      </c>
      <c r="H694" s="1">
        <f>AVERAGEIF(Table1[Customer_ID], Table1[[#This Row],[Customer_ID]], Table1[Transaction_Amount])</f>
        <v>4664.5025373134304</v>
      </c>
      <c r="I694" t="s">
        <v>969</v>
      </c>
      <c r="J694" t="s">
        <v>31</v>
      </c>
      <c r="K694" t="s">
        <v>12</v>
      </c>
      <c r="L694">
        <v>0</v>
      </c>
      <c r="M694" t="s">
        <v>37</v>
      </c>
      <c r="N694" t="s">
        <v>55</v>
      </c>
      <c r="O694" t="s">
        <v>392</v>
      </c>
      <c r="P694" s="6" t="str">
        <f>IF(Table1[[#This Row],[Transaction_Amount]]&lt;=Table1[[#This Row],[avg_transaction_amount]], "usual transaction", "unusual transaction")</f>
        <v>unusual transaction</v>
      </c>
      <c r="Q694" s="6" t="str">
        <f>IF(AND(Table1[[#This Row],[Country_of_Residence]]&lt;&gt;Table1[[#This Row],[Country_of_Transaction]], OR(Table1[[#This Row],[Authentication_Type]]="Biometric", Table1[[#This Row],[Authentication_Type]]="OTP")), "safe location transaction", "unsafe location transaction")</f>
        <v>unsafe location transaction</v>
      </c>
      <c r="R694" s="6" t="str">
        <f>IF(AND(Table1[[#This Row],[Country_of_Residence]]&lt;&gt;Table1[[#This Row],[Country_of_Transaction]], OR(Table1[[#This Row],[Merchant_Category]]="Electronics", Table1[[#This Row],[Merchant_Category]]="Travel")), "unsafe merchant transaction", "safe merchant transaction")</f>
        <v>safe merchant transaction</v>
      </c>
    </row>
    <row r="695" spans="1:18">
      <c r="A695" t="s">
        <v>3359</v>
      </c>
      <c r="B695" t="s">
        <v>145</v>
      </c>
      <c r="C695">
        <v>1</v>
      </c>
      <c r="D695" t="s">
        <v>15</v>
      </c>
      <c r="E695" t="s">
        <v>5</v>
      </c>
      <c r="F695" s="2">
        <v>45949</v>
      </c>
      <c r="G695">
        <v>9843.42</v>
      </c>
      <c r="H695" s="1">
        <f>AVERAGEIF(Table1[Customer_ID], Table1[[#This Row],[Customer_ID]], Table1[Transaction_Amount])</f>
        <v>4664.5025373134304</v>
      </c>
      <c r="I695" t="s">
        <v>983</v>
      </c>
      <c r="J695" t="s">
        <v>46</v>
      </c>
      <c r="K695" t="s">
        <v>12</v>
      </c>
      <c r="L695">
        <v>5</v>
      </c>
      <c r="M695" t="s">
        <v>42</v>
      </c>
      <c r="N695" t="s">
        <v>32</v>
      </c>
      <c r="O695" t="s">
        <v>392</v>
      </c>
      <c r="P695" s="6" t="str">
        <f>IF(Table1[[#This Row],[Transaction_Amount]]&lt;=Table1[[#This Row],[avg_transaction_amount]], "usual transaction", "unusual transaction")</f>
        <v>unusual transaction</v>
      </c>
      <c r="Q695" s="6" t="str">
        <f>IF(AND(Table1[[#This Row],[Country_of_Residence]]&lt;&gt;Table1[[#This Row],[Country_of_Transaction]], OR(Table1[[#This Row],[Authentication_Type]]="Biometric", Table1[[#This Row],[Authentication_Type]]="OTP")), "safe location transaction", "unsafe location transaction")</f>
        <v>unsafe location transaction</v>
      </c>
      <c r="R695" s="6" t="str">
        <f>IF(AND(Table1[[#This Row],[Country_of_Residence]]&lt;&gt;Table1[[#This Row],[Country_of_Transaction]], OR(Table1[[#This Row],[Merchant_Category]]="Electronics", Table1[[#This Row],[Merchant_Category]]="Travel")), "unsafe merchant transaction", "safe merchant transaction")</f>
        <v>safe merchant transaction</v>
      </c>
    </row>
    <row r="696" spans="1:18">
      <c r="A696" t="s">
        <v>3414</v>
      </c>
      <c r="B696" t="s">
        <v>145</v>
      </c>
      <c r="C696">
        <v>1</v>
      </c>
      <c r="D696" t="s">
        <v>9</v>
      </c>
      <c r="E696" t="s">
        <v>420</v>
      </c>
      <c r="F696" s="2">
        <v>45865</v>
      </c>
      <c r="G696">
        <v>91.6</v>
      </c>
      <c r="H696" s="1">
        <f>AVERAGEIF(Table1[Customer_ID], Table1[[#This Row],[Customer_ID]], Table1[Transaction_Amount])</f>
        <v>4664.5025373134304</v>
      </c>
      <c r="I696" t="s">
        <v>1034</v>
      </c>
      <c r="J696" t="s">
        <v>50</v>
      </c>
      <c r="K696" t="s">
        <v>8</v>
      </c>
      <c r="L696">
        <v>3</v>
      </c>
      <c r="M696" t="s">
        <v>37</v>
      </c>
      <c r="N696" t="s">
        <v>32</v>
      </c>
      <c r="O696" t="s">
        <v>393</v>
      </c>
      <c r="P696" s="6" t="str">
        <f>IF(Table1[[#This Row],[Transaction_Amount]]&lt;=Table1[[#This Row],[avg_transaction_amount]], "usual transaction", "unusual transaction")</f>
        <v>usual transaction</v>
      </c>
      <c r="Q696" s="6" t="str">
        <f>IF(AND(Table1[[#This Row],[Country_of_Residence]]&lt;&gt;Table1[[#This Row],[Country_of_Transaction]], OR(Table1[[#This Row],[Authentication_Type]]="Biometric", Table1[[#This Row],[Authentication_Type]]="OTP")), "safe location transaction", "unsafe location transaction")</f>
        <v>safe location transaction</v>
      </c>
      <c r="R696" s="6" t="str">
        <f>IF(AND(Table1[[#This Row],[Country_of_Residence]]&lt;&gt;Table1[[#This Row],[Country_of_Transaction]], OR(Table1[[#This Row],[Merchant_Category]]="Electronics", Table1[[#This Row],[Merchant_Category]]="Travel")), "unsafe merchant transaction", "safe merchant transaction")</f>
        <v>unsafe merchant transaction</v>
      </c>
    </row>
    <row r="697" spans="1:18">
      <c r="A697" t="s">
        <v>3461</v>
      </c>
      <c r="B697" t="s">
        <v>145</v>
      </c>
      <c r="C697">
        <v>1</v>
      </c>
      <c r="D697" t="s">
        <v>15</v>
      </c>
      <c r="E697" t="s">
        <v>420</v>
      </c>
      <c r="F697" s="2">
        <v>45721</v>
      </c>
      <c r="G697">
        <v>893.2</v>
      </c>
      <c r="H697" s="1">
        <f>AVERAGEIF(Table1[Customer_ID], Table1[[#This Row],[Customer_ID]], Table1[Transaction_Amount])</f>
        <v>4664.5025373134304</v>
      </c>
      <c r="I697" t="s">
        <v>1079</v>
      </c>
      <c r="J697" t="s">
        <v>46</v>
      </c>
      <c r="K697" t="s">
        <v>14</v>
      </c>
      <c r="L697">
        <v>1</v>
      </c>
      <c r="M697" t="s">
        <v>47</v>
      </c>
      <c r="N697" t="s">
        <v>56</v>
      </c>
      <c r="O697" t="s">
        <v>393</v>
      </c>
      <c r="P697" s="6" t="str">
        <f>IF(Table1[[#This Row],[Transaction_Amount]]&lt;=Table1[[#This Row],[avg_transaction_amount]], "usual transaction", "unusual transaction")</f>
        <v>usual transaction</v>
      </c>
      <c r="Q697" s="6" t="str">
        <f>IF(AND(Table1[[#This Row],[Country_of_Residence]]&lt;&gt;Table1[[#This Row],[Country_of_Transaction]], OR(Table1[[#This Row],[Authentication_Type]]="Biometric", Table1[[#This Row],[Authentication_Type]]="OTP")), "safe location transaction", "unsafe location transaction")</f>
        <v>unsafe location transaction</v>
      </c>
      <c r="R697" s="6" t="str">
        <f>IF(AND(Table1[[#This Row],[Country_of_Residence]]&lt;&gt;Table1[[#This Row],[Country_of_Transaction]], OR(Table1[[#This Row],[Merchant_Category]]="Electronics", Table1[[#This Row],[Merchant_Category]]="Travel")), "unsafe merchant transaction", "safe merchant transaction")</f>
        <v>safe merchant transaction</v>
      </c>
    </row>
    <row r="698" spans="1:18">
      <c r="A698" t="s">
        <v>3468</v>
      </c>
      <c r="B698" t="s">
        <v>145</v>
      </c>
      <c r="C698">
        <v>1</v>
      </c>
      <c r="D698" t="s">
        <v>15</v>
      </c>
      <c r="E698" t="s">
        <v>3</v>
      </c>
      <c r="F698" s="2">
        <v>45684</v>
      </c>
      <c r="G698">
        <v>9294.5300000000007</v>
      </c>
      <c r="H698" s="1">
        <f>AVERAGEIF(Table1[Customer_ID], Table1[[#This Row],[Customer_ID]], Table1[Transaction_Amount])</f>
        <v>4664.5025373134304</v>
      </c>
      <c r="I698" t="s">
        <v>1086</v>
      </c>
      <c r="J698" t="s">
        <v>41</v>
      </c>
      <c r="K698" t="s">
        <v>14</v>
      </c>
      <c r="L698">
        <v>5</v>
      </c>
      <c r="M698" t="s">
        <v>55</v>
      </c>
      <c r="N698" t="s">
        <v>55</v>
      </c>
      <c r="O698" t="s">
        <v>393</v>
      </c>
      <c r="P698" s="6" t="str">
        <f>IF(Table1[[#This Row],[Transaction_Amount]]&lt;=Table1[[#This Row],[avg_transaction_amount]], "usual transaction", "unusual transaction")</f>
        <v>unusual transaction</v>
      </c>
      <c r="Q698" s="6" t="str">
        <f>IF(AND(Table1[[#This Row],[Country_of_Residence]]&lt;&gt;Table1[[#This Row],[Country_of_Transaction]], OR(Table1[[#This Row],[Authentication_Type]]="Biometric", Table1[[#This Row],[Authentication_Type]]="OTP")), "safe location transaction", "unsafe location transaction")</f>
        <v>unsafe location transaction</v>
      </c>
      <c r="R698" s="6" t="str">
        <f>IF(AND(Table1[[#This Row],[Country_of_Residence]]&lt;&gt;Table1[[#This Row],[Country_of_Transaction]], OR(Table1[[#This Row],[Merchant_Category]]="Electronics", Table1[[#This Row],[Merchant_Category]]="Travel")), "unsafe merchant transaction", "safe merchant transaction")</f>
        <v>safe merchant transaction</v>
      </c>
    </row>
    <row r="699" spans="1:18">
      <c r="A699" t="s">
        <v>3501</v>
      </c>
      <c r="B699" t="s">
        <v>145</v>
      </c>
      <c r="C699">
        <v>1</v>
      </c>
      <c r="D699" t="s">
        <v>15</v>
      </c>
      <c r="E699" t="s">
        <v>6</v>
      </c>
      <c r="F699" s="2">
        <v>45795</v>
      </c>
      <c r="G699">
        <v>5539.33</v>
      </c>
      <c r="H699" s="1">
        <f>AVERAGEIF(Table1[Customer_ID], Table1[[#This Row],[Customer_ID]], Table1[Transaction_Amount])</f>
        <v>4664.5025373134304</v>
      </c>
      <c r="I699" t="s">
        <v>1116</v>
      </c>
      <c r="J699" t="s">
        <v>41</v>
      </c>
      <c r="K699" t="s">
        <v>8</v>
      </c>
      <c r="L699">
        <v>0</v>
      </c>
      <c r="M699" t="s">
        <v>412</v>
      </c>
      <c r="N699" t="s">
        <v>51</v>
      </c>
      <c r="O699" t="s">
        <v>392</v>
      </c>
      <c r="P699" s="6" t="str">
        <f>IF(Table1[[#This Row],[Transaction_Amount]]&lt;=Table1[[#This Row],[avg_transaction_amount]], "usual transaction", "unusual transaction")</f>
        <v>unusual transaction</v>
      </c>
      <c r="Q699" s="6" t="str">
        <f>IF(AND(Table1[[#This Row],[Country_of_Residence]]&lt;&gt;Table1[[#This Row],[Country_of_Transaction]], OR(Table1[[#This Row],[Authentication_Type]]="Biometric", Table1[[#This Row],[Authentication_Type]]="OTP")), "safe location transaction", "unsafe location transaction")</f>
        <v>safe location transaction</v>
      </c>
      <c r="R699" s="6" t="str">
        <f>IF(AND(Table1[[#This Row],[Country_of_Residence]]&lt;&gt;Table1[[#This Row],[Country_of_Transaction]], OR(Table1[[#This Row],[Merchant_Category]]="Electronics", Table1[[#This Row],[Merchant_Category]]="Travel")), "unsafe merchant transaction", "safe merchant transaction")</f>
        <v>safe merchant transaction</v>
      </c>
    </row>
    <row r="700" spans="1:18">
      <c r="A700" t="s">
        <v>3515</v>
      </c>
      <c r="B700" t="s">
        <v>145</v>
      </c>
      <c r="C700">
        <v>1</v>
      </c>
      <c r="D700" t="s">
        <v>9</v>
      </c>
      <c r="E700" t="s">
        <v>6</v>
      </c>
      <c r="F700" s="2">
        <v>46014</v>
      </c>
      <c r="G700">
        <v>3525.3</v>
      </c>
      <c r="H700" s="1">
        <f>AVERAGEIF(Table1[Customer_ID], Table1[[#This Row],[Customer_ID]], Table1[Transaction_Amount])</f>
        <v>4664.5025373134304</v>
      </c>
      <c r="I700" t="s">
        <v>1130</v>
      </c>
      <c r="J700" t="s">
        <v>41</v>
      </c>
      <c r="K700" t="s">
        <v>8</v>
      </c>
      <c r="L700">
        <v>0</v>
      </c>
      <c r="M700" t="s">
        <v>33</v>
      </c>
      <c r="N700" t="s">
        <v>55</v>
      </c>
      <c r="O700" t="s">
        <v>392</v>
      </c>
      <c r="P700" s="6" t="str">
        <f>IF(Table1[[#This Row],[Transaction_Amount]]&lt;=Table1[[#This Row],[avg_transaction_amount]], "usual transaction", "unusual transaction")</f>
        <v>usual transaction</v>
      </c>
      <c r="Q700" s="6" t="str">
        <f>IF(AND(Table1[[#This Row],[Country_of_Residence]]&lt;&gt;Table1[[#This Row],[Country_of_Transaction]], OR(Table1[[#This Row],[Authentication_Type]]="Biometric", Table1[[#This Row],[Authentication_Type]]="OTP")), "safe location transaction", "unsafe location transaction")</f>
        <v>safe location transaction</v>
      </c>
      <c r="R700" s="6" t="str">
        <f>IF(AND(Table1[[#This Row],[Country_of_Residence]]&lt;&gt;Table1[[#This Row],[Country_of_Transaction]], OR(Table1[[#This Row],[Merchant_Category]]="Electronics", Table1[[#This Row],[Merchant_Category]]="Travel")), "unsafe merchant transaction", "safe merchant transaction")</f>
        <v>safe merchant transaction</v>
      </c>
    </row>
    <row r="701" spans="1:18">
      <c r="A701" t="s">
        <v>3535</v>
      </c>
      <c r="B701" t="s">
        <v>145</v>
      </c>
      <c r="C701">
        <v>1</v>
      </c>
      <c r="D701" t="s">
        <v>15</v>
      </c>
      <c r="E701" t="s">
        <v>420</v>
      </c>
      <c r="F701" s="2">
        <v>45743</v>
      </c>
      <c r="G701">
        <v>5693.06</v>
      </c>
      <c r="H701" s="1">
        <f>AVERAGEIF(Table1[Customer_ID], Table1[[#This Row],[Customer_ID]], Table1[Transaction_Amount])</f>
        <v>4664.5025373134304</v>
      </c>
      <c r="I701" t="s">
        <v>1150</v>
      </c>
      <c r="J701" t="s">
        <v>50</v>
      </c>
      <c r="K701" t="s">
        <v>8</v>
      </c>
      <c r="L701">
        <v>2</v>
      </c>
      <c r="M701" t="s">
        <v>33</v>
      </c>
      <c r="N701" t="s">
        <v>51</v>
      </c>
      <c r="O701" t="s">
        <v>393</v>
      </c>
      <c r="P701" s="6" t="str">
        <f>IF(Table1[[#This Row],[Transaction_Amount]]&lt;=Table1[[#This Row],[avg_transaction_amount]], "usual transaction", "unusual transaction")</f>
        <v>unusual transaction</v>
      </c>
      <c r="Q701" s="6" t="str">
        <f>IF(AND(Table1[[#This Row],[Country_of_Residence]]&lt;&gt;Table1[[#This Row],[Country_of_Transaction]], OR(Table1[[#This Row],[Authentication_Type]]="Biometric", Table1[[#This Row],[Authentication_Type]]="OTP")), "safe location transaction", "unsafe location transaction")</f>
        <v>safe location transaction</v>
      </c>
      <c r="R701" s="6" t="str">
        <f>IF(AND(Table1[[#This Row],[Country_of_Residence]]&lt;&gt;Table1[[#This Row],[Country_of_Transaction]], OR(Table1[[#This Row],[Merchant_Category]]="Electronics", Table1[[#This Row],[Merchant_Category]]="Travel")), "unsafe merchant transaction", "safe merchant transaction")</f>
        <v>unsafe merchant transaction</v>
      </c>
    </row>
    <row r="702" spans="1:18">
      <c r="A702" t="s">
        <v>3549</v>
      </c>
      <c r="B702" t="s">
        <v>145</v>
      </c>
      <c r="C702">
        <v>1</v>
      </c>
      <c r="D702" t="s">
        <v>9</v>
      </c>
      <c r="E702" t="s">
        <v>3</v>
      </c>
      <c r="F702" s="2">
        <v>45733</v>
      </c>
      <c r="G702">
        <v>732.96</v>
      </c>
      <c r="H702" s="1">
        <f>AVERAGEIF(Table1[Customer_ID], Table1[[#This Row],[Customer_ID]], Table1[Transaction_Amount])</f>
        <v>4664.5025373134304</v>
      </c>
      <c r="I702" t="s">
        <v>166</v>
      </c>
      <c r="J702" t="s">
        <v>31</v>
      </c>
      <c r="K702" t="s">
        <v>12</v>
      </c>
      <c r="L702">
        <v>0</v>
      </c>
      <c r="M702" t="s">
        <v>47</v>
      </c>
      <c r="N702" t="s">
        <v>42</v>
      </c>
      <c r="O702" t="s">
        <v>393</v>
      </c>
      <c r="P702" s="6" t="str">
        <f>IF(Table1[[#This Row],[Transaction_Amount]]&lt;=Table1[[#This Row],[avg_transaction_amount]], "usual transaction", "unusual transaction")</f>
        <v>usual transaction</v>
      </c>
      <c r="Q702" s="6" t="str">
        <f>IF(AND(Table1[[#This Row],[Country_of_Residence]]&lt;&gt;Table1[[#This Row],[Country_of_Transaction]], OR(Table1[[#This Row],[Authentication_Type]]="Biometric", Table1[[#This Row],[Authentication_Type]]="OTP")), "safe location transaction", "unsafe location transaction")</f>
        <v>unsafe location transaction</v>
      </c>
      <c r="R702" s="6" t="str">
        <f>IF(AND(Table1[[#This Row],[Country_of_Residence]]&lt;&gt;Table1[[#This Row],[Country_of_Transaction]], OR(Table1[[#This Row],[Merchant_Category]]="Electronics", Table1[[#This Row],[Merchant_Category]]="Travel")), "unsafe merchant transaction", "safe merchant transaction")</f>
        <v>safe merchant transaction</v>
      </c>
    </row>
    <row r="703" spans="1:18">
      <c r="A703" t="s">
        <v>3561</v>
      </c>
      <c r="B703" t="s">
        <v>145</v>
      </c>
      <c r="C703">
        <v>1</v>
      </c>
      <c r="D703" t="s">
        <v>9</v>
      </c>
      <c r="E703" t="s">
        <v>3</v>
      </c>
      <c r="F703" s="2">
        <v>45879</v>
      </c>
      <c r="G703">
        <v>458.94</v>
      </c>
      <c r="H703" s="1">
        <f>AVERAGEIF(Table1[Customer_ID], Table1[[#This Row],[Customer_ID]], Table1[Transaction_Amount])</f>
        <v>4664.5025373134304</v>
      </c>
      <c r="I703" t="s">
        <v>1174</v>
      </c>
      <c r="J703" t="s">
        <v>50</v>
      </c>
      <c r="K703" t="s">
        <v>10</v>
      </c>
      <c r="L703">
        <v>0</v>
      </c>
      <c r="M703" t="s">
        <v>47</v>
      </c>
      <c r="N703" t="s">
        <v>42</v>
      </c>
      <c r="O703" t="s">
        <v>393</v>
      </c>
      <c r="P703" s="6" t="str">
        <f>IF(Table1[[#This Row],[Transaction_Amount]]&lt;=Table1[[#This Row],[avg_transaction_amount]], "usual transaction", "unusual transaction")</f>
        <v>usual transaction</v>
      </c>
      <c r="Q703" s="6" t="str">
        <f>IF(AND(Table1[[#This Row],[Country_of_Residence]]&lt;&gt;Table1[[#This Row],[Country_of_Transaction]], OR(Table1[[#This Row],[Authentication_Type]]="Biometric", Table1[[#This Row],[Authentication_Type]]="OTP")), "safe location transaction", "unsafe location transaction")</f>
        <v>safe location transaction</v>
      </c>
      <c r="R703" s="6" t="str">
        <f>IF(AND(Table1[[#This Row],[Country_of_Residence]]&lt;&gt;Table1[[#This Row],[Country_of_Transaction]], OR(Table1[[#This Row],[Merchant_Category]]="Electronics", Table1[[#This Row],[Merchant_Category]]="Travel")), "unsafe merchant transaction", "safe merchant transaction")</f>
        <v>unsafe merchant transaction</v>
      </c>
    </row>
    <row r="704" spans="1:18">
      <c r="A704" t="s">
        <v>3623</v>
      </c>
      <c r="B704" t="s">
        <v>145</v>
      </c>
      <c r="C704">
        <v>1</v>
      </c>
      <c r="D704" t="s">
        <v>15</v>
      </c>
      <c r="E704" t="s">
        <v>3</v>
      </c>
      <c r="F704" s="2">
        <v>45880</v>
      </c>
      <c r="G704">
        <v>6365.99</v>
      </c>
      <c r="H704" s="1">
        <f>AVERAGEIF(Table1[Customer_ID], Table1[[#This Row],[Customer_ID]], Table1[Transaction_Amount])</f>
        <v>4664.5025373134304</v>
      </c>
      <c r="I704" t="s">
        <v>1229</v>
      </c>
      <c r="J704" t="s">
        <v>41</v>
      </c>
      <c r="K704" t="s">
        <v>12</v>
      </c>
      <c r="L704">
        <v>5</v>
      </c>
      <c r="M704" t="s">
        <v>42</v>
      </c>
      <c r="N704" t="s">
        <v>412</v>
      </c>
      <c r="O704" t="s">
        <v>393</v>
      </c>
      <c r="P704" s="6" t="str">
        <f>IF(Table1[[#This Row],[Transaction_Amount]]&lt;=Table1[[#This Row],[avg_transaction_amount]], "usual transaction", "unusual transaction")</f>
        <v>unusual transaction</v>
      </c>
      <c r="Q704" s="6" t="str">
        <f>IF(AND(Table1[[#This Row],[Country_of_Residence]]&lt;&gt;Table1[[#This Row],[Country_of_Transaction]], OR(Table1[[#This Row],[Authentication_Type]]="Biometric", Table1[[#This Row],[Authentication_Type]]="OTP")), "safe location transaction", "unsafe location transaction")</f>
        <v>unsafe location transaction</v>
      </c>
      <c r="R704" s="6" t="str">
        <f>IF(AND(Table1[[#This Row],[Country_of_Residence]]&lt;&gt;Table1[[#This Row],[Country_of_Transaction]], OR(Table1[[#This Row],[Merchant_Category]]="Electronics", Table1[[#This Row],[Merchant_Category]]="Travel")), "unsafe merchant transaction", "safe merchant transaction")</f>
        <v>safe merchant transaction</v>
      </c>
    </row>
    <row r="705" spans="1:18">
      <c r="A705" t="s">
        <v>3651</v>
      </c>
      <c r="B705" t="s">
        <v>145</v>
      </c>
      <c r="C705">
        <v>1</v>
      </c>
      <c r="D705" t="s">
        <v>15</v>
      </c>
      <c r="E705" t="s">
        <v>5</v>
      </c>
      <c r="F705" s="2">
        <v>45826</v>
      </c>
      <c r="G705">
        <v>4448.7</v>
      </c>
      <c r="H705" s="1">
        <f>AVERAGEIF(Table1[Customer_ID], Table1[[#This Row],[Customer_ID]], Table1[Transaction_Amount])</f>
        <v>4664.5025373134304</v>
      </c>
      <c r="I705" t="s">
        <v>459</v>
      </c>
      <c r="J705" t="s">
        <v>50</v>
      </c>
      <c r="K705" t="s">
        <v>10</v>
      </c>
      <c r="L705">
        <v>4</v>
      </c>
      <c r="M705" t="s">
        <v>37</v>
      </c>
      <c r="N705" t="s">
        <v>412</v>
      </c>
      <c r="O705" t="s">
        <v>393</v>
      </c>
      <c r="P705" s="6" t="str">
        <f>IF(Table1[[#This Row],[Transaction_Amount]]&lt;=Table1[[#This Row],[avg_transaction_amount]], "usual transaction", "unusual transaction")</f>
        <v>usual transaction</v>
      </c>
      <c r="Q705" s="6" t="str">
        <f>IF(AND(Table1[[#This Row],[Country_of_Residence]]&lt;&gt;Table1[[#This Row],[Country_of_Transaction]], OR(Table1[[#This Row],[Authentication_Type]]="Biometric", Table1[[#This Row],[Authentication_Type]]="OTP")), "safe location transaction", "unsafe location transaction")</f>
        <v>safe location transaction</v>
      </c>
      <c r="R705" s="6" t="str">
        <f>IF(AND(Table1[[#This Row],[Country_of_Residence]]&lt;&gt;Table1[[#This Row],[Country_of_Transaction]], OR(Table1[[#This Row],[Merchant_Category]]="Electronics", Table1[[#This Row],[Merchant_Category]]="Travel")), "unsafe merchant transaction", "safe merchant transaction")</f>
        <v>unsafe merchant transaction</v>
      </c>
    </row>
    <row r="706" spans="1:18">
      <c r="A706" t="s">
        <v>3675</v>
      </c>
      <c r="B706" t="s">
        <v>145</v>
      </c>
      <c r="C706">
        <v>1</v>
      </c>
      <c r="D706" t="s">
        <v>9</v>
      </c>
      <c r="E706" t="s">
        <v>420</v>
      </c>
      <c r="F706" s="2">
        <v>45682</v>
      </c>
      <c r="G706">
        <v>5173.22</v>
      </c>
      <c r="H706" s="1">
        <f>AVERAGEIF(Table1[Customer_ID], Table1[[#This Row],[Customer_ID]], Table1[Transaction_Amount])</f>
        <v>4664.5025373134304</v>
      </c>
      <c r="I706" t="s">
        <v>1276</v>
      </c>
      <c r="J706" t="s">
        <v>31</v>
      </c>
      <c r="K706" t="s">
        <v>10</v>
      </c>
      <c r="L706">
        <v>3</v>
      </c>
      <c r="M706" t="s">
        <v>47</v>
      </c>
      <c r="N706" t="s">
        <v>51</v>
      </c>
      <c r="O706" t="s">
        <v>392</v>
      </c>
      <c r="P706" s="6" t="str">
        <f>IF(Table1[[#This Row],[Transaction_Amount]]&lt;=Table1[[#This Row],[avg_transaction_amount]], "usual transaction", "unusual transaction")</f>
        <v>unusual transaction</v>
      </c>
      <c r="Q706" s="6" t="str">
        <f>IF(AND(Table1[[#This Row],[Country_of_Residence]]&lt;&gt;Table1[[#This Row],[Country_of_Transaction]], OR(Table1[[#This Row],[Authentication_Type]]="Biometric", Table1[[#This Row],[Authentication_Type]]="OTP")), "safe location transaction", "unsafe location transaction")</f>
        <v>safe location transaction</v>
      </c>
      <c r="R706" s="6" t="str">
        <f>IF(AND(Table1[[#This Row],[Country_of_Residence]]&lt;&gt;Table1[[#This Row],[Country_of_Transaction]], OR(Table1[[#This Row],[Merchant_Category]]="Electronics", Table1[[#This Row],[Merchant_Category]]="Travel")), "unsafe merchant transaction", "safe merchant transaction")</f>
        <v>safe merchant transaction</v>
      </c>
    </row>
    <row r="707" spans="1:18">
      <c r="A707" t="s">
        <v>3724</v>
      </c>
      <c r="B707" t="s">
        <v>145</v>
      </c>
      <c r="C707">
        <v>1</v>
      </c>
      <c r="D707" t="s">
        <v>15</v>
      </c>
      <c r="E707" t="s">
        <v>3</v>
      </c>
      <c r="F707" s="2">
        <v>45671</v>
      </c>
      <c r="G707">
        <v>7741.27</v>
      </c>
      <c r="H707" s="1">
        <f>AVERAGEIF(Table1[Customer_ID], Table1[[#This Row],[Customer_ID]], Table1[Transaction_Amount])</f>
        <v>4664.5025373134304</v>
      </c>
      <c r="I707" t="s">
        <v>1320</v>
      </c>
      <c r="J707" t="s">
        <v>46</v>
      </c>
      <c r="K707" t="s">
        <v>14</v>
      </c>
      <c r="L707">
        <v>0</v>
      </c>
      <c r="M707" t="s">
        <v>51</v>
      </c>
      <c r="N707" t="s">
        <v>51</v>
      </c>
      <c r="O707" t="s">
        <v>392</v>
      </c>
      <c r="P707" s="6" t="str">
        <f>IF(Table1[[#This Row],[Transaction_Amount]]&lt;=Table1[[#This Row],[avg_transaction_amount]], "usual transaction", "unusual transaction")</f>
        <v>unusual transaction</v>
      </c>
      <c r="Q707" s="6" t="str">
        <f>IF(AND(Table1[[#This Row],[Country_of_Residence]]&lt;&gt;Table1[[#This Row],[Country_of_Transaction]], OR(Table1[[#This Row],[Authentication_Type]]="Biometric", Table1[[#This Row],[Authentication_Type]]="OTP")), "safe location transaction", "unsafe location transaction")</f>
        <v>unsafe location transaction</v>
      </c>
      <c r="R707" s="6" t="str">
        <f>IF(AND(Table1[[#This Row],[Country_of_Residence]]&lt;&gt;Table1[[#This Row],[Country_of_Transaction]], OR(Table1[[#This Row],[Merchant_Category]]="Electronics", Table1[[#This Row],[Merchant_Category]]="Travel")), "unsafe merchant transaction", "safe merchant transaction")</f>
        <v>safe merchant transaction</v>
      </c>
    </row>
    <row r="708" spans="1:18">
      <c r="A708" t="s">
        <v>3744</v>
      </c>
      <c r="B708" t="s">
        <v>145</v>
      </c>
      <c r="C708">
        <v>1</v>
      </c>
      <c r="D708" t="s">
        <v>9</v>
      </c>
      <c r="E708" t="s">
        <v>5</v>
      </c>
      <c r="F708" s="2">
        <v>45857</v>
      </c>
      <c r="G708">
        <v>2820.29</v>
      </c>
      <c r="H708" s="1">
        <f>AVERAGEIF(Table1[Customer_ID], Table1[[#This Row],[Customer_ID]], Table1[Transaction_Amount])</f>
        <v>4664.5025373134304</v>
      </c>
      <c r="I708" t="s">
        <v>1336</v>
      </c>
      <c r="J708" t="s">
        <v>36</v>
      </c>
      <c r="K708" t="s">
        <v>8</v>
      </c>
      <c r="L708">
        <v>2</v>
      </c>
      <c r="M708" t="s">
        <v>42</v>
      </c>
      <c r="N708" t="s">
        <v>37</v>
      </c>
      <c r="O708" t="s">
        <v>392</v>
      </c>
      <c r="P708" s="6" t="str">
        <f>IF(Table1[[#This Row],[Transaction_Amount]]&lt;=Table1[[#This Row],[avg_transaction_amount]], "usual transaction", "unusual transaction")</f>
        <v>usual transaction</v>
      </c>
      <c r="Q708" s="6" t="str">
        <f>IF(AND(Table1[[#This Row],[Country_of_Residence]]&lt;&gt;Table1[[#This Row],[Country_of_Transaction]], OR(Table1[[#This Row],[Authentication_Type]]="Biometric", Table1[[#This Row],[Authentication_Type]]="OTP")), "safe location transaction", "unsafe location transaction")</f>
        <v>safe location transaction</v>
      </c>
      <c r="R708" s="6" t="str">
        <f>IF(AND(Table1[[#This Row],[Country_of_Residence]]&lt;&gt;Table1[[#This Row],[Country_of_Transaction]], OR(Table1[[#This Row],[Merchant_Category]]="Electronics", Table1[[#This Row],[Merchant_Category]]="Travel")), "unsafe merchant transaction", "safe merchant transaction")</f>
        <v>safe merchant transaction</v>
      </c>
    </row>
    <row r="709" spans="1:18">
      <c r="A709" t="s">
        <v>3757</v>
      </c>
      <c r="B709" t="s">
        <v>145</v>
      </c>
      <c r="C709">
        <v>1</v>
      </c>
      <c r="D709" t="s">
        <v>9</v>
      </c>
      <c r="E709" t="s">
        <v>5</v>
      </c>
      <c r="F709" s="2">
        <v>45882</v>
      </c>
      <c r="G709">
        <v>2683.57</v>
      </c>
      <c r="H709" s="1">
        <f>AVERAGEIF(Table1[Customer_ID], Table1[[#This Row],[Customer_ID]], Table1[Transaction_Amount])</f>
        <v>4664.5025373134304</v>
      </c>
      <c r="I709" t="s">
        <v>1348</v>
      </c>
      <c r="J709" t="s">
        <v>46</v>
      </c>
      <c r="K709" t="s">
        <v>14</v>
      </c>
      <c r="L709">
        <v>0</v>
      </c>
      <c r="M709" t="s">
        <v>32</v>
      </c>
      <c r="N709" t="s">
        <v>55</v>
      </c>
      <c r="O709" t="s">
        <v>393</v>
      </c>
      <c r="P709" s="6" t="str">
        <f>IF(Table1[[#This Row],[Transaction_Amount]]&lt;=Table1[[#This Row],[avg_transaction_amount]], "usual transaction", "unusual transaction")</f>
        <v>usual transaction</v>
      </c>
      <c r="Q709" s="6" t="str">
        <f>IF(AND(Table1[[#This Row],[Country_of_Residence]]&lt;&gt;Table1[[#This Row],[Country_of_Transaction]], OR(Table1[[#This Row],[Authentication_Type]]="Biometric", Table1[[#This Row],[Authentication_Type]]="OTP")), "safe location transaction", "unsafe location transaction")</f>
        <v>unsafe location transaction</v>
      </c>
      <c r="R709" s="6" t="str">
        <f>IF(AND(Table1[[#This Row],[Country_of_Residence]]&lt;&gt;Table1[[#This Row],[Country_of_Transaction]], OR(Table1[[#This Row],[Merchant_Category]]="Electronics", Table1[[#This Row],[Merchant_Category]]="Travel")), "unsafe merchant transaction", "safe merchant transaction")</f>
        <v>safe merchant transaction</v>
      </c>
    </row>
    <row r="710" spans="1:18">
      <c r="A710" t="s">
        <v>3787</v>
      </c>
      <c r="B710" t="s">
        <v>145</v>
      </c>
      <c r="C710">
        <v>1</v>
      </c>
      <c r="D710" t="s">
        <v>9</v>
      </c>
      <c r="E710" t="s">
        <v>6</v>
      </c>
      <c r="F710" s="2">
        <v>45807</v>
      </c>
      <c r="G710">
        <v>9020.5499999999993</v>
      </c>
      <c r="H710" s="1">
        <f>AVERAGEIF(Table1[Customer_ID], Table1[[#This Row],[Customer_ID]], Table1[Transaction_Amount])</f>
        <v>4664.5025373134304</v>
      </c>
      <c r="I710" t="s">
        <v>1374</v>
      </c>
      <c r="J710" t="s">
        <v>46</v>
      </c>
      <c r="K710" t="s">
        <v>12</v>
      </c>
      <c r="L710">
        <v>5</v>
      </c>
      <c r="M710" t="s">
        <v>55</v>
      </c>
      <c r="N710" t="s">
        <v>51</v>
      </c>
      <c r="O710" t="s">
        <v>393</v>
      </c>
      <c r="P710" s="6" t="str">
        <f>IF(Table1[[#This Row],[Transaction_Amount]]&lt;=Table1[[#This Row],[avg_transaction_amount]], "usual transaction", "unusual transaction")</f>
        <v>unusual transaction</v>
      </c>
      <c r="Q710" s="6" t="str">
        <f>IF(AND(Table1[[#This Row],[Country_of_Residence]]&lt;&gt;Table1[[#This Row],[Country_of_Transaction]], OR(Table1[[#This Row],[Authentication_Type]]="Biometric", Table1[[#This Row],[Authentication_Type]]="OTP")), "safe location transaction", "unsafe location transaction")</f>
        <v>unsafe location transaction</v>
      </c>
      <c r="R710" s="6" t="str">
        <f>IF(AND(Table1[[#This Row],[Country_of_Residence]]&lt;&gt;Table1[[#This Row],[Country_of_Transaction]], OR(Table1[[#This Row],[Merchant_Category]]="Electronics", Table1[[#This Row],[Merchant_Category]]="Travel")), "unsafe merchant transaction", "safe merchant transaction")</f>
        <v>safe merchant transaction</v>
      </c>
    </row>
    <row r="711" spans="1:18">
      <c r="A711" t="s">
        <v>3799</v>
      </c>
      <c r="B711" t="s">
        <v>145</v>
      </c>
      <c r="C711">
        <v>1</v>
      </c>
      <c r="D711" t="s">
        <v>9</v>
      </c>
      <c r="E711" t="s">
        <v>3</v>
      </c>
      <c r="F711" s="2">
        <v>45843</v>
      </c>
      <c r="G711">
        <v>7448.66</v>
      </c>
      <c r="H711" s="1">
        <f>AVERAGEIF(Table1[Customer_ID], Table1[[#This Row],[Customer_ID]], Table1[Transaction_Amount])</f>
        <v>4664.5025373134304</v>
      </c>
      <c r="I711" t="s">
        <v>811</v>
      </c>
      <c r="J711" t="s">
        <v>41</v>
      </c>
      <c r="K711" t="s">
        <v>8</v>
      </c>
      <c r="L711">
        <v>3</v>
      </c>
      <c r="M711" t="s">
        <v>51</v>
      </c>
      <c r="N711" t="s">
        <v>42</v>
      </c>
      <c r="O711" t="s">
        <v>393</v>
      </c>
      <c r="P711" s="6" t="str">
        <f>IF(Table1[[#This Row],[Transaction_Amount]]&lt;=Table1[[#This Row],[avg_transaction_amount]], "usual transaction", "unusual transaction")</f>
        <v>unusual transaction</v>
      </c>
      <c r="Q711" s="6" t="str">
        <f>IF(AND(Table1[[#This Row],[Country_of_Residence]]&lt;&gt;Table1[[#This Row],[Country_of_Transaction]], OR(Table1[[#This Row],[Authentication_Type]]="Biometric", Table1[[#This Row],[Authentication_Type]]="OTP")), "safe location transaction", "unsafe location transaction")</f>
        <v>safe location transaction</v>
      </c>
      <c r="R711" s="6" t="str">
        <f>IF(AND(Table1[[#This Row],[Country_of_Residence]]&lt;&gt;Table1[[#This Row],[Country_of_Transaction]], OR(Table1[[#This Row],[Merchant_Category]]="Electronics", Table1[[#This Row],[Merchant_Category]]="Travel")), "unsafe merchant transaction", "safe merchant transaction")</f>
        <v>safe merchant transaction</v>
      </c>
    </row>
    <row r="712" spans="1:18">
      <c r="A712" t="s">
        <v>3866</v>
      </c>
      <c r="B712" t="s">
        <v>145</v>
      </c>
      <c r="C712">
        <v>1</v>
      </c>
      <c r="D712" t="s">
        <v>9</v>
      </c>
      <c r="E712" t="s">
        <v>3</v>
      </c>
      <c r="F712" s="2">
        <v>45848</v>
      </c>
      <c r="G712">
        <v>1516.5</v>
      </c>
      <c r="H712" s="1">
        <f>AVERAGEIF(Table1[Customer_ID], Table1[[#This Row],[Customer_ID]], Table1[Transaction_Amount])</f>
        <v>4664.5025373134304</v>
      </c>
      <c r="I712" t="s">
        <v>1440</v>
      </c>
      <c r="J712" t="s">
        <v>31</v>
      </c>
      <c r="K712" t="s">
        <v>10</v>
      </c>
      <c r="L712">
        <v>4</v>
      </c>
      <c r="M712" t="s">
        <v>37</v>
      </c>
      <c r="N712" t="s">
        <v>33</v>
      </c>
      <c r="O712" t="s">
        <v>392</v>
      </c>
      <c r="P712" s="6" t="str">
        <f>IF(Table1[[#This Row],[Transaction_Amount]]&lt;=Table1[[#This Row],[avg_transaction_amount]], "usual transaction", "unusual transaction")</f>
        <v>usual transaction</v>
      </c>
      <c r="Q712" s="6" t="str">
        <f>IF(AND(Table1[[#This Row],[Country_of_Residence]]&lt;&gt;Table1[[#This Row],[Country_of_Transaction]], OR(Table1[[#This Row],[Authentication_Type]]="Biometric", Table1[[#This Row],[Authentication_Type]]="OTP")), "safe location transaction", "unsafe location transaction")</f>
        <v>safe location transaction</v>
      </c>
      <c r="R712" s="6" t="str">
        <f>IF(AND(Table1[[#This Row],[Country_of_Residence]]&lt;&gt;Table1[[#This Row],[Country_of_Transaction]], OR(Table1[[#This Row],[Merchant_Category]]="Electronics", Table1[[#This Row],[Merchant_Category]]="Travel")), "unsafe merchant transaction", "safe merchant transaction")</f>
        <v>safe merchant transaction</v>
      </c>
    </row>
    <row r="713" spans="1:18">
      <c r="A713" t="s">
        <v>4036</v>
      </c>
      <c r="B713" t="s">
        <v>145</v>
      </c>
      <c r="C713">
        <v>1</v>
      </c>
      <c r="D713" t="s">
        <v>9</v>
      </c>
      <c r="E713" t="s">
        <v>6</v>
      </c>
      <c r="F713" s="2">
        <v>45872</v>
      </c>
      <c r="G713">
        <v>1116.8599999999999</v>
      </c>
      <c r="H713" s="1">
        <f>AVERAGEIF(Table1[Customer_ID], Table1[[#This Row],[Customer_ID]], Table1[Transaction_Amount])</f>
        <v>4664.5025373134304</v>
      </c>
      <c r="I713" t="s">
        <v>1591</v>
      </c>
      <c r="J713" t="s">
        <v>31</v>
      </c>
      <c r="K713" t="s">
        <v>12</v>
      </c>
      <c r="L713">
        <v>3</v>
      </c>
      <c r="M713" t="s">
        <v>47</v>
      </c>
      <c r="N713" t="s">
        <v>51</v>
      </c>
      <c r="O713" t="s">
        <v>392</v>
      </c>
      <c r="P713" s="6" t="str">
        <f>IF(Table1[[#This Row],[Transaction_Amount]]&lt;=Table1[[#This Row],[avg_transaction_amount]], "usual transaction", "unusual transaction")</f>
        <v>usual transaction</v>
      </c>
      <c r="Q713" s="6" t="str">
        <f>IF(AND(Table1[[#This Row],[Country_of_Residence]]&lt;&gt;Table1[[#This Row],[Country_of_Transaction]], OR(Table1[[#This Row],[Authentication_Type]]="Biometric", Table1[[#This Row],[Authentication_Type]]="OTP")), "safe location transaction", "unsafe location transaction")</f>
        <v>unsafe location transaction</v>
      </c>
      <c r="R713" s="6" t="str">
        <f>IF(AND(Table1[[#This Row],[Country_of_Residence]]&lt;&gt;Table1[[#This Row],[Country_of_Transaction]], OR(Table1[[#This Row],[Merchant_Category]]="Electronics", Table1[[#This Row],[Merchant_Category]]="Travel")), "unsafe merchant transaction", "safe merchant transaction")</f>
        <v>safe merchant transaction</v>
      </c>
    </row>
    <row r="714" spans="1:18">
      <c r="A714" t="s">
        <v>4046</v>
      </c>
      <c r="B714" t="s">
        <v>145</v>
      </c>
      <c r="C714">
        <v>1</v>
      </c>
      <c r="D714" t="s">
        <v>15</v>
      </c>
      <c r="E714" t="s">
        <v>3</v>
      </c>
      <c r="F714" s="2">
        <v>45978</v>
      </c>
      <c r="G714">
        <v>8371.57</v>
      </c>
      <c r="H714" s="1">
        <f>AVERAGEIF(Table1[Customer_ID], Table1[[#This Row],[Customer_ID]], Table1[Transaction_Amount])</f>
        <v>4664.5025373134304</v>
      </c>
      <c r="I714" t="s">
        <v>1600</v>
      </c>
      <c r="J714" t="s">
        <v>31</v>
      </c>
      <c r="K714" t="s">
        <v>8</v>
      </c>
      <c r="L714">
        <v>5</v>
      </c>
      <c r="M714" t="s">
        <v>412</v>
      </c>
      <c r="N714" t="s">
        <v>32</v>
      </c>
      <c r="O714" t="s">
        <v>392</v>
      </c>
      <c r="P714" s="6" t="str">
        <f>IF(Table1[[#This Row],[Transaction_Amount]]&lt;=Table1[[#This Row],[avg_transaction_amount]], "usual transaction", "unusual transaction")</f>
        <v>unusual transaction</v>
      </c>
      <c r="Q714" s="6" t="str">
        <f>IF(AND(Table1[[#This Row],[Country_of_Residence]]&lt;&gt;Table1[[#This Row],[Country_of_Transaction]], OR(Table1[[#This Row],[Authentication_Type]]="Biometric", Table1[[#This Row],[Authentication_Type]]="OTP")), "safe location transaction", "unsafe location transaction")</f>
        <v>safe location transaction</v>
      </c>
      <c r="R714" s="6" t="str">
        <f>IF(AND(Table1[[#This Row],[Country_of_Residence]]&lt;&gt;Table1[[#This Row],[Country_of_Transaction]], OR(Table1[[#This Row],[Merchant_Category]]="Electronics", Table1[[#This Row],[Merchant_Category]]="Travel")), "unsafe merchant transaction", "safe merchant transaction")</f>
        <v>safe merchant transaction</v>
      </c>
    </row>
    <row r="715" spans="1:18">
      <c r="A715" t="s">
        <v>4090</v>
      </c>
      <c r="B715" t="s">
        <v>145</v>
      </c>
      <c r="C715">
        <v>1</v>
      </c>
      <c r="D715" t="s">
        <v>9</v>
      </c>
      <c r="E715" t="s">
        <v>3</v>
      </c>
      <c r="F715" s="2">
        <v>45989</v>
      </c>
      <c r="G715">
        <v>3833.49</v>
      </c>
      <c r="H715" s="1">
        <f>AVERAGEIF(Table1[Customer_ID], Table1[[#This Row],[Customer_ID]], Table1[Transaction_Amount])</f>
        <v>4664.5025373134304</v>
      </c>
      <c r="I715" t="s">
        <v>1634</v>
      </c>
      <c r="J715" t="s">
        <v>46</v>
      </c>
      <c r="K715" t="s">
        <v>8</v>
      </c>
      <c r="L715">
        <v>5</v>
      </c>
      <c r="M715" t="s">
        <v>37</v>
      </c>
      <c r="N715" t="s">
        <v>42</v>
      </c>
      <c r="O715" t="s">
        <v>393</v>
      </c>
      <c r="P715" s="6" t="str">
        <f>IF(Table1[[#This Row],[Transaction_Amount]]&lt;=Table1[[#This Row],[avg_transaction_amount]], "usual transaction", "unusual transaction")</f>
        <v>usual transaction</v>
      </c>
      <c r="Q715" s="6" t="str">
        <f>IF(AND(Table1[[#This Row],[Country_of_Residence]]&lt;&gt;Table1[[#This Row],[Country_of_Transaction]], OR(Table1[[#This Row],[Authentication_Type]]="Biometric", Table1[[#This Row],[Authentication_Type]]="OTP")), "safe location transaction", "unsafe location transaction")</f>
        <v>safe location transaction</v>
      </c>
      <c r="R715" s="6" t="str">
        <f>IF(AND(Table1[[#This Row],[Country_of_Residence]]&lt;&gt;Table1[[#This Row],[Country_of_Transaction]], OR(Table1[[#This Row],[Merchant_Category]]="Electronics", Table1[[#This Row],[Merchant_Category]]="Travel")), "unsafe merchant transaction", "safe merchant transaction")</f>
        <v>safe merchant transaction</v>
      </c>
    </row>
    <row r="716" spans="1:18">
      <c r="A716" t="s">
        <v>4114</v>
      </c>
      <c r="B716" t="s">
        <v>145</v>
      </c>
      <c r="C716">
        <v>1</v>
      </c>
      <c r="D716" t="s">
        <v>9</v>
      </c>
      <c r="E716" t="s">
        <v>420</v>
      </c>
      <c r="F716" s="2">
        <v>45664</v>
      </c>
      <c r="G716">
        <v>8752.4599999999991</v>
      </c>
      <c r="H716" s="1">
        <f>AVERAGEIF(Table1[Customer_ID], Table1[[#This Row],[Customer_ID]], Table1[Transaction_Amount])</f>
        <v>4664.5025373134304</v>
      </c>
      <c r="I716" t="s">
        <v>1149</v>
      </c>
      <c r="J716" t="s">
        <v>46</v>
      </c>
      <c r="K716" t="s">
        <v>8</v>
      </c>
      <c r="L716">
        <v>2</v>
      </c>
      <c r="M716" t="s">
        <v>42</v>
      </c>
      <c r="N716" t="s">
        <v>56</v>
      </c>
      <c r="O716" t="s">
        <v>392</v>
      </c>
      <c r="P716" s="6" t="str">
        <f>IF(Table1[[#This Row],[Transaction_Amount]]&lt;=Table1[[#This Row],[avg_transaction_amount]], "usual transaction", "unusual transaction")</f>
        <v>unusual transaction</v>
      </c>
      <c r="Q716" s="6" t="str">
        <f>IF(AND(Table1[[#This Row],[Country_of_Residence]]&lt;&gt;Table1[[#This Row],[Country_of_Transaction]], OR(Table1[[#This Row],[Authentication_Type]]="Biometric", Table1[[#This Row],[Authentication_Type]]="OTP")), "safe location transaction", "unsafe location transaction")</f>
        <v>safe location transaction</v>
      </c>
      <c r="R716" s="6" t="str">
        <f>IF(AND(Table1[[#This Row],[Country_of_Residence]]&lt;&gt;Table1[[#This Row],[Country_of_Transaction]], OR(Table1[[#This Row],[Merchant_Category]]="Electronics", Table1[[#This Row],[Merchant_Category]]="Travel")), "unsafe merchant transaction", "safe merchant transaction")</f>
        <v>safe merchant transaction</v>
      </c>
    </row>
    <row r="717" spans="1:18">
      <c r="A717" t="s">
        <v>4132</v>
      </c>
      <c r="B717" t="s">
        <v>145</v>
      </c>
      <c r="C717">
        <v>1</v>
      </c>
      <c r="D717" t="s">
        <v>9</v>
      </c>
      <c r="E717" t="s">
        <v>3</v>
      </c>
      <c r="F717" s="2">
        <v>45675</v>
      </c>
      <c r="G717">
        <v>3182.88</v>
      </c>
      <c r="H717" s="1">
        <f>AVERAGEIF(Table1[Customer_ID], Table1[[#This Row],[Customer_ID]], Table1[Transaction_Amount])</f>
        <v>4664.5025373134304</v>
      </c>
      <c r="I717" t="s">
        <v>1664</v>
      </c>
      <c r="J717" t="s">
        <v>31</v>
      </c>
      <c r="K717" t="s">
        <v>8</v>
      </c>
      <c r="L717">
        <v>3</v>
      </c>
      <c r="M717" t="s">
        <v>42</v>
      </c>
      <c r="N717" t="s">
        <v>412</v>
      </c>
      <c r="O717" t="s">
        <v>393</v>
      </c>
      <c r="P717" s="6" t="str">
        <f>IF(Table1[[#This Row],[Transaction_Amount]]&lt;=Table1[[#This Row],[avg_transaction_amount]], "usual transaction", "unusual transaction")</f>
        <v>usual transaction</v>
      </c>
      <c r="Q717" s="6" t="str">
        <f>IF(AND(Table1[[#This Row],[Country_of_Residence]]&lt;&gt;Table1[[#This Row],[Country_of_Transaction]], OR(Table1[[#This Row],[Authentication_Type]]="Biometric", Table1[[#This Row],[Authentication_Type]]="OTP")), "safe location transaction", "unsafe location transaction")</f>
        <v>safe location transaction</v>
      </c>
      <c r="R717" s="6" t="str">
        <f>IF(AND(Table1[[#This Row],[Country_of_Residence]]&lt;&gt;Table1[[#This Row],[Country_of_Transaction]], OR(Table1[[#This Row],[Merchant_Category]]="Electronics", Table1[[#This Row],[Merchant_Category]]="Travel")), "unsafe merchant transaction", "safe merchant transaction")</f>
        <v>safe merchant transaction</v>
      </c>
    </row>
    <row r="718" spans="1:18">
      <c r="A718" t="s">
        <v>4189</v>
      </c>
      <c r="B718" t="s">
        <v>145</v>
      </c>
      <c r="C718">
        <v>1</v>
      </c>
      <c r="D718" t="s">
        <v>15</v>
      </c>
      <c r="E718" t="s">
        <v>420</v>
      </c>
      <c r="F718" s="2">
        <v>45718</v>
      </c>
      <c r="G718">
        <v>1338.28</v>
      </c>
      <c r="H718" s="1">
        <f>AVERAGEIF(Table1[Customer_ID], Table1[[#This Row],[Customer_ID]], Table1[Transaction_Amount])</f>
        <v>4664.5025373134304</v>
      </c>
      <c r="I718" t="s">
        <v>939</v>
      </c>
      <c r="J718" t="s">
        <v>46</v>
      </c>
      <c r="K718" t="s">
        <v>14</v>
      </c>
      <c r="L718">
        <v>1</v>
      </c>
      <c r="M718" t="s">
        <v>56</v>
      </c>
      <c r="N718" t="s">
        <v>42</v>
      </c>
      <c r="O718" t="s">
        <v>393</v>
      </c>
      <c r="P718" s="6" t="str">
        <f>IF(Table1[[#This Row],[Transaction_Amount]]&lt;=Table1[[#This Row],[avg_transaction_amount]], "usual transaction", "unusual transaction")</f>
        <v>usual transaction</v>
      </c>
      <c r="Q718" s="6" t="str">
        <f>IF(AND(Table1[[#This Row],[Country_of_Residence]]&lt;&gt;Table1[[#This Row],[Country_of_Transaction]], OR(Table1[[#This Row],[Authentication_Type]]="Biometric", Table1[[#This Row],[Authentication_Type]]="OTP")), "safe location transaction", "unsafe location transaction")</f>
        <v>unsafe location transaction</v>
      </c>
      <c r="R718" s="6" t="str">
        <f>IF(AND(Table1[[#This Row],[Country_of_Residence]]&lt;&gt;Table1[[#This Row],[Country_of_Transaction]], OR(Table1[[#This Row],[Merchant_Category]]="Electronics", Table1[[#This Row],[Merchant_Category]]="Travel")), "unsafe merchant transaction", "safe merchant transaction")</f>
        <v>safe merchant transaction</v>
      </c>
    </row>
    <row r="719" spans="1:18">
      <c r="A719" t="s">
        <v>4229</v>
      </c>
      <c r="B719" t="s">
        <v>145</v>
      </c>
      <c r="C719">
        <v>1</v>
      </c>
      <c r="D719" t="s">
        <v>9</v>
      </c>
      <c r="E719" t="s">
        <v>420</v>
      </c>
      <c r="F719" s="2">
        <v>45973</v>
      </c>
      <c r="G719">
        <v>424.47</v>
      </c>
      <c r="H719" s="1">
        <f>AVERAGEIF(Table1[Customer_ID], Table1[[#This Row],[Customer_ID]], Table1[Transaction_Amount])</f>
        <v>4664.5025373134304</v>
      </c>
      <c r="I719" t="s">
        <v>1748</v>
      </c>
      <c r="J719" t="s">
        <v>36</v>
      </c>
      <c r="K719" t="s">
        <v>10</v>
      </c>
      <c r="L719">
        <v>0</v>
      </c>
      <c r="M719" t="s">
        <v>51</v>
      </c>
      <c r="N719" t="s">
        <v>42</v>
      </c>
      <c r="O719" t="s">
        <v>393</v>
      </c>
      <c r="P719" s="6" t="str">
        <f>IF(Table1[[#This Row],[Transaction_Amount]]&lt;=Table1[[#This Row],[avg_transaction_amount]], "usual transaction", "unusual transaction")</f>
        <v>usual transaction</v>
      </c>
      <c r="Q719" s="6" t="str">
        <f>IF(AND(Table1[[#This Row],[Country_of_Residence]]&lt;&gt;Table1[[#This Row],[Country_of_Transaction]], OR(Table1[[#This Row],[Authentication_Type]]="Biometric", Table1[[#This Row],[Authentication_Type]]="OTP")), "safe location transaction", "unsafe location transaction")</f>
        <v>safe location transaction</v>
      </c>
      <c r="R719" s="6" t="str">
        <f>IF(AND(Table1[[#This Row],[Country_of_Residence]]&lt;&gt;Table1[[#This Row],[Country_of_Transaction]], OR(Table1[[#This Row],[Merchant_Category]]="Electronics", Table1[[#This Row],[Merchant_Category]]="Travel")), "unsafe merchant transaction", "safe merchant transaction")</f>
        <v>safe merchant transaction</v>
      </c>
    </row>
    <row r="720" spans="1:18">
      <c r="A720" t="s">
        <v>4241</v>
      </c>
      <c r="B720" t="s">
        <v>145</v>
      </c>
      <c r="C720">
        <v>1</v>
      </c>
      <c r="D720" t="s">
        <v>9</v>
      </c>
      <c r="E720" t="s">
        <v>420</v>
      </c>
      <c r="F720" s="2">
        <v>45764</v>
      </c>
      <c r="G720">
        <v>3134.77</v>
      </c>
      <c r="H720" s="1">
        <f>AVERAGEIF(Table1[Customer_ID], Table1[[#This Row],[Customer_ID]], Table1[Transaction_Amount])</f>
        <v>4664.5025373134304</v>
      </c>
      <c r="I720" t="s">
        <v>1757</v>
      </c>
      <c r="J720" t="s">
        <v>31</v>
      </c>
      <c r="K720" t="s">
        <v>14</v>
      </c>
      <c r="L720">
        <v>1</v>
      </c>
      <c r="M720" t="s">
        <v>47</v>
      </c>
      <c r="N720" t="s">
        <v>56</v>
      </c>
      <c r="O720" t="s">
        <v>393</v>
      </c>
      <c r="P720" s="6" t="str">
        <f>IF(Table1[[#This Row],[Transaction_Amount]]&lt;=Table1[[#This Row],[avg_transaction_amount]], "usual transaction", "unusual transaction")</f>
        <v>usual transaction</v>
      </c>
      <c r="Q720" s="6" t="str">
        <f>IF(AND(Table1[[#This Row],[Country_of_Residence]]&lt;&gt;Table1[[#This Row],[Country_of_Transaction]], OR(Table1[[#This Row],[Authentication_Type]]="Biometric", Table1[[#This Row],[Authentication_Type]]="OTP")), "safe location transaction", "unsafe location transaction")</f>
        <v>unsafe location transaction</v>
      </c>
      <c r="R720" s="6" t="str">
        <f>IF(AND(Table1[[#This Row],[Country_of_Residence]]&lt;&gt;Table1[[#This Row],[Country_of_Transaction]], OR(Table1[[#This Row],[Merchant_Category]]="Electronics", Table1[[#This Row],[Merchant_Category]]="Travel")), "unsafe merchant transaction", "safe merchant transaction")</f>
        <v>safe merchant transaction</v>
      </c>
    </row>
    <row r="721" spans="1:18">
      <c r="A721" t="s">
        <v>4258</v>
      </c>
      <c r="B721" t="s">
        <v>145</v>
      </c>
      <c r="C721">
        <v>1</v>
      </c>
      <c r="D721" t="s">
        <v>9</v>
      </c>
      <c r="E721" t="s">
        <v>3</v>
      </c>
      <c r="F721" s="2">
        <v>45814</v>
      </c>
      <c r="G721">
        <v>9762.81</v>
      </c>
      <c r="H721" s="1">
        <f>AVERAGEIF(Table1[Customer_ID], Table1[[#This Row],[Customer_ID]], Table1[Transaction_Amount])</f>
        <v>4664.5025373134304</v>
      </c>
      <c r="I721" t="s">
        <v>1772</v>
      </c>
      <c r="J721" t="s">
        <v>36</v>
      </c>
      <c r="K721" t="s">
        <v>14</v>
      </c>
      <c r="L721">
        <v>0</v>
      </c>
      <c r="M721" t="s">
        <v>37</v>
      </c>
      <c r="N721" t="s">
        <v>47</v>
      </c>
      <c r="O721" t="s">
        <v>392</v>
      </c>
      <c r="P721" s="6" t="str">
        <f>IF(Table1[[#This Row],[Transaction_Amount]]&lt;=Table1[[#This Row],[avg_transaction_amount]], "usual transaction", "unusual transaction")</f>
        <v>unusual transaction</v>
      </c>
      <c r="Q721" s="6" t="str">
        <f>IF(AND(Table1[[#This Row],[Country_of_Residence]]&lt;&gt;Table1[[#This Row],[Country_of_Transaction]], OR(Table1[[#This Row],[Authentication_Type]]="Biometric", Table1[[#This Row],[Authentication_Type]]="OTP")), "safe location transaction", "unsafe location transaction")</f>
        <v>unsafe location transaction</v>
      </c>
      <c r="R721" s="6" t="str">
        <f>IF(AND(Table1[[#This Row],[Country_of_Residence]]&lt;&gt;Table1[[#This Row],[Country_of_Transaction]], OR(Table1[[#This Row],[Merchant_Category]]="Electronics", Table1[[#This Row],[Merchant_Category]]="Travel")), "unsafe merchant transaction", "safe merchant transaction")</f>
        <v>safe merchant transaction</v>
      </c>
    </row>
    <row r="722" spans="1:18">
      <c r="A722" t="s">
        <v>4341</v>
      </c>
      <c r="B722" t="s">
        <v>145</v>
      </c>
      <c r="C722">
        <v>1</v>
      </c>
      <c r="D722" t="s">
        <v>15</v>
      </c>
      <c r="E722" t="s">
        <v>3</v>
      </c>
      <c r="F722" s="2">
        <v>45831</v>
      </c>
      <c r="G722">
        <v>4122.24</v>
      </c>
      <c r="H722" s="1">
        <f>AVERAGEIF(Table1[Customer_ID], Table1[[#This Row],[Customer_ID]], Table1[Transaction_Amount])</f>
        <v>4664.5025373134304</v>
      </c>
      <c r="I722" t="s">
        <v>1847</v>
      </c>
      <c r="J722" t="s">
        <v>41</v>
      </c>
      <c r="K722" t="s">
        <v>14</v>
      </c>
      <c r="L722">
        <v>0</v>
      </c>
      <c r="M722" t="s">
        <v>412</v>
      </c>
      <c r="N722" t="s">
        <v>32</v>
      </c>
      <c r="O722" t="s">
        <v>393</v>
      </c>
      <c r="P722" s="6" t="str">
        <f>IF(Table1[[#This Row],[Transaction_Amount]]&lt;=Table1[[#This Row],[avg_transaction_amount]], "usual transaction", "unusual transaction")</f>
        <v>usual transaction</v>
      </c>
      <c r="Q722" s="6" t="str">
        <f>IF(AND(Table1[[#This Row],[Country_of_Residence]]&lt;&gt;Table1[[#This Row],[Country_of_Transaction]], OR(Table1[[#This Row],[Authentication_Type]]="Biometric", Table1[[#This Row],[Authentication_Type]]="OTP")), "safe location transaction", "unsafe location transaction")</f>
        <v>unsafe location transaction</v>
      </c>
      <c r="R722" s="6" t="str">
        <f>IF(AND(Table1[[#This Row],[Country_of_Residence]]&lt;&gt;Table1[[#This Row],[Country_of_Transaction]], OR(Table1[[#This Row],[Merchant_Category]]="Electronics", Table1[[#This Row],[Merchant_Category]]="Travel")), "unsafe merchant transaction", "safe merchant transaction")</f>
        <v>safe merchant transaction</v>
      </c>
    </row>
    <row r="723" spans="1:18">
      <c r="A723" t="s">
        <v>4368</v>
      </c>
      <c r="B723" t="s">
        <v>145</v>
      </c>
      <c r="C723">
        <v>1</v>
      </c>
      <c r="D723" t="s">
        <v>9</v>
      </c>
      <c r="E723" t="s">
        <v>3</v>
      </c>
      <c r="F723" s="2">
        <v>45837</v>
      </c>
      <c r="G723">
        <v>9836.91</v>
      </c>
      <c r="H723" s="1">
        <f>AVERAGEIF(Table1[Customer_ID], Table1[[#This Row],[Customer_ID]], Table1[Transaction_Amount])</f>
        <v>4664.5025373134304</v>
      </c>
      <c r="I723" t="s">
        <v>1868</v>
      </c>
      <c r="J723" t="s">
        <v>31</v>
      </c>
      <c r="K723" t="s">
        <v>14</v>
      </c>
      <c r="L723">
        <v>4</v>
      </c>
      <c r="M723" t="s">
        <v>51</v>
      </c>
      <c r="N723" t="s">
        <v>412</v>
      </c>
      <c r="O723" t="s">
        <v>393</v>
      </c>
      <c r="P723" s="6" t="str">
        <f>IF(Table1[[#This Row],[Transaction_Amount]]&lt;=Table1[[#This Row],[avg_transaction_amount]], "usual transaction", "unusual transaction")</f>
        <v>unusual transaction</v>
      </c>
      <c r="Q723" s="6" t="str">
        <f>IF(AND(Table1[[#This Row],[Country_of_Residence]]&lt;&gt;Table1[[#This Row],[Country_of_Transaction]], OR(Table1[[#This Row],[Authentication_Type]]="Biometric", Table1[[#This Row],[Authentication_Type]]="OTP")), "safe location transaction", "unsafe location transaction")</f>
        <v>unsafe location transaction</v>
      </c>
      <c r="R723" s="6" t="str">
        <f>IF(AND(Table1[[#This Row],[Country_of_Residence]]&lt;&gt;Table1[[#This Row],[Country_of_Transaction]], OR(Table1[[#This Row],[Merchant_Category]]="Electronics", Table1[[#This Row],[Merchant_Category]]="Travel")), "unsafe merchant transaction", "safe merchant transaction")</f>
        <v>safe merchant transaction</v>
      </c>
    </row>
    <row r="724" spans="1:18">
      <c r="A724" t="s">
        <v>4437</v>
      </c>
      <c r="B724" t="s">
        <v>145</v>
      </c>
      <c r="C724">
        <v>1</v>
      </c>
      <c r="D724" t="s">
        <v>15</v>
      </c>
      <c r="E724" t="s">
        <v>3</v>
      </c>
      <c r="F724" s="2">
        <v>45704</v>
      </c>
      <c r="G724">
        <v>5910.37</v>
      </c>
      <c r="H724" s="1">
        <f>AVERAGEIF(Table1[Customer_ID], Table1[[#This Row],[Customer_ID]], Table1[Transaction_Amount])</f>
        <v>4664.5025373134304</v>
      </c>
      <c r="I724" t="s">
        <v>1931</v>
      </c>
      <c r="J724" t="s">
        <v>46</v>
      </c>
      <c r="K724" t="s">
        <v>14</v>
      </c>
      <c r="L724">
        <v>0</v>
      </c>
      <c r="M724" t="s">
        <v>37</v>
      </c>
      <c r="N724" t="s">
        <v>42</v>
      </c>
      <c r="O724" t="s">
        <v>392</v>
      </c>
      <c r="P724" s="6" t="str">
        <f>IF(Table1[[#This Row],[Transaction_Amount]]&lt;=Table1[[#This Row],[avg_transaction_amount]], "usual transaction", "unusual transaction")</f>
        <v>unusual transaction</v>
      </c>
      <c r="Q724" s="6" t="str">
        <f>IF(AND(Table1[[#This Row],[Country_of_Residence]]&lt;&gt;Table1[[#This Row],[Country_of_Transaction]], OR(Table1[[#This Row],[Authentication_Type]]="Biometric", Table1[[#This Row],[Authentication_Type]]="OTP")), "safe location transaction", "unsafe location transaction")</f>
        <v>unsafe location transaction</v>
      </c>
      <c r="R724" s="6" t="str">
        <f>IF(AND(Table1[[#This Row],[Country_of_Residence]]&lt;&gt;Table1[[#This Row],[Country_of_Transaction]], OR(Table1[[#This Row],[Merchant_Category]]="Electronics", Table1[[#This Row],[Merchant_Category]]="Travel")), "unsafe merchant transaction", "safe merchant transaction")</f>
        <v>safe merchant transaction</v>
      </c>
    </row>
    <row r="725" spans="1:18">
      <c r="A725" t="s">
        <v>4449</v>
      </c>
      <c r="B725" t="s">
        <v>145</v>
      </c>
      <c r="C725">
        <v>1</v>
      </c>
      <c r="D725" t="s">
        <v>9</v>
      </c>
      <c r="E725" t="s">
        <v>420</v>
      </c>
      <c r="F725" s="2">
        <v>45949</v>
      </c>
      <c r="G725">
        <v>5034.78</v>
      </c>
      <c r="H725" s="1">
        <f>AVERAGEIF(Table1[Customer_ID], Table1[[#This Row],[Customer_ID]], Table1[Transaction_Amount])</f>
        <v>4664.5025373134304</v>
      </c>
      <c r="I725" t="s">
        <v>1943</v>
      </c>
      <c r="J725" t="s">
        <v>50</v>
      </c>
      <c r="K725" t="s">
        <v>14</v>
      </c>
      <c r="L725">
        <v>4</v>
      </c>
      <c r="M725" t="s">
        <v>51</v>
      </c>
      <c r="N725" t="s">
        <v>55</v>
      </c>
      <c r="O725" t="s">
        <v>393</v>
      </c>
      <c r="P725" s="6" t="str">
        <f>IF(Table1[[#This Row],[Transaction_Amount]]&lt;=Table1[[#This Row],[avg_transaction_amount]], "usual transaction", "unusual transaction")</f>
        <v>unusual transaction</v>
      </c>
      <c r="Q725" s="6" t="str">
        <f>IF(AND(Table1[[#This Row],[Country_of_Residence]]&lt;&gt;Table1[[#This Row],[Country_of_Transaction]], OR(Table1[[#This Row],[Authentication_Type]]="Biometric", Table1[[#This Row],[Authentication_Type]]="OTP")), "safe location transaction", "unsafe location transaction")</f>
        <v>unsafe location transaction</v>
      </c>
      <c r="R725" s="6" t="str">
        <f>IF(AND(Table1[[#This Row],[Country_of_Residence]]&lt;&gt;Table1[[#This Row],[Country_of_Transaction]], OR(Table1[[#This Row],[Merchant_Category]]="Electronics", Table1[[#This Row],[Merchant_Category]]="Travel")), "unsafe merchant transaction", "safe merchant transaction")</f>
        <v>unsafe merchant transaction</v>
      </c>
    </row>
    <row r="726" spans="1:18">
      <c r="A726" t="s">
        <v>4543</v>
      </c>
      <c r="B726" t="s">
        <v>145</v>
      </c>
      <c r="C726">
        <v>1</v>
      </c>
      <c r="D726" t="s">
        <v>15</v>
      </c>
      <c r="E726" t="s">
        <v>420</v>
      </c>
      <c r="F726" s="2">
        <v>45736</v>
      </c>
      <c r="G726">
        <v>8841.76</v>
      </c>
      <c r="H726" s="1">
        <f>AVERAGEIF(Table1[Customer_ID], Table1[[#This Row],[Customer_ID]], Table1[Transaction_Amount])</f>
        <v>4664.5025373134304</v>
      </c>
      <c r="I726" t="s">
        <v>2022</v>
      </c>
      <c r="J726" t="s">
        <v>31</v>
      </c>
      <c r="K726" t="s">
        <v>10</v>
      </c>
      <c r="L726">
        <v>4</v>
      </c>
      <c r="M726" t="s">
        <v>412</v>
      </c>
      <c r="N726" t="s">
        <v>42</v>
      </c>
      <c r="O726" t="s">
        <v>393</v>
      </c>
      <c r="P726" s="6" t="str">
        <f>IF(Table1[[#This Row],[Transaction_Amount]]&lt;=Table1[[#This Row],[avg_transaction_amount]], "usual transaction", "unusual transaction")</f>
        <v>unusual transaction</v>
      </c>
      <c r="Q726" s="6" t="str">
        <f>IF(AND(Table1[[#This Row],[Country_of_Residence]]&lt;&gt;Table1[[#This Row],[Country_of_Transaction]], OR(Table1[[#This Row],[Authentication_Type]]="Biometric", Table1[[#This Row],[Authentication_Type]]="OTP")), "safe location transaction", "unsafe location transaction")</f>
        <v>safe location transaction</v>
      </c>
      <c r="R726" s="6" t="str">
        <f>IF(AND(Table1[[#This Row],[Country_of_Residence]]&lt;&gt;Table1[[#This Row],[Country_of_Transaction]], OR(Table1[[#This Row],[Merchant_Category]]="Electronics", Table1[[#This Row],[Merchant_Category]]="Travel")), "unsafe merchant transaction", "safe merchant transaction")</f>
        <v>safe merchant transaction</v>
      </c>
    </row>
    <row r="727" spans="1:18">
      <c r="A727" t="s">
        <v>4548</v>
      </c>
      <c r="B727" t="s">
        <v>145</v>
      </c>
      <c r="C727">
        <v>1</v>
      </c>
      <c r="D727" t="s">
        <v>9</v>
      </c>
      <c r="E727" t="s">
        <v>3</v>
      </c>
      <c r="F727" s="2">
        <v>45920</v>
      </c>
      <c r="G727">
        <v>5316.37</v>
      </c>
      <c r="H727" s="1">
        <f>AVERAGEIF(Table1[Customer_ID], Table1[[#This Row],[Customer_ID]], Table1[Transaction_Amount])</f>
        <v>4664.5025373134304</v>
      </c>
      <c r="I727" t="s">
        <v>2027</v>
      </c>
      <c r="J727" t="s">
        <v>36</v>
      </c>
      <c r="K727" t="s">
        <v>10</v>
      </c>
      <c r="L727">
        <v>5</v>
      </c>
      <c r="M727" t="s">
        <v>32</v>
      </c>
      <c r="N727" t="s">
        <v>47</v>
      </c>
      <c r="O727" t="s">
        <v>392</v>
      </c>
      <c r="P727" s="6" t="str">
        <f>IF(Table1[[#This Row],[Transaction_Amount]]&lt;=Table1[[#This Row],[avg_transaction_amount]], "usual transaction", "unusual transaction")</f>
        <v>unusual transaction</v>
      </c>
      <c r="Q727" s="6" t="str">
        <f>IF(AND(Table1[[#This Row],[Country_of_Residence]]&lt;&gt;Table1[[#This Row],[Country_of_Transaction]], OR(Table1[[#This Row],[Authentication_Type]]="Biometric", Table1[[#This Row],[Authentication_Type]]="OTP")), "safe location transaction", "unsafe location transaction")</f>
        <v>safe location transaction</v>
      </c>
      <c r="R727" s="6" t="str">
        <f>IF(AND(Table1[[#This Row],[Country_of_Residence]]&lt;&gt;Table1[[#This Row],[Country_of_Transaction]], OR(Table1[[#This Row],[Merchant_Category]]="Electronics", Table1[[#This Row],[Merchant_Category]]="Travel")), "unsafe merchant transaction", "safe merchant transaction")</f>
        <v>safe merchant transaction</v>
      </c>
    </row>
    <row r="728" spans="1:18">
      <c r="A728" t="s">
        <v>4559</v>
      </c>
      <c r="B728" t="s">
        <v>145</v>
      </c>
      <c r="C728">
        <v>1</v>
      </c>
      <c r="D728" t="s">
        <v>15</v>
      </c>
      <c r="E728" t="s">
        <v>6</v>
      </c>
      <c r="F728" s="2">
        <v>45994</v>
      </c>
      <c r="G728">
        <v>7012.95</v>
      </c>
      <c r="H728" s="1">
        <f>AVERAGEIF(Table1[Customer_ID], Table1[[#This Row],[Customer_ID]], Table1[Transaction_Amount])</f>
        <v>4664.5025373134304</v>
      </c>
      <c r="I728" t="s">
        <v>2035</v>
      </c>
      <c r="J728" t="s">
        <v>50</v>
      </c>
      <c r="K728" t="s">
        <v>10</v>
      </c>
      <c r="L728">
        <v>4</v>
      </c>
      <c r="M728" t="s">
        <v>32</v>
      </c>
      <c r="N728" t="s">
        <v>47</v>
      </c>
      <c r="O728" t="s">
        <v>392</v>
      </c>
      <c r="P728" s="6" t="str">
        <f>IF(Table1[[#This Row],[Transaction_Amount]]&lt;=Table1[[#This Row],[avg_transaction_amount]], "usual transaction", "unusual transaction")</f>
        <v>unusual transaction</v>
      </c>
      <c r="Q728" s="6" t="str">
        <f>IF(AND(Table1[[#This Row],[Country_of_Residence]]&lt;&gt;Table1[[#This Row],[Country_of_Transaction]], OR(Table1[[#This Row],[Authentication_Type]]="Biometric", Table1[[#This Row],[Authentication_Type]]="OTP")), "safe location transaction", "unsafe location transaction")</f>
        <v>safe location transaction</v>
      </c>
      <c r="R728" s="6" t="str">
        <f>IF(AND(Table1[[#This Row],[Country_of_Residence]]&lt;&gt;Table1[[#This Row],[Country_of_Transaction]], OR(Table1[[#This Row],[Merchant_Category]]="Electronics", Table1[[#This Row],[Merchant_Category]]="Travel")), "unsafe merchant transaction", "safe merchant transaction")</f>
        <v>unsafe merchant transaction</v>
      </c>
    </row>
    <row r="729" spans="1:18">
      <c r="A729" t="s">
        <v>4625</v>
      </c>
      <c r="B729" t="s">
        <v>145</v>
      </c>
      <c r="C729">
        <v>1</v>
      </c>
      <c r="D729" t="s">
        <v>9</v>
      </c>
      <c r="E729" t="s">
        <v>3</v>
      </c>
      <c r="F729" s="2">
        <v>45906</v>
      </c>
      <c r="G729">
        <v>793.14</v>
      </c>
      <c r="H729" s="1">
        <f>AVERAGEIF(Table1[Customer_ID], Table1[[#This Row],[Customer_ID]], Table1[Transaction_Amount])</f>
        <v>4664.5025373134304</v>
      </c>
      <c r="I729" t="s">
        <v>1239</v>
      </c>
      <c r="J729" t="s">
        <v>46</v>
      </c>
      <c r="K729" t="s">
        <v>8</v>
      </c>
      <c r="L729">
        <v>0</v>
      </c>
      <c r="M729" t="s">
        <v>32</v>
      </c>
      <c r="N729" t="s">
        <v>51</v>
      </c>
      <c r="O729" t="s">
        <v>393</v>
      </c>
      <c r="P729" s="6" t="str">
        <f>IF(Table1[[#This Row],[Transaction_Amount]]&lt;=Table1[[#This Row],[avg_transaction_amount]], "usual transaction", "unusual transaction")</f>
        <v>usual transaction</v>
      </c>
      <c r="Q729" s="6" t="str">
        <f>IF(AND(Table1[[#This Row],[Country_of_Residence]]&lt;&gt;Table1[[#This Row],[Country_of_Transaction]], OR(Table1[[#This Row],[Authentication_Type]]="Biometric", Table1[[#This Row],[Authentication_Type]]="OTP")), "safe location transaction", "unsafe location transaction")</f>
        <v>safe location transaction</v>
      </c>
      <c r="R729" s="6" t="str">
        <f>IF(AND(Table1[[#This Row],[Country_of_Residence]]&lt;&gt;Table1[[#This Row],[Country_of_Transaction]], OR(Table1[[#This Row],[Merchant_Category]]="Electronics", Table1[[#This Row],[Merchant_Category]]="Travel")), "unsafe merchant transaction", "safe merchant transaction")</f>
        <v>safe merchant transaction</v>
      </c>
    </row>
    <row r="730" spans="1:18">
      <c r="A730" t="s">
        <v>4666</v>
      </c>
      <c r="B730" t="s">
        <v>145</v>
      </c>
      <c r="C730">
        <v>1</v>
      </c>
      <c r="D730" t="s">
        <v>9</v>
      </c>
      <c r="E730" t="s">
        <v>6</v>
      </c>
      <c r="F730" s="2">
        <v>45694</v>
      </c>
      <c r="G730">
        <v>6855.36</v>
      </c>
      <c r="H730" s="1">
        <f>AVERAGEIF(Table1[Customer_ID], Table1[[#This Row],[Customer_ID]], Table1[Transaction_Amount])</f>
        <v>4664.5025373134304</v>
      </c>
      <c r="I730" t="s">
        <v>2124</v>
      </c>
      <c r="J730" t="s">
        <v>41</v>
      </c>
      <c r="K730" t="s">
        <v>14</v>
      </c>
      <c r="L730">
        <v>5</v>
      </c>
      <c r="M730" t="s">
        <v>33</v>
      </c>
      <c r="N730" t="s">
        <v>51</v>
      </c>
      <c r="O730" t="s">
        <v>393</v>
      </c>
      <c r="P730" s="6" t="str">
        <f>IF(Table1[[#This Row],[Transaction_Amount]]&lt;=Table1[[#This Row],[avg_transaction_amount]], "usual transaction", "unusual transaction")</f>
        <v>unusual transaction</v>
      </c>
      <c r="Q730" s="6" t="str">
        <f>IF(AND(Table1[[#This Row],[Country_of_Residence]]&lt;&gt;Table1[[#This Row],[Country_of_Transaction]], OR(Table1[[#This Row],[Authentication_Type]]="Biometric", Table1[[#This Row],[Authentication_Type]]="OTP")), "safe location transaction", "unsafe location transaction")</f>
        <v>unsafe location transaction</v>
      </c>
      <c r="R730" s="6" t="str">
        <f>IF(AND(Table1[[#This Row],[Country_of_Residence]]&lt;&gt;Table1[[#This Row],[Country_of_Transaction]], OR(Table1[[#This Row],[Merchant_Category]]="Electronics", Table1[[#This Row],[Merchant_Category]]="Travel")), "unsafe merchant transaction", "safe merchant transaction")</f>
        <v>safe merchant transaction</v>
      </c>
    </row>
    <row r="731" spans="1:18">
      <c r="A731" t="s">
        <v>4683</v>
      </c>
      <c r="B731" t="s">
        <v>145</v>
      </c>
      <c r="C731">
        <v>1</v>
      </c>
      <c r="D731" t="s">
        <v>15</v>
      </c>
      <c r="E731" t="s">
        <v>6</v>
      </c>
      <c r="F731" s="2">
        <v>45849</v>
      </c>
      <c r="G731">
        <v>1498.43</v>
      </c>
      <c r="H731" s="1">
        <f>AVERAGEIF(Table1[Customer_ID], Table1[[#This Row],[Customer_ID]], Table1[Transaction_Amount])</f>
        <v>4664.5025373134304</v>
      </c>
      <c r="I731" t="s">
        <v>2135</v>
      </c>
      <c r="J731" t="s">
        <v>31</v>
      </c>
      <c r="K731" t="s">
        <v>10</v>
      </c>
      <c r="L731">
        <v>2</v>
      </c>
      <c r="M731" t="s">
        <v>37</v>
      </c>
      <c r="N731" t="s">
        <v>56</v>
      </c>
      <c r="O731" t="s">
        <v>392</v>
      </c>
      <c r="P731" s="6" t="str">
        <f>IF(Table1[[#This Row],[Transaction_Amount]]&lt;=Table1[[#This Row],[avg_transaction_amount]], "usual transaction", "unusual transaction")</f>
        <v>usual transaction</v>
      </c>
      <c r="Q731" s="6" t="str">
        <f>IF(AND(Table1[[#This Row],[Country_of_Residence]]&lt;&gt;Table1[[#This Row],[Country_of_Transaction]], OR(Table1[[#This Row],[Authentication_Type]]="Biometric", Table1[[#This Row],[Authentication_Type]]="OTP")), "safe location transaction", "unsafe location transaction")</f>
        <v>safe location transaction</v>
      </c>
      <c r="R731" s="6" t="str">
        <f>IF(AND(Table1[[#This Row],[Country_of_Residence]]&lt;&gt;Table1[[#This Row],[Country_of_Transaction]], OR(Table1[[#This Row],[Merchant_Category]]="Electronics", Table1[[#This Row],[Merchant_Category]]="Travel")), "unsafe merchant transaction", "safe merchant transaction")</f>
        <v>safe merchant transaction</v>
      </c>
    </row>
    <row r="732" spans="1:18">
      <c r="A732" t="s">
        <v>4698</v>
      </c>
      <c r="B732" t="s">
        <v>145</v>
      </c>
      <c r="C732">
        <v>1</v>
      </c>
      <c r="D732" t="s">
        <v>15</v>
      </c>
      <c r="E732" t="s">
        <v>3</v>
      </c>
      <c r="F732" s="2">
        <v>45836</v>
      </c>
      <c r="G732">
        <v>2987.27</v>
      </c>
      <c r="H732" s="1">
        <f>AVERAGEIF(Table1[Customer_ID], Table1[[#This Row],[Customer_ID]], Table1[Transaction_Amount])</f>
        <v>4664.5025373134304</v>
      </c>
      <c r="I732" t="s">
        <v>1495</v>
      </c>
      <c r="J732" t="s">
        <v>36</v>
      </c>
      <c r="K732" t="s">
        <v>8</v>
      </c>
      <c r="L732">
        <v>0</v>
      </c>
      <c r="M732" t="s">
        <v>56</v>
      </c>
      <c r="N732" t="s">
        <v>32</v>
      </c>
      <c r="O732" t="s">
        <v>393</v>
      </c>
      <c r="P732" s="6" t="str">
        <f>IF(Table1[[#This Row],[Transaction_Amount]]&lt;=Table1[[#This Row],[avg_transaction_amount]], "usual transaction", "unusual transaction")</f>
        <v>usual transaction</v>
      </c>
      <c r="Q732" s="6" t="str">
        <f>IF(AND(Table1[[#This Row],[Country_of_Residence]]&lt;&gt;Table1[[#This Row],[Country_of_Transaction]], OR(Table1[[#This Row],[Authentication_Type]]="Biometric", Table1[[#This Row],[Authentication_Type]]="OTP")), "safe location transaction", "unsafe location transaction")</f>
        <v>safe location transaction</v>
      </c>
      <c r="R732" s="6" t="str">
        <f>IF(AND(Table1[[#This Row],[Country_of_Residence]]&lt;&gt;Table1[[#This Row],[Country_of_Transaction]], OR(Table1[[#This Row],[Merchant_Category]]="Electronics", Table1[[#This Row],[Merchant_Category]]="Travel")), "unsafe merchant transaction", "safe merchant transaction")</f>
        <v>safe merchant transaction</v>
      </c>
    </row>
    <row r="733" spans="1:18">
      <c r="A733" t="s">
        <v>4700</v>
      </c>
      <c r="B733" t="s">
        <v>145</v>
      </c>
      <c r="C733">
        <v>1</v>
      </c>
      <c r="D733" t="s">
        <v>15</v>
      </c>
      <c r="E733" t="s">
        <v>5</v>
      </c>
      <c r="F733" s="2">
        <v>45735</v>
      </c>
      <c r="G733">
        <v>2911.34</v>
      </c>
      <c r="H733" s="1">
        <f>AVERAGEIF(Table1[Customer_ID], Table1[[#This Row],[Customer_ID]], Table1[Transaction_Amount])</f>
        <v>4664.5025373134304</v>
      </c>
      <c r="I733" t="s">
        <v>2148</v>
      </c>
      <c r="J733" t="s">
        <v>46</v>
      </c>
      <c r="K733" t="s">
        <v>8</v>
      </c>
      <c r="L733">
        <v>5</v>
      </c>
      <c r="M733" t="s">
        <v>51</v>
      </c>
      <c r="N733" t="s">
        <v>55</v>
      </c>
      <c r="O733" t="s">
        <v>393</v>
      </c>
      <c r="P733" s="6" t="str">
        <f>IF(Table1[[#This Row],[Transaction_Amount]]&lt;=Table1[[#This Row],[avg_transaction_amount]], "usual transaction", "unusual transaction")</f>
        <v>usual transaction</v>
      </c>
      <c r="Q733" s="6" t="str">
        <f>IF(AND(Table1[[#This Row],[Country_of_Residence]]&lt;&gt;Table1[[#This Row],[Country_of_Transaction]], OR(Table1[[#This Row],[Authentication_Type]]="Biometric", Table1[[#This Row],[Authentication_Type]]="OTP")), "safe location transaction", "unsafe location transaction")</f>
        <v>safe location transaction</v>
      </c>
      <c r="R733" s="6" t="str">
        <f>IF(AND(Table1[[#This Row],[Country_of_Residence]]&lt;&gt;Table1[[#This Row],[Country_of_Transaction]], OR(Table1[[#This Row],[Merchant_Category]]="Electronics", Table1[[#This Row],[Merchant_Category]]="Travel")), "unsafe merchant transaction", "safe merchant transaction")</f>
        <v>safe merchant transaction</v>
      </c>
    </row>
    <row r="734" spans="1:18">
      <c r="A734" t="s">
        <v>4816</v>
      </c>
      <c r="B734" t="s">
        <v>145</v>
      </c>
      <c r="C734">
        <v>1</v>
      </c>
      <c r="D734" t="s">
        <v>9</v>
      </c>
      <c r="E734" t="s">
        <v>3</v>
      </c>
      <c r="F734" s="2">
        <v>45902</v>
      </c>
      <c r="G734">
        <v>2262.39</v>
      </c>
      <c r="H734" s="1">
        <f>AVERAGEIF(Table1[Customer_ID], Table1[[#This Row],[Customer_ID]], Table1[Transaction_Amount])</f>
        <v>4664.5025373134304</v>
      </c>
      <c r="I734" t="s">
        <v>2236</v>
      </c>
      <c r="J734" t="s">
        <v>36</v>
      </c>
      <c r="K734" t="s">
        <v>12</v>
      </c>
      <c r="L734">
        <v>0</v>
      </c>
      <c r="M734" t="s">
        <v>47</v>
      </c>
      <c r="N734" t="s">
        <v>37</v>
      </c>
      <c r="O734" t="s">
        <v>393</v>
      </c>
      <c r="P734" s="6" t="str">
        <f>IF(Table1[[#This Row],[Transaction_Amount]]&lt;=Table1[[#This Row],[avg_transaction_amount]], "usual transaction", "unusual transaction")</f>
        <v>usual transaction</v>
      </c>
      <c r="Q734" s="6" t="str">
        <f>IF(AND(Table1[[#This Row],[Country_of_Residence]]&lt;&gt;Table1[[#This Row],[Country_of_Transaction]], OR(Table1[[#This Row],[Authentication_Type]]="Biometric", Table1[[#This Row],[Authentication_Type]]="OTP")), "safe location transaction", "unsafe location transaction")</f>
        <v>unsafe location transaction</v>
      </c>
      <c r="R734" s="6" t="str">
        <f>IF(AND(Table1[[#This Row],[Country_of_Residence]]&lt;&gt;Table1[[#This Row],[Country_of_Transaction]], OR(Table1[[#This Row],[Merchant_Category]]="Electronics", Table1[[#This Row],[Merchant_Category]]="Travel")), "unsafe merchant transaction", "safe merchant transaction")</f>
        <v>safe merchant transaction</v>
      </c>
    </row>
    <row r="735" spans="1:18">
      <c r="A735" t="s">
        <v>4839</v>
      </c>
      <c r="B735" t="s">
        <v>145</v>
      </c>
      <c r="C735">
        <v>1</v>
      </c>
      <c r="D735" t="s">
        <v>9</v>
      </c>
      <c r="E735" t="s">
        <v>5</v>
      </c>
      <c r="F735" s="2">
        <v>45758</v>
      </c>
      <c r="G735">
        <v>2532.11</v>
      </c>
      <c r="H735" s="1">
        <f>AVERAGEIF(Table1[Customer_ID], Table1[[#This Row],[Customer_ID]], Table1[Transaction_Amount])</f>
        <v>4664.5025373134304</v>
      </c>
      <c r="I735" t="s">
        <v>1396</v>
      </c>
      <c r="J735" t="s">
        <v>50</v>
      </c>
      <c r="K735" t="s">
        <v>12</v>
      </c>
      <c r="L735">
        <v>0</v>
      </c>
      <c r="M735" t="s">
        <v>55</v>
      </c>
      <c r="N735" t="s">
        <v>412</v>
      </c>
      <c r="O735" t="s">
        <v>393</v>
      </c>
      <c r="P735" s="6" t="str">
        <f>IF(Table1[[#This Row],[Transaction_Amount]]&lt;=Table1[[#This Row],[avg_transaction_amount]], "usual transaction", "unusual transaction")</f>
        <v>usual transaction</v>
      </c>
      <c r="Q735" s="6" t="str">
        <f>IF(AND(Table1[[#This Row],[Country_of_Residence]]&lt;&gt;Table1[[#This Row],[Country_of_Transaction]], OR(Table1[[#This Row],[Authentication_Type]]="Biometric", Table1[[#This Row],[Authentication_Type]]="OTP")), "safe location transaction", "unsafe location transaction")</f>
        <v>unsafe location transaction</v>
      </c>
      <c r="R735" s="6" t="str">
        <f>IF(AND(Table1[[#This Row],[Country_of_Residence]]&lt;&gt;Table1[[#This Row],[Country_of_Transaction]], OR(Table1[[#This Row],[Merchant_Category]]="Electronics", Table1[[#This Row],[Merchant_Category]]="Travel")), "unsafe merchant transaction", "safe merchant transaction")</f>
        <v>unsafe merchant transaction</v>
      </c>
    </row>
    <row r="736" spans="1:18">
      <c r="A736" t="s">
        <v>4898</v>
      </c>
      <c r="B736" t="s">
        <v>145</v>
      </c>
      <c r="C736">
        <v>1</v>
      </c>
      <c r="D736" t="s">
        <v>15</v>
      </c>
      <c r="E736" t="s">
        <v>3</v>
      </c>
      <c r="F736" s="2">
        <v>45714</v>
      </c>
      <c r="G736">
        <v>2467.19</v>
      </c>
      <c r="H736" s="1">
        <f>AVERAGEIF(Table1[Customer_ID], Table1[[#This Row],[Customer_ID]], Table1[Transaction_Amount])</f>
        <v>4664.5025373134304</v>
      </c>
      <c r="I736" t="s">
        <v>2300</v>
      </c>
      <c r="J736" t="s">
        <v>46</v>
      </c>
      <c r="K736" t="s">
        <v>12</v>
      </c>
      <c r="L736">
        <v>3</v>
      </c>
      <c r="M736" t="s">
        <v>412</v>
      </c>
      <c r="N736" t="s">
        <v>55</v>
      </c>
      <c r="O736" t="s">
        <v>392</v>
      </c>
      <c r="P736" s="6" t="str">
        <f>IF(Table1[[#This Row],[Transaction_Amount]]&lt;=Table1[[#This Row],[avg_transaction_amount]], "usual transaction", "unusual transaction")</f>
        <v>usual transaction</v>
      </c>
      <c r="Q736" s="6" t="str">
        <f>IF(AND(Table1[[#This Row],[Country_of_Residence]]&lt;&gt;Table1[[#This Row],[Country_of_Transaction]], OR(Table1[[#This Row],[Authentication_Type]]="Biometric", Table1[[#This Row],[Authentication_Type]]="OTP")), "safe location transaction", "unsafe location transaction")</f>
        <v>unsafe location transaction</v>
      </c>
      <c r="R736" s="6" t="str">
        <f>IF(AND(Table1[[#This Row],[Country_of_Residence]]&lt;&gt;Table1[[#This Row],[Country_of_Transaction]], OR(Table1[[#This Row],[Merchant_Category]]="Electronics", Table1[[#This Row],[Merchant_Category]]="Travel")), "unsafe merchant transaction", "safe merchant transaction")</f>
        <v>safe merchant transaction</v>
      </c>
    </row>
    <row r="737" spans="1:18">
      <c r="A737" t="s">
        <v>4905</v>
      </c>
      <c r="B737" t="s">
        <v>145</v>
      </c>
      <c r="C737">
        <v>1</v>
      </c>
      <c r="D737" t="s">
        <v>9</v>
      </c>
      <c r="E737" t="s">
        <v>420</v>
      </c>
      <c r="F737" s="2">
        <v>45663</v>
      </c>
      <c r="G737">
        <v>4001.21</v>
      </c>
      <c r="H737" s="1">
        <f>AVERAGEIF(Table1[Customer_ID], Table1[[#This Row],[Customer_ID]], Table1[Transaction_Amount])</f>
        <v>4664.5025373134304</v>
      </c>
      <c r="I737" t="s">
        <v>1251</v>
      </c>
      <c r="J737" t="s">
        <v>46</v>
      </c>
      <c r="K737" t="s">
        <v>10</v>
      </c>
      <c r="L737">
        <v>2</v>
      </c>
      <c r="M737" t="s">
        <v>55</v>
      </c>
      <c r="N737" t="s">
        <v>32</v>
      </c>
      <c r="O737" t="s">
        <v>392</v>
      </c>
      <c r="P737" s="6" t="str">
        <f>IF(Table1[[#This Row],[Transaction_Amount]]&lt;=Table1[[#This Row],[avg_transaction_amount]], "usual transaction", "unusual transaction")</f>
        <v>usual transaction</v>
      </c>
      <c r="Q737" s="6" t="str">
        <f>IF(AND(Table1[[#This Row],[Country_of_Residence]]&lt;&gt;Table1[[#This Row],[Country_of_Transaction]], OR(Table1[[#This Row],[Authentication_Type]]="Biometric", Table1[[#This Row],[Authentication_Type]]="OTP")), "safe location transaction", "unsafe location transaction")</f>
        <v>safe location transaction</v>
      </c>
      <c r="R737" s="6" t="str">
        <f>IF(AND(Table1[[#This Row],[Country_of_Residence]]&lt;&gt;Table1[[#This Row],[Country_of_Transaction]], OR(Table1[[#This Row],[Merchant_Category]]="Electronics", Table1[[#This Row],[Merchant_Category]]="Travel")), "unsafe merchant transaction", "safe merchant transaction")</f>
        <v>safe merchant transaction</v>
      </c>
    </row>
    <row r="738" spans="1:18">
      <c r="A738" t="s">
        <v>5062</v>
      </c>
      <c r="B738" t="s">
        <v>145</v>
      </c>
      <c r="C738">
        <v>1</v>
      </c>
      <c r="D738" t="s">
        <v>9</v>
      </c>
      <c r="E738" t="s">
        <v>3</v>
      </c>
      <c r="F738" s="2">
        <v>45803</v>
      </c>
      <c r="G738">
        <v>1628.29</v>
      </c>
      <c r="H738" s="1">
        <f>AVERAGEIF(Table1[Customer_ID], Table1[[#This Row],[Customer_ID]], Table1[Transaction_Amount])</f>
        <v>4664.5025373134304</v>
      </c>
      <c r="I738" t="s">
        <v>2423</v>
      </c>
      <c r="J738" t="s">
        <v>46</v>
      </c>
      <c r="K738" t="s">
        <v>14</v>
      </c>
      <c r="L738">
        <v>4</v>
      </c>
      <c r="M738" t="s">
        <v>412</v>
      </c>
      <c r="N738" t="s">
        <v>55</v>
      </c>
      <c r="O738" t="s">
        <v>392</v>
      </c>
      <c r="P738" s="6" t="str">
        <f>IF(Table1[[#This Row],[Transaction_Amount]]&lt;=Table1[[#This Row],[avg_transaction_amount]], "usual transaction", "unusual transaction")</f>
        <v>usual transaction</v>
      </c>
      <c r="Q738" s="6" t="str">
        <f>IF(AND(Table1[[#This Row],[Country_of_Residence]]&lt;&gt;Table1[[#This Row],[Country_of_Transaction]], OR(Table1[[#This Row],[Authentication_Type]]="Biometric", Table1[[#This Row],[Authentication_Type]]="OTP")), "safe location transaction", "unsafe location transaction")</f>
        <v>unsafe location transaction</v>
      </c>
      <c r="R738" s="6" t="str">
        <f>IF(AND(Table1[[#This Row],[Country_of_Residence]]&lt;&gt;Table1[[#This Row],[Country_of_Transaction]], OR(Table1[[#This Row],[Merchant_Category]]="Electronics", Table1[[#This Row],[Merchant_Category]]="Travel")), "unsafe merchant transaction", "safe merchant transaction")</f>
        <v>safe merchant transaction</v>
      </c>
    </row>
    <row r="739" spans="1:18">
      <c r="A739" t="s">
        <v>5125</v>
      </c>
      <c r="B739" t="s">
        <v>145</v>
      </c>
      <c r="C739">
        <v>1</v>
      </c>
      <c r="D739" t="s">
        <v>15</v>
      </c>
      <c r="E739" t="s">
        <v>420</v>
      </c>
      <c r="F739" s="2">
        <v>45909</v>
      </c>
      <c r="G739">
        <v>3294.47</v>
      </c>
      <c r="H739" s="1">
        <f>AVERAGEIF(Table1[Customer_ID], Table1[[#This Row],[Customer_ID]], Table1[Transaction_Amount])</f>
        <v>4664.5025373134304</v>
      </c>
      <c r="I739" t="s">
        <v>2469</v>
      </c>
      <c r="J739" t="s">
        <v>36</v>
      </c>
      <c r="K739" t="s">
        <v>10</v>
      </c>
      <c r="L739">
        <v>2</v>
      </c>
      <c r="M739" t="s">
        <v>56</v>
      </c>
      <c r="N739" t="s">
        <v>51</v>
      </c>
      <c r="O739" t="s">
        <v>393</v>
      </c>
      <c r="P739" s="6" t="str">
        <f>IF(Table1[[#This Row],[Transaction_Amount]]&lt;=Table1[[#This Row],[avg_transaction_amount]], "usual transaction", "unusual transaction")</f>
        <v>usual transaction</v>
      </c>
      <c r="Q739" s="6" t="str">
        <f>IF(AND(Table1[[#This Row],[Country_of_Residence]]&lt;&gt;Table1[[#This Row],[Country_of_Transaction]], OR(Table1[[#This Row],[Authentication_Type]]="Biometric", Table1[[#This Row],[Authentication_Type]]="OTP")), "safe location transaction", "unsafe location transaction")</f>
        <v>safe location transaction</v>
      </c>
      <c r="R739" s="6" t="str">
        <f>IF(AND(Table1[[#This Row],[Country_of_Residence]]&lt;&gt;Table1[[#This Row],[Country_of_Transaction]], OR(Table1[[#This Row],[Merchant_Category]]="Electronics", Table1[[#This Row],[Merchant_Category]]="Travel")), "unsafe merchant transaction", "safe merchant transaction")</f>
        <v>safe merchant transaction</v>
      </c>
    </row>
    <row r="740" spans="1:18">
      <c r="A740" t="s">
        <v>5161</v>
      </c>
      <c r="B740" t="s">
        <v>145</v>
      </c>
      <c r="C740">
        <v>1</v>
      </c>
      <c r="D740" t="s">
        <v>9</v>
      </c>
      <c r="E740" t="s">
        <v>3</v>
      </c>
      <c r="F740" s="2">
        <v>45665</v>
      </c>
      <c r="G740">
        <v>8722.4699999999993</v>
      </c>
      <c r="H740" s="1">
        <f>AVERAGEIF(Table1[Customer_ID], Table1[[#This Row],[Customer_ID]], Table1[Transaction_Amount])</f>
        <v>4664.5025373134304</v>
      </c>
      <c r="I740" t="s">
        <v>2497</v>
      </c>
      <c r="J740" t="s">
        <v>46</v>
      </c>
      <c r="K740" t="s">
        <v>8</v>
      </c>
      <c r="L740">
        <v>4</v>
      </c>
      <c r="M740" t="s">
        <v>51</v>
      </c>
      <c r="N740" t="s">
        <v>51</v>
      </c>
      <c r="O740" t="s">
        <v>392</v>
      </c>
      <c r="P740" s="6" t="str">
        <f>IF(Table1[[#This Row],[Transaction_Amount]]&lt;=Table1[[#This Row],[avg_transaction_amount]], "usual transaction", "unusual transaction")</f>
        <v>unusual transaction</v>
      </c>
      <c r="Q740" s="6" t="str">
        <f>IF(AND(Table1[[#This Row],[Country_of_Residence]]&lt;&gt;Table1[[#This Row],[Country_of_Transaction]], OR(Table1[[#This Row],[Authentication_Type]]="Biometric", Table1[[#This Row],[Authentication_Type]]="OTP")), "safe location transaction", "unsafe location transaction")</f>
        <v>unsafe location transaction</v>
      </c>
      <c r="R740" s="6" t="str">
        <f>IF(AND(Table1[[#This Row],[Country_of_Residence]]&lt;&gt;Table1[[#This Row],[Country_of_Transaction]], OR(Table1[[#This Row],[Merchant_Category]]="Electronics", Table1[[#This Row],[Merchant_Category]]="Travel")), "unsafe merchant transaction", "safe merchant transaction")</f>
        <v>safe merchant transaction</v>
      </c>
    </row>
    <row r="741" spans="1:18">
      <c r="A741" t="s">
        <v>5257</v>
      </c>
      <c r="B741" t="s">
        <v>145</v>
      </c>
      <c r="C741">
        <v>1</v>
      </c>
      <c r="D741" t="s">
        <v>9</v>
      </c>
      <c r="E741" t="s">
        <v>420</v>
      </c>
      <c r="F741" s="2">
        <v>45949</v>
      </c>
      <c r="G741">
        <v>8512.35</v>
      </c>
      <c r="H741" s="1">
        <f>AVERAGEIF(Table1[Customer_ID], Table1[[#This Row],[Customer_ID]], Table1[Transaction_Amount])</f>
        <v>4664.5025373134304</v>
      </c>
      <c r="I741" t="s">
        <v>2576</v>
      </c>
      <c r="J741" t="s">
        <v>36</v>
      </c>
      <c r="K741" t="s">
        <v>8</v>
      </c>
      <c r="L741">
        <v>5</v>
      </c>
      <c r="M741" t="s">
        <v>56</v>
      </c>
      <c r="N741" t="s">
        <v>412</v>
      </c>
      <c r="O741" t="s">
        <v>393</v>
      </c>
      <c r="P741" s="6" t="str">
        <f>IF(Table1[[#This Row],[Transaction_Amount]]&lt;=Table1[[#This Row],[avg_transaction_amount]], "usual transaction", "unusual transaction")</f>
        <v>unusual transaction</v>
      </c>
      <c r="Q741" s="6" t="str">
        <f>IF(AND(Table1[[#This Row],[Country_of_Residence]]&lt;&gt;Table1[[#This Row],[Country_of_Transaction]], OR(Table1[[#This Row],[Authentication_Type]]="Biometric", Table1[[#This Row],[Authentication_Type]]="OTP")), "safe location transaction", "unsafe location transaction")</f>
        <v>safe location transaction</v>
      </c>
      <c r="R741" s="6" t="str">
        <f>IF(AND(Table1[[#This Row],[Country_of_Residence]]&lt;&gt;Table1[[#This Row],[Country_of_Transaction]], OR(Table1[[#This Row],[Merchant_Category]]="Electronics", Table1[[#This Row],[Merchant_Category]]="Travel")), "unsafe merchant transaction", "safe merchant transaction")</f>
        <v>safe merchant transaction</v>
      </c>
    </row>
    <row r="742" spans="1:18">
      <c r="A742" t="s">
        <v>5274</v>
      </c>
      <c r="B742" t="s">
        <v>145</v>
      </c>
      <c r="C742">
        <v>1</v>
      </c>
      <c r="D742" t="s">
        <v>9</v>
      </c>
      <c r="E742" t="s">
        <v>420</v>
      </c>
      <c r="F742" s="2">
        <v>45837</v>
      </c>
      <c r="G742">
        <v>1546.29</v>
      </c>
      <c r="H742" s="1">
        <f>AVERAGEIF(Table1[Customer_ID], Table1[[#This Row],[Customer_ID]], Table1[Transaction_Amount])</f>
        <v>4664.5025373134304</v>
      </c>
      <c r="I742" t="s">
        <v>2585</v>
      </c>
      <c r="J742" t="s">
        <v>50</v>
      </c>
      <c r="K742" t="s">
        <v>14</v>
      </c>
      <c r="L742">
        <v>4</v>
      </c>
      <c r="M742" t="s">
        <v>47</v>
      </c>
      <c r="N742" t="s">
        <v>56</v>
      </c>
      <c r="O742" t="s">
        <v>393</v>
      </c>
      <c r="P742" s="6" t="str">
        <f>IF(Table1[[#This Row],[Transaction_Amount]]&lt;=Table1[[#This Row],[avg_transaction_amount]], "usual transaction", "unusual transaction")</f>
        <v>usual transaction</v>
      </c>
      <c r="Q742" s="6" t="str">
        <f>IF(AND(Table1[[#This Row],[Country_of_Residence]]&lt;&gt;Table1[[#This Row],[Country_of_Transaction]], OR(Table1[[#This Row],[Authentication_Type]]="Biometric", Table1[[#This Row],[Authentication_Type]]="OTP")), "safe location transaction", "unsafe location transaction")</f>
        <v>unsafe location transaction</v>
      </c>
      <c r="R742" s="6" t="str">
        <f>IF(AND(Table1[[#This Row],[Country_of_Residence]]&lt;&gt;Table1[[#This Row],[Country_of_Transaction]], OR(Table1[[#This Row],[Merchant_Category]]="Electronics", Table1[[#This Row],[Merchant_Category]]="Travel")), "unsafe merchant transaction", "safe merchant transaction")</f>
        <v>unsafe merchant transaction</v>
      </c>
    </row>
    <row r="743" spans="1:18">
      <c r="A743" t="s">
        <v>5310</v>
      </c>
      <c r="B743" t="s">
        <v>145</v>
      </c>
      <c r="C743">
        <v>1</v>
      </c>
      <c r="D743" t="s">
        <v>9</v>
      </c>
      <c r="E743" t="s">
        <v>3</v>
      </c>
      <c r="F743" s="2">
        <v>46013</v>
      </c>
      <c r="G743">
        <v>8062.43</v>
      </c>
      <c r="H743" s="1">
        <f>AVERAGEIF(Table1[Customer_ID], Table1[[#This Row],[Customer_ID]], Table1[Transaction_Amount])</f>
        <v>4664.5025373134304</v>
      </c>
      <c r="I743" t="s">
        <v>2611</v>
      </c>
      <c r="J743" t="s">
        <v>50</v>
      </c>
      <c r="K743" t="s">
        <v>10</v>
      </c>
      <c r="L743">
        <v>3</v>
      </c>
      <c r="M743" t="s">
        <v>412</v>
      </c>
      <c r="N743" t="s">
        <v>412</v>
      </c>
      <c r="O743" t="s">
        <v>393</v>
      </c>
      <c r="P743" s="6" t="str">
        <f>IF(Table1[[#This Row],[Transaction_Amount]]&lt;=Table1[[#This Row],[avg_transaction_amount]], "usual transaction", "unusual transaction")</f>
        <v>unusual transaction</v>
      </c>
      <c r="Q743" s="6" t="str">
        <f>IF(AND(Table1[[#This Row],[Country_of_Residence]]&lt;&gt;Table1[[#This Row],[Country_of_Transaction]], OR(Table1[[#This Row],[Authentication_Type]]="Biometric", Table1[[#This Row],[Authentication_Type]]="OTP")), "safe location transaction", "unsafe location transaction")</f>
        <v>unsafe location transaction</v>
      </c>
      <c r="R743" s="6" t="str">
        <f>IF(AND(Table1[[#This Row],[Country_of_Residence]]&lt;&gt;Table1[[#This Row],[Country_of_Transaction]], OR(Table1[[#This Row],[Merchant_Category]]="Electronics", Table1[[#This Row],[Merchant_Category]]="Travel")), "unsafe merchant transaction", "safe merchant transaction")</f>
        <v>safe merchant transaction</v>
      </c>
    </row>
    <row r="744" spans="1:18">
      <c r="A744" t="s">
        <v>5371</v>
      </c>
      <c r="B744" t="s">
        <v>145</v>
      </c>
      <c r="C744">
        <v>1</v>
      </c>
      <c r="D744" t="s">
        <v>9</v>
      </c>
      <c r="E744" t="s">
        <v>420</v>
      </c>
      <c r="F744" s="2">
        <v>45660</v>
      </c>
      <c r="G744">
        <v>5787.35</v>
      </c>
      <c r="H744" s="1">
        <f>AVERAGEIF(Table1[Customer_ID], Table1[[#This Row],[Customer_ID]], Table1[Transaction_Amount])</f>
        <v>4664.5025373134304</v>
      </c>
      <c r="I744" t="s">
        <v>2658</v>
      </c>
      <c r="J744" t="s">
        <v>50</v>
      </c>
      <c r="K744" t="s">
        <v>14</v>
      </c>
      <c r="L744">
        <v>0</v>
      </c>
      <c r="M744" t="s">
        <v>56</v>
      </c>
      <c r="N744" t="s">
        <v>37</v>
      </c>
      <c r="O744" t="s">
        <v>392</v>
      </c>
      <c r="P744" s="6" t="str">
        <f>IF(Table1[[#This Row],[Transaction_Amount]]&lt;=Table1[[#This Row],[avg_transaction_amount]], "usual transaction", "unusual transaction")</f>
        <v>unusual transaction</v>
      </c>
      <c r="Q744" s="6" t="str">
        <f>IF(AND(Table1[[#This Row],[Country_of_Residence]]&lt;&gt;Table1[[#This Row],[Country_of_Transaction]], OR(Table1[[#This Row],[Authentication_Type]]="Biometric", Table1[[#This Row],[Authentication_Type]]="OTP")), "safe location transaction", "unsafe location transaction")</f>
        <v>unsafe location transaction</v>
      </c>
      <c r="R744" s="6" t="str">
        <f>IF(AND(Table1[[#This Row],[Country_of_Residence]]&lt;&gt;Table1[[#This Row],[Country_of_Transaction]], OR(Table1[[#This Row],[Merchant_Category]]="Electronics", Table1[[#This Row],[Merchant_Category]]="Travel")), "unsafe merchant transaction", "safe merchant transaction")</f>
        <v>unsafe merchant transaction</v>
      </c>
    </row>
    <row r="745" spans="1:18">
      <c r="A745" t="s">
        <v>5411</v>
      </c>
      <c r="B745" t="s">
        <v>145</v>
      </c>
      <c r="C745">
        <v>1</v>
      </c>
      <c r="D745" t="s">
        <v>9</v>
      </c>
      <c r="E745" t="s">
        <v>6</v>
      </c>
      <c r="F745" s="2">
        <v>45762</v>
      </c>
      <c r="G745">
        <v>6460.06</v>
      </c>
      <c r="H745" s="1">
        <f>AVERAGEIF(Table1[Customer_ID], Table1[[#This Row],[Customer_ID]], Table1[Transaction_Amount])</f>
        <v>4664.5025373134304</v>
      </c>
      <c r="I745" t="s">
        <v>722</v>
      </c>
      <c r="J745" t="s">
        <v>46</v>
      </c>
      <c r="K745" t="s">
        <v>10</v>
      </c>
      <c r="L745">
        <v>0</v>
      </c>
      <c r="M745" t="s">
        <v>56</v>
      </c>
      <c r="N745" t="s">
        <v>51</v>
      </c>
      <c r="O745" t="s">
        <v>392</v>
      </c>
      <c r="P745" s="6" t="str">
        <f>IF(Table1[[#This Row],[Transaction_Amount]]&lt;=Table1[[#This Row],[avg_transaction_amount]], "usual transaction", "unusual transaction")</f>
        <v>unusual transaction</v>
      </c>
      <c r="Q745" s="6" t="str">
        <f>IF(AND(Table1[[#This Row],[Country_of_Residence]]&lt;&gt;Table1[[#This Row],[Country_of_Transaction]], OR(Table1[[#This Row],[Authentication_Type]]="Biometric", Table1[[#This Row],[Authentication_Type]]="OTP")), "safe location transaction", "unsafe location transaction")</f>
        <v>safe location transaction</v>
      </c>
      <c r="R745" s="6" t="str">
        <f>IF(AND(Table1[[#This Row],[Country_of_Residence]]&lt;&gt;Table1[[#This Row],[Country_of_Transaction]], OR(Table1[[#This Row],[Merchant_Category]]="Electronics", Table1[[#This Row],[Merchant_Category]]="Travel")), "unsafe merchant transaction", "safe merchant transaction")</f>
        <v>safe merchant transaction</v>
      </c>
    </row>
    <row r="746" spans="1:18">
      <c r="A746" t="s">
        <v>5438</v>
      </c>
      <c r="B746" t="s">
        <v>145</v>
      </c>
      <c r="C746">
        <v>1</v>
      </c>
      <c r="D746" t="s">
        <v>9</v>
      </c>
      <c r="E746" t="s">
        <v>6</v>
      </c>
      <c r="F746" s="2">
        <v>45836</v>
      </c>
      <c r="G746">
        <v>1378.99</v>
      </c>
      <c r="H746" s="1">
        <f>AVERAGEIF(Table1[Customer_ID], Table1[[#This Row],[Customer_ID]], Table1[Transaction_Amount])</f>
        <v>4664.5025373134304</v>
      </c>
      <c r="I746" t="s">
        <v>2707</v>
      </c>
      <c r="J746" t="s">
        <v>46</v>
      </c>
      <c r="K746" t="s">
        <v>14</v>
      </c>
      <c r="L746">
        <v>5</v>
      </c>
      <c r="M746" t="s">
        <v>42</v>
      </c>
      <c r="N746" t="s">
        <v>33</v>
      </c>
      <c r="O746" t="s">
        <v>392</v>
      </c>
      <c r="P746" s="6" t="str">
        <f>IF(Table1[[#This Row],[Transaction_Amount]]&lt;=Table1[[#This Row],[avg_transaction_amount]], "usual transaction", "unusual transaction")</f>
        <v>usual transaction</v>
      </c>
      <c r="Q746" s="6" t="str">
        <f>IF(AND(Table1[[#This Row],[Country_of_Residence]]&lt;&gt;Table1[[#This Row],[Country_of_Transaction]], OR(Table1[[#This Row],[Authentication_Type]]="Biometric", Table1[[#This Row],[Authentication_Type]]="OTP")), "safe location transaction", "unsafe location transaction")</f>
        <v>unsafe location transaction</v>
      </c>
      <c r="R746" s="6" t="str">
        <f>IF(AND(Table1[[#This Row],[Country_of_Residence]]&lt;&gt;Table1[[#This Row],[Country_of_Transaction]], OR(Table1[[#This Row],[Merchant_Category]]="Electronics", Table1[[#This Row],[Merchant_Category]]="Travel")), "unsafe merchant transaction", "safe merchant transaction")</f>
        <v>safe merchant transaction</v>
      </c>
    </row>
    <row r="747" spans="1:18">
      <c r="A747" t="s">
        <v>5477</v>
      </c>
      <c r="B747" t="s">
        <v>145</v>
      </c>
      <c r="C747">
        <v>1</v>
      </c>
      <c r="D747" t="s">
        <v>9</v>
      </c>
      <c r="E747" t="s">
        <v>6</v>
      </c>
      <c r="F747" s="2">
        <v>45915</v>
      </c>
      <c r="G747">
        <v>3905.82</v>
      </c>
      <c r="H747" s="1">
        <f>AVERAGEIF(Table1[Customer_ID], Table1[[#This Row],[Customer_ID]], Table1[Transaction_Amount])</f>
        <v>4664.5025373134304</v>
      </c>
      <c r="I747" t="s">
        <v>2736</v>
      </c>
      <c r="J747" t="s">
        <v>36</v>
      </c>
      <c r="K747" t="s">
        <v>12</v>
      </c>
      <c r="L747">
        <v>0</v>
      </c>
      <c r="M747" t="s">
        <v>51</v>
      </c>
      <c r="N747" t="s">
        <v>47</v>
      </c>
      <c r="O747" t="s">
        <v>393</v>
      </c>
      <c r="P747" s="6" t="str">
        <f>IF(Table1[[#This Row],[Transaction_Amount]]&lt;=Table1[[#This Row],[avg_transaction_amount]], "usual transaction", "unusual transaction")</f>
        <v>usual transaction</v>
      </c>
      <c r="Q747" s="6" t="str">
        <f>IF(AND(Table1[[#This Row],[Country_of_Residence]]&lt;&gt;Table1[[#This Row],[Country_of_Transaction]], OR(Table1[[#This Row],[Authentication_Type]]="Biometric", Table1[[#This Row],[Authentication_Type]]="OTP")), "safe location transaction", "unsafe location transaction")</f>
        <v>unsafe location transaction</v>
      </c>
      <c r="R747" s="6" t="str">
        <f>IF(AND(Table1[[#This Row],[Country_of_Residence]]&lt;&gt;Table1[[#This Row],[Country_of_Transaction]], OR(Table1[[#This Row],[Merchant_Category]]="Electronics", Table1[[#This Row],[Merchant_Category]]="Travel")), "unsafe merchant transaction", "safe merchant transaction")</f>
        <v>safe merchant transaction</v>
      </c>
    </row>
    <row r="748" spans="1:18">
      <c r="A748" t="s">
        <v>5502</v>
      </c>
      <c r="B748" t="s">
        <v>145</v>
      </c>
      <c r="C748">
        <v>1</v>
      </c>
      <c r="D748" t="s">
        <v>15</v>
      </c>
      <c r="E748" t="s">
        <v>420</v>
      </c>
      <c r="F748" s="2">
        <v>45905</v>
      </c>
      <c r="G748">
        <v>906.09</v>
      </c>
      <c r="H748" s="1">
        <f>AVERAGEIF(Table1[Customer_ID], Table1[[#This Row],[Customer_ID]], Table1[Transaction_Amount])</f>
        <v>4664.5025373134304</v>
      </c>
      <c r="I748" t="s">
        <v>2756</v>
      </c>
      <c r="J748" t="s">
        <v>46</v>
      </c>
      <c r="K748" t="s">
        <v>14</v>
      </c>
      <c r="L748">
        <v>5</v>
      </c>
      <c r="M748" t="s">
        <v>55</v>
      </c>
      <c r="N748" t="s">
        <v>42</v>
      </c>
      <c r="O748" t="s">
        <v>393</v>
      </c>
      <c r="P748" s="6" t="str">
        <f>IF(Table1[[#This Row],[Transaction_Amount]]&lt;=Table1[[#This Row],[avg_transaction_amount]], "usual transaction", "unusual transaction")</f>
        <v>usual transaction</v>
      </c>
      <c r="Q748" s="6" t="str">
        <f>IF(AND(Table1[[#This Row],[Country_of_Residence]]&lt;&gt;Table1[[#This Row],[Country_of_Transaction]], OR(Table1[[#This Row],[Authentication_Type]]="Biometric", Table1[[#This Row],[Authentication_Type]]="OTP")), "safe location transaction", "unsafe location transaction")</f>
        <v>unsafe location transaction</v>
      </c>
      <c r="R748" s="6" t="str">
        <f>IF(AND(Table1[[#This Row],[Country_of_Residence]]&lt;&gt;Table1[[#This Row],[Country_of_Transaction]], OR(Table1[[#This Row],[Merchant_Category]]="Electronics", Table1[[#This Row],[Merchant_Category]]="Travel")), "unsafe merchant transaction", "safe merchant transaction")</f>
        <v>safe merchant transaction</v>
      </c>
    </row>
    <row r="749" spans="1:18">
      <c r="A749" t="s">
        <v>148</v>
      </c>
      <c r="B749" t="s">
        <v>149</v>
      </c>
      <c r="C749">
        <v>1</v>
      </c>
      <c r="D749" t="s">
        <v>15</v>
      </c>
      <c r="E749" t="s">
        <v>5</v>
      </c>
      <c r="F749" s="2">
        <v>45701.629166666702</v>
      </c>
      <c r="G749">
        <v>9838.01</v>
      </c>
      <c r="H749" s="1">
        <f>AVERAGEIF(Table1[Customer_ID], Table1[[#This Row],[Customer_ID]], Table1[Transaction_Amount])</f>
        <v>5537.8703846153821</v>
      </c>
      <c r="I749" t="s">
        <v>150</v>
      </c>
      <c r="J749" t="s">
        <v>59</v>
      </c>
      <c r="K749" t="s">
        <v>12</v>
      </c>
      <c r="L749">
        <v>3</v>
      </c>
      <c r="M749" t="s">
        <v>151</v>
      </c>
      <c r="N749" t="s">
        <v>152</v>
      </c>
      <c r="O749" t="s">
        <v>392</v>
      </c>
      <c r="P749" t="str">
        <f>IF(Table1[[#This Row],[Transaction_Amount]]&lt;=Table1[[#This Row],[avg_transaction_amount]], "usual transaction", "unusual transaction")</f>
        <v>unusual transaction</v>
      </c>
      <c r="Q749" t="str">
        <f>IF(AND(Table1[[#This Row],[Country_of_Residence]]&lt;&gt;Table1[[#This Row],[Country_of_Transaction]], OR(Table1[[#This Row],[Authentication_Type]]="Biometric", Table1[[#This Row],[Authentication_Type]]="OTP")), "safe location transaction", "unsafe location transaction")</f>
        <v>unsafe location transaction</v>
      </c>
      <c r="R749" t="str">
        <f>IF(AND(Table1[[#This Row],[Country_of_Residence]]&lt;&gt;Table1[[#This Row],[Country_of_Transaction]], OR(Table1[[#This Row],[Merchant_Category]]="Electronics", Table1[[#This Row],[Merchant_Category]]="Travel")), "unsafe merchant transaction", "safe merchant transaction")</f>
        <v>unsafe merchant transaction</v>
      </c>
    </row>
    <row r="750" spans="1:18">
      <c r="A750" t="s">
        <v>2788</v>
      </c>
      <c r="B750" t="s">
        <v>149</v>
      </c>
      <c r="C750">
        <v>1</v>
      </c>
      <c r="D750" t="s">
        <v>9</v>
      </c>
      <c r="E750" t="s">
        <v>5</v>
      </c>
      <c r="F750" s="2">
        <v>45684</v>
      </c>
      <c r="G750">
        <v>6890.6</v>
      </c>
      <c r="H750" s="1">
        <f>AVERAGEIF(Table1[Customer_ID], Table1[[#This Row],[Customer_ID]], Table1[Transaction_Amount])</f>
        <v>5537.8703846153821</v>
      </c>
      <c r="I750" t="s">
        <v>437</v>
      </c>
      <c r="J750" t="s">
        <v>50</v>
      </c>
      <c r="K750" t="s">
        <v>10</v>
      </c>
      <c r="L750">
        <v>0</v>
      </c>
      <c r="M750" t="s">
        <v>51</v>
      </c>
      <c r="N750" t="s">
        <v>42</v>
      </c>
      <c r="O750" t="s">
        <v>393</v>
      </c>
      <c r="P750" s="6" t="str">
        <f>IF(Table1[[#This Row],[Transaction_Amount]]&lt;=Table1[[#This Row],[avg_transaction_amount]], "usual transaction", "unusual transaction")</f>
        <v>unusual transaction</v>
      </c>
      <c r="Q750" s="6" t="str">
        <f>IF(AND(Table1[[#This Row],[Country_of_Residence]]&lt;&gt;Table1[[#This Row],[Country_of_Transaction]], OR(Table1[[#This Row],[Authentication_Type]]="Biometric", Table1[[#This Row],[Authentication_Type]]="OTP")), "safe location transaction", "unsafe location transaction")</f>
        <v>safe location transaction</v>
      </c>
      <c r="R750" s="6" t="str">
        <f>IF(AND(Table1[[#This Row],[Country_of_Residence]]&lt;&gt;Table1[[#This Row],[Country_of_Transaction]], OR(Table1[[#This Row],[Merchant_Category]]="Electronics", Table1[[#This Row],[Merchant_Category]]="Travel")), "unsafe merchant transaction", "safe merchant transaction")</f>
        <v>unsafe merchant transaction</v>
      </c>
    </row>
    <row r="751" spans="1:18">
      <c r="A751" t="s">
        <v>2912</v>
      </c>
      <c r="B751" t="s">
        <v>149</v>
      </c>
      <c r="C751">
        <v>1</v>
      </c>
      <c r="D751" t="s">
        <v>9</v>
      </c>
      <c r="E751" t="s">
        <v>6</v>
      </c>
      <c r="F751" s="2">
        <v>45713</v>
      </c>
      <c r="G751">
        <v>2060.58</v>
      </c>
      <c r="H751" s="1">
        <f>AVERAGEIF(Table1[Customer_ID], Table1[[#This Row],[Customer_ID]], Table1[Transaction_Amount])</f>
        <v>5537.8703846153821</v>
      </c>
      <c r="I751" t="s">
        <v>562</v>
      </c>
      <c r="J751" t="s">
        <v>46</v>
      </c>
      <c r="K751" t="s">
        <v>10</v>
      </c>
      <c r="L751">
        <v>5</v>
      </c>
      <c r="M751" t="s">
        <v>33</v>
      </c>
      <c r="N751" t="s">
        <v>55</v>
      </c>
      <c r="O751" t="s">
        <v>392</v>
      </c>
      <c r="P751" s="6" t="str">
        <f>IF(Table1[[#This Row],[Transaction_Amount]]&lt;=Table1[[#This Row],[avg_transaction_amount]], "usual transaction", "unusual transaction")</f>
        <v>usual transaction</v>
      </c>
      <c r="Q751" s="6" t="str">
        <f>IF(AND(Table1[[#This Row],[Country_of_Residence]]&lt;&gt;Table1[[#This Row],[Country_of_Transaction]], OR(Table1[[#This Row],[Authentication_Type]]="Biometric", Table1[[#This Row],[Authentication_Type]]="OTP")), "safe location transaction", "unsafe location transaction")</f>
        <v>safe location transaction</v>
      </c>
      <c r="R751" s="6" t="str">
        <f>IF(AND(Table1[[#This Row],[Country_of_Residence]]&lt;&gt;Table1[[#This Row],[Country_of_Transaction]], OR(Table1[[#This Row],[Merchant_Category]]="Electronics", Table1[[#This Row],[Merchant_Category]]="Travel")), "unsafe merchant transaction", "safe merchant transaction")</f>
        <v>safe merchant transaction</v>
      </c>
    </row>
    <row r="752" spans="1:18">
      <c r="A752" t="s">
        <v>2968</v>
      </c>
      <c r="B752" t="s">
        <v>149</v>
      </c>
      <c r="C752">
        <v>1</v>
      </c>
      <c r="D752" t="s">
        <v>9</v>
      </c>
      <c r="E752" t="s">
        <v>5</v>
      </c>
      <c r="F752" s="2">
        <v>45963</v>
      </c>
      <c r="G752">
        <v>8144.62</v>
      </c>
      <c r="H752" s="1">
        <f>AVERAGEIF(Table1[Customer_ID], Table1[[#This Row],[Customer_ID]], Table1[Transaction_Amount])</f>
        <v>5537.8703846153821</v>
      </c>
      <c r="I752" t="s">
        <v>616</v>
      </c>
      <c r="J752" t="s">
        <v>50</v>
      </c>
      <c r="K752" t="s">
        <v>14</v>
      </c>
      <c r="L752">
        <v>2</v>
      </c>
      <c r="M752" t="s">
        <v>37</v>
      </c>
      <c r="N752" t="s">
        <v>33</v>
      </c>
      <c r="O752" t="s">
        <v>392</v>
      </c>
      <c r="P752" s="6" t="str">
        <f>IF(Table1[[#This Row],[Transaction_Amount]]&lt;=Table1[[#This Row],[avg_transaction_amount]], "usual transaction", "unusual transaction")</f>
        <v>unusual transaction</v>
      </c>
      <c r="Q752" s="6" t="str">
        <f>IF(AND(Table1[[#This Row],[Country_of_Residence]]&lt;&gt;Table1[[#This Row],[Country_of_Transaction]], OR(Table1[[#This Row],[Authentication_Type]]="Biometric", Table1[[#This Row],[Authentication_Type]]="OTP")), "safe location transaction", "unsafe location transaction")</f>
        <v>unsafe location transaction</v>
      </c>
      <c r="R752" s="6" t="str">
        <f>IF(AND(Table1[[#This Row],[Country_of_Residence]]&lt;&gt;Table1[[#This Row],[Country_of_Transaction]], OR(Table1[[#This Row],[Merchant_Category]]="Electronics", Table1[[#This Row],[Merchant_Category]]="Travel")), "unsafe merchant transaction", "safe merchant transaction")</f>
        <v>unsafe merchant transaction</v>
      </c>
    </row>
    <row r="753" spans="1:18">
      <c r="A753" t="s">
        <v>3088</v>
      </c>
      <c r="B753" t="s">
        <v>149</v>
      </c>
      <c r="C753">
        <v>1</v>
      </c>
      <c r="D753" t="s">
        <v>9</v>
      </c>
      <c r="E753" t="s">
        <v>6</v>
      </c>
      <c r="F753" s="2">
        <v>45770</v>
      </c>
      <c r="G753">
        <v>4519.57</v>
      </c>
      <c r="H753" s="1">
        <f>AVERAGEIF(Table1[Customer_ID], Table1[[#This Row],[Customer_ID]], Table1[Transaction_Amount])</f>
        <v>5537.8703846153821</v>
      </c>
      <c r="I753" t="s">
        <v>732</v>
      </c>
      <c r="J753" t="s">
        <v>41</v>
      </c>
      <c r="K753" t="s">
        <v>12</v>
      </c>
      <c r="L753">
        <v>4</v>
      </c>
      <c r="M753" t="s">
        <v>33</v>
      </c>
      <c r="N753" t="s">
        <v>37</v>
      </c>
      <c r="O753" t="s">
        <v>392</v>
      </c>
      <c r="P753" s="6" t="str">
        <f>IF(Table1[[#This Row],[Transaction_Amount]]&lt;=Table1[[#This Row],[avg_transaction_amount]], "usual transaction", "unusual transaction")</f>
        <v>usual transaction</v>
      </c>
      <c r="Q753" s="6" t="str">
        <f>IF(AND(Table1[[#This Row],[Country_of_Residence]]&lt;&gt;Table1[[#This Row],[Country_of_Transaction]], OR(Table1[[#This Row],[Authentication_Type]]="Biometric", Table1[[#This Row],[Authentication_Type]]="OTP")), "safe location transaction", "unsafe location transaction")</f>
        <v>unsafe location transaction</v>
      </c>
      <c r="R753" s="6" t="str">
        <f>IF(AND(Table1[[#This Row],[Country_of_Residence]]&lt;&gt;Table1[[#This Row],[Country_of_Transaction]], OR(Table1[[#This Row],[Merchant_Category]]="Electronics", Table1[[#This Row],[Merchant_Category]]="Travel")), "unsafe merchant transaction", "safe merchant transaction")</f>
        <v>safe merchant transaction</v>
      </c>
    </row>
    <row r="754" spans="1:18">
      <c r="A754" t="s">
        <v>3180</v>
      </c>
      <c r="B754" t="s">
        <v>149</v>
      </c>
      <c r="C754">
        <v>1</v>
      </c>
      <c r="D754" t="s">
        <v>15</v>
      </c>
      <c r="E754" t="s">
        <v>3</v>
      </c>
      <c r="F754" s="2">
        <v>45817</v>
      </c>
      <c r="G754">
        <v>7259.48</v>
      </c>
      <c r="H754" s="1">
        <f>AVERAGEIF(Table1[Customer_ID], Table1[[#This Row],[Customer_ID]], Table1[Transaction_Amount])</f>
        <v>5537.8703846153821</v>
      </c>
      <c r="I754" t="s">
        <v>815</v>
      </c>
      <c r="J754" t="s">
        <v>50</v>
      </c>
      <c r="K754" t="s">
        <v>8</v>
      </c>
      <c r="L754">
        <v>0</v>
      </c>
      <c r="M754" t="s">
        <v>32</v>
      </c>
      <c r="N754" t="s">
        <v>33</v>
      </c>
      <c r="O754" t="s">
        <v>393</v>
      </c>
      <c r="P754" s="6" t="str">
        <f>IF(Table1[[#This Row],[Transaction_Amount]]&lt;=Table1[[#This Row],[avg_transaction_amount]], "usual transaction", "unusual transaction")</f>
        <v>unusual transaction</v>
      </c>
      <c r="Q754" s="6" t="str">
        <f>IF(AND(Table1[[#This Row],[Country_of_Residence]]&lt;&gt;Table1[[#This Row],[Country_of_Transaction]], OR(Table1[[#This Row],[Authentication_Type]]="Biometric", Table1[[#This Row],[Authentication_Type]]="OTP")), "safe location transaction", "unsafe location transaction")</f>
        <v>safe location transaction</v>
      </c>
      <c r="R754" s="6" t="str">
        <f>IF(AND(Table1[[#This Row],[Country_of_Residence]]&lt;&gt;Table1[[#This Row],[Country_of_Transaction]], OR(Table1[[#This Row],[Merchant_Category]]="Electronics", Table1[[#This Row],[Merchant_Category]]="Travel")), "unsafe merchant transaction", "safe merchant transaction")</f>
        <v>unsafe merchant transaction</v>
      </c>
    </row>
    <row r="755" spans="1:18">
      <c r="A755" t="s">
        <v>3219</v>
      </c>
      <c r="B755" t="s">
        <v>149</v>
      </c>
      <c r="C755">
        <v>1</v>
      </c>
      <c r="D755" t="s">
        <v>9</v>
      </c>
      <c r="E755" t="s">
        <v>3</v>
      </c>
      <c r="F755" s="2">
        <v>45719</v>
      </c>
      <c r="G755">
        <v>7654.07</v>
      </c>
      <c r="H755" s="1">
        <f>AVERAGEIF(Table1[Customer_ID], Table1[[#This Row],[Customer_ID]], Table1[Transaction_Amount])</f>
        <v>5537.8703846153821</v>
      </c>
      <c r="I755" t="s">
        <v>852</v>
      </c>
      <c r="J755" t="s">
        <v>36</v>
      </c>
      <c r="K755" t="s">
        <v>12</v>
      </c>
      <c r="L755">
        <v>5</v>
      </c>
      <c r="M755" t="s">
        <v>51</v>
      </c>
      <c r="N755" t="s">
        <v>33</v>
      </c>
      <c r="O755" t="s">
        <v>392</v>
      </c>
      <c r="P755" s="6" t="str">
        <f>IF(Table1[[#This Row],[Transaction_Amount]]&lt;=Table1[[#This Row],[avg_transaction_amount]], "usual transaction", "unusual transaction")</f>
        <v>unusual transaction</v>
      </c>
      <c r="Q755" s="6" t="str">
        <f>IF(AND(Table1[[#This Row],[Country_of_Residence]]&lt;&gt;Table1[[#This Row],[Country_of_Transaction]], OR(Table1[[#This Row],[Authentication_Type]]="Biometric", Table1[[#This Row],[Authentication_Type]]="OTP")), "safe location transaction", "unsafe location transaction")</f>
        <v>unsafe location transaction</v>
      </c>
      <c r="R755" s="6" t="str">
        <f>IF(AND(Table1[[#This Row],[Country_of_Residence]]&lt;&gt;Table1[[#This Row],[Country_of_Transaction]], OR(Table1[[#This Row],[Merchant_Category]]="Electronics", Table1[[#This Row],[Merchant_Category]]="Travel")), "unsafe merchant transaction", "safe merchant transaction")</f>
        <v>safe merchant transaction</v>
      </c>
    </row>
    <row r="756" spans="1:18">
      <c r="A756" t="s">
        <v>3249</v>
      </c>
      <c r="B756" t="s">
        <v>149</v>
      </c>
      <c r="C756">
        <v>1</v>
      </c>
      <c r="D756" t="s">
        <v>9</v>
      </c>
      <c r="E756" t="s">
        <v>420</v>
      </c>
      <c r="F756" s="2">
        <v>45805</v>
      </c>
      <c r="G756">
        <v>7292.14</v>
      </c>
      <c r="H756" s="1">
        <f>AVERAGEIF(Table1[Customer_ID], Table1[[#This Row],[Customer_ID]], Table1[Transaction_Amount])</f>
        <v>5537.8703846153821</v>
      </c>
      <c r="I756" t="s">
        <v>880</v>
      </c>
      <c r="J756" t="s">
        <v>36</v>
      </c>
      <c r="K756" t="s">
        <v>12</v>
      </c>
      <c r="L756">
        <v>4</v>
      </c>
      <c r="M756" t="s">
        <v>32</v>
      </c>
      <c r="N756" t="s">
        <v>42</v>
      </c>
      <c r="O756" t="s">
        <v>392</v>
      </c>
      <c r="P756" s="6" t="str">
        <f>IF(Table1[[#This Row],[Transaction_Amount]]&lt;=Table1[[#This Row],[avg_transaction_amount]], "usual transaction", "unusual transaction")</f>
        <v>unusual transaction</v>
      </c>
      <c r="Q756" s="6" t="str">
        <f>IF(AND(Table1[[#This Row],[Country_of_Residence]]&lt;&gt;Table1[[#This Row],[Country_of_Transaction]], OR(Table1[[#This Row],[Authentication_Type]]="Biometric", Table1[[#This Row],[Authentication_Type]]="OTP")), "safe location transaction", "unsafe location transaction")</f>
        <v>unsafe location transaction</v>
      </c>
      <c r="R756" s="6" t="str">
        <f>IF(AND(Table1[[#This Row],[Country_of_Residence]]&lt;&gt;Table1[[#This Row],[Country_of_Transaction]], OR(Table1[[#This Row],[Merchant_Category]]="Electronics", Table1[[#This Row],[Merchant_Category]]="Travel")), "unsafe merchant transaction", "safe merchant transaction")</f>
        <v>safe merchant transaction</v>
      </c>
    </row>
    <row r="757" spans="1:18">
      <c r="A757" t="s">
        <v>3307</v>
      </c>
      <c r="B757" t="s">
        <v>149</v>
      </c>
      <c r="C757">
        <v>1</v>
      </c>
      <c r="D757" t="s">
        <v>9</v>
      </c>
      <c r="E757" t="s">
        <v>5</v>
      </c>
      <c r="F757" s="2">
        <v>45686</v>
      </c>
      <c r="G757">
        <v>8639.6200000000008</v>
      </c>
      <c r="H757" s="1">
        <f>AVERAGEIF(Table1[Customer_ID], Table1[[#This Row],[Customer_ID]], Table1[Transaction_Amount])</f>
        <v>5537.8703846153821</v>
      </c>
      <c r="I757" t="s">
        <v>934</v>
      </c>
      <c r="J757" t="s">
        <v>41</v>
      </c>
      <c r="K757" t="s">
        <v>8</v>
      </c>
      <c r="L757">
        <v>0</v>
      </c>
      <c r="M757" t="s">
        <v>56</v>
      </c>
      <c r="N757" t="s">
        <v>37</v>
      </c>
      <c r="O757" t="s">
        <v>392</v>
      </c>
      <c r="P757" s="6" t="str">
        <f>IF(Table1[[#This Row],[Transaction_Amount]]&lt;=Table1[[#This Row],[avg_transaction_amount]], "usual transaction", "unusual transaction")</f>
        <v>unusual transaction</v>
      </c>
      <c r="Q757" s="6" t="str">
        <f>IF(AND(Table1[[#This Row],[Country_of_Residence]]&lt;&gt;Table1[[#This Row],[Country_of_Transaction]], OR(Table1[[#This Row],[Authentication_Type]]="Biometric", Table1[[#This Row],[Authentication_Type]]="OTP")), "safe location transaction", "unsafe location transaction")</f>
        <v>safe location transaction</v>
      </c>
      <c r="R757" s="6" t="str">
        <f>IF(AND(Table1[[#This Row],[Country_of_Residence]]&lt;&gt;Table1[[#This Row],[Country_of_Transaction]], OR(Table1[[#This Row],[Merchant_Category]]="Electronics", Table1[[#This Row],[Merchant_Category]]="Travel")), "unsafe merchant transaction", "safe merchant transaction")</f>
        <v>safe merchant transaction</v>
      </c>
    </row>
    <row r="758" spans="1:18">
      <c r="A758" t="s">
        <v>3410</v>
      </c>
      <c r="B758" t="s">
        <v>149</v>
      </c>
      <c r="C758">
        <v>1</v>
      </c>
      <c r="D758" t="s">
        <v>15</v>
      </c>
      <c r="E758" t="s">
        <v>6</v>
      </c>
      <c r="F758" s="2">
        <v>45917</v>
      </c>
      <c r="G758">
        <v>1299.33</v>
      </c>
      <c r="H758" s="1">
        <f>AVERAGEIF(Table1[Customer_ID], Table1[[#This Row],[Customer_ID]], Table1[Transaction_Amount])</f>
        <v>5537.8703846153821</v>
      </c>
      <c r="I758" t="s">
        <v>1030</v>
      </c>
      <c r="J758" t="s">
        <v>36</v>
      </c>
      <c r="K758" t="s">
        <v>14</v>
      </c>
      <c r="L758">
        <v>1</v>
      </c>
      <c r="M758" t="s">
        <v>55</v>
      </c>
      <c r="N758" t="s">
        <v>55</v>
      </c>
      <c r="O758" t="s">
        <v>393</v>
      </c>
      <c r="P758" s="6" t="str">
        <f>IF(Table1[[#This Row],[Transaction_Amount]]&lt;=Table1[[#This Row],[avg_transaction_amount]], "usual transaction", "unusual transaction")</f>
        <v>usual transaction</v>
      </c>
      <c r="Q758" s="6" t="str">
        <f>IF(AND(Table1[[#This Row],[Country_of_Residence]]&lt;&gt;Table1[[#This Row],[Country_of_Transaction]], OR(Table1[[#This Row],[Authentication_Type]]="Biometric", Table1[[#This Row],[Authentication_Type]]="OTP")), "safe location transaction", "unsafe location transaction")</f>
        <v>unsafe location transaction</v>
      </c>
      <c r="R758" s="6" t="str">
        <f>IF(AND(Table1[[#This Row],[Country_of_Residence]]&lt;&gt;Table1[[#This Row],[Country_of_Transaction]], OR(Table1[[#This Row],[Merchant_Category]]="Electronics", Table1[[#This Row],[Merchant_Category]]="Travel")), "unsafe merchant transaction", "safe merchant transaction")</f>
        <v>safe merchant transaction</v>
      </c>
    </row>
    <row r="759" spans="1:18">
      <c r="A759" t="s">
        <v>3423</v>
      </c>
      <c r="B759" t="s">
        <v>149</v>
      </c>
      <c r="C759">
        <v>1</v>
      </c>
      <c r="D759" t="s">
        <v>9</v>
      </c>
      <c r="E759" t="s">
        <v>420</v>
      </c>
      <c r="F759" s="2">
        <v>45900</v>
      </c>
      <c r="G759">
        <v>5247.23</v>
      </c>
      <c r="H759" s="1">
        <f>AVERAGEIF(Table1[Customer_ID], Table1[[#This Row],[Customer_ID]], Table1[Transaction_Amount])</f>
        <v>5537.8703846153821</v>
      </c>
      <c r="I759" t="s">
        <v>1043</v>
      </c>
      <c r="J759" t="s">
        <v>50</v>
      </c>
      <c r="K759" t="s">
        <v>14</v>
      </c>
      <c r="L759">
        <v>5</v>
      </c>
      <c r="M759" t="s">
        <v>51</v>
      </c>
      <c r="N759" t="s">
        <v>51</v>
      </c>
      <c r="O759" t="s">
        <v>392</v>
      </c>
      <c r="P759" s="6" t="str">
        <f>IF(Table1[[#This Row],[Transaction_Amount]]&lt;=Table1[[#This Row],[avg_transaction_amount]], "usual transaction", "unusual transaction")</f>
        <v>usual transaction</v>
      </c>
      <c r="Q759" s="6" t="str">
        <f>IF(AND(Table1[[#This Row],[Country_of_Residence]]&lt;&gt;Table1[[#This Row],[Country_of_Transaction]], OR(Table1[[#This Row],[Authentication_Type]]="Biometric", Table1[[#This Row],[Authentication_Type]]="OTP")), "safe location transaction", "unsafe location transaction")</f>
        <v>unsafe location transaction</v>
      </c>
      <c r="R759" s="6" t="str">
        <f>IF(AND(Table1[[#This Row],[Country_of_Residence]]&lt;&gt;Table1[[#This Row],[Country_of_Transaction]], OR(Table1[[#This Row],[Merchant_Category]]="Electronics", Table1[[#This Row],[Merchant_Category]]="Travel")), "unsafe merchant transaction", "safe merchant transaction")</f>
        <v>safe merchant transaction</v>
      </c>
    </row>
    <row r="760" spans="1:18">
      <c r="A760" t="s">
        <v>3481</v>
      </c>
      <c r="B760" t="s">
        <v>149</v>
      </c>
      <c r="C760">
        <v>1</v>
      </c>
      <c r="D760" t="s">
        <v>9</v>
      </c>
      <c r="E760" t="s">
        <v>6</v>
      </c>
      <c r="F760" s="2">
        <v>45886</v>
      </c>
      <c r="G760">
        <v>5837.55</v>
      </c>
      <c r="H760" s="1">
        <f>AVERAGEIF(Table1[Customer_ID], Table1[[#This Row],[Customer_ID]], Table1[Transaction_Amount])</f>
        <v>5537.8703846153821</v>
      </c>
      <c r="I760" t="s">
        <v>590</v>
      </c>
      <c r="J760" t="s">
        <v>50</v>
      </c>
      <c r="K760" t="s">
        <v>12</v>
      </c>
      <c r="L760">
        <v>3</v>
      </c>
      <c r="M760" t="s">
        <v>32</v>
      </c>
      <c r="N760" t="s">
        <v>47</v>
      </c>
      <c r="O760" t="s">
        <v>392</v>
      </c>
      <c r="P760" s="6" t="str">
        <f>IF(Table1[[#This Row],[Transaction_Amount]]&lt;=Table1[[#This Row],[avg_transaction_amount]], "usual transaction", "unusual transaction")</f>
        <v>unusual transaction</v>
      </c>
      <c r="Q760" s="6" t="str">
        <f>IF(AND(Table1[[#This Row],[Country_of_Residence]]&lt;&gt;Table1[[#This Row],[Country_of_Transaction]], OR(Table1[[#This Row],[Authentication_Type]]="Biometric", Table1[[#This Row],[Authentication_Type]]="OTP")), "safe location transaction", "unsafe location transaction")</f>
        <v>unsafe location transaction</v>
      </c>
      <c r="R760" s="6" t="str">
        <f>IF(AND(Table1[[#This Row],[Country_of_Residence]]&lt;&gt;Table1[[#This Row],[Country_of_Transaction]], OR(Table1[[#This Row],[Merchant_Category]]="Electronics", Table1[[#This Row],[Merchant_Category]]="Travel")), "unsafe merchant transaction", "safe merchant transaction")</f>
        <v>unsafe merchant transaction</v>
      </c>
    </row>
    <row r="761" spans="1:18">
      <c r="A761" t="s">
        <v>3513</v>
      </c>
      <c r="B761" t="s">
        <v>149</v>
      </c>
      <c r="C761">
        <v>1</v>
      </c>
      <c r="D761" t="s">
        <v>9</v>
      </c>
      <c r="E761" t="s">
        <v>5</v>
      </c>
      <c r="F761" s="2">
        <v>45787</v>
      </c>
      <c r="G761">
        <v>8686.7999999999993</v>
      </c>
      <c r="H761" s="1">
        <f>AVERAGEIF(Table1[Customer_ID], Table1[[#This Row],[Customer_ID]], Table1[Transaction_Amount])</f>
        <v>5537.8703846153821</v>
      </c>
      <c r="I761" t="s">
        <v>1128</v>
      </c>
      <c r="J761" t="s">
        <v>31</v>
      </c>
      <c r="K761" t="s">
        <v>12</v>
      </c>
      <c r="L761">
        <v>0</v>
      </c>
      <c r="M761" t="s">
        <v>37</v>
      </c>
      <c r="N761" t="s">
        <v>56</v>
      </c>
      <c r="O761" t="s">
        <v>392</v>
      </c>
      <c r="P761" s="6" t="str">
        <f>IF(Table1[[#This Row],[Transaction_Amount]]&lt;=Table1[[#This Row],[avg_transaction_amount]], "usual transaction", "unusual transaction")</f>
        <v>unusual transaction</v>
      </c>
      <c r="Q761" s="6" t="str">
        <f>IF(AND(Table1[[#This Row],[Country_of_Residence]]&lt;&gt;Table1[[#This Row],[Country_of_Transaction]], OR(Table1[[#This Row],[Authentication_Type]]="Biometric", Table1[[#This Row],[Authentication_Type]]="OTP")), "safe location transaction", "unsafe location transaction")</f>
        <v>unsafe location transaction</v>
      </c>
      <c r="R761" s="6" t="str">
        <f>IF(AND(Table1[[#This Row],[Country_of_Residence]]&lt;&gt;Table1[[#This Row],[Country_of_Transaction]], OR(Table1[[#This Row],[Merchant_Category]]="Electronics", Table1[[#This Row],[Merchant_Category]]="Travel")), "unsafe merchant transaction", "safe merchant transaction")</f>
        <v>safe merchant transaction</v>
      </c>
    </row>
    <row r="762" spans="1:18">
      <c r="A762" t="s">
        <v>3618</v>
      </c>
      <c r="B762" t="s">
        <v>149</v>
      </c>
      <c r="C762">
        <v>1</v>
      </c>
      <c r="D762" t="s">
        <v>15</v>
      </c>
      <c r="E762" t="s">
        <v>3</v>
      </c>
      <c r="F762" s="2">
        <v>45964</v>
      </c>
      <c r="G762">
        <v>5544.03</v>
      </c>
      <c r="H762" s="1">
        <f>AVERAGEIF(Table1[Customer_ID], Table1[[#This Row],[Customer_ID]], Table1[Transaction_Amount])</f>
        <v>5537.8703846153821</v>
      </c>
      <c r="I762" t="s">
        <v>1224</v>
      </c>
      <c r="J762" t="s">
        <v>41</v>
      </c>
      <c r="K762" t="s">
        <v>12</v>
      </c>
      <c r="L762">
        <v>0</v>
      </c>
      <c r="M762" t="s">
        <v>47</v>
      </c>
      <c r="N762" t="s">
        <v>412</v>
      </c>
      <c r="O762" t="s">
        <v>393</v>
      </c>
      <c r="P762" s="6" t="str">
        <f>IF(Table1[[#This Row],[Transaction_Amount]]&lt;=Table1[[#This Row],[avg_transaction_amount]], "usual transaction", "unusual transaction")</f>
        <v>unusual transaction</v>
      </c>
      <c r="Q762" s="6" t="str">
        <f>IF(AND(Table1[[#This Row],[Country_of_Residence]]&lt;&gt;Table1[[#This Row],[Country_of_Transaction]], OR(Table1[[#This Row],[Authentication_Type]]="Biometric", Table1[[#This Row],[Authentication_Type]]="OTP")), "safe location transaction", "unsafe location transaction")</f>
        <v>unsafe location transaction</v>
      </c>
      <c r="R762" s="6" t="str">
        <f>IF(AND(Table1[[#This Row],[Country_of_Residence]]&lt;&gt;Table1[[#This Row],[Country_of_Transaction]], OR(Table1[[#This Row],[Merchant_Category]]="Electronics", Table1[[#This Row],[Merchant_Category]]="Travel")), "unsafe merchant transaction", "safe merchant transaction")</f>
        <v>safe merchant transaction</v>
      </c>
    </row>
    <row r="763" spans="1:18">
      <c r="A763" t="s">
        <v>3619</v>
      </c>
      <c r="B763" t="s">
        <v>149</v>
      </c>
      <c r="C763">
        <v>1</v>
      </c>
      <c r="D763" t="s">
        <v>9</v>
      </c>
      <c r="E763" t="s">
        <v>420</v>
      </c>
      <c r="F763" s="2">
        <v>45924</v>
      </c>
      <c r="G763">
        <v>2854.28</v>
      </c>
      <c r="H763" s="1">
        <f>AVERAGEIF(Table1[Customer_ID], Table1[[#This Row],[Customer_ID]], Table1[Transaction_Amount])</f>
        <v>5537.8703846153821</v>
      </c>
      <c r="I763" t="s">
        <v>1225</v>
      </c>
      <c r="J763" t="s">
        <v>50</v>
      </c>
      <c r="K763" t="s">
        <v>10</v>
      </c>
      <c r="L763">
        <v>5</v>
      </c>
      <c r="M763" t="s">
        <v>32</v>
      </c>
      <c r="N763" t="s">
        <v>47</v>
      </c>
      <c r="O763" t="s">
        <v>393</v>
      </c>
      <c r="P763" s="6" t="str">
        <f>IF(Table1[[#This Row],[Transaction_Amount]]&lt;=Table1[[#This Row],[avg_transaction_amount]], "usual transaction", "unusual transaction")</f>
        <v>usual transaction</v>
      </c>
      <c r="Q763" s="6" t="str">
        <f>IF(AND(Table1[[#This Row],[Country_of_Residence]]&lt;&gt;Table1[[#This Row],[Country_of_Transaction]], OR(Table1[[#This Row],[Authentication_Type]]="Biometric", Table1[[#This Row],[Authentication_Type]]="OTP")), "safe location transaction", "unsafe location transaction")</f>
        <v>safe location transaction</v>
      </c>
      <c r="R763" s="6" t="str">
        <f>IF(AND(Table1[[#This Row],[Country_of_Residence]]&lt;&gt;Table1[[#This Row],[Country_of_Transaction]], OR(Table1[[#This Row],[Merchant_Category]]="Electronics", Table1[[#This Row],[Merchant_Category]]="Travel")), "unsafe merchant transaction", "safe merchant transaction")</f>
        <v>unsafe merchant transaction</v>
      </c>
    </row>
    <row r="764" spans="1:18">
      <c r="A764" t="s">
        <v>3647</v>
      </c>
      <c r="B764" t="s">
        <v>149</v>
      </c>
      <c r="C764">
        <v>1</v>
      </c>
      <c r="D764" t="s">
        <v>15</v>
      </c>
      <c r="E764" t="s">
        <v>6</v>
      </c>
      <c r="F764" s="2">
        <v>45742</v>
      </c>
      <c r="G764">
        <v>958.82</v>
      </c>
      <c r="H764" s="1">
        <f>AVERAGEIF(Table1[Customer_ID], Table1[[#This Row],[Customer_ID]], Table1[Transaction_Amount])</f>
        <v>5537.8703846153821</v>
      </c>
      <c r="I764" t="s">
        <v>1252</v>
      </c>
      <c r="J764" t="s">
        <v>50</v>
      </c>
      <c r="K764" t="s">
        <v>10</v>
      </c>
      <c r="L764">
        <v>0</v>
      </c>
      <c r="M764" t="s">
        <v>42</v>
      </c>
      <c r="N764" t="s">
        <v>33</v>
      </c>
      <c r="O764" t="s">
        <v>393</v>
      </c>
      <c r="P764" s="6" t="str">
        <f>IF(Table1[[#This Row],[Transaction_Amount]]&lt;=Table1[[#This Row],[avg_transaction_amount]], "usual transaction", "unusual transaction")</f>
        <v>usual transaction</v>
      </c>
      <c r="Q764" s="6" t="str">
        <f>IF(AND(Table1[[#This Row],[Country_of_Residence]]&lt;&gt;Table1[[#This Row],[Country_of_Transaction]], OR(Table1[[#This Row],[Authentication_Type]]="Biometric", Table1[[#This Row],[Authentication_Type]]="OTP")), "safe location transaction", "unsafe location transaction")</f>
        <v>safe location transaction</v>
      </c>
      <c r="R764" s="6" t="str">
        <f>IF(AND(Table1[[#This Row],[Country_of_Residence]]&lt;&gt;Table1[[#This Row],[Country_of_Transaction]], OR(Table1[[#This Row],[Merchant_Category]]="Electronics", Table1[[#This Row],[Merchant_Category]]="Travel")), "unsafe merchant transaction", "safe merchant transaction")</f>
        <v>unsafe merchant transaction</v>
      </c>
    </row>
    <row r="765" spans="1:18">
      <c r="A765" t="s">
        <v>3661</v>
      </c>
      <c r="B765" t="s">
        <v>149</v>
      </c>
      <c r="C765">
        <v>1</v>
      </c>
      <c r="D765" t="s">
        <v>9</v>
      </c>
      <c r="E765" t="s">
        <v>3</v>
      </c>
      <c r="F765" s="2">
        <v>45920</v>
      </c>
      <c r="G765">
        <v>3454.7</v>
      </c>
      <c r="H765" s="1">
        <f>AVERAGEIF(Table1[Customer_ID], Table1[[#This Row],[Customer_ID]], Table1[Transaction_Amount])</f>
        <v>5537.8703846153821</v>
      </c>
      <c r="I765" t="s">
        <v>1264</v>
      </c>
      <c r="J765" t="s">
        <v>46</v>
      </c>
      <c r="K765" t="s">
        <v>8</v>
      </c>
      <c r="L765">
        <v>2</v>
      </c>
      <c r="M765" t="s">
        <v>412</v>
      </c>
      <c r="N765" t="s">
        <v>32</v>
      </c>
      <c r="O765" t="s">
        <v>392</v>
      </c>
      <c r="P765" s="6" t="str">
        <f>IF(Table1[[#This Row],[Transaction_Amount]]&lt;=Table1[[#This Row],[avg_transaction_amount]], "usual transaction", "unusual transaction")</f>
        <v>usual transaction</v>
      </c>
      <c r="Q765" s="6" t="str">
        <f>IF(AND(Table1[[#This Row],[Country_of_Residence]]&lt;&gt;Table1[[#This Row],[Country_of_Transaction]], OR(Table1[[#This Row],[Authentication_Type]]="Biometric", Table1[[#This Row],[Authentication_Type]]="OTP")), "safe location transaction", "unsafe location transaction")</f>
        <v>safe location transaction</v>
      </c>
      <c r="R765" s="6" t="str">
        <f>IF(AND(Table1[[#This Row],[Country_of_Residence]]&lt;&gt;Table1[[#This Row],[Country_of_Transaction]], OR(Table1[[#This Row],[Merchant_Category]]="Electronics", Table1[[#This Row],[Merchant_Category]]="Travel")), "unsafe merchant transaction", "safe merchant transaction")</f>
        <v>safe merchant transaction</v>
      </c>
    </row>
    <row r="766" spans="1:18">
      <c r="A766" t="s">
        <v>3681</v>
      </c>
      <c r="B766" t="s">
        <v>149</v>
      </c>
      <c r="C766">
        <v>1</v>
      </c>
      <c r="D766" t="s">
        <v>15</v>
      </c>
      <c r="E766" t="s">
        <v>5</v>
      </c>
      <c r="F766" s="2">
        <v>45914</v>
      </c>
      <c r="G766">
        <v>7619.15</v>
      </c>
      <c r="H766" s="1">
        <f>AVERAGEIF(Table1[Customer_ID], Table1[[#This Row],[Customer_ID]], Table1[Transaction_Amount])</f>
        <v>5537.8703846153821</v>
      </c>
      <c r="I766" t="s">
        <v>1281</v>
      </c>
      <c r="J766" t="s">
        <v>41</v>
      </c>
      <c r="K766" t="s">
        <v>8</v>
      </c>
      <c r="L766">
        <v>1</v>
      </c>
      <c r="M766" t="s">
        <v>37</v>
      </c>
      <c r="N766" t="s">
        <v>37</v>
      </c>
      <c r="O766" t="s">
        <v>392</v>
      </c>
      <c r="P766" s="6" t="str">
        <f>IF(Table1[[#This Row],[Transaction_Amount]]&lt;=Table1[[#This Row],[avg_transaction_amount]], "usual transaction", "unusual transaction")</f>
        <v>unusual transaction</v>
      </c>
      <c r="Q766" s="6" t="str">
        <f>IF(AND(Table1[[#This Row],[Country_of_Residence]]&lt;&gt;Table1[[#This Row],[Country_of_Transaction]], OR(Table1[[#This Row],[Authentication_Type]]="Biometric", Table1[[#This Row],[Authentication_Type]]="OTP")), "safe location transaction", "unsafe location transaction")</f>
        <v>unsafe location transaction</v>
      </c>
      <c r="R766" s="6" t="str">
        <f>IF(AND(Table1[[#This Row],[Country_of_Residence]]&lt;&gt;Table1[[#This Row],[Country_of_Transaction]], OR(Table1[[#This Row],[Merchant_Category]]="Electronics", Table1[[#This Row],[Merchant_Category]]="Travel")), "unsafe merchant transaction", "safe merchant transaction")</f>
        <v>safe merchant transaction</v>
      </c>
    </row>
    <row r="767" spans="1:18">
      <c r="A767" t="s">
        <v>3728</v>
      </c>
      <c r="B767" t="s">
        <v>149</v>
      </c>
      <c r="C767">
        <v>1</v>
      </c>
      <c r="D767" t="s">
        <v>9</v>
      </c>
      <c r="E767" t="s">
        <v>420</v>
      </c>
      <c r="F767" s="2">
        <v>45788</v>
      </c>
      <c r="G767">
        <v>9852.26</v>
      </c>
      <c r="H767" s="1">
        <f>AVERAGEIF(Table1[Customer_ID], Table1[[#This Row],[Customer_ID]], Table1[Transaction_Amount])</f>
        <v>5537.8703846153821</v>
      </c>
      <c r="I767" t="s">
        <v>1324</v>
      </c>
      <c r="J767" t="s">
        <v>36</v>
      </c>
      <c r="K767" t="s">
        <v>10</v>
      </c>
      <c r="L767">
        <v>0</v>
      </c>
      <c r="M767" t="s">
        <v>56</v>
      </c>
      <c r="N767" t="s">
        <v>56</v>
      </c>
      <c r="O767" t="s">
        <v>393</v>
      </c>
      <c r="P767" s="6" t="str">
        <f>IF(Table1[[#This Row],[Transaction_Amount]]&lt;=Table1[[#This Row],[avg_transaction_amount]], "usual transaction", "unusual transaction")</f>
        <v>unusual transaction</v>
      </c>
      <c r="Q767" s="6" t="str">
        <f>IF(AND(Table1[[#This Row],[Country_of_Residence]]&lt;&gt;Table1[[#This Row],[Country_of_Transaction]], OR(Table1[[#This Row],[Authentication_Type]]="Biometric", Table1[[#This Row],[Authentication_Type]]="OTP")), "safe location transaction", "unsafe location transaction")</f>
        <v>unsafe location transaction</v>
      </c>
      <c r="R767" s="6" t="str">
        <f>IF(AND(Table1[[#This Row],[Country_of_Residence]]&lt;&gt;Table1[[#This Row],[Country_of_Transaction]], OR(Table1[[#This Row],[Merchant_Category]]="Electronics", Table1[[#This Row],[Merchant_Category]]="Travel")), "unsafe merchant transaction", "safe merchant transaction")</f>
        <v>safe merchant transaction</v>
      </c>
    </row>
    <row r="768" spans="1:18">
      <c r="A768" t="s">
        <v>3859</v>
      </c>
      <c r="B768" t="s">
        <v>149</v>
      </c>
      <c r="C768">
        <v>1</v>
      </c>
      <c r="D768" t="s">
        <v>15</v>
      </c>
      <c r="E768" t="s">
        <v>3</v>
      </c>
      <c r="F768" s="2">
        <v>45917</v>
      </c>
      <c r="G768">
        <v>6156.49</v>
      </c>
      <c r="H768" s="1">
        <f>AVERAGEIF(Table1[Customer_ID], Table1[[#This Row],[Customer_ID]], Table1[Transaction_Amount])</f>
        <v>5537.8703846153821</v>
      </c>
      <c r="I768" t="s">
        <v>1434</v>
      </c>
      <c r="J768" t="s">
        <v>41</v>
      </c>
      <c r="K768" t="s">
        <v>12</v>
      </c>
      <c r="L768">
        <v>3</v>
      </c>
      <c r="M768" t="s">
        <v>37</v>
      </c>
      <c r="N768" t="s">
        <v>56</v>
      </c>
      <c r="O768" t="s">
        <v>392</v>
      </c>
      <c r="P768" s="6" t="str">
        <f>IF(Table1[[#This Row],[Transaction_Amount]]&lt;=Table1[[#This Row],[avg_transaction_amount]], "usual transaction", "unusual transaction")</f>
        <v>unusual transaction</v>
      </c>
      <c r="Q768" s="6" t="str">
        <f>IF(AND(Table1[[#This Row],[Country_of_Residence]]&lt;&gt;Table1[[#This Row],[Country_of_Transaction]], OR(Table1[[#This Row],[Authentication_Type]]="Biometric", Table1[[#This Row],[Authentication_Type]]="OTP")), "safe location transaction", "unsafe location transaction")</f>
        <v>unsafe location transaction</v>
      </c>
      <c r="R768" s="6" t="str">
        <f>IF(AND(Table1[[#This Row],[Country_of_Residence]]&lt;&gt;Table1[[#This Row],[Country_of_Transaction]], OR(Table1[[#This Row],[Merchant_Category]]="Electronics", Table1[[#This Row],[Merchant_Category]]="Travel")), "unsafe merchant transaction", "safe merchant transaction")</f>
        <v>safe merchant transaction</v>
      </c>
    </row>
    <row r="769" spans="1:18">
      <c r="A769" t="s">
        <v>3916</v>
      </c>
      <c r="B769" t="s">
        <v>149</v>
      </c>
      <c r="C769">
        <v>1</v>
      </c>
      <c r="D769" t="s">
        <v>15</v>
      </c>
      <c r="E769" t="s">
        <v>3</v>
      </c>
      <c r="F769" s="2">
        <v>45698</v>
      </c>
      <c r="G769">
        <v>2444.7800000000002</v>
      </c>
      <c r="H769" s="1">
        <f>AVERAGEIF(Table1[Customer_ID], Table1[[#This Row],[Customer_ID]], Table1[Transaction_Amount])</f>
        <v>5537.8703846153821</v>
      </c>
      <c r="I769" t="s">
        <v>1481</v>
      </c>
      <c r="J769" t="s">
        <v>46</v>
      </c>
      <c r="K769" t="s">
        <v>10</v>
      </c>
      <c r="L769">
        <v>3</v>
      </c>
      <c r="M769" t="s">
        <v>42</v>
      </c>
      <c r="N769" t="s">
        <v>42</v>
      </c>
      <c r="O769" t="s">
        <v>392</v>
      </c>
      <c r="P769" s="6" t="str">
        <f>IF(Table1[[#This Row],[Transaction_Amount]]&lt;=Table1[[#This Row],[avg_transaction_amount]], "usual transaction", "unusual transaction")</f>
        <v>usual transaction</v>
      </c>
      <c r="Q769" s="6" t="str">
        <f>IF(AND(Table1[[#This Row],[Country_of_Residence]]&lt;&gt;Table1[[#This Row],[Country_of_Transaction]], OR(Table1[[#This Row],[Authentication_Type]]="Biometric", Table1[[#This Row],[Authentication_Type]]="OTP")), "safe location transaction", "unsafe location transaction")</f>
        <v>unsafe location transaction</v>
      </c>
      <c r="R769" s="6" t="str">
        <f>IF(AND(Table1[[#This Row],[Country_of_Residence]]&lt;&gt;Table1[[#This Row],[Country_of_Transaction]], OR(Table1[[#This Row],[Merchant_Category]]="Electronics", Table1[[#This Row],[Merchant_Category]]="Travel")), "unsafe merchant transaction", "safe merchant transaction")</f>
        <v>safe merchant transaction</v>
      </c>
    </row>
    <row r="770" spans="1:18">
      <c r="A770" t="s">
        <v>3975</v>
      </c>
      <c r="B770" t="s">
        <v>149</v>
      </c>
      <c r="C770">
        <v>1</v>
      </c>
      <c r="D770" t="s">
        <v>9</v>
      </c>
      <c r="E770" t="s">
        <v>5</v>
      </c>
      <c r="F770" s="2">
        <v>45666</v>
      </c>
      <c r="G770">
        <v>2441.88</v>
      </c>
      <c r="H770" s="1">
        <f>AVERAGEIF(Table1[Customer_ID], Table1[[#This Row],[Customer_ID]], Table1[Transaction_Amount])</f>
        <v>5537.8703846153821</v>
      </c>
      <c r="I770" t="s">
        <v>1535</v>
      </c>
      <c r="J770" t="s">
        <v>46</v>
      </c>
      <c r="K770" t="s">
        <v>12</v>
      </c>
      <c r="L770">
        <v>0</v>
      </c>
      <c r="M770" t="s">
        <v>412</v>
      </c>
      <c r="N770" t="s">
        <v>37</v>
      </c>
      <c r="O770" t="s">
        <v>392</v>
      </c>
      <c r="P770" s="6" t="str">
        <f>IF(Table1[[#This Row],[Transaction_Amount]]&lt;=Table1[[#This Row],[avg_transaction_amount]], "usual transaction", "unusual transaction")</f>
        <v>usual transaction</v>
      </c>
      <c r="Q770" s="6" t="str">
        <f>IF(AND(Table1[[#This Row],[Country_of_Residence]]&lt;&gt;Table1[[#This Row],[Country_of_Transaction]], OR(Table1[[#This Row],[Authentication_Type]]="Biometric", Table1[[#This Row],[Authentication_Type]]="OTP")), "safe location transaction", "unsafe location transaction")</f>
        <v>unsafe location transaction</v>
      </c>
      <c r="R770" s="6" t="str">
        <f>IF(AND(Table1[[#This Row],[Country_of_Residence]]&lt;&gt;Table1[[#This Row],[Country_of_Transaction]], OR(Table1[[#This Row],[Merchant_Category]]="Electronics", Table1[[#This Row],[Merchant_Category]]="Travel")), "unsafe merchant transaction", "safe merchant transaction")</f>
        <v>safe merchant transaction</v>
      </c>
    </row>
    <row r="771" spans="1:18">
      <c r="A771" t="s">
        <v>3979</v>
      </c>
      <c r="B771" t="s">
        <v>149</v>
      </c>
      <c r="C771">
        <v>1</v>
      </c>
      <c r="D771" t="s">
        <v>9</v>
      </c>
      <c r="E771" t="s">
        <v>3</v>
      </c>
      <c r="F771" s="2">
        <v>45894</v>
      </c>
      <c r="G771">
        <v>1085.72</v>
      </c>
      <c r="H771" s="1">
        <f>AVERAGEIF(Table1[Customer_ID], Table1[[#This Row],[Customer_ID]], Table1[Transaction_Amount])</f>
        <v>5537.8703846153821</v>
      </c>
      <c r="I771" t="s">
        <v>1538</v>
      </c>
      <c r="J771" t="s">
        <v>50</v>
      </c>
      <c r="K771" t="s">
        <v>8</v>
      </c>
      <c r="L771">
        <v>1</v>
      </c>
      <c r="M771" t="s">
        <v>51</v>
      </c>
      <c r="N771" t="s">
        <v>51</v>
      </c>
      <c r="O771" t="s">
        <v>393</v>
      </c>
      <c r="P771" s="6" t="str">
        <f>IF(Table1[[#This Row],[Transaction_Amount]]&lt;=Table1[[#This Row],[avg_transaction_amount]], "usual transaction", "unusual transaction")</f>
        <v>usual transaction</v>
      </c>
      <c r="Q771" s="6" t="str">
        <f>IF(AND(Table1[[#This Row],[Country_of_Residence]]&lt;&gt;Table1[[#This Row],[Country_of_Transaction]], OR(Table1[[#This Row],[Authentication_Type]]="Biometric", Table1[[#This Row],[Authentication_Type]]="OTP")), "safe location transaction", "unsafe location transaction")</f>
        <v>unsafe location transaction</v>
      </c>
      <c r="R771" s="6" t="str">
        <f>IF(AND(Table1[[#This Row],[Country_of_Residence]]&lt;&gt;Table1[[#This Row],[Country_of_Transaction]], OR(Table1[[#This Row],[Merchant_Category]]="Electronics", Table1[[#This Row],[Merchant_Category]]="Travel")), "unsafe merchant transaction", "safe merchant transaction")</f>
        <v>safe merchant transaction</v>
      </c>
    </row>
    <row r="772" spans="1:18">
      <c r="A772" t="s">
        <v>3983</v>
      </c>
      <c r="B772" t="s">
        <v>149</v>
      </c>
      <c r="C772">
        <v>1</v>
      </c>
      <c r="D772" t="s">
        <v>9</v>
      </c>
      <c r="E772" t="s">
        <v>6</v>
      </c>
      <c r="F772" s="2">
        <v>45927</v>
      </c>
      <c r="G772">
        <v>9169.0300000000007</v>
      </c>
      <c r="H772" s="1">
        <f>AVERAGEIF(Table1[Customer_ID], Table1[[#This Row],[Customer_ID]], Table1[Transaction_Amount])</f>
        <v>5537.8703846153821</v>
      </c>
      <c r="I772" t="s">
        <v>1542</v>
      </c>
      <c r="J772" t="s">
        <v>31</v>
      </c>
      <c r="K772" t="s">
        <v>8</v>
      </c>
      <c r="L772">
        <v>5</v>
      </c>
      <c r="M772" t="s">
        <v>55</v>
      </c>
      <c r="N772" t="s">
        <v>42</v>
      </c>
      <c r="O772" t="s">
        <v>392</v>
      </c>
      <c r="P772" s="6" t="str">
        <f>IF(Table1[[#This Row],[Transaction_Amount]]&lt;=Table1[[#This Row],[avg_transaction_amount]], "usual transaction", "unusual transaction")</f>
        <v>unusual transaction</v>
      </c>
      <c r="Q772" s="6" t="str">
        <f>IF(AND(Table1[[#This Row],[Country_of_Residence]]&lt;&gt;Table1[[#This Row],[Country_of_Transaction]], OR(Table1[[#This Row],[Authentication_Type]]="Biometric", Table1[[#This Row],[Authentication_Type]]="OTP")), "safe location transaction", "unsafe location transaction")</f>
        <v>safe location transaction</v>
      </c>
      <c r="R772" s="6" t="str">
        <f>IF(AND(Table1[[#This Row],[Country_of_Residence]]&lt;&gt;Table1[[#This Row],[Country_of_Transaction]], OR(Table1[[#This Row],[Merchant_Category]]="Electronics", Table1[[#This Row],[Merchant_Category]]="Travel")), "unsafe merchant transaction", "safe merchant transaction")</f>
        <v>safe merchant transaction</v>
      </c>
    </row>
    <row r="773" spans="1:18">
      <c r="A773" t="s">
        <v>4160</v>
      </c>
      <c r="B773" t="s">
        <v>149</v>
      </c>
      <c r="C773">
        <v>1</v>
      </c>
      <c r="D773" t="s">
        <v>9</v>
      </c>
      <c r="E773" t="s">
        <v>5</v>
      </c>
      <c r="F773" s="2">
        <v>45883</v>
      </c>
      <c r="G773">
        <v>8635.1</v>
      </c>
      <c r="H773" s="1">
        <f>AVERAGEIF(Table1[Customer_ID], Table1[[#This Row],[Customer_ID]], Table1[Transaction_Amount])</f>
        <v>5537.8703846153821</v>
      </c>
      <c r="I773" t="s">
        <v>1687</v>
      </c>
      <c r="J773" t="s">
        <v>31</v>
      </c>
      <c r="K773" t="s">
        <v>8</v>
      </c>
      <c r="L773">
        <v>2</v>
      </c>
      <c r="M773" t="s">
        <v>412</v>
      </c>
      <c r="N773" t="s">
        <v>47</v>
      </c>
      <c r="O773" t="s">
        <v>392</v>
      </c>
      <c r="P773" s="6" t="str">
        <f>IF(Table1[[#This Row],[Transaction_Amount]]&lt;=Table1[[#This Row],[avg_transaction_amount]], "usual transaction", "unusual transaction")</f>
        <v>unusual transaction</v>
      </c>
      <c r="Q773" s="6" t="str">
        <f>IF(AND(Table1[[#This Row],[Country_of_Residence]]&lt;&gt;Table1[[#This Row],[Country_of_Transaction]], OR(Table1[[#This Row],[Authentication_Type]]="Biometric", Table1[[#This Row],[Authentication_Type]]="OTP")), "safe location transaction", "unsafe location transaction")</f>
        <v>safe location transaction</v>
      </c>
      <c r="R773" s="6" t="str">
        <f>IF(AND(Table1[[#This Row],[Country_of_Residence]]&lt;&gt;Table1[[#This Row],[Country_of_Transaction]], OR(Table1[[#This Row],[Merchant_Category]]="Electronics", Table1[[#This Row],[Merchant_Category]]="Travel")), "unsafe merchant transaction", "safe merchant transaction")</f>
        <v>safe merchant transaction</v>
      </c>
    </row>
    <row r="774" spans="1:18">
      <c r="A774" t="s">
        <v>4355</v>
      </c>
      <c r="B774" t="s">
        <v>149</v>
      </c>
      <c r="C774">
        <v>1</v>
      </c>
      <c r="D774" t="s">
        <v>15</v>
      </c>
      <c r="E774" t="s">
        <v>3</v>
      </c>
      <c r="F774" s="2">
        <v>45938</v>
      </c>
      <c r="G774">
        <v>7625.56</v>
      </c>
      <c r="H774" s="1">
        <f>AVERAGEIF(Table1[Customer_ID], Table1[[#This Row],[Customer_ID]], Table1[Transaction_Amount])</f>
        <v>5537.8703846153821</v>
      </c>
      <c r="I774" t="s">
        <v>1859</v>
      </c>
      <c r="J774" t="s">
        <v>46</v>
      </c>
      <c r="K774" t="s">
        <v>14</v>
      </c>
      <c r="L774">
        <v>5</v>
      </c>
      <c r="M774" t="s">
        <v>56</v>
      </c>
      <c r="N774" t="s">
        <v>47</v>
      </c>
      <c r="O774" t="s">
        <v>392</v>
      </c>
      <c r="P774" s="6" t="str">
        <f>IF(Table1[[#This Row],[Transaction_Amount]]&lt;=Table1[[#This Row],[avg_transaction_amount]], "usual transaction", "unusual transaction")</f>
        <v>unusual transaction</v>
      </c>
      <c r="Q774" s="6" t="str">
        <f>IF(AND(Table1[[#This Row],[Country_of_Residence]]&lt;&gt;Table1[[#This Row],[Country_of_Transaction]], OR(Table1[[#This Row],[Authentication_Type]]="Biometric", Table1[[#This Row],[Authentication_Type]]="OTP")), "safe location transaction", "unsafe location transaction")</f>
        <v>unsafe location transaction</v>
      </c>
      <c r="R774" s="6" t="str">
        <f>IF(AND(Table1[[#This Row],[Country_of_Residence]]&lt;&gt;Table1[[#This Row],[Country_of_Transaction]], OR(Table1[[#This Row],[Merchant_Category]]="Electronics", Table1[[#This Row],[Merchant_Category]]="Travel")), "unsafe merchant transaction", "safe merchant transaction")</f>
        <v>safe merchant transaction</v>
      </c>
    </row>
    <row r="775" spans="1:18">
      <c r="A775" t="s">
        <v>4400</v>
      </c>
      <c r="B775" t="s">
        <v>149</v>
      </c>
      <c r="C775">
        <v>1</v>
      </c>
      <c r="D775" t="s">
        <v>15</v>
      </c>
      <c r="E775" t="s">
        <v>3</v>
      </c>
      <c r="F775" s="2">
        <v>45753</v>
      </c>
      <c r="G775">
        <v>1022.14</v>
      </c>
      <c r="H775" s="1">
        <f>AVERAGEIF(Table1[Customer_ID], Table1[[#This Row],[Customer_ID]], Table1[Transaction_Amount])</f>
        <v>5537.8703846153821</v>
      </c>
      <c r="I775" t="s">
        <v>1900</v>
      </c>
      <c r="J775" t="s">
        <v>31</v>
      </c>
      <c r="K775" t="s">
        <v>14</v>
      </c>
      <c r="L775">
        <v>4</v>
      </c>
      <c r="M775" t="s">
        <v>51</v>
      </c>
      <c r="N775" t="s">
        <v>47</v>
      </c>
      <c r="O775" t="s">
        <v>392</v>
      </c>
      <c r="P775" s="6" t="str">
        <f>IF(Table1[[#This Row],[Transaction_Amount]]&lt;=Table1[[#This Row],[avg_transaction_amount]], "usual transaction", "unusual transaction")</f>
        <v>usual transaction</v>
      </c>
      <c r="Q775" s="6" t="str">
        <f>IF(AND(Table1[[#This Row],[Country_of_Residence]]&lt;&gt;Table1[[#This Row],[Country_of_Transaction]], OR(Table1[[#This Row],[Authentication_Type]]="Biometric", Table1[[#This Row],[Authentication_Type]]="OTP")), "safe location transaction", "unsafe location transaction")</f>
        <v>unsafe location transaction</v>
      </c>
      <c r="R775" s="6" t="str">
        <f>IF(AND(Table1[[#This Row],[Country_of_Residence]]&lt;&gt;Table1[[#This Row],[Country_of_Transaction]], OR(Table1[[#This Row],[Merchant_Category]]="Electronics", Table1[[#This Row],[Merchant_Category]]="Travel")), "unsafe merchant transaction", "safe merchant transaction")</f>
        <v>safe merchant transaction</v>
      </c>
    </row>
    <row r="776" spans="1:18">
      <c r="A776" t="s">
        <v>4403</v>
      </c>
      <c r="B776" t="s">
        <v>149</v>
      </c>
      <c r="C776">
        <v>1</v>
      </c>
      <c r="D776" t="s">
        <v>9</v>
      </c>
      <c r="E776" t="s">
        <v>420</v>
      </c>
      <c r="F776" s="2">
        <v>45871</v>
      </c>
      <c r="G776">
        <v>7279.96</v>
      </c>
      <c r="H776" s="1">
        <f>AVERAGEIF(Table1[Customer_ID], Table1[[#This Row],[Customer_ID]], Table1[Transaction_Amount])</f>
        <v>5537.8703846153821</v>
      </c>
      <c r="I776" t="s">
        <v>1903</v>
      </c>
      <c r="J776" t="s">
        <v>50</v>
      </c>
      <c r="K776" t="s">
        <v>12</v>
      </c>
      <c r="L776">
        <v>1</v>
      </c>
      <c r="M776" t="s">
        <v>33</v>
      </c>
      <c r="N776" t="s">
        <v>56</v>
      </c>
      <c r="O776" t="s">
        <v>393</v>
      </c>
      <c r="P776" s="6" t="str">
        <f>IF(Table1[[#This Row],[Transaction_Amount]]&lt;=Table1[[#This Row],[avg_transaction_amount]], "usual transaction", "unusual transaction")</f>
        <v>unusual transaction</v>
      </c>
      <c r="Q776" s="6" t="str">
        <f>IF(AND(Table1[[#This Row],[Country_of_Residence]]&lt;&gt;Table1[[#This Row],[Country_of_Transaction]], OR(Table1[[#This Row],[Authentication_Type]]="Biometric", Table1[[#This Row],[Authentication_Type]]="OTP")), "safe location transaction", "unsafe location transaction")</f>
        <v>unsafe location transaction</v>
      </c>
      <c r="R776" s="6" t="str">
        <f>IF(AND(Table1[[#This Row],[Country_of_Residence]]&lt;&gt;Table1[[#This Row],[Country_of_Transaction]], OR(Table1[[#This Row],[Merchant_Category]]="Electronics", Table1[[#This Row],[Merchant_Category]]="Travel")), "unsafe merchant transaction", "safe merchant transaction")</f>
        <v>unsafe merchant transaction</v>
      </c>
    </row>
    <row r="777" spans="1:18">
      <c r="A777" t="s">
        <v>4444</v>
      </c>
      <c r="B777" t="s">
        <v>149</v>
      </c>
      <c r="C777">
        <v>1</v>
      </c>
      <c r="D777" t="s">
        <v>9</v>
      </c>
      <c r="E777" t="s">
        <v>3</v>
      </c>
      <c r="F777" s="2">
        <v>45664</v>
      </c>
      <c r="G777">
        <v>9831.24</v>
      </c>
      <c r="H777" s="1">
        <f>AVERAGEIF(Table1[Customer_ID], Table1[[#This Row],[Customer_ID]], Table1[Transaction_Amount])</f>
        <v>5537.8703846153821</v>
      </c>
      <c r="I777" t="s">
        <v>1938</v>
      </c>
      <c r="J777" t="s">
        <v>50</v>
      </c>
      <c r="K777" t="s">
        <v>10</v>
      </c>
      <c r="L777">
        <v>3</v>
      </c>
      <c r="M777" t="s">
        <v>37</v>
      </c>
      <c r="N777" t="s">
        <v>42</v>
      </c>
      <c r="O777" t="s">
        <v>392</v>
      </c>
      <c r="P777" s="6" t="str">
        <f>IF(Table1[[#This Row],[Transaction_Amount]]&lt;=Table1[[#This Row],[avg_transaction_amount]], "usual transaction", "unusual transaction")</f>
        <v>unusual transaction</v>
      </c>
      <c r="Q777" s="6" t="str">
        <f>IF(AND(Table1[[#This Row],[Country_of_Residence]]&lt;&gt;Table1[[#This Row],[Country_of_Transaction]], OR(Table1[[#This Row],[Authentication_Type]]="Biometric", Table1[[#This Row],[Authentication_Type]]="OTP")), "safe location transaction", "unsafe location transaction")</f>
        <v>safe location transaction</v>
      </c>
      <c r="R777" s="6" t="str">
        <f>IF(AND(Table1[[#This Row],[Country_of_Residence]]&lt;&gt;Table1[[#This Row],[Country_of_Transaction]], OR(Table1[[#This Row],[Merchant_Category]]="Electronics", Table1[[#This Row],[Merchant_Category]]="Travel")), "unsafe merchant transaction", "safe merchant transaction")</f>
        <v>unsafe merchant transaction</v>
      </c>
    </row>
    <row r="778" spans="1:18">
      <c r="A778" t="s">
        <v>4460</v>
      </c>
      <c r="B778" t="s">
        <v>149</v>
      </c>
      <c r="C778">
        <v>1</v>
      </c>
      <c r="D778" t="s">
        <v>9</v>
      </c>
      <c r="E778" t="s">
        <v>420</v>
      </c>
      <c r="F778" s="2">
        <v>45670</v>
      </c>
      <c r="G778">
        <v>3081.57</v>
      </c>
      <c r="H778" s="1">
        <f>AVERAGEIF(Table1[Customer_ID], Table1[[#This Row],[Customer_ID]], Table1[Transaction_Amount])</f>
        <v>5537.8703846153821</v>
      </c>
      <c r="I778" t="s">
        <v>1954</v>
      </c>
      <c r="J778" t="s">
        <v>50</v>
      </c>
      <c r="K778" t="s">
        <v>10</v>
      </c>
      <c r="L778">
        <v>5</v>
      </c>
      <c r="M778" t="s">
        <v>37</v>
      </c>
      <c r="N778" t="s">
        <v>42</v>
      </c>
      <c r="O778" t="s">
        <v>392</v>
      </c>
      <c r="P778" s="6" t="str">
        <f>IF(Table1[[#This Row],[Transaction_Amount]]&lt;=Table1[[#This Row],[avg_transaction_amount]], "usual transaction", "unusual transaction")</f>
        <v>usual transaction</v>
      </c>
      <c r="Q778" s="6" t="str">
        <f>IF(AND(Table1[[#This Row],[Country_of_Residence]]&lt;&gt;Table1[[#This Row],[Country_of_Transaction]], OR(Table1[[#This Row],[Authentication_Type]]="Biometric", Table1[[#This Row],[Authentication_Type]]="OTP")), "safe location transaction", "unsafe location transaction")</f>
        <v>safe location transaction</v>
      </c>
      <c r="R778" s="6" t="str">
        <f>IF(AND(Table1[[#This Row],[Country_of_Residence]]&lt;&gt;Table1[[#This Row],[Country_of_Transaction]], OR(Table1[[#This Row],[Merchant_Category]]="Electronics", Table1[[#This Row],[Merchant_Category]]="Travel")), "unsafe merchant transaction", "safe merchant transaction")</f>
        <v>unsafe merchant transaction</v>
      </c>
    </row>
    <row r="779" spans="1:18">
      <c r="A779" t="s">
        <v>4531</v>
      </c>
      <c r="B779" t="s">
        <v>149</v>
      </c>
      <c r="C779">
        <v>1</v>
      </c>
      <c r="D779" t="s">
        <v>15</v>
      </c>
      <c r="E779" t="s">
        <v>420</v>
      </c>
      <c r="F779" s="2">
        <v>45863</v>
      </c>
      <c r="G779">
        <v>9395.3700000000008</v>
      </c>
      <c r="H779" s="1">
        <f>AVERAGEIF(Table1[Customer_ID], Table1[[#This Row],[Customer_ID]], Table1[Transaction_Amount])</f>
        <v>5537.8703846153821</v>
      </c>
      <c r="I779" t="s">
        <v>2010</v>
      </c>
      <c r="J779" t="s">
        <v>31</v>
      </c>
      <c r="K779" t="s">
        <v>8</v>
      </c>
      <c r="L779">
        <v>0</v>
      </c>
      <c r="M779" t="s">
        <v>55</v>
      </c>
      <c r="N779" t="s">
        <v>33</v>
      </c>
      <c r="O779" t="s">
        <v>393</v>
      </c>
      <c r="P779" s="6" t="str">
        <f>IF(Table1[[#This Row],[Transaction_Amount]]&lt;=Table1[[#This Row],[avg_transaction_amount]], "usual transaction", "unusual transaction")</f>
        <v>unusual transaction</v>
      </c>
      <c r="Q779" s="6" t="str">
        <f>IF(AND(Table1[[#This Row],[Country_of_Residence]]&lt;&gt;Table1[[#This Row],[Country_of_Transaction]], OR(Table1[[#This Row],[Authentication_Type]]="Biometric", Table1[[#This Row],[Authentication_Type]]="OTP")), "safe location transaction", "unsafe location transaction")</f>
        <v>safe location transaction</v>
      </c>
      <c r="R779" s="6" t="str">
        <f>IF(AND(Table1[[#This Row],[Country_of_Residence]]&lt;&gt;Table1[[#This Row],[Country_of_Transaction]], OR(Table1[[#This Row],[Merchant_Category]]="Electronics", Table1[[#This Row],[Merchant_Category]]="Travel")), "unsafe merchant transaction", "safe merchant transaction")</f>
        <v>safe merchant transaction</v>
      </c>
    </row>
    <row r="780" spans="1:18">
      <c r="A780" t="s">
        <v>4604</v>
      </c>
      <c r="B780" t="s">
        <v>149</v>
      </c>
      <c r="C780">
        <v>1</v>
      </c>
      <c r="D780" t="s">
        <v>15</v>
      </c>
      <c r="E780" t="s">
        <v>6</v>
      </c>
      <c r="F780" s="2">
        <v>45844</v>
      </c>
      <c r="G780">
        <v>2275.09</v>
      </c>
      <c r="H780" s="1">
        <f>AVERAGEIF(Table1[Customer_ID], Table1[[#This Row],[Customer_ID]], Table1[Transaction_Amount])</f>
        <v>5537.8703846153821</v>
      </c>
      <c r="I780" t="s">
        <v>799</v>
      </c>
      <c r="J780" t="s">
        <v>36</v>
      </c>
      <c r="K780" t="s">
        <v>10</v>
      </c>
      <c r="L780">
        <v>1</v>
      </c>
      <c r="M780" t="s">
        <v>42</v>
      </c>
      <c r="N780" t="s">
        <v>55</v>
      </c>
      <c r="O780" t="s">
        <v>393</v>
      </c>
      <c r="P780" s="6" t="str">
        <f>IF(Table1[[#This Row],[Transaction_Amount]]&lt;=Table1[[#This Row],[avg_transaction_amount]], "usual transaction", "unusual transaction")</f>
        <v>usual transaction</v>
      </c>
      <c r="Q780" s="6" t="str">
        <f>IF(AND(Table1[[#This Row],[Country_of_Residence]]&lt;&gt;Table1[[#This Row],[Country_of_Transaction]], OR(Table1[[#This Row],[Authentication_Type]]="Biometric", Table1[[#This Row],[Authentication_Type]]="OTP")), "safe location transaction", "unsafe location transaction")</f>
        <v>safe location transaction</v>
      </c>
      <c r="R780" s="6" t="str">
        <f>IF(AND(Table1[[#This Row],[Country_of_Residence]]&lt;&gt;Table1[[#This Row],[Country_of_Transaction]], OR(Table1[[#This Row],[Merchant_Category]]="Electronics", Table1[[#This Row],[Merchant_Category]]="Travel")), "unsafe merchant transaction", "safe merchant transaction")</f>
        <v>safe merchant transaction</v>
      </c>
    </row>
    <row r="781" spans="1:18">
      <c r="A781" t="s">
        <v>4619</v>
      </c>
      <c r="B781" t="s">
        <v>149</v>
      </c>
      <c r="C781">
        <v>1</v>
      </c>
      <c r="D781" t="s">
        <v>15</v>
      </c>
      <c r="E781" t="s">
        <v>3</v>
      </c>
      <c r="F781" s="2">
        <v>45857</v>
      </c>
      <c r="G781">
        <v>3319.93</v>
      </c>
      <c r="H781" s="1">
        <f>AVERAGEIF(Table1[Customer_ID], Table1[[#This Row],[Customer_ID]], Table1[Transaction_Amount])</f>
        <v>5537.8703846153821</v>
      </c>
      <c r="I781" t="s">
        <v>2083</v>
      </c>
      <c r="J781" t="s">
        <v>50</v>
      </c>
      <c r="K781" t="s">
        <v>10</v>
      </c>
      <c r="L781">
        <v>0</v>
      </c>
      <c r="M781" t="s">
        <v>56</v>
      </c>
      <c r="N781" t="s">
        <v>55</v>
      </c>
      <c r="O781" t="s">
        <v>393</v>
      </c>
      <c r="P781" s="6" t="str">
        <f>IF(Table1[[#This Row],[Transaction_Amount]]&lt;=Table1[[#This Row],[avg_transaction_amount]], "usual transaction", "unusual transaction")</f>
        <v>usual transaction</v>
      </c>
      <c r="Q781" s="6" t="str">
        <f>IF(AND(Table1[[#This Row],[Country_of_Residence]]&lt;&gt;Table1[[#This Row],[Country_of_Transaction]], OR(Table1[[#This Row],[Authentication_Type]]="Biometric", Table1[[#This Row],[Authentication_Type]]="OTP")), "safe location transaction", "unsafe location transaction")</f>
        <v>safe location transaction</v>
      </c>
      <c r="R781" s="6" t="str">
        <f>IF(AND(Table1[[#This Row],[Country_of_Residence]]&lt;&gt;Table1[[#This Row],[Country_of_Transaction]], OR(Table1[[#This Row],[Merchant_Category]]="Electronics", Table1[[#This Row],[Merchant_Category]]="Travel")), "unsafe merchant transaction", "safe merchant transaction")</f>
        <v>unsafe merchant transaction</v>
      </c>
    </row>
    <row r="782" spans="1:18">
      <c r="A782" t="s">
        <v>4681</v>
      </c>
      <c r="B782" t="s">
        <v>149</v>
      </c>
      <c r="C782">
        <v>1</v>
      </c>
      <c r="D782" t="s">
        <v>9</v>
      </c>
      <c r="E782" t="s">
        <v>420</v>
      </c>
      <c r="F782" s="2">
        <v>45669</v>
      </c>
      <c r="G782">
        <v>9928.8700000000008</v>
      </c>
      <c r="H782" s="1">
        <f>AVERAGEIF(Table1[Customer_ID], Table1[[#This Row],[Customer_ID]], Table1[Transaction_Amount])</f>
        <v>5537.8703846153821</v>
      </c>
      <c r="I782" t="s">
        <v>1267</v>
      </c>
      <c r="J782" t="s">
        <v>41</v>
      </c>
      <c r="K782" t="s">
        <v>8</v>
      </c>
      <c r="L782">
        <v>3</v>
      </c>
      <c r="M782" t="s">
        <v>32</v>
      </c>
      <c r="N782" t="s">
        <v>55</v>
      </c>
      <c r="O782" t="s">
        <v>393</v>
      </c>
      <c r="P782" s="6" t="str">
        <f>IF(Table1[[#This Row],[Transaction_Amount]]&lt;=Table1[[#This Row],[avg_transaction_amount]], "usual transaction", "unusual transaction")</f>
        <v>unusual transaction</v>
      </c>
      <c r="Q782" s="6" t="str">
        <f>IF(AND(Table1[[#This Row],[Country_of_Residence]]&lt;&gt;Table1[[#This Row],[Country_of_Transaction]], OR(Table1[[#This Row],[Authentication_Type]]="Biometric", Table1[[#This Row],[Authentication_Type]]="OTP")), "safe location transaction", "unsafe location transaction")</f>
        <v>safe location transaction</v>
      </c>
      <c r="R782" s="6" t="str">
        <f>IF(AND(Table1[[#This Row],[Country_of_Residence]]&lt;&gt;Table1[[#This Row],[Country_of_Transaction]], OR(Table1[[#This Row],[Merchant_Category]]="Electronics", Table1[[#This Row],[Merchant_Category]]="Travel")), "unsafe merchant transaction", "safe merchant transaction")</f>
        <v>safe merchant transaction</v>
      </c>
    </row>
    <row r="783" spans="1:18">
      <c r="A783" t="s">
        <v>4706</v>
      </c>
      <c r="B783" t="s">
        <v>149</v>
      </c>
      <c r="C783">
        <v>1</v>
      </c>
      <c r="D783" t="s">
        <v>9</v>
      </c>
      <c r="E783" t="s">
        <v>6</v>
      </c>
      <c r="F783" s="2">
        <v>45994</v>
      </c>
      <c r="G783">
        <v>961.61</v>
      </c>
      <c r="H783" s="1">
        <f>AVERAGEIF(Table1[Customer_ID], Table1[[#This Row],[Customer_ID]], Table1[Transaction_Amount])</f>
        <v>5537.8703846153821</v>
      </c>
      <c r="I783" t="s">
        <v>2152</v>
      </c>
      <c r="J783" t="s">
        <v>50</v>
      </c>
      <c r="K783" t="s">
        <v>12</v>
      </c>
      <c r="L783">
        <v>4</v>
      </c>
      <c r="M783" t="s">
        <v>42</v>
      </c>
      <c r="N783" t="s">
        <v>37</v>
      </c>
      <c r="O783" t="s">
        <v>393</v>
      </c>
      <c r="P783" s="6" t="str">
        <f>IF(Table1[[#This Row],[Transaction_Amount]]&lt;=Table1[[#This Row],[avg_transaction_amount]], "usual transaction", "unusual transaction")</f>
        <v>usual transaction</v>
      </c>
      <c r="Q783" s="6" t="str">
        <f>IF(AND(Table1[[#This Row],[Country_of_Residence]]&lt;&gt;Table1[[#This Row],[Country_of_Transaction]], OR(Table1[[#This Row],[Authentication_Type]]="Biometric", Table1[[#This Row],[Authentication_Type]]="OTP")), "safe location transaction", "unsafe location transaction")</f>
        <v>unsafe location transaction</v>
      </c>
      <c r="R783" s="6" t="str">
        <f>IF(AND(Table1[[#This Row],[Country_of_Residence]]&lt;&gt;Table1[[#This Row],[Country_of_Transaction]], OR(Table1[[#This Row],[Merchant_Category]]="Electronics", Table1[[#This Row],[Merchant_Category]]="Travel")), "unsafe merchant transaction", "safe merchant transaction")</f>
        <v>unsafe merchant transaction</v>
      </c>
    </row>
    <row r="784" spans="1:18">
      <c r="A784" t="s">
        <v>4732</v>
      </c>
      <c r="B784" t="s">
        <v>149</v>
      </c>
      <c r="C784">
        <v>1</v>
      </c>
      <c r="D784" t="s">
        <v>9</v>
      </c>
      <c r="E784" t="s">
        <v>5</v>
      </c>
      <c r="F784" s="2">
        <v>45781</v>
      </c>
      <c r="G784">
        <v>4370.0600000000004</v>
      </c>
      <c r="H784" s="1">
        <f>AVERAGEIF(Table1[Customer_ID], Table1[[#This Row],[Customer_ID]], Table1[Transaction_Amount])</f>
        <v>5537.8703846153821</v>
      </c>
      <c r="I784" t="s">
        <v>2172</v>
      </c>
      <c r="J784" t="s">
        <v>36</v>
      </c>
      <c r="K784" t="s">
        <v>8</v>
      </c>
      <c r="L784">
        <v>2</v>
      </c>
      <c r="M784" t="s">
        <v>33</v>
      </c>
      <c r="N784" t="s">
        <v>47</v>
      </c>
      <c r="O784" t="s">
        <v>392</v>
      </c>
      <c r="P784" s="6" t="str">
        <f>IF(Table1[[#This Row],[Transaction_Amount]]&lt;=Table1[[#This Row],[avg_transaction_amount]], "usual transaction", "unusual transaction")</f>
        <v>usual transaction</v>
      </c>
      <c r="Q784" s="6" t="str">
        <f>IF(AND(Table1[[#This Row],[Country_of_Residence]]&lt;&gt;Table1[[#This Row],[Country_of_Transaction]], OR(Table1[[#This Row],[Authentication_Type]]="Biometric", Table1[[#This Row],[Authentication_Type]]="OTP")), "safe location transaction", "unsafe location transaction")</f>
        <v>safe location transaction</v>
      </c>
      <c r="R784" s="6" t="str">
        <f>IF(AND(Table1[[#This Row],[Country_of_Residence]]&lt;&gt;Table1[[#This Row],[Country_of_Transaction]], OR(Table1[[#This Row],[Merchant_Category]]="Electronics", Table1[[#This Row],[Merchant_Category]]="Travel")), "unsafe merchant transaction", "safe merchant transaction")</f>
        <v>safe merchant transaction</v>
      </c>
    </row>
    <row r="785" spans="1:18">
      <c r="A785" t="s">
        <v>4771</v>
      </c>
      <c r="B785" t="s">
        <v>149</v>
      </c>
      <c r="C785">
        <v>1</v>
      </c>
      <c r="D785" t="s">
        <v>9</v>
      </c>
      <c r="E785" t="s">
        <v>3</v>
      </c>
      <c r="F785" s="2">
        <v>45786</v>
      </c>
      <c r="G785">
        <v>8877.39</v>
      </c>
      <c r="H785" s="1">
        <f>AVERAGEIF(Table1[Customer_ID], Table1[[#This Row],[Customer_ID]], Table1[Transaction_Amount])</f>
        <v>5537.8703846153821</v>
      </c>
      <c r="I785" t="s">
        <v>1773</v>
      </c>
      <c r="J785" t="s">
        <v>36</v>
      </c>
      <c r="K785" t="s">
        <v>8</v>
      </c>
      <c r="L785">
        <v>4</v>
      </c>
      <c r="M785" t="s">
        <v>33</v>
      </c>
      <c r="N785" t="s">
        <v>47</v>
      </c>
      <c r="O785" t="s">
        <v>392</v>
      </c>
      <c r="P785" s="6" t="str">
        <f>IF(Table1[[#This Row],[Transaction_Amount]]&lt;=Table1[[#This Row],[avg_transaction_amount]], "usual transaction", "unusual transaction")</f>
        <v>unusual transaction</v>
      </c>
      <c r="Q785" s="6" t="str">
        <f>IF(AND(Table1[[#This Row],[Country_of_Residence]]&lt;&gt;Table1[[#This Row],[Country_of_Transaction]], OR(Table1[[#This Row],[Authentication_Type]]="Biometric", Table1[[#This Row],[Authentication_Type]]="OTP")), "safe location transaction", "unsafe location transaction")</f>
        <v>safe location transaction</v>
      </c>
      <c r="R785" s="6" t="str">
        <f>IF(AND(Table1[[#This Row],[Country_of_Residence]]&lt;&gt;Table1[[#This Row],[Country_of_Transaction]], OR(Table1[[#This Row],[Merchant_Category]]="Electronics", Table1[[#This Row],[Merchant_Category]]="Travel")), "unsafe merchant transaction", "safe merchant transaction")</f>
        <v>safe merchant transaction</v>
      </c>
    </row>
    <row r="786" spans="1:18">
      <c r="A786" t="s">
        <v>4772</v>
      </c>
      <c r="B786" t="s">
        <v>149</v>
      </c>
      <c r="C786">
        <v>1</v>
      </c>
      <c r="D786" t="s">
        <v>15</v>
      </c>
      <c r="E786" t="s">
        <v>3</v>
      </c>
      <c r="F786" s="2">
        <v>45672</v>
      </c>
      <c r="G786">
        <v>3805.17</v>
      </c>
      <c r="H786" s="1">
        <f>AVERAGEIF(Table1[Customer_ID], Table1[[#This Row],[Customer_ID]], Table1[Transaction_Amount])</f>
        <v>5537.8703846153821</v>
      </c>
      <c r="I786" t="s">
        <v>2199</v>
      </c>
      <c r="J786" t="s">
        <v>46</v>
      </c>
      <c r="K786" t="s">
        <v>8</v>
      </c>
      <c r="L786">
        <v>5</v>
      </c>
      <c r="M786" t="s">
        <v>55</v>
      </c>
      <c r="N786" t="s">
        <v>56</v>
      </c>
      <c r="O786" t="s">
        <v>392</v>
      </c>
      <c r="P786" s="6" t="str">
        <f>IF(Table1[[#This Row],[Transaction_Amount]]&lt;=Table1[[#This Row],[avg_transaction_amount]], "usual transaction", "unusual transaction")</f>
        <v>usual transaction</v>
      </c>
      <c r="Q786" s="6" t="str">
        <f>IF(AND(Table1[[#This Row],[Country_of_Residence]]&lt;&gt;Table1[[#This Row],[Country_of_Transaction]], OR(Table1[[#This Row],[Authentication_Type]]="Biometric", Table1[[#This Row],[Authentication_Type]]="OTP")), "safe location transaction", "unsafe location transaction")</f>
        <v>safe location transaction</v>
      </c>
      <c r="R786" s="6" t="str">
        <f>IF(AND(Table1[[#This Row],[Country_of_Residence]]&lt;&gt;Table1[[#This Row],[Country_of_Transaction]], OR(Table1[[#This Row],[Merchant_Category]]="Electronics", Table1[[#This Row],[Merchant_Category]]="Travel")), "unsafe merchant transaction", "safe merchant transaction")</f>
        <v>safe merchant transaction</v>
      </c>
    </row>
    <row r="787" spans="1:18">
      <c r="A787" t="s">
        <v>4778</v>
      </c>
      <c r="B787" t="s">
        <v>149</v>
      </c>
      <c r="C787">
        <v>1</v>
      </c>
      <c r="D787" t="s">
        <v>9</v>
      </c>
      <c r="E787" t="s">
        <v>420</v>
      </c>
      <c r="F787" s="2">
        <v>45782</v>
      </c>
      <c r="G787">
        <v>6336.83</v>
      </c>
      <c r="H787" s="1">
        <f>AVERAGEIF(Table1[Customer_ID], Table1[[#This Row],[Customer_ID]], Table1[Transaction_Amount])</f>
        <v>5537.8703846153821</v>
      </c>
      <c r="I787" t="s">
        <v>2204</v>
      </c>
      <c r="J787" t="s">
        <v>46</v>
      </c>
      <c r="K787" t="s">
        <v>10</v>
      </c>
      <c r="L787">
        <v>1</v>
      </c>
      <c r="M787" t="s">
        <v>47</v>
      </c>
      <c r="N787" t="s">
        <v>51</v>
      </c>
      <c r="O787" t="s">
        <v>393</v>
      </c>
      <c r="P787" s="6" t="str">
        <f>IF(Table1[[#This Row],[Transaction_Amount]]&lt;=Table1[[#This Row],[avg_transaction_amount]], "usual transaction", "unusual transaction")</f>
        <v>unusual transaction</v>
      </c>
      <c r="Q787" s="6" t="str">
        <f>IF(AND(Table1[[#This Row],[Country_of_Residence]]&lt;&gt;Table1[[#This Row],[Country_of_Transaction]], OR(Table1[[#This Row],[Authentication_Type]]="Biometric", Table1[[#This Row],[Authentication_Type]]="OTP")), "safe location transaction", "unsafe location transaction")</f>
        <v>safe location transaction</v>
      </c>
      <c r="R787" s="6" t="str">
        <f>IF(AND(Table1[[#This Row],[Country_of_Residence]]&lt;&gt;Table1[[#This Row],[Country_of_Transaction]], OR(Table1[[#This Row],[Merchant_Category]]="Electronics", Table1[[#This Row],[Merchant_Category]]="Travel")), "unsafe merchant transaction", "safe merchant transaction")</f>
        <v>safe merchant transaction</v>
      </c>
    </row>
    <row r="788" spans="1:18">
      <c r="A788" t="s">
        <v>4803</v>
      </c>
      <c r="B788" t="s">
        <v>149</v>
      </c>
      <c r="C788">
        <v>1</v>
      </c>
      <c r="D788" t="s">
        <v>9</v>
      </c>
      <c r="E788" t="s">
        <v>420</v>
      </c>
      <c r="F788" s="2">
        <v>45826</v>
      </c>
      <c r="G788">
        <v>3261.02</v>
      </c>
      <c r="H788" s="1">
        <f>AVERAGEIF(Table1[Customer_ID], Table1[[#This Row],[Customer_ID]], Table1[Transaction_Amount])</f>
        <v>5537.8703846153821</v>
      </c>
      <c r="I788" t="s">
        <v>672</v>
      </c>
      <c r="J788" t="s">
        <v>36</v>
      </c>
      <c r="K788" t="s">
        <v>10</v>
      </c>
      <c r="L788">
        <v>4</v>
      </c>
      <c r="M788" t="s">
        <v>33</v>
      </c>
      <c r="N788" t="s">
        <v>55</v>
      </c>
      <c r="O788" t="s">
        <v>392</v>
      </c>
      <c r="P788" s="6" t="str">
        <f>IF(Table1[[#This Row],[Transaction_Amount]]&lt;=Table1[[#This Row],[avg_transaction_amount]], "usual transaction", "unusual transaction")</f>
        <v>usual transaction</v>
      </c>
      <c r="Q788" s="6" t="str">
        <f>IF(AND(Table1[[#This Row],[Country_of_Residence]]&lt;&gt;Table1[[#This Row],[Country_of_Transaction]], OR(Table1[[#This Row],[Authentication_Type]]="Biometric", Table1[[#This Row],[Authentication_Type]]="OTP")), "safe location transaction", "unsafe location transaction")</f>
        <v>safe location transaction</v>
      </c>
      <c r="R788" s="6" t="str">
        <f>IF(AND(Table1[[#This Row],[Country_of_Residence]]&lt;&gt;Table1[[#This Row],[Country_of_Transaction]], OR(Table1[[#This Row],[Merchant_Category]]="Electronics", Table1[[#This Row],[Merchant_Category]]="Travel")), "unsafe merchant transaction", "safe merchant transaction")</f>
        <v>safe merchant transaction</v>
      </c>
    </row>
    <row r="789" spans="1:18">
      <c r="A789" t="s">
        <v>4815</v>
      </c>
      <c r="B789" t="s">
        <v>149</v>
      </c>
      <c r="C789">
        <v>1</v>
      </c>
      <c r="D789" t="s">
        <v>15</v>
      </c>
      <c r="E789" t="s">
        <v>5</v>
      </c>
      <c r="F789" s="2">
        <v>45864</v>
      </c>
      <c r="G789">
        <v>2574.61</v>
      </c>
      <c r="H789" s="1">
        <f>AVERAGEIF(Table1[Customer_ID], Table1[[#This Row],[Customer_ID]], Table1[Transaction_Amount])</f>
        <v>5537.8703846153821</v>
      </c>
      <c r="I789" t="s">
        <v>2235</v>
      </c>
      <c r="J789" t="s">
        <v>46</v>
      </c>
      <c r="K789" t="s">
        <v>12</v>
      </c>
      <c r="L789">
        <v>0</v>
      </c>
      <c r="M789" t="s">
        <v>33</v>
      </c>
      <c r="N789" t="s">
        <v>32</v>
      </c>
      <c r="O789" t="s">
        <v>392</v>
      </c>
      <c r="P789" s="6" t="str">
        <f>IF(Table1[[#This Row],[Transaction_Amount]]&lt;=Table1[[#This Row],[avg_transaction_amount]], "usual transaction", "unusual transaction")</f>
        <v>usual transaction</v>
      </c>
      <c r="Q789" s="6" t="str">
        <f>IF(AND(Table1[[#This Row],[Country_of_Residence]]&lt;&gt;Table1[[#This Row],[Country_of_Transaction]], OR(Table1[[#This Row],[Authentication_Type]]="Biometric", Table1[[#This Row],[Authentication_Type]]="OTP")), "safe location transaction", "unsafe location transaction")</f>
        <v>unsafe location transaction</v>
      </c>
      <c r="R789" s="6" t="str">
        <f>IF(AND(Table1[[#This Row],[Country_of_Residence]]&lt;&gt;Table1[[#This Row],[Country_of_Transaction]], OR(Table1[[#This Row],[Merchant_Category]]="Electronics", Table1[[#This Row],[Merchant_Category]]="Travel")), "unsafe merchant transaction", "safe merchant transaction")</f>
        <v>safe merchant transaction</v>
      </c>
    </row>
    <row r="790" spans="1:18">
      <c r="A790" t="s">
        <v>4834</v>
      </c>
      <c r="B790" t="s">
        <v>149</v>
      </c>
      <c r="C790">
        <v>1</v>
      </c>
      <c r="D790" t="s">
        <v>9</v>
      </c>
      <c r="E790" t="s">
        <v>6</v>
      </c>
      <c r="F790" s="2">
        <v>46013</v>
      </c>
      <c r="G790">
        <v>9511.1200000000008</v>
      </c>
      <c r="H790" s="1">
        <f>AVERAGEIF(Table1[Customer_ID], Table1[[#This Row],[Customer_ID]], Table1[Transaction_Amount])</f>
        <v>5537.8703846153821</v>
      </c>
      <c r="I790" t="s">
        <v>560</v>
      </c>
      <c r="J790" t="s">
        <v>41</v>
      </c>
      <c r="K790" t="s">
        <v>14</v>
      </c>
      <c r="L790">
        <v>2</v>
      </c>
      <c r="M790" t="s">
        <v>412</v>
      </c>
      <c r="N790" t="s">
        <v>33</v>
      </c>
      <c r="O790" t="s">
        <v>393</v>
      </c>
      <c r="P790" s="6" t="str">
        <f>IF(Table1[[#This Row],[Transaction_Amount]]&lt;=Table1[[#This Row],[avg_transaction_amount]], "usual transaction", "unusual transaction")</f>
        <v>unusual transaction</v>
      </c>
      <c r="Q790" s="6" t="str">
        <f>IF(AND(Table1[[#This Row],[Country_of_Residence]]&lt;&gt;Table1[[#This Row],[Country_of_Transaction]], OR(Table1[[#This Row],[Authentication_Type]]="Biometric", Table1[[#This Row],[Authentication_Type]]="OTP")), "safe location transaction", "unsafe location transaction")</f>
        <v>unsafe location transaction</v>
      </c>
      <c r="R790" s="6" t="str">
        <f>IF(AND(Table1[[#This Row],[Country_of_Residence]]&lt;&gt;Table1[[#This Row],[Country_of_Transaction]], OR(Table1[[#This Row],[Merchant_Category]]="Electronics", Table1[[#This Row],[Merchant_Category]]="Travel")), "unsafe merchant transaction", "safe merchant transaction")</f>
        <v>safe merchant transaction</v>
      </c>
    </row>
    <row r="791" spans="1:18">
      <c r="A791" t="s">
        <v>4836</v>
      </c>
      <c r="B791" t="s">
        <v>149</v>
      </c>
      <c r="C791">
        <v>1</v>
      </c>
      <c r="D791" t="s">
        <v>15</v>
      </c>
      <c r="E791" t="s">
        <v>6</v>
      </c>
      <c r="F791" s="2">
        <v>45817</v>
      </c>
      <c r="G791">
        <v>5403.47</v>
      </c>
      <c r="H791" s="1">
        <f>AVERAGEIF(Table1[Customer_ID], Table1[[#This Row],[Customer_ID]], Table1[Transaction_Amount])</f>
        <v>5537.8703846153821</v>
      </c>
      <c r="I791" t="s">
        <v>1743</v>
      </c>
      <c r="J791" t="s">
        <v>41</v>
      </c>
      <c r="K791" t="s">
        <v>10</v>
      </c>
      <c r="L791">
        <v>5</v>
      </c>
      <c r="M791" t="s">
        <v>412</v>
      </c>
      <c r="N791" t="s">
        <v>55</v>
      </c>
      <c r="O791" t="s">
        <v>392</v>
      </c>
      <c r="P791" s="6" t="str">
        <f>IF(Table1[[#This Row],[Transaction_Amount]]&lt;=Table1[[#This Row],[avg_transaction_amount]], "usual transaction", "unusual transaction")</f>
        <v>usual transaction</v>
      </c>
      <c r="Q791" s="6" t="str">
        <f>IF(AND(Table1[[#This Row],[Country_of_Residence]]&lt;&gt;Table1[[#This Row],[Country_of_Transaction]], OR(Table1[[#This Row],[Authentication_Type]]="Biometric", Table1[[#This Row],[Authentication_Type]]="OTP")), "safe location transaction", "unsafe location transaction")</f>
        <v>safe location transaction</v>
      </c>
      <c r="R791" s="6" t="str">
        <f>IF(AND(Table1[[#This Row],[Country_of_Residence]]&lt;&gt;Table1[[#This Row],[Country_of_Transaction]], OR(Table1[[#This Row],[Merchant_Category]]="Electronics", Table1[[#This Row],[Merchant_Category]]="Travel")), "unsafe merchant transaction", "safe merchant transaction")</f>
        <v>safe merchant transaction</v>
      </c>
    </row>
    <row r="792" spans="1:18">
      <c r="A792" t="s">
        <v>4896</v>
      </c>
      <c r="B792" t="s">
        <v>149</v>
      </c>
      <c r="C792">
        <v>1</v>
      </c>
      <c r="D792" t="s">
        <v>15</v>
      </c>
      <c r="E792" t="s">
        <v>5</v>
      </c>
      <c r="F792" s="2">
        <v>45731</v>
      </c>
      <c r="G792">
        <v>3851.36</v>
      </c>
      <c r="H792" s="1">
        <f>AVERAGEIF(Table1[Customer_ID], Table1[[#This Row],[Customer_ID]], Table1[Transaction_Amount])</f>
        <v>5537.8703846153821</v>
      </c>
      <c r="I792" t="s">
        <v>2298</v>
      </c>
      <c r="J792" t="s">
        <v>41</v>
      </c>
      <c r="K792" t="s">
        <v>10</v>
      </c>
      <c r="L792">
        <v>5</v>
      </c>
      <c r="M792" t="s">
        <v>55</v>
      </c>
      <c r="N792" t="s">
        <v>47</v>
      </c>
      <c r="O792" t="s">
        <v>393</v>
      </c>
      <c r="P792" s="6" t="str">
        <f>IF(Table1[[#This Row],[Transaction_Amount]]&lt;=Table1[[#This Row],[avg_transaction_amount]], "usual transaction", "unusual transaction")</f>
        <v>usual transaction</v>
      </c>
      <c r="Q792" s="6" t="str">
        <f>IF(AND(Table1[[#This Row],[Country_of_Residence]]&lt;&gt;Table1[[#This Row],[Country_of_Transaction]], OR(Table1[[#This Row],[Authentication_Type]]="Biometric", Table1[[#This Row],[Authentication_Type]]="OTP")), "safe location transaction", "unsafe location transaction")</f>
        <v>safe location transaction</v>
      </c>
      <c r="R792" s="6" t="str">
        <f>IF(AND(Table1[[#This Row],[Country_of_Residence]]&lt;&gt;Table1[[#This Row],[Country_of_Transaction]], OR(Table1[[#This Row],[Merchant_Category]]="Electronics", Table1[[#This Row],[Merchant_Category]]="Travel")), "unsafe merchant transaction", "safe merchant transaction")</f>
        <v>safe merchant transaction</v>
      </c>
    </row>
    <row r="793" spans="1:18">
      <c r="A793" t="s">
        <v>4987</v>
      </c>
      <c r="B793" t="s">
        <v>149</v>
      </c>
      <c r="C793">
        <v>1</v>
      </c>
      <c r="D793" t="s">
        <v>9</v>
      </c>
      <c r="E793" t="s">
        <v>5</v>
      </c>
      <c r="F793" s="2">
        <v>45906</v>
      </c>
      <c r="G793">
        <v>5812.19</v>
      </c>
      <c r="H793" s="1">
        <f>AVERAGEIF(Table1[Customer_ID], Table1[[#This Row],[Customer_ID]], Table1[Transaction_Amount])</f>
        <v>5537.8703846153821</v>
      </c>
      <c r="I793" t="s">
        <v>2369</v>
      </c>
      <c r="J793" t="s">
        <v>41</v>
      </c>
      <c r="K793" t="s">
        <v>8</v>
      </c>
      <c r="L793">
        <v>1</v>
      </c>
      <c r="M793" t="s">
        <v>56</v>
      </c>
      <c r="N793" t="s">
        <v>32</v>
      </c>
      <c r="O793" t="s">
        <v>393</v>
      </c>
      <c r="P793" s="6" t="str">
        <f>IF(Table1[[#This Row],[Transaction_Amount]]&lt;=Table1[[#This Row],[avg_transaction_amount]], "usual transaction", "unusual transaction")</f>
        <v>unusual transaction</v>
      </c>
      <c r="Q793" s="6" t="str">
        <f>IF(AND(Table1[[#This Row],[Country_of_Residence]]&lt;&gt;Table1[[#This Row],[Country_of_Transaction]], OR(Table1[[#This Row],[Authentication_Type]]="Biometric", Table1[[#This Row],[Authentication_Type]]="OTP")), "safe location transaction", "unsafe location transaction")</f>
        <v>safe location transaction</v>
      </c>
      <c r="R793" s="6" t="str">
        <f>IF(AND(Table1[[#This Row],[Country_of_Residence]]&lt;&gt;Table1[[#This Row],[Country_of_Transaction]], OR(Table1[[#This Row],[Merchant_Category]]="Electronics", Table1[[#This Row],[Merchant_Category]]="Travel")), "unsafe merchant transaction", "safe merchant transaction")</f>
        <v>safe merchant transaction</v>
      </c>
    </row>
    <row r="794" spans="1:18">
      <c r="A794" t="s">
        <v>5069</v>
      </c>
      <c r="B794" t="s">
        <v>149</v>
      </c>
      <c r="C794">
        <v>1</v>
      </c>
      <c r="D794" t="s">
        <v>9</v>
      </c>
      <c r="E794" t="s">
        <v>6</v>
      </c>
      <c r="F794" s="2">
        <v>45953</v>
      </c>
      <c r="G794">
        <v>2359.2600000000002</v>
      </c>
      <c r="H794" s="1">
        <f>AVERAGEIF(Table1[Customer_ID], Table1[[#This Row],[Customer_ID]], Table1[Transaction_Amount])</f>
        <v>5537.8703846153821</v>
      </c>
      <c r="I794" t="s">
        <v>2427</v>
      </c>
      <c r="J794" t="s">
        <v>50</v>
      </c>
      <c r="K794" t="s">
        <v>8</v>
      </c>
      <c r="L794">
        <v>0</v>
      </c>
      <c r="M794" t="s">
        <v>412</v>
      </c>
      <c r="N794" t="s">
        <v>33</v>
      </c>
      <c r="O794" t="s">
        <v>392</v>
      </c>
      <c r="P794" s="6" t="str">
        <f>IF(Table1[[#This Row],[Transaction_Amount]]&lt;=Table1[[#This Row],[avg_transaction_amount]], "usual transaction", "unusual transaction")</f>
        <v>usual transaction</v>
      </c>
      <c r="Q794" s="6" t="str">
        <f>IF(AND(Table1[[#This Row],[Country_of_Residence]]&lt;&gt;Table1[[#This Row],[Country_of_Transaction]], OR(Table1[[#This Row],[Authentication_Type]]="Biometric", Table1[[#This Row],[Authentication_Type]]="OTP")), "safe location transaction", "unsafe location transaction")</f>
        <v>safe location transaction</v>
      </c>
      <c r="R794" s="6" t="str">
        <f>IF(AND(Table1[[#This Row],[Country_of_Residence]]&lt;&gt;Table1[[#This Row],[Country_of_Transaction]], OR(Table1[[#This Row],[Merchant_Category]]="Electronics", Table1[[#This Row],[Merchant_Category]]="Travel")), "unsafe merchant transaction", "safe merchant transaction")</f>
        <v>unsafe merchant transaction</v>
      </c>
    </row>
    <row r="795" spans="1:18">
      <c r="A795" t="s">
        <v>5145</v>
      </c>
      <c r="B795" t="s">
        <v>149</v>
      </c>
      <c r="C795">
        <v>1</v>
      </c>
      <c r="D795" t="s">
        <v>9</v>
      </c>
      <c r="E795" t="s">
        <v>3</v>
      </c>
      <c r="F795" s="2">
        <v>46006</v>
      </c>
      <c r="G795">
        <v>6915.72</v>
      </c>
      <c r="H795" s="1">
        <f>AVERAGEIF(Table1[Customer_ID], Table1[[#This Row],[Customer_ID]], Table1[Transaction_Amount])</f>
        <v>5537.8703846153821</v>
      </c>
      <c r="I795" t="s">
        <v>1300</v>
      </c>
      <c r="J795" t="s">
        <v>31</v>
      </c>
      <c r="K795" t="s">
        <v>10</v>
      </c>
      <c r="L795">
        <v>4</v>
      </c>
      <c r="M795" t="s">
        <v>47</v>
      </c>
      <c r="N795" t="s">
        <v>32</v>
      </c>
      <c r="O795" t="s">
        <v>393</v>
      </c>
      <c r="P795" s="6" t="str">
        <f>IF(Table1[[#This Row],[Transaction_Amount]]&lt;=Table1[[#This Row],[avg_transaction_amount]], "usual transaction", "unusual transaction")</f>
        <v>unusual transaction</v>
      </c>
      <c r="Q795" s="6" t="str">
        <f>IF(AND(Table1[[#This Row],[Country_of_Residence]]&lt;&gt;Table1[[#This Row],[Country_of_Transaction]], OR(Table1[[#This Row],[Authentication_Type]]="Biometric", Table1[[#This Row],[Authentication_Type]]="OTP")), "safe location transaction", "unsafe location transaction")</f>
        <v>safe location transaction</v>
      </c>
      <c r="R795" s="6" t="str">
        <f>IF(AND(Table1[[#This Row],[Country_of_Residence]]&lt;&gt;Table1[[#This Row],[Country_of_Transaction]], OR(Table1[[#This Row],[Merchant_Category]]="Electronics", Table1[[#This Row],[Merchant_Category]]="Travel")), "unsafe merchant transaction", "safe merchant transaction")</f>
        <v>safe merchant transaction</v>
      </c>
    </row>
    <row r="796" spans="1:18">
      <c r="A796" t="s">
        <v>5252</v>
      </c>
      <c r="B796" t="s">
        <v>149</v>
      </c>
      <c r="C796">
        <v>1</v>
      </c>
      <c r="D796" t="s">
        <v>15</v>
      </c>
      <c r="E796" t="s">
        <v>6</v>
      </c>
      <c r="F796" s="2">
        <v>45909</v>
      </c>
      <c r="G796">
        <v>4590.63</v>
      </c>
      <c r="H796" s="1">
        <f>AVERAGEIF(Table1[Customer_ID], Table1[[#This Row],[Customer_ID]], Table1[Transaction_Amount])</f>
        <v>5537.8703846153821</v>
      </c>
      <c r="I796" t="s">
        <v>970</v>
      </c>
      <c r="J796" t="s">
        <v>46</v>
      </c>
      <c r="K796" t="s">
        <v>12</v>
      </c>
      <c r="L796">
        <v>0</v>
      </c>
      <c r="M796" t="s">
        <v>42</v>
      </c>
      <c r="N796" t="s">
        <v>42</v>
      </c>
      <c r="O796" t="s">
        <v>392</v>
      </c>
      <c r="P796" s="6" t="str">
        <f>IF(Table1[[#This Row],[Transaction_Amount]]&lt;=Table1[[#This Row],[avg_transaction_amount]], "usual transaction", "unusual transaction")</f>
        <v>usual transaction</v>
      </c>
      <c r="Q796" s="6" t="str">
        <f>IF(AND(Table1[[#This Row],[Country_of_Residence]]&lt;&gt;Table1[[#This Row],[Country_of_Transaction]], OR(Table1[[#This Row],[Authentication_Type]]="Biometric", Table1[[#This Row],[Authentication_Type]]="OTP")), "safe location transaction", "unsafe location transaction")</f>
        <v>unsafe location transaction</v>
      </c>
      <c r="R796" s="6" t="str">
        <f>IF(AND(Table1[[#This Row],[Country_of_Residence]]&lt;&gt;Table1[[#This Row],[Country_of_Transaction]], OR(Table1[[#This Row],[Merchant_Category]]="Electronics", Table1[[#This Row],[Merchant_Category]]="Travel")), "unsafe merchant transaction", "safe merchant transaction")</f>
        <v>safe merchant transaction</v>
      </c>
    </row>
    <row r="797" spans="1:18">
      <c r="A797" t="s">
        <v>5306</v>
      </c>
      <c r="B797" t="s">
        <v>149</v>
      </c>
      <c r="C797">
        <v>1</v>
      </c>
      <c r="D797" t="s">
        <v>9</v>
      </c>
      <c r="E797" t="s">
        <v>6</v>
      </c>
      <c r="F797" s="2">
        <v>45905</v>
      </c>
      <c r="G797">
        <v>5167.43</v>
      </c>
      <c r="H797" s="1">
        <f>AVERAGEIF(Table1[Customer_ID], Table1[[#This Row],[Customer_ID]], Table1[Transaction_Amount])</f>
        <v>5537.8703846153821</v>
      </c>
      <c r="I797" t="s">
        <v>2609</v>
      </c>
      <c r="J797" t="s">
        <v>41</v>
      </c>
      <c r="K797" t="s">
        <v>10</v>
      </c>
      <c r="L797">
        <v>0</v>
      </c>
      <c r="M797" t="s">
        <v>47</v>
      </c>
      <c r="N797" t="s">
        <v>412</v>
      </c>
      <c r="O797" t="s">
        <v>393</v>
      </c>
      <c r="P797" s="6" t="str">
        <f>IF(Table1[[#This Row],[Transaction_Amount]]&lt;=Table1[[#This Row],[avg_transaction_amount]], "usual transaction", "unusual transaction")</f>
        <v>usual transaction</v>
      </c>
      <c r="Q797" s="6" t="str">
        <f>IF(AND(Table1[[#This Row],[Country_of_Residence]]&lt;&gt;Table1[[#This Row],[Country_of_Transaction]], OR(Table1[[#This Row],[Authentication_Type]]="Biometric", Table1[[#This Row],[Authentication_Type]]="OTP")), "safe location transaction", "unsafe location transaction")</f>
        <v>safe location transaction</v>
      </c>
      <c r="R797" s="6" t="str">
        <f>IF(AND(Table1[[#This Row],[Country_of_Residence]]&lt;&gt;Table1[[#This Row],[Country_of_Transaction]], OR(Table1[[#This Row],[Merchant_Category]]="Electronics", Table1[[#This Row],[Merchant_Category]]="Travel")), "unsafe merchant transaction", "safe merchant transaction")</f>
        <v>safe merchant transaction</v>
      </c>
    </row>
    <row r="798" spans="1:18">
      <c r="A798" t="s">
        <v>5312</v>
      </c>
      <c r="B798" t="s">
        <v>149</v>
      </c>
      <c r="C798">
        <v>1</v>
      </c>
      <c r="D798" t="s">
        <v>9</v>
      </c>
      <c r="E798" t="s">
        <v>420</v>
      </c>
      <c r="F798" s="2">
        <v>45870</v>
      </c>
      <c r="G798">
        <v>3761.47</v>
      </c>
      <c r="H798" s="1">
        <f>AVERAGEIF(Table1[Customer_ID], Table1[[#This Row],[Customer_ID]], Table1[Transaction_Amount])</f>
        <v>5537.8703846153821</v>
      </c>
      <c r="I798" t="s">
        <v>2613</v>
      </c>
      <c r="J798" t="s">
        <v>41</v>
      </c>
      <c r="K798" t="s">
        <v>14</v>
      </c>
      <c r="L798">
        <v>0</v>
      </c>
      <c r="M798" t="s">
        <v>37</v>
      </c>
      <c r="N798" t="s">
        <v>32</v>
      </c>
      <c r="O798" t="s">
        <v>392</v>
      </c>
      <c r="P798" s="6" t="str">
        <f>IF(Table1[[#This Row],[Transaction_Amount]]&lt;=Table1[[#This Row],[avg_transaction_amount]], "usual transaction", "unusual transaction")</f>
        <v>usual transaction</v>
      </c>
      <c r="Q798" s="6" t="str">
        <f>IF(AND(Table1[[#This Row],[Country_of_Residence]]&lt;&gt;Table1[[#This Row],[Country_of_Transaction]], OR(Table1[[#This Row],[Authentication_Type]]="Biometric", Table1[[#This Row],[Authentication_Type]]="OTP")), "safe location transaction", "unsafe location transaction")</f>
        <v>unsafe location transaction</v>
      </c>
      <c r="R798" s="6" t="str">
        <f>IF(AND(Table1[[#This Row],[Country_of_Residence]]&lt;&gt;Table1[[#This Row],[Country_of_Transaction]], OR(Table1[[#This Row],[Merchant_Category]]="Electronics", Table1[[#This Row],[Merchant_Category]]="Travel")), "unsafe merchant transaction", "safe merchant transaction")</f>
        <v>safe merchant transaction</v>
      </c>
    </row>
    <row r="799" spans="1:18">
      <c r="A799" t="s">
        <v>5453</v>
      </c>
      <c r="B799" t="s">
        <v>149</v>
      </c>
      <c r="C799">
        <v>1</v>
      </c>
      <c r="D799" t="s">
        <v>9</v>
      </c>
      <c r="E799" t="s">
        <v>6</v>
      </c>
      <c r="F799" s="2">
        <v>45726</v>
      </c>
      <c r="G799">
        <v>9111</v>
      </c>
      <c r="H799" s="1">
        <f>AVERAGEIF(Table1[Customer_ID], Table1[[#This Row],[Customer_ID]], Table1[Transaction_Amount])</f>
        <v>5537.8703846153821</v>
      </c>
      <c r="I799" t="s">
        <v>2719</v>
      </c>
      <c r="J799" t="s">
        <v>41</v>
      </c>
      <c r="K799" t="s">
        <v>12</v>
      </c>
      <c r="L799">
        <v>4</v>
      </c>
      <c r="M799" t="s">
        <v>56</v>
      </c>
      <c r="N799" t="s">
        <v>42</v>
      </c>
      <c r="O799" t="s">
        <v>392</v>
      </c>
      <c r="P799" s="6" t="str">
        <f>IF(Table1[[#This Row],[Transaction_Amount]]&lt;=Table1[[#This Row],[avg_transaction_amount]], "usual transaction", "unusual transaction")</f>
        <v>unusual transaction</v>
      </c>
      <c r="Q799" s="6" t="str">
        <f>IF(AND(Table1[[#This Row],[Country_of_Residence]]&lt;&gt;Table1[[#This Row],[Country_of_Transaction]], OR(Table1[[#This Row],[Authentication_Type]]="Biometric", Table1[[#This Row],[Authentication_Type]]="OTP")), "safe location transaction", "unsafe location transaction")</f>
        <v>unsafe location transaction</v>
      </c>
      <c r="R799" s="6" t="str">
        <f>IF(AND(Table1[[#This Row],[Country_of_Residence]]&lt;&gt;Table1[[#This Row],[Country_of_Transaction]], OR(Table1[[#This Row],[Merchant_Category]]="Electronics", Table1[[#This Row],[Merchant_Category]]="Travel")), "unsafe merchant transaction", "safe merchant transaction")</f>
        <v>safe merchant transaction</v>
      </c>
    </row>
    <row r="800" spans="1:18">
      <c r="A800" t="s">
        <v>5510</v>
      </c>
      <c r="B800" t="s">
        <v>149</v>
      </c>
      <c r="C800">
        <v>1</v>
      </c>
      <c r="D800" t="s">
        <v>15</v>
      </c>
      <c r="E800" t="s">
        <v>6</v>
      </c>
      <c r="F800" s="2">
        <v>45946</v>
      </c>
      <c r="G800">
        <v>3953.35</v>
      </c>
      <c r="H800" s="1">
        <f>AVERAGEIF(Table1[Customer_ID], Table1[[#This Row],[Customer_ID]], Table1[Transaction_Amount])</f>
        <v>5537.8703846153821</v>
      </c>
      <c r="I800" t="s">
        <v>2761</v>
      </c>
      <c r="J800" t="s">
        <v>50</v>
      </c>
      <c r="K800" t="s">
        <v>12</v>
      </c>
      <c r="L800">
        <v>1</v>
      </c>
      <c r="M800" t="s">
        <v>412</v>
      </c>
      <c r="N800" t="s">
        <v>412</v>
      </c>
      <c r="O800" t="s">
        <v>393</v>
      </c>
      <c r="P800" s="6" t="str">
        <f>IF(Table1[[#This Row],[Transaction_Amount]]&lt;=Table1[[#This Row],[avg_transaction_amount]], "usual transaction", "unusual transaction")</f>
        <v>usual transaction</v>
      </c>
      <c r="Q800" s="6" t="str">
        <f>IF(AND(Table1[[#This Row],[Country_of_Residence]]&lt;&gt;Table1[[#This Row],[Country_of_Transaction]], OR(Table1[[#This Row],[Authentication_Type]]="Biometric", Table1[[#This Row],[Authentication_Type]]="OTP")), "safe location transaction", "unsafe location transaction")</f>
        <v>unsafe location transaction</v>
      </c>
      <c r="R800" s="6" t="str">
        <f>IF(AND(Table1[[#This Row],[Country_of_Residence]]&lt;&gt;Table1[[#This Row],[Country_of_Transaction]], OR(Table1[[#This Row],[Merchant_Category]]="Electronics", Table1[[#This Row],[Merchant_Category]]="Travel")), "unsafe merchant transaction", "safe merchant transaction")</f>
        <v>safe merchant transaction</v>
      </c>
    </row>
    <row r="801" spans="1:18">
      <c r="A801" t="s">
        <v>2800</v>
      </c>
      <c r="B801" t="s">
        <v>450</v>
      </c>
      <c r="C801">
        <v>1</v>
      </c>
      <c r="D801" t="s">
        <v>9</v>
      </c>
      <c r="E801" t="s">
        <v>3</v>
      </c>
      <c r="F801" s="2">
        <v>45943</v>
      </c>
      <c r="G801">
        <v>1800.07</v>
      </c>
      <c r="H801" s="1">
        <f>AVERAGEIF(Table1[Customer_ID], Table1[[#This Row],[Customer_ID]], Table1[Transaction_Amount])</f>
        <v>4999.0016666666679</v>
      </c>
      <c r="I801" t="s">
        <v>451</v>
      </c>
      <c r="J801" t="s">
        <v>36</v>
      </c>
      <c r="K801" t="s">
        <v>12</v>
      </c>
      <c r="L801">
        <v>3</v>
      </c>
      <c r="M801" t="s">
        <v>33</v>
      </c>
      <c r="N801" t="s">
        <v>33</v>
      </c>
      <c r="O801" t="s">
        <v>393</v>
      </c>
      <c r="P801" s="6" t="str">
        <f>IF(Table1[[#This Row],[Transaction_Amount]]&lt;=Table1[[#This Row],[avg_transaction_amount]], "usual transaction", "unusual transaction")</f>
        <v>usual transaction</v>
      </c>
      <c r="Q801" s="6" t="str">
        <f>IF(AND(Table1[[#This Row],[Country_of_Residence]]&lt;&gt;Table1[[#This Row],[Country_of_Transaction]], OR(Table1[[#This Row],[Authentication_Type]]="Biometric", Table1[[#This Row],[Authentication_Type]]="OTP")), "safe location transaction", "unsafe location transaction")</f>
        <v>unsafe location transaction</v>
      </c>
      <c r="R801" s="6" t="str">
        <f>IF(AND(Table1[[#This Row],[Country_of_Residence]]&lt;&gt;Table1[[#This Row],[Country_of_Transaction]], OR(Table1[[#This Row],[Merchant_Category]]="Electronics", Table1[[#This Row],[Merchant_Category]]="Travel")), "unsafe merchant transaction", "safe merchant transaction")</f>
        <v>safe merchant transaction</v>
      </c>
    </row>
    <row r="802" spans="1:18">
      <c r="A802" t="s">
        <v>2824</v>
      </c>
      <c r="B802" t="s">
        <v>450</v>
      </c>
      <c r="C802">
        <v>1</v>
      </c>
      <c r="D802" t="s">
        <v>15</v>
      </c>
      <c r="E802" t="s">
        <v>5</v>
      </c>
      <c r="F802" s="2">
        <v>45953</v>
      </c>
      <c r="G802">
        <v>9621.02</v>
      </c>
      <c r="H802" s="1">
        <f>AVERAGEIF(Table1[Customer_ID], Table1[[#This Row],[Customer_ID]], Table1[Transaction_Amount])</f>
        <v>4999.0016666666679</v>
      </c>
      <c r="I802" t="s">
        <v>475</v>
      </c>
      <c r="J802" t="s">
        <v>36</v>
      </c>
      <c r="K802" t="s">
        <v>8</v>
      </c>
      <c r="L802">
        <v>2</v>
      </c>
      <c r="M802" t="s">
        <v>42</v>
      </c>
      <c r="N802" t="s">
        <v>56</v>
      </c>
      <c r="O802" t="s">
        <v>393</v>
      </c>
      <c r="P802" s="6" t="str">
        <f>IF(Table1[[#This Row],[Transaction_Amount]]&lt;=Table1[[#This Row],[avg_transaction_amount]], "usual transaction", "unusual transaction")</f>
        <v>unusual transaction</v>
      </c>
      <c r="Q802" s="6" t="str">
        <f>IF(AND(Table1[[#This Row],[Country_of_Residence]]&lt;&gt;Table1[[#This Row],[Country_of_Transaction]], OR(Table1[[#This Row],[Authentication_Type]]="Biometric", Table1[[#This Row],[Authentication_Type]]="OTP")), "safe location transaction", "unsafe location transaction")</f>
        <v>safe location transaction</v>
      </c>
      <c r="R802" s="6" t="str">
        <f>IF(AND(Table1[[#This Row],[Country_of_Residence]]&lt;&gt;Table1[[#This Row],[Country_of_Transaction]], OR(Table1[[#This Row],[Merchant_Category]]="Electronics", Table1[[#This Row],[Merchant_Category]]="Travel")), "unsafe merchant transaction", "safe merchant transaction")</f>
        <v>safe merchant transaction</v>
      </c>
    </row>
    <row r="803" spans="1:18">
      <c r="A803" t="s">
        <v>2835</v>
      </c>
      <c r="B803" t="s">
        <v>450</v>
      </c>
      <c r="C803">
        <v>1</v>
      </c>
      <c r="D803" t="s">
        <v>15</v>
      </c>
      <c r="E803" t="s">
        <v>3</v>
      </c>
      <c r="F803" s="2">
        <v>45885</v>
      </c>
      <c r="G803">
        <v>7480.33</v>
      </c>
      <c r="H803" s="1">
        <f>AVERAGEIF(Table1[Customer_ID], Table1[[#This Row],[Customer_ID]], Table1[Transaction_Amount])</f>
        <v>4999.0016666666679</v>
      </c>
      <c r="I803" t="s">
        <v>486</v>
      </c>
      <c r="J803" t="s">
        <v>31</v>
      </c>
      <c r="K803" t="s">
        <v>10</v>
      </c>
      <c r="L803">
        <v>2</v>
      </c>
      <c r="M803" t="s">
        <v>412</v>
      </c>
      <c r="N803" t="s">
        <v>37</v>
      </c>
      <c r="O803" t="s">
        <v>393</v>
      </c>
      <c r="P803" s="6" t="str">
        <f>IF(Table1[[#This Row],[Transaction_Amount]]&lt;=Table1[[#This Row],[avg_transaction_amount]], "usual transaction", "unusual transaction")</f>
        <v>unusual transaction</v>
      </c>
      <c r="Q803" s="6" t="str">
        <f>IF(AND(Table1[[#This Row],[Country_of_Residence]]&lt;&gt;Table1[[#This Row],[Country_of_Transaction]], OR(Table1[[#This Row],[Authentication_Type]]="Biometric", Table1[[#This Row],[Authentication_Type]]="OTP")), "safe location transaction", "unsafe location transaction")</f>
        <v>safe location transaction</v>
      </c>
      <c r="R803" s="6" t="str">
        <f>IF(AND(Table1[[#This Row],[Country_of_Residence]]&lt;&gt;Table1[[#This Row],[Country_of_Transaction]], OR(Table1[[#This Row],[Merchant_Category]]="Electronics", Table1[[#This Row],[Merchant_Category]]="Travel")), "unsafe merchant transaction", "safe merchant transaction")</f>
        <v>safe merchant transaction</v>
      </c>
    </row>
    <row r="804" spans="1:18">
      <c r="A804" t="s">
        <v>2837</v>
      </c>
      <c r="B804" t="s">
        <v>450</v>
      </c>
      <c r="C804">
        <v>1</v>
      </c>
      <c r="D804" t="s">
        <v>9</v>
      </c>
      <c r="E804" t="s">
        <v>3</v>
      </c>
      <c r="F804" s="2">
        <v>45896</v>
      </c>
      <c r="G804">
        <v>4638.4399999999996</v>
      </c>
      <c r="H804" s="1">
        <f>AVERAGEIF(Table1[Customer_ID], Table1[[#This Row],[Customer_ID]], Table1[Transaction_Amount])</f>
        <v>4999.0016666666679</v>
      </c>
      <c r="I804" t="s">
        <v>488</v>
      </c>
      <c r="J804" t="s">
        <v>46</v>
      </c>
      <c r="K804" t="s">
        <v>10</v>
      </c>
      <c r="L804">
        <v>3</v>
      </c>
      <c r="M804" t="s">
        <v>51</v>
      </c>
      <c r="N804" t="s">
        <v>37</v>
      </c>
      <c r="O804" t="s">
        <v>393</v>
      </c>
      <c r="P804" s="6" t="str">
        <f>IF(Table1[[#This Row],[Transaction_Amount]]&lt;=Table1[[#This Row],[avg_transaction_amount]], "usual transaction", "unusual transaction")</f>
        <v>usual transaction</v>
      </c>
      <c r="Q804" s="6" t="str">
        <f>IF(AND(Table1[[#This Row],[Country_of_Residence]]&lt;&gt;Table1[[#This Row],[Country_of_Transaction]], OR(Table1[[#This Row],[Authentication_Type]]="Biometric", Table1[[#This Row],[Authentication_Type]]="OTP")), "safe location transaction", "unsafe location transaction")</f>
        <v>safe location transaction</v>
      </c>
      <c r="R804" s="6" t="str">
        <f>IF(AND(Table1[[#This Row],[Country_of_Residence]]&lt;&gt;Table1[[#This Row],[Country_of_Transaction]], OR(Table1[[#This Row],[Merchant_Category]]="Electronics", Table1[[#This Row],[Merchant_Category]]="Travel")), "unsafe merchant transaction", "safe merchant transaction")</f>
        <v>safe merchant transaction</v>
      </c>
    </row>
    <row r="805" spans="1:18">
      <c r="A805" t="s">
        <v>2848</v>
      </c>
      <c r="B805" t="s">
        <v>450</v>
      </c>
      <c r="C805">
        <v>1</v>
      </c>
      <c r="D805" t="s">
        <v>15</v>
      </c>
      <c r="E805" t="s">
        <v>5</v>
      </c>
      <c r="F805" s="2">
        <v>45732</v>
      </c>
      <c r="G805">
        <v>3319.17</v>
      </c>
      <c r="H805" s="1">
        <f>AVERAGEIF(Table1[Customer_ID], Table1[[#This Row],[Customer_ID]], Table1[Transaction_Amount])</f>
        <v>4999.0016666666679</v>
      </c>
      <c r="I805" t="s">
        <v>499</v>
      </c>
      <c r="J805" t="s">
        <v>50</v>
      </c>
      <c r="K805" t="s">
        <v>12</v>
      </c>
      <c r="L805">
        <v>0</v>
      </c>
      <c r="M805" t="s">
        <v>412</v>
      </c>
      <c r="N805" t="s">
        <v>42</v>
      </c>
      <c r="O805" t="s">
        <v>392</v>
      </c>
      <c r="P805" s="6" t="str">
        <f>IF(Table1[[#This Row],[Transaction_Amount]]&lt;=Table1[[#This Row],[avg_transaction_amount]], "usual transaction", "unusual transaction")</f>
        <v>usual transaction</v>
      </c>
      <c r="Q805" s="6" t="str">
        <f>IF(AND(Table1[[#This Row],[Country_of_Residence]]&lt;&gt;Table1[[#This Row],[Country_of_Transaction]], OR(Table1[[#This Row],[Authentication_Type]]="Biometric", Table1[[#This Row],[Authentication_Type]]="OTP")), "safe location transaction", "unsafe location transaction")</f>
        <v>unsafe location transaction</v>
      </c>
      <c r="R805" s="6" t="str">
        <f>IF(AND(Table1[[#This Row],[Country_of_Residence]]&lt;&gt;Table1[[#This Row],[Country_of_Transaction]], OR(Table1[[#This Row],[Merchant_Category]]="Electronics", Table1[[#This Row],[Merchant_Category]]="Travel")), "unsafe merchant transaction", "safe merchant transaction")</f>
        <v>unsafe merchant transaction</v>
      </c>
    </row>
    <row r="806" spans="1:18">
      <c r="A806" t="s">
        <v>2910</v>
      </c>
      <c r="B806" t="s">
        <v>450</v>
      </c>
      <c r="C806">
        <v>1</v>
      </c>
      <c r="D806" t="s">
        <v>9</v>
      </c>
      <c r="E806" t="s">
        <v>6</v>
      </c>
      <c r="F806" s="2">
        <v>46011</v>
      </c>
      <c r="G806">
        <v>9417.7800000000007</v>
      </c>
      <c r="H806" s="1">
        <f>AVERAGEIF(Table1[Customer_ID], Table1[[#This Row],[Customer_ID]], Table1[Transaction_Amount])</f>
        <v>4999.0016666666679</v>
      </c>
      <c r="I806" t="s">
        <v>560</v>
      </c>
      <c r="J806" t="s">
        <v>50</v>
      </c>
      <c r="K806" t="s">
        <v>8</v>
      </c>
      <c r="L806">
        <v>2</v>
      </c>
      <c r="M806" t="s">
        <v>33</v>
      </c>
      <c r="N806" t="s">
        <v>37</v>
      </c>
      <c r="O806" t="s">
        <v>393</v>
      </c>
      <c r="P806" s="6" t="str">
        <f>IF(Table1[[#This Row],[Transaction_Amount]]&lt;=Table1[[#This Row],[avg_transaction_amount]], "usual transaction", "unusual transaction")</f>
        <v>unusual transaction</v>
      </c>
      <c r="Q806" s="6" t="str">
        <f>IF(AND(Table1[[#This Row],[Country_of_Residence]]&lt;&gt;Table1[[#This Row],[Country_of_Transaction]], OR(Table1[[#This Row],[Authentication_Type]]="Biometric", Table1[[#This Row],[Authentication_Type]]="OTP")), "safe location transaction", "unsafe location transaction")</f>
        <v>safe location transaction</v>
      </c>
      <c r="R806" s="6" t="str">
        <f>IF(AND(Table1[[#This Row],[Country_of_Residence]]&lt;&gt;Table1[[#This Row],[Country_of_Transaction]], OR(Table1[[#This Row],[Merchant_Category]]="Electronics", Table1[[#This Row],[Merchant_Category]]="Travel")), "unsafe merchant transaction", "safe merchant transaction")</f>
        <v>unsafe merchant transaction</v>
      </c>
    </row>
    <row r="807" spans="1:18">
      <c r="A807" t="s">
        <v>2928</v>
      </c>
      <c r="B807" t="s">
        <v>450</v>
      </c>
      <c r="C807">
        <v>1</v>
      </c>
      <c r="D807" t="s">
        <v>9</v>
      </c>
      <c r="E807" t="s">
        <v>5</v>
      </c>
      <c r="F807" s="2">
        <v>45779</v>
      </c>
      <c r="G807">
        <v>8167.07</v>
      </c>
      <c r="H807" s="1">
        <f>AVERAGEIF(Table1[Customer_ID], Table1[[#This Row],[Customer_ID]], Table1[Transaction_Amount])</f>
        <v>4999.0016666666679</v>
      </c>
      <c r="I807" t="s">
        <v>577</v>
      </c>
      <c r="J807" t="s">
        <v>41</v>
      </c>
      <c r="K807" t="s">
        <v>12</v>
      </c>
      <c r="L807">
        <v>3</v>
      </c>
      <c r="M807" t="s">
        <v>37</v>
      </c>
      <c r="N807" t="s">
        <v>37</v>
      </c>
      <c r="O807" t="s">
        <v>392</v>
      </c>
      <c r="P807" s="6" t="str">
        <f>IF(Table1[[#This Row],[Transaction_Amount]]&lt;=Table1[[#This Row],[avg_transaction_amount]], "usual transaction", "unusual transaction")</f>
        <v>unusual transaction</v>
      </c>
      <c r="Q807" s="6" t="str">
        <f>IF(AND(Table1[[#This Row],[Country_of_Residence]]&lt;&gt;Table1[[#This Row],[Country_of_Transaction]], OR(Table1[[#This Row],[Authentication_Type]]="Biometric", Table1[[#This Row],[Authentication_Type]]="OTP")), "safe location transaction", "unsafe location transaction")</f>
        <v>unsafe location transaction</v>
      </c>
      <c r="R807" s="6" t="str">
        <f>IF(AND(Table1[[#This Row],[Country_of_Residence]]&lt;&gt;Table1[[#This Row],[Country_of_Transaction]], OR(Table1[[#This Row],[Merchant_Category]]="Electronics", Table1[[#This Row],[Merchant_Category]]="Travel")), "unsafe merchant transaction", "safe merchant transaction")</f>
        <v>safe merchant transaction</v>
      </c>
    </row>
    <row r="808" spans="1:18">
      <c r="A808" t="s">
        <v>2976</v>
      </c>
      <c r="B808" t="s">
        <v>450</v>
      </c>
      <c r="C808">
        <v>1</v>
      </c>
      <c r="D808" t="s">
        <v>15</v>
      </c>
      <c r="E808" t="s">
        <v>3</v>
      </c>
      <c r="F808" s="2">
        <v>45818</v>
      </c>
      <c r="G808">
        <v>3861.55</v>
      </c>
      <c r="H808" s="1">
        <f>AVERAGEIF(Table1[Customer_ID], Table1[[#This Row],[Customer_ID]], Table1[Transaction_Amount])</f>
        <v>4999.0016666666679</v>
      </c>
      <c r="I808" t="s">
        <v>624</v>
      </c>
      <c r="J808" t="s">
        <v>46</v>
      </c>
      <c r="K808" t="s">
        <v>8</v>
      </c>
      <c r="L808">
        <v>1</v>
      </c>
      <c r="M808" t="s">
        <v>42</v>
      </c>
      <c r="N808" t="s">
        <v>32</v>
      </c>
      <c r="O808" t="s">
        <v>392</v>
      </c>
      <c r="P808" s="6" t="str">
        <f>IF(Table1[[#This Row],[Transaction_Amount]]&lt;=Table1[[#This Row],[avg_transaction_amount]], "usual transaction", "unusual transaction")</f>
        <v>usual transaction</v>
      </c>
      <c r="Q808" s="6" t="str">
        <f>IF(AND(Table1[[#This Row],[Country_of_Residence]]&lt;&gt;Table1[[#This Row],[Country_of_Transaction]], OR(Table1[[#This Row],[Authentication_Type]]="Biometric", Table1[[#This Row],[Authentication_Type]]="OTP")), "safe location transaction", "unsafe location transaction")</f>
        <v>safe location transaction</v>
      </c>
      <c r="R808" s="6" t="str">
        <f>IF(AND(Table1[[#This Row],[Country_of_Residence]]&lt;&gt;Table1[[#This Row],[Country_of_Transaction]], OR(Table1[[#This Row],[Merchant_Category]]="Electronics", Table1[[#This Row],[Merchant_Category]]="Travel")), "unsafe merchant transaction", "safe merchant transaction")</f>
        <v>safe merchant transaction</v>
      </c>
    </row>
    <row r="809" spans="1:18">
      <c r="A809" t="s">
        <v>2990</v>
      </c>
      <c r="B809" t="s">
        <v>450</v>
      </c>
      <c r="C809">
        <v>1</v>
      </c>
      <c r="D809" t="s">
        <v>15</v>
      </c>
      <c r="E809" t="s">
        <v>5</v>
      </c>
      <c r="F809" s="2">
        <v>45658</v>
      </c>
      <c r="G809">
        <v>5438.37</v>
      </c>
      <c r="H809" s="1">
        <f>AVERAGEIF(Table1[Customer_ID], Table1[[#This Row],[Customer_ID]], Table1[Transaction_Amount])</f>
        <v>4999.0016666666679</v>
      </c>
      <c r="I809" t="s">
        <v>637</v>
      </c>
      <c r="J809" t="s">
        <v>50</v>
      </c>
      <c r="K809" t="s">
        <v>10</v>
      </c>
      <c r="L809">
        <v>1</v>
      </c>
      <c r="M809" t="s">
        <v>33</v>
      </c>
      <c r="N809" t="s">
        <v>55</v>
      </c>
      <c r="O809" t="s">
        <v>393</v>
      </c>
      <c r="P809" s="6" t="str">
        <f>IF(Table1[[#This Row],[Transaction_Amount]]&lt;=Table1[[#This Row],[avg_transaction_amount]], "usual transaction", "unusual transaction")</f>
        <v>unusual transaction</v>
      </c>
      <c r="Q809" s="6" t="str">
        <f>IF(AND(Table1[[#This Row],[Country_of_Residence]]&lt;&gt;Table1[[#This Row],[Country_of_Transaction]], OR(Table1[[#This Row],[Authentication_Type]]="Biometric", Table1[[#This Row],[Authentication_Type]]="OTP")), "safe location transaction", "unsafe location transaction")</f>
        <v>safe location transaction</v>
      </c>
      <c r="R809" s="6" t="str">
        <f>IF(AND(Table1[[#This Row],[Country_of_Residence]]&lt;&gt;Table1[[#This Row],[Country_of_Transaction]], OR(Table1[[#This Row],[Merchant_Category]]="Electronics", Table1[[#This Row],[Merchant_Category]]="Travel")), "unsafe merchant transaction", "safe merchant transaction")</f>
        <v>unsafe merchant transaction</v>
      </c>
    </row>
    <row r="810" spans="1:18">
      <c r="A810" t="s">
        <v>3063</v>
      </c>
      <c r="B810" t="s">
        <v>450</v>
      </c>
      <c r="C810">
        <v>1</v>
      </c>
      <c r="D810" t="s">
        <v>9</v>
      </c>
      <c r="E810" t="s">
        <v>6</v>
      </c>
      <c r="F810" s="2">
        <v>45757</v>
      </c>
      <c r="G810">
        <v>9119.2900000000009</v>
      </c>
      <c r="H810" s="1">
        <f>AVERAGEIF(Table1[Customer_ID], Table1[[#This Row],[Customer_ID]], Table1[Transaction_Amount])</f>
        <v>4999.0016666666679</v>
      </c>
      <c r="I810" t="s">
        <v>708</v>
      </c>
      <c r="J810" t="s">
        <v>46</v>
      </c>
      <c r="K810" t="s">
        <v>10</v>
      </c>
      <c r="L810">
        <v>1</v>
      </c>
      <c r="M810" t="s">
        <v>42</v>
      </c>
      <c r="N810" t="s">
        <v>33</v>
      </c>
      <c r="O810" t="s">
        <v>392</v>
      </c>
      <c r="P810" s="6" t="str">
        <f>IF(Table1[[#This Row],[Transaction_Amount]]&lt;=Table1[[#This Row],[avg_transaction_amount]], "usual transaction", "unusual transaction")</f>
        <v>unusual transaction</v>
      </c>
      <c r="Q810" s="6" t="str">
        <f>IF(AND(Table1[[#This Row],[Country_of_Residence]]&lt;&gt;Table1[[#This Row],[Country_of_Transaction]], OR(Table1[[#This Row],[Authentication_Type]]="Biometric", Table1[[#This Row],[Authentication_Type]]="OTP")), "safe location transaction", "unsafe location transaction")</f>
        <v>safe location transaction</v>
      </c>
      <c r="R810" s="6" t="str">
        <f>IF(AND(Table1[[#This Row],[Country_of_Residence]]&lt;&gt;Table1[[#This Row],[Country_of_Transaction]], OR(Table1[[#This Row],[Merchant_Category]]="Electronics", Table1[[#This Row],[Merchant_Category]]="Travel")), "unsafe merchant transaction", "safe merchant transaction")</f>
        <v>safe merchant transaction</v>
      </c>
    </row>
    <row r="811" spans="1:18">
      <c r="A811" t="s">
        <v>3082</v>
      </c>
      <c r="B811" t="s">
        <v>450</v>
      </c>
      <c r="C811">
        <v>1</v>
      </c>
      <c r="D811" t="s">
        <v>9</v>
      </c>
      <c r="E811" t="s">
        <v>5</v>
      </c>
      <c r="F811" s="2">
        <v>45777</v>
      </c>
      <c r="G811">
        <v>7626.65</v>
      </c>
      <c r="H811" s="1">
        <f>AVERAGEIF(Table1[Customer_ID], Table1[[#This Row],[Customer_ID]], Table1[Transaction_Amount])</f>
        <v>4999.0016666666679</v>
      </c>
      <c r="I811" t="s">
        <v>726</v>
      </c>
      <c r="J811" t="s">
        <v>41</v>
      </c>
      <c r="K811" t="s">
        <v>14</v>
      </c>
      <c r="L811">
        <v>3</v>
      </c>
      <c r="M811" t="s">
        <v>47</v>
      </c>
      <c r="N811" t="s">
        <v>47</v>
      </c>
      <c r="O811" t="s">
        <v>392</v>
      </c>
      <c r="P811" s="6" t="str">
        <f>IF(Table1[[#This Row],[Transaction_Amount]]&lt;=Table1[[#This Row],[avg_transaction_amount]], "usual transaction", "unusual transaction")</f>
        <v>unusual transaction</v>
      </c>
      <c r="Q811" s="6" t="str">
        <f>IF(AND(Table1[[#This Row],[Country_of_Residence]]&lt;&gt;Table1[[#This Row],[Country_of_Transaction]], OR(Table1[[#This Row],[Authentication_Type]]="Biometric", Table1[[#This Row],[Authentication_Type]]="OTP")), "safe location transaction", "unsafe location transaction")</f>
        <v>unsafe location transaction</v>
      </c>
      <c r="R811" s="6" t="str">
        <f>IF(AND(Table1[[#This Row],[Country_of_Residence]]&lt;&gt;Table1[[#This Row],[Country_of_Transaction]], OR(Table1[[#This Row],[Merchant_Category]]="Electronics", Table1[[#This Row],[Merchant_Category]]="Travel")), "unsafe merchant transaction", "safe merchant transaction")</f>
        <v>safe merchant transaction</v>
      </c>
    </row>
    <row r="812" spans="1:18">
      <c r="A812" t="s">
        <v>3085</v>
      </c>
      <c r="B812" t="s">
        <v>450</v>
      </c>
      <c r="C812">
        <v>1</v>
      </c>
      <c r="D812" t="s">
        <v>15</v>
      </c>
      <c r="E812" t="s">
        <v>6</v>
      </c>
      <c r="F812" s="2">
        <v>45753</v>
      </c>
      <c r="G812">
        <v>817.03</v>
      </c>
      <c r="H812" s="1">
        <f>AVERAGEIF(Table1[Customer_ID], Table1[[#This Row],[Customer_ID]], Table1[Transaction_Amount])</f>
        <v>4999.0016666666679</v>
      </c>
      <c r="I812" t="s">
        <v>729</v>
      </c>
      <c r="J812" t="s">
        <v>41</v>
      </c>
      <c r="K812" t="s">
        <v>10</v>
      </c>
      <c r="L812">
        <v>5</v>
      </c>
      <c r="M812" t="s">
        <v>55</v>
      </c>
      <c r="N812" t="s">
        <v>56</v>
      </c>
      <c r="O812" t="s">
        <v>393</v>
      </c>
      <c r="P812" s="6" t="str">
        <f>IF(Table1[[#This Row],[Transaction_Amount]]&lt;=Table1[[#This Row],[avg_transaction_amount]], "usual transaction", "unusual transaction")</f>
        <v>usual transaction</v>
      </c>
      <c r="Q812" s="6" t="str">
        <f>IF(AND(Table1[[#This Row],[Country_of_Residence]]&lt;&gt;Table1[[#This Row],[Country_of_Transaction]], OR(Table1[[#This Row],[Authentication_Type]]="Biometric", Table1[[#This Row],[Authentication_Type]]="OTP")), "safe location transaction", "unsafe location transaction")</f>
        <v>safe location transaction</v>
      </c>
      <c r="R812" s="6" t="str">
        <f>IF(AND(Table1[[#This Row],[Country_of_Residence]]&lt;&gt;Table1[[#This Row],[Country_of_Transaction]], OR(Table1[[#This Row],[Merchant_Category]]="Electronics", Table1[[#This Row],[Merchant_Category]]="Travel")), "unsafe merchant transaction", "safe merchant transaction")</f>
        <v>safe merchant transaction</v>
      </c>
    </row>
    <row r="813" spans="1:18">
      <c r="A813" t="s">
        <v>3148</v>
      </c>
      <c r="B813" t="s">
        <v>450</v>
      </c>
      <c r="C813">
        <v>1</v>
      </c>
      <c r="D813" t="s">
        <v>15</v>
      </c>
      <c r="E813" t="s">
        <v>3</v>
      </c>
      <c r="F813" s="2">
        <v>45685</v>
      </c>
      <c r="G813">
        <v>2036.87</v>
      </c>
      <c r="H813" s="1">
        <f>AVERAGEIF(Table1[Customer_ID], Table1[[#This Row],[Customer_ID]], Table1[Transaction_Amount])</f>
        <v>4999.0016666666679</v>
      </c>
      <c r="I813" t="s">
        <v>787</v>
      </c>
      <c r="J813" t="s">
        <v>50</v>
      </c>
      <c r="K813" t="s">
        <v>10</v>
      </c>
      <c r="L813">
        <v>2</v>
      </c>
      <c r="M813" t="s">
        <v>32</v>
      </c>
      <c r="N813" t="s">
        <v>37</v>
      </c>
      <c r="O813" t="s">
        <v>393</v>
      </c>
      <c r="P813" s="6" t="str">
        <f>IF(Table1[[#This Row],[Transaction_Amount]]&lt;=Table1[[#This Row],[avg_transaction_amount]], "usual transaction", "unusual transaction")</f>
        <v>usual transaction</v>
      </c>
      <c r="Q813" s="6" t="str">
        <f>IF(AND(Table1[[#This Row],[Country_of_Residence]]&lt;&gt;Table1[[#This Row],[Country_of_Transaction]], OR(Table1[[#This Row],[Authentication_Type]]="Biometric", Table1[[#This Row],[Authentication_Type]]="OTP")), "safe location transaction", "unsafe location transaction")</f>
        <v>safe location transaction</v>
      </c>
      <c r="R813" s="6" t="str">
        <f>IF(AND(Table1[[#This Row],[Country_of_Residence]]&lt;&gt;Table1[[#This Row],[Country_of_Transaction]], OR(Table1[[#This Row],[Merchant_Category]]="Electronics", Table1[[#This Row],[Merchant_Category]]="Travel")), "unsafe merchant transaction", "safe merchant transaction")</f>
        <v>unsafe merchant transaction</v>
      </c>
    </row>
    <row r="814" spans="1:18">
      <c r="A814" t="s">
        <v>3158</v>
      </c>
      <c r="B814" t="s">
        <v>450</v>
      </c>
      <c r="C814">
        <v>1</v>
      </c>
      <c r="D814" t="s">
        <v>9</v>
      </c>
      <c r="E814" t="s">
        <v>6</v>
      </c>
      <c r="F814" s="2">
        <v>45915</v>
      </c>
      <c r="G814">
        <v>6889.41</v>
      </c>
      <c r="H814" s="1">
        <f>AVERAGEIF(Table1[Customer_ID], Table1[[#This Row],[Customer_ID]], Table1[Transaction_Amount])</f>
        <v>4999.0016666666679</v>
      </c>
      <c r="I814" t="s">
        <v>796</v>
      </c>
      <c r="J814" t="s">
        <v>50</v>
      </c>
      <c r="K814" t="s">
        <v>12</v>
      </c>
      <c r="L814">
        <v>3</v>
      </c>
      <c r="M814" t="s">
        <v>47</v>
      </c>
      <c r="N814" t="s">
        <v>47</v>
      </c>
      <c r="O814" t="s">
        <v>392</v>
      </c>
      <c r="P814" s="6" t="str">
        <f>IF(Table1[[#This Row],[Transaction_Amount]]&lt;=Table1[[#This Row],[avg_transaction_amount]], "usual transaction", "unusual transaction")</f>
        <v>unusual transaction</v>
      </c>
      <c r="Q814" s="6" t="str">
        <f>IF(AND(Table1[[#This Row],[Country_of_Residence]]&lt;&gt;Table1[[#This Row],[Country_of_Transaction]], OR(Table1[[#This Row],[Authentication_Type]]="Biometric", Table1[[#This Row],[Authentication_Type]]="OTP")), "safe location transaction", "unsafe location transaction")</f>
        <v>unsafe location transaction</v>
      </c>
      <c r="R814" s="6" t="str">
        <f>IF(AND(Table1[[#This Row],[Country_of_Residence]]&lt;&gt;Table1[[#This Row],[Country_of_Transaction]], OR(Table1[[#This Row],[Merchant_Category]]="Electronics", Table1[[#This Row],[Merchant_Category]]="Travel")), "unsafe merchant transaction", "safe merchant transaction")</f>
        <v>safe merchant transaction</v>
      </c>
    </row>
    <row r="815" spans="1:18">
      <c r="A815" t="s">
        <v>3259</v>
      </c>
      <c r="B815" t="s">
        <v>450</v>
      </c>
      <c r="C815">
        <v>1</v>
      </c>
      <c r="D815" t="s">
        <v>15</v>
      </c>
      <c r="E815" t="s">
        <v>5</v>
      </c>
      <c r="F815" s="2">
        <v>45722</v>
      </c>
      <c r="G815">
        <v>1330.71</v>
      </c>
      <c r="H815" s="1">
        <f>AVERAGEIF(Table1[Customer_ID], Table1[[#This Row],[Customer_ID]], Table1[Transaction_Amount])</f>
        <v>4999.0016666666679</v>
      </c>
      <c r="I815" t="s">
        <v>889</v>
      </c>
      <c r="J815" t="s">
        <v>31</v>
      </c>
      <c r="K815" t="s">
        <v>8</v>
      </c>
      <c r="L815">
        <v>5</v>
      </c>
      <c r="M815" t="s">
        <v>32</v>
      </c>
      <c r="N815" t="s">
        <v>32</v>
      </c>
      <c r="O815" t="s">
        <v>392</v>
      </c>
      <c r="P815" s="6" t="str">
        <f>IF(Table1[[#This Row],[Transaction_Amount]]&lt;=Table1[[#This Row],[avg_transaction_amount]], "usual transaction", "unusual transaction")</f>
        <v>usual transaction</v>
      </c>
      <c r="Q815" s="6" t="str">
        <f>IF(AND(Table1[[#This Row],[Country_of_Residence]]&lt;&gt;Table1[[#This Row],[Country_of_Transaction]], OR(Table1[[#This Row],[Authentication_Type]]="Biometric", Table1[[#This Row],[Authentication_Type]]="OTP")), "safe location transaction", "unsafe location transaction")</f>
        <v>unsafe location transaction</v>
      </c>
      <c r="R815" s="6" t="str">
        <f>IF(AND(Table1[[#This Row],[Country_of_Residence]]&lt;&gt;Table1[[#This Row],[Country_of_Transaction]], OR(Table1[[#This Row],[Merchant_Category]]="Electronics", Table1[[#This Row],[Merchant_Category]]="Travel")), "unsafe merchant transaction", "safe merchant transaction")</f>
        <v>safe merchant transaction</v>
      </c>
    </row>
    <row r="816" spans="1:18">
      <c r="A816" t="s">
        <v>3403</v>
      </c>
      <c r="B816" t="s">
        <v>450</v>
      </c>
      <c r="C816">
        <v>1</v>
      </c>
      <c r="D816" t="s">
        <v>15</v>
      </c>
      <c r="E816" t="s">
        <v>3</v>
      </c>
      <c r="F816" s="2">
        <v>45863</v>
      </c>
      <c r="G816">
        <v>2177.11</v>
      </c>
      <c r="H816" s="1">
        <f>AVERAGEIF(Table1[Customer_ID], Table1[[#This Row],[Customer_ID]], Table1[Transaction_Amount])</f>
        <v>4999.0016666666679</v>
      </c>
      <c r="I816" t="s">
        <v>1024</v>
      </c>
      <c r="J816" t="s">
        <v>31</v>
      </c>
      <c r="K816" t="s">
        <v>8</v>
      </c>
      <c r="L816">
        <v>1</v>
      </c>
      <c r="M816" t="s">
        <v>47</v>
      </c>
      <c r="N816" t="s">
        <v>55</v>
      </c>
      <c r="O816" t="s">
        <v>392</v>
      </c>
      <c r="P816" s="6" t="str">
        <f>IF(Table1[[#This Row],[Transaction_Amount]]&lt;=Table1[[#This Row],[avg_transaction_amount]], "usual transaction", "unusual transaction")</f>
        <v>usual transaction</v>
      </c>
      <c r="Q816" s="6" t="str">
        <f>IF(AND(Table1[[#This Row],[Country_of_Residence]]&lt;&gt;Table1[[#This Row],[Country_of_Transaction]], OR(Table1[[#This Row],[Authentication_Type]]="Biometric", Table1[[#This Row],[Authentication_Type]]="OTP")), "safe location transaction", "unsafe location transaction")</f>
        <v>safe location transaction</v>
      </c>
      <c r="R816" s="6" t="str">
        <f>IF(AND(Table1[[#This Row],[Country_of_Residence]]&lt;&gt;Table1[[#This Row],[Country_of_Transaction]], OR(Table1[[#This Row],[Merchant_Category]]="Electronics", Table1[[#This Row],[Merchant_Category]]="Travel")), "unsafe merchant transaction", "safe merchant transaction")</f>
        <v>safe merchant transaction</v>
      </c>
    </row>
    <row r="817" spans="1:18">
      <c r="A817" t="s">
        <v>3499</v>
      </c>
      <c r="B817" t="s">
        <v>450</v>
      </c>
      <c r="C817">
        <v>1</v>
      </c>
      <c r="D817" t="s">
        <v>15</v>
      </c>
      <c r="E817" t="s">
        <v>420</v>
      </c>
      <c r="F817" s="2">
        <v>45902</v>
      </c>
      <c r="G817">
        <v>3953.3</v>
      </c>
      <c r="H817" s="1">
        <f>AVERAGEIF(Table1[Customer_ID], Table1[[#This Row],[Customer_ID]], Table1[Transaction_Amount])</f>
        <v>4999.0016666666679</v>
      </c>
      <c r="I817" t="s">
        <v>1114</v>
      </c>
      <c r="J817" t="s">
        <v>36</v>
      </c>
      <c r="K817" t="s">
        <v>12</v>
      </c>
      <c r="L817">
        <v>0</v>
      </c>
      <c r="M817" t="s">
        <v>51</v>
      </c>
      <c r="N817" t="s">
        <v>56</v>
      </c>
      <c r="O817" t="s">
        <v>392</v>
      </c>
      <c r="P817" s="6" t="str">
        <f>IF(Table1[[#This Row],[Transaction_Amount]]&lt;=Table1[[#This Row],[avg_transaction_amount]], "usual transaction", "unusual transaction")</f>
        <v>usual transaction</v>
      </c>
      <c r="Q817" s="6" t="str">
        <f>IF(AND(Table1[[#This Row],[Country_of_Residence]]&lt;&gt;Table1[[#This Row],[Country_of_Transaction]], OR(Table1[[#This Row],[Authentication_Type]]="Biometric", Table1[[#This Row],[Authentication_Type]]="OTP")), "safe location transaction", "unsafe location transaction")</f>
        <v>unsafe location transaction</v>
      </c>
      <c r="R817" s="6" t="str">
        <f>IF(AND(Table1[[#This Row],[Country_of_Residence]]&lt;&gt;Table1[[#This Row],[Country_of_Transaction]], OR(Table1[[#This Row],[Merchant_Category]]="Electronics", Table1[[#This Row],[Merchant_Category]]="Travel")), "unsafe merchant transaction", "safe merchant transaction")</f>
        <v>safe merchant transaction</v>
      </c>
    </row>
    <row r="818" spans="1:18">
      <c r="A818" t="s">
        <v>3557</v>
      </c>
      <c r="B818" t="s">
        <v>450</v>
      </c>
      <c r="C818">
        <v>1</v>
      </c>
      <c r="D818" t="s">
        <v>15</v>
      </c>
      <c r="E818" t="s">
        <v>3</v>
      </c>
      <c r="F818" s="2">
        <v>45709</v>
      </c>
      <c r="G818">
        <v>5276.43</v>
      </c>
      <c r="H818" s="1">
        <f>AVERAGEIF(Table1[Customer_ID], Table1[[#This Row],[Customer_ID]], Table1[Transaction_Amount])</f>
        <v>4999.0016666666679</v>
      </c>
      <c r="I818" t="s">
        <v>1170</v>
      </c>
      <c r="J818" t="s">
        <v>36</v>
      </c>
      <c r="K818" t="s">
        <v>8</v>
      </c>
      <c r="L818">
        <v>5</v>
      </c>
      <c r="M818" t="s">
        <v>51</v>
      </c>
      <c r="N818" t="s">
        <v>33</v>
      </c>
      <c r="O818" t="s">
        <v>393</v>
      </c>
      <c r="P818" s="6" t="str">
        <f>IF(Table1[[#This Row],[Transaction_Amount]]&lt;=Table1[[#This Row],[avg_transaction_amount]], "usual transaction", "unusual transaction")</f>
        <v>unusual transaction</v>
      </c>
      <c r="Q818" s="6" t="str">
        <f>IF(AND(Table1[[#This Row],[Country_of_Residence]]&lt;&gt;Table1[[#This Row],[Country_of_Transaction]], OR(Table1[[#This Row],[Authentication_Type]]="Biometric", Table1[[#This Row],[Authentication_Type]]="OTP")), "safe location transaction", "unsafe location transaction")</f>
        <v>safe location transaction</v>
      </c>
      <c r="R818" s="6" t="str">
        <f>IF(AND(Table1[[#This Row],[Country_of_Residence]]&lt;&gt;Table1[[#This Row],[Country_of_Transaction]], OR(Table1[[#This Row],[Merchant_Category]]="Electronics", Table1[[#This Row],[Merchant_Category]]="Travel")), "unsafe merchant transaction", "safe merchant transaction")</f>
        <v>safe merchant transaction</v>
      </c>
    </row>
    <row r="819" spans="1:18">
      <c r="A819" t="s">
        <v>3579</v>
      </c>
      <c r="B819" t="s">
        <v>450</v>
      </c>
      <c r="C819">
        <v>1</v>
      </c>
      <c r="D819" t="s">
        <v>9</v>
      </c>
      <c r="E819" t="s">
        <v>5</v>
      </c>
      <c r="F819" s="2">
        <v>45776</v>
      </c>
      <c r="G819">
        <v>1010.58</v>
      </c>
      <c r="H819" s="1">
        <f>AVERAGEIF(Table1[Customer_ID], Table1[[#This Row],[Customer_ID]], Table1[Transaction_Amount])</f>
        <v>4999.0016666666679</v>
      </c>
      <c r="I819" t="s">
        <v>1189</v>
      </c>
      <c r="J819" t="s">
        <v>31</v>
      </c>
      <c r="K819" t="s">
        <v>12</v>
      </c>
      <c r="L819">
        <v>5</v>
      </c>
      <c r="M819" t="s">
        <v>56</v>
      </c>
      <c r="N819" t="s">
        <v>56</v>
      </c>
      <c r="O819" t="s">
        <v>392</v>
      </c>
      <c r="P819" s="6" t="str">
        <f>IF(Table1[[#This Row],[Transaction_Amount]]&lt;=Table1[[#This Row],[avg_transaction_amount]], "usual transaction", "unusual transaction")</f>
        <v>usual transaction</v>
      </c>
      <c r="Q819" s="6" t="str">
        <f>IF(AND(Table1[[#This Row],[Country_of_Residence]]&lt;&gt;Table1[[#This Row],[Country_of_Transaction]], OR(Table1[[#This Row],[Authentication_Type]]="Biometric", Table1[[#This Row],[Authentication_Type]]="OTP")), "safe location transaction", "unsafe location transaction")</f>
        <v>unsafe location transaction</v>
      </c>
      <c r="R819" s="6" t="str">
        <f>IF(AND(Table1[[#This Row],[Country_of_Residence]]&lt;&gt;Table1[[#This Row],[Country_of_Transaction]], OR(Table1[[#This Row],[Merchant_Category]]="Electronics", Table1[[#This Row],[Merchant_Category]]="Travel")), "unsafe merchant transaction", "safe merchant transaction")</f>
        <v>safe merchant transaction</v>
      </c>
    </row>
    <row r="820" spans="1:18">
      <c r="A820" t="s">
        <v>3591</v>
      </c>
      <c r="B820" t="s">
        <v>450</v>
      </c>
      <c r="C820">
        <v>1</v>
      </c>
      <c r="D820" t="s">
        <v>9</v>
      </c>
      <c r="E820" t="s">
        <v>3</v>
      </c>
      <c r="F820" s="2">
        <v>45665</v>
      </c>
      <c r="G820">
        <v>965.31</v>
      </c>
      <c r="H820" s="1">
        <f>AVERAGEIF(Table1[Customer_ID], Table1[[#This Row],[Customer_ID]], Table1[Transaction_Amount])</f>
        <v>4999.0016666666679</v>
      </c>
      <c r="I820" t="s">
        <v>1200</v>
      </c>
      <c r="J820" t="s">
        <v>31</v>
      </c>
      <c r="K820" t="s">
        <v>10</v>
      </c>
      <c r="L820">
        <v>0</v>
      </c>
      <c r="M820" t="s">
        <v>42</v>
      </c>
      <c r="N820" t="s">
        <v>47</v>
      </c>
      <c r="O820" t="s">
        <v>392</v>
      </c>
      <c r="P820" s="6" t="str">
        <f>IF(Table1[[#This Row],[Transaction_Amount]]&lt;=Table1[[#This Row],[avg_transaction_amount]], "usual transaction", "unusual transaction")</f>
        <v>usual transaction</v>
      </c>
      <c r="Q820" s="6" t="str">
        <f>IF(AND(Table1[[#This Row],[Country_of_Residence]]&lt;&gt;Table1[[#This Row],[Country_of_Transaction]], OR(Table1[[#This Row],[Authentication_Type]]="Biometric", Table1[[#This Row],[Authentication_Type]]="OTP")), "safe location transaction", "unsafe location transaction")</f>
        <v>safe location transaction</v>
      </c>
      <c r="R820" s="6" t="str">
        <f>IF(AND(Table1[[#This Row],[Country_of_Residence]]&lt;&gt;Table1[[#This Row],[Country_of_Transaction]], OR(Table1[[#This Row],[Merchant_Category]]="Electronics", Table1[[#This Row],[Merchant_Category]]="Travel")), "unsafe merchant transaction", "safe merchant transaction")</f>
        <v>safe merchant transaction</v>
      </c>
    </row>
    <row r="821" spans="1:18">
      <c r="A821" t="s">
        <v>3597</v>
      </c>
      <c r="B821" t="s">
        <v>450</v>
      </c>
      <c r="C821">
        <v>1</v>
      </c>
      <c r="D821" t="s">
        <v>9</v>
      </c>
      <c r="E821" t="s">
        <v>3</v>
      </c>
      <c r="F821" s="2">
        <v>45996</v>
      </c>
      <c r="G821">
        <v>2097.0100000000002</v>
      </c>
      <c r="H821" s="1">
        <f>AVERAGEIF(Table1[Customer_ID], Table1[[#This Row],[Customer_ID]], Table1[Transaction_Amount])</f>
        <v>4999.0016666666679</v>
      </c>
      <c r="I821" t="s">
        <v>1206</v>
      </c>
      <c r="J821" t="s">
        <v>41</v>
      </c>
      <c r="K821" t="s">
        <v>14</v>
      </c>
      <c r="L821">
        <v>0</v>
      </c>
      <c r="M821" t="s">
        <v>51</v>
      </c>
      <c r="N821" t="s">
        <v>37</v>
      </c>
      <c r="O821" t="s">
        <v>392</v>
      </c>
      <c r="P821" s="6" t="str">
        <f>IF(Table1[[#This Row],[Transaction_Amount]]&lt;=Table1[[#This Row],[avg_transaction_amount]], "usual transaction", "unusual transaction")</f>
        <v>usual transaction</v>
      </c>
      <c r="Q821" s="6" t="str">
        <f>IF(AND(Table1[[#This Row],[Country_of_Residence]]&lt;&gt;Table1[[#This Row],[Country_of_Transaction]], OR(Table1[[#This Row],[Authentication_Type]]="Biometric", Table1[[#This Row],[Authentication_Type]]="OTP")), "safe location transaction", "unsafe location transaction")</f>
        <v>unsafe location transaction</v>
      </c>
      <c r="R821" s="6" t="str">
        <f>IF(AND(Table1[[#This Row],[Country_of_Residence]]&lt;&gt;Table1[[#This Row],[Country_of_Transaction]], OR(Table1[[#This Row],[Merchant_Category]]="Electronics", Table1[[#This Row],[Merchant_Category]]="Travel")), "unsafe merchant transaction", "safe merchant transaction")</f>
        <v>safe merchant transaction</v>
      </c>
    </row>
    <row r="822" spans="1:18">
      <c r="A822" t="s">
        <v>3610</v>
      </c>
      <c r="B822" t="s">
        <v>450</v>
      </c>
      <c r="C822">
        <v>1</v>
      </c>
      <c r="D822" t="s">
        <v>15</v>
      </c>
      <c r="E822" t="s">
        <v>6</v>
      </c>
      <c r="F822" s="2">
        <v>45866</v>
      </c>
      <c r="G822">
        <v>5714.96</v>
      </c>
      <c r="H822" s="1">
        <f>AVERAGEIF(Table1[Customer_ID], Table1[[#This Row],[Customer_ID]], Table1[Transaction_Amount])</f>
        <v>4999.0016666666679</v>
      </c>
      <c r="I822" t="s">
        <v>1217</v>
      </c>
      <c r="J822" t="s">
        <v>41</v>
      </c>
      <c r="K822" t="s">
        <v>14</v>
      </c>
      <c r="L822">
        <v>2</v>
      </c>
      <c r="M822" t="s">
        <v>51</v>
      </c>
      <c r="N822" t="s">
        <v>51</v>
      </c>
      <c r="O822" t="s">
        <v>392</v>
      </c>
      <c r="P822" s="6" t="str">
        <f>IF(Table1[[#This Row],[Transaction_Amount]]&lt;=Table1[[#This Row],[avg_transaction_amount]], "usual transaction", "unusual transaction")</f>
        <v>unusual transaction</v>
      </c>
      <c r="Q822" s="6" t="str">
        <f>IF(AND(Table1[[#This Row],[Country_of_Residence]]&lt;&gt;Table1[[#This Row],[Country_of_Transaction]], OR(Table1[[#This Row],[Authentication_Type]]="Biometric", Table1[[#This Row],[Authentication_Type]]="OTP")), "safe location transaction", "unsafe location transaction")</f>
        <v>unsafe location transaction</v>
      </c>
      <c r="R822" s="6" t="str">
        <f>IF(AND(Table1[[#This Row],[Country_of_Residence]]&lt;&gt;Table1[[#This Row],[Country_of_Transaction]], OR(Table1[[#This Row],[Merchant_Category]]="Electronics", Table1[[#This Row],[Merchant_Category]]="Travel")), "unsafe merchant transaction", "safe merchant transaction")</f>
        <v>safe merchant transaction</v>
      </c>
    </row>
    <row r="823" spans="1:18">
      <c r="A823" t="s">
        <v>3635</v>
      </c>
      <c r="B823" t="s">
        <v>450</v>
      </c>
      <c r="C823">
        <v>1</v>
      </c>
      <c r="D823" t="s">
        <v>9</v>
      </c>
      <c r="E823" t="s">
        <v>5</v>
      </c>
      <c r="F823" s="2">
        <v>46017</v>
      </c>
      <c r="G823">
        <v>9670.52</v>
      </c>
      <c r="H823" s="1">
        <f>AVERAGEIF(Table1[Customer_ID], Table1[[#This Row],[Customer_ID]], Table1[Transaction_Amount])</f>
        <v>4999.0016666666679</v>
      </c>
      <c r="I823" t="s">
        <v>1240</v>
      </c>
      <c r="J823" t="s">
        <v>46</v>
      </c>
      <c r="K823" t="s">
        <v>8</v>
      </c>
      <c r="L823">
        <v>0</v>
      </c>
      <c r="M823" t="s">
        <v>47</v>
      </c>
      <c r="N823" t="s">
        <v>56</v>
      </c>
      <c r="O823" t="s">
        <v>393</v>
      </c>
      <c r="P823" s="6" t="str">
        <f>IF(Table1[[#This Row],[Transaction_Amount]]&lt;=Table1[[#This Row],[avg_transaction_amount]], "usual transaction", "unusual transaction")</f>
        <v>unusual transaction</v>
      </c>
      <c r="Q823" s="6" t="str">
        <f>IF(AND(Table1[[#This Row],[Country_of_Residence]]&lt;&gt;Table1[[#This Row],[Country_of_Transaction]], OR(Table1[[#This Row],[Authentication_Type]]="Biometric", Table1[[#This Row],[Authentication_Type]]="OTP")), "safe location transaction", "unsafe location transaction")</f>
        <v>safe location transaction</v>
      </c>
      <c r="R823" s="6" t="str">
        <f>IF(AND(Table1[[#This Row],[Country_of_Residence]]&lt;&gt;Table1[[#This Row],[Country_of_Transaction]], OR(Table1[[#This Row],[Merchant_Category]]="Electronics", Table1[[#This Row],[Merchant_Category]]="Travel")), "unsafe merchant transaction", "safe merchant transaction")</f>
        <v>safe merchant transaction</v>
      </c>
    </row>
    <row r="824" spans="1:18">
      <c r="A824" t="s">
        <v>3659</v>
      </c>
      <c r="B824" t="s">
        <v>450</v>
      </c>
      <c r="C824">
        <v>1</v>
      </c>
      <c r="D824" t="s">
        <v>15</v>
      </c>
      <c r="E824" t="s">
        <v>6</v>
      </c>
      <c r="F824" s="2">
        <v>45809</v>
      </c>
      <c r="G824">
        <v>8360.99</v>
      </c>
      <c r="H824" s="1">
        <f>AVERAGEIF(Table1[Customer_ID], Table1[[#This Row],[Customer_ID]], Table1[Transaction_Amount])</f>
        <v>4999.0016666666679</v>
      </c>
      <c r="I824" t="s">
        <v>1262</v>
      </c>
      <c r="J824" t="s">
        <v>50</v>
      </c>
      <c r="K824" t="s">
        <v>10</v>
      </c>
      <c r="L824">
        <v>3</v>
      </c>
      <c r="M824" t="s">
        <v>51</v>
      </c>
      <c r="N824" t="s">
        <v>51</v>
      </c>
      <c r="O824" t="s">
        <v>393</v>
      </c>
      <c r="P824" s="6" t="str">
        <f>IF(Table1[[#This Row],[Transaction_Amount]]&lt;=Table1[[#This Row],[avg_transaction_amount]], "usual transaction", "unusual transaction")</f>
        <v>unusual transaction</v>
      </c>
      <c r="Q824" s="6" t="str">
        <f>IF(AND(Table1[[#This Row],[Country_of_Residence]]&lt;&gt;Table1[[#This Row],[Country_of_Transaction]], OR(Table1[[#This Row],[Authentication_Type]]="Biometric", Table1[[#This Row],[Authentication_Type]]="OTP")), "safe location transaction", "unsafe location transaction")</f>
        <v>unsafe location transaction</v>
      </c>
      <c r="R824" s="6" t="str">
        <f>IF(AND(Table1[[#This Row],[Country_of_Residence]]&lt;&gt;Table1[[#This Row],[Country_of_Transaction]], OR(Table1[[#This Row],[Merchant_Category]]="Electronics", Table1[[#This Row],[Merchant_Category]]="Travel")), "unsafe merchant transaction", "safe merchant transaction")</f>
        <v>safe merchant transaction</v>
      </c>
    </row>
    <row r="825" spans="1:18">
      <c r="A825" t="s">
        <v>3705</v>
      </c>
      <c r="B825" t="s">
        <v>450</v>
      </c>
      <c r="C825">
        <v>1</v>
      </c>
      <c r="D825" t="s">
        <v>9</v>
      </c>
      <c r="E825" t="s">
        <v>420</v>
      </c>
      <c r="F825" s="2">
        <v>45708</v>
      </c>
      <c r="G825">
        <v>2477.21</v>
      </c>
      <c r="H825" s="1">
        <f>AVERAGEIF(Table1[Customer_ID], Table1[[#This Row],[Customer_ID]], Table1[Transaction_Amount])</f>
        <v>4999.0016666666679</v>
      </c>
      <c r="I825" t="s">
        <v>1302</v>
      </c>
      <c r="J825" t="s">
        <v>50</v>
      </c>
      <c r="K825" t="s">
        <v>10</v>
      </c>
      <c r="L825">
        <v>1</v>
      </c>
      <c r="M825" t="s">
        <v>47</v>
      </c>
      <c r="N825" t="s">
        <v>32</v>
      </c>
      <c r="O825" t="s">
        <v>393</v>
      </c>
      <c r="P825" s="6" t="str">
        <f>IF(Table1[[#This Row],[Transaction_Amount]]&lt;=Table1[[#This Row],[avg_transaction_amount]], "usual transaction", "unusual transaction")</f>
        <v>usual transaction</v>
      </c>
      <c r="Q825" s="6" t="str">
        <f>IF(AND(Table1[[#This Row],[Country_of_Residence]]&lt;&gt;Table1[[#This Row],[Country_of_Transaction]], OR(Table1[[#This Row],[Authentication_Type]]="Biometric", Table1[[#This Row],[Authentication_Type]]="OTP")), "safe location transaction", "unsafe location transaction")</f>
        <v>safe location transaction</v>
      </c>
      <c r="R825" s="6" t="str">
        <f>IF(AND(Table1[[#This Row],[Country_of_Residence]]&lt;&gt;Table1[[#This Row],[Country_of_Transaction]], OR(Table1[[#This Row],[Merchant_Category]]="Electronics", Table1[[#This Row],[Merchant_Category]]="Travel")), "unsafe merchant transaction", "safe merchant transaction")</f>
        <v>unsafe merchant transaction</v>
      </c>
    </row>
    <row r="826" spans="1:18">
      <c r="A826" t="s">
        <v>3781</v>
      </c>
      <c r="B826" t="s">
        <v>450</v>
      </c>
      <c r="C826">
        <v>1</v>
      </c>
      <c r="D826" t="s">
        <v>15</v>
      </c>
      <c r="E826" t="s">
        <v>6</v>
      </c>
      <c r="F826" s="2">
        <v>45730</v>
      </c>
      <c r="G826">
        <v>3749.25</v>
      </c>
      <c r="H826" s="1">
        <f>AVERAGEIF(Table1[Customer_ID], Table1[[#This Row],[Customer_ID]], Table1[Transaction_Amount])</f>
        <v>4999.0016666666679</v>
      </c>
      <c r="I826" t="s">
        <v>433</v>
      </c>
      <c r="J826" t="s">
        <v>41</v>
      </c>
      <c r="K826" t="s">
        <v>14</v>
      </c>
      <c r="L826">
        <v>3</v>
      </c>
      <c r="M826" t="s">
        <v>37</v>
      </c>
      <c r="N826" t="s">
        <v>55</v>
      </c>
      <c r="O826" t="s">
        <v>393</v>
      </c>
      <c r="P826" s="6" t="str">
        <f>IF(Table1[[#This Row],[Transaction_Amount]]&lt;=Table1[[#This Row],[avg_transaction_amount]], "usual transaction", "unusual transaction")</f>
        <v>usual transaction</v>
      </c>
      <c r="Q826" s="6" t="str">
        <f>IF(AND(Table1[[#This Row],[Country_of_Residence]]&lt;&gt;Table1[[#This Row],[Country_of_Transaction]], OR(Table1[[#This Row],[Authentication_Type]]="Biometric", Table1[[#This Row],[Authentication_Type]]="OTP")), "safe location transaction", "unsafe location transaction")</f>
        <v>unsafe location transaction</v>
      </c>
      <c r="R826" s="6" t="str">
        <f>IF(AND(Table1[[#This Row],[Country_of_Residence]]&lt;&gt;Table1[[#This Row],[Country_of_Transaction]], OR(Table1[[#This Row],[Merchant_Category]]="Electronics", Table1[[#This Row],[Merchant_Category]]="Travel")), "unsafe merchant transaction", "safe merchant transaction")</f>
        <v>safe merchant transaction</v>
      </c>
    </row>
    <row r="827" spans="1:18">
      <c r="A827" t="s">
        <v>3862</v>
      </c>
      <c r="B827" t="s">
        <v>450</v>
      </c>
      <c r="C827">
        <v>1</v>
      </c>
      <c r="D827" t="s">
        <v>9</v>
      </c>
      <c r="E827" t="s">
        <v>6</v>
      </c>
      <c r="F827" s="2">
        <v>46023</v>
      </c>
      <c r="G827">
        <v>3433.7</v>
      </c>
      <c r="H827" s="1">
        <f>AVERAGEIF(Table1[Customer_ID], Table1[[#This Row],[Customer_ID]], Table1[Transaction_Amount])</f>
        <v>4999.0016666666679</v>
      </c>
      <c r="I827" t="s">
        <v>1436</v>
      </c>
      <c r="J827" t="s">
        <v>31</v>
      </c>
      <c r="K827" t="s">
        <v>12</v>
      </c>
      <c r="L827">
        <v>1</v>
      </c>
      <c r="M827" t="s">
        <v>42</v>
      </c>
      <c r="N827" t="s">
        <v>412</v>
      </c>
      <c r="O827" t="s">
        <v>393</v>
      </c>
      <c r="P827" s="6" t="str">
        <f>IF(Table1[[#This Row],[Transaction_Amount]]&lt;=Table1[[#This Row],[avg_transaction_amount]], "usual transaction", "unusual transaction")</f>
        <v>usual transaction</v>
      </c>
      <c r="Q827" s="6" t="str">
        <f>IF(AND(Table1[[#This Row],[Country_of_Residence]]&lt;&gt;Table1[[#This Row],[Country_of_Transaction]], OR(Table1[[#This Row],[Authentication_Type]]="Biometric", Table1[[#This Row],[Authentication_Type]]="OTP")), "safe location transaction", "unsafe location transaction")</f>
        <v>unsafe location transaction</v>
      </c>
      <c r="R827" s="6" t="str">
        <f>IF(AND(Table1[[#This Row],[Country_of_Residence]]&lt;&gt;Table1[[#This Row],[Country_of_Transaction]], OR(Table1[[#This Row],[Merchant_Category]]="Electronics", Table1[[#This Row],[Merchant_Category]]="Travel")), "unsafe merchant transaction", "safe merchant transaction")</f>
        <v>safe merchant transaction</v>
      </c>
    </row>
    <row r="828" spans="1:18">
      <c r="A828" t="s">
        <v>3965</v>
      </c>
      <c r="B828" t="s">
        <v>450</v>
      </c>
      <c r="C828">
        <v>1</v>
      </c>
      <c r="D828" t="s">
        <v>15</v>
      </c>
      <c r="E828" t="s">
        <v>420</v>
      </c>
      <c r="F828" s="2">
        <v>45860</v>
      </c>
      <c r="G828">
        <v>7383.19</v>
      </c>
      <c r="H828" s="1">
        <f>AVERAGEIF(Table1[Customer_ID], Table1[[#This Row],[Customer_ID]], Table1[Transaction_Amount])</f>
        <v>4999.0016666666679</v>
      </c>
      <c r="I828" t="s">
        <v>1526</v>
      </c>
      <c r="J828" t="s">
        <v>31</v>
      </c>
      <c r="K828" t="s">
        <v>12</v>
      </c>
      <c r="L828">
        <v>4</v>
      </c>
      <c r="M828" t="s">
        <v>55</v>
      </c>
      <c r="N828" t="s">
        <v>42</v>
      </c>
      <c r="O828" t="s">
        <v>392</v>
      </c>
      <c r="P828" s="6" t="str">
        <f>IF(Table1[[#This Row],[Transaction_Amount]]&lt;=Table1[[#This Row],[avg_transaction_amount]], "usual transaction", "unusual transaction")</f>
        <v>unusual transaction</v>
      </c>
      <c r="Q828" s="6" t="str">
        <f>IF(AND(Table1[[#This Row],[Country_of_Residence]]&lt;&gt;Table1[[#This Row],[Country_of_Transaction]], OR(Table1[[#This Row],[Authentication_Type]]="Biometric", Table1[[#This Row],[Authentication_Type]]="OTP")), "safe location transaction", "unsafe location transaction")</f>
        <v>unsafe location transaction</v>
      </c>
      <c r="R828" s="6" t="str">
        <f>IF(AND(Table1[[#This Row],[Country_of_Residence]]&lt;&gt;Table1[[#This Row],[Country_of_Transaction]], OR(Table1[[#This Row],[Merchant_Category]]="Electronics", Table1[[#This Row],[Merchant_Category]]="Travel")), "unsafe merchant transaction", "safe merchant transaction")</f>
        <v>safe merchant transaction</v>
      </c>
    </row>
    <row r="829" spans="1:18">
      <c r="A829" t="s">
        <v>4067</v>
      </c>
      <c r="B829" t="s">
        <v>450</v>
      </c>
      <c r="C829">
        <v>1</v>
      </c>
      <c r="D829" t="s">
        <v>9</v>
      </c>
      <c r="E829" t="s">
        <v>6</v>
      </c>
      <c r="F829" s="2">
        <v>45875</v>
      </c>
      <c r="G829">
        <v>9690.41</v>
      </c>
      <c r="H829" s="1">
        <f>AVERAGEIF(Table1[Customer_ID], Table1[[#This Row],[Customer_ID]], Table1[Transaction_Amount])</f>
        <v>4999.0016666666679</v>
      </c>
      <c r="I829" t="s">
        <v>1319</v>
      </c>
      <c r="J829" t="s">
        <v>41</v>
      </c>
      <c r="K829" t="s">
        <v>14</v>
      </c>
      <c r="L829">
        <v>3</v>
      </c>
      <c r="M829" t="s">
        <v>37</v>
      </c>
      <c r="N829" t="s">
        <v>42</v>
      </c>
      <c r="O829" t="s">
        <v>392</v>
      </c>
      <c r="P829" s="6" t="str">
        <f>IF(Table1[[#This Row],[Transaction_Amount]]&lt;=Table1[[#This Row],[avg_transaction_amount]], "usual transaction", "unusual transaction")</f>
        <v>unusual transaction</v>
      </c>
      <c r="Q829" s="6" t="str">
        <f>IF(AND(Table1[[#This Row],[Country_of_Residence]]&lt;&gt;Table1[[#This Row],[Country_of_Transaction]], OR(Table1[[#This Row],[Authentication_Type]]="Biometric", Table1[[#This Row],[Authentication_Type]]="OTP")), "safe location transaction", "unsafe location transaction")</f>
        <v>unsafe location transaction</v>
      </c>
      <c r="R829" s="6" t="str">
        <f>IF(AND(Table1[[#This Row],[Country_of_Residence]]&lt;&gt;Table1[[#This Row],[Country_of_Transaction]], OR(Table1[[#This Row],[Merchant_Category]]="Electronics", Table1[[#This Row],[Merchant_Category]]="Travel")), "unsafe merchant transaction", "safe merchant transaction")</f>
        <v>safe merchant transaction</v>
      </c>
    </row>
    <row r="830" spans="1:18">
      <c r="A830" t="s">
        <v>4148</v>
      </c>
      <c r="B830" t="s">
        <v>450</v>
      </c>
      <c r="C830">
        <v>1</v>
      </c>
      <c r="D830" t="s">
        <v>9</v>
      </c>
      <c r="E830" t="s">
        <v>3</v>
      </c>
      <c r="F830" s="2">
        <v>45949</v>
      </c>
      <c r="G830">
        <v>9472.69</v>
      </c>
      <c r="H830" s="1">
        <f>AVERAGEIF(Table1[Customer_ID], Table1[[#This Row],[Customer_ID]], Table1[Transaction_Amount])</f>
        <v>4999.0016666666679</v>
      </c>
      <c r="I830" t="s">
        <v>1676</v>
      </c>
      <c r="J830" t="s">
        <v>31</v>
      </c>
      <c r="K830" t="s">
        <v>10</v>
      </c>
      <c r="L830">
        <v>3</v>
      </c>
      <c r="M830" t="s">
        <v>32</v>
      </c>
      <c r="N830" t="s">
        <v>56</v>
      </c>
      <c r="O830" t="s">
        <v>393</v>
      </c>
      <c r="P830" s="6" t="str">
        <f>IF(Table1[[#This Row],[Transaction_Amount]]&lt;=Table1[[#This Row],[avg_transaction_amount]], "usual transaction", "unusual transaction")</f>
        <v>unusual transaction</v>
      </c>
      <c r="Q830" s="6" t="str">
        <f>IF(AND(Table1[[#This Row],[Country_of_Residence]]&lt;&gt;Table1[[#This Row],[Country_of_Transaction]], OR(Table1[[#This Row],[Authentication_Type]]="Biometric", Table1[[#This Row],[Authentication_Type]]="OTP")), "safe location transaction", "unsafe location transaction")</f>
        <v>safe location transaction</v>
      </c>
      <c r="R830" s="6" t="str">
        <f>IF(AND(Table1[[#This Row],[Country_of_Residence]]&lt;&gt;Table1[[#This Row],[Country_of_Transaction]], OR(Table1[[#This Row],[Merchant_Category]]="Electronics", Table1[[#This Row],[Merchant_Category]]="Travel")), "unsafe merchant transaction", "safe merchant transaction")</f>
        <v>safe merchant transaction</v>
      </c>
    </row>
    <row r="831" spans="1:18">
      <c r="A831" t="s">
        <v>4152</v>
      </c>
      <c r="B831" t="s">
        <v>450</v>
      </c>
      <c r="C831">
        <v>1</v>
      </c>
      <c r="D831" t="s">
        <v>9</v>
      </c>
      <c r="E831" t="s">
        <v>6</v>
      </c>
      <c r="F831" s="2">
        <v>45842</v>
      </c>
      <c r="G831">
        <v>6861.79</v>
      </c>
      <c r="H831" s="1">
        <f>AVERAGEIF(Table1[Customer_ID], Table1[[#This Row],[Customer_ID]], Table1[Transaction_Amount])</f>
        <v>4999.0016666666679</v>
      </c>
      <c r="I831" t="s">
        <v>1680</v>
      </c>
      <c r="J831" t="s">
        <v>41</v>
      </c>
      <c r="K831" t="s">
        <v>12</v>
      </c>
      <c r="L831">
        <v>2</v>
      </c>
      <c r="M831" t="s">
        <v>42</v>
      </c>
      <c r="N831" t="s">
        <v>56</v>
      </c>
      <c r="O831" t="s">
        <v>392</v>
      </c>
      <c r="P831" s="6" t="str">
        <f>IF(Table1[[#This Row],[Transaction_Amount]]&lt;=Table1[[#This Row],[avg_transaction_amount]], "usual transaction", "unusual transaction")</f>
        <v>unusual transaction</v>
      </c>
      <c r="Q831" s="6" t="str">
        <f>IF(AND(Table1[[#This Row],[Country_of_Residence]]&lt;&gt;Table1[[#This Row],[Country_of_Transaction]], OR(Table1[[#This Row],[Authentication_Type]]="Biometric", Table1[[#This Row],[Authentication_Type]]="OTP")), "safe location transaction", "unsafe location transaction")</f>
        <v>unsafe location transaction</v>
      </c>
      <c r="R831" s="6" t="str">
        <f>IF(AND(Table1[[#This Row],[Country_of_Residence]]&lt;&gt;Table1[[#This Row],[Country_of_Transaction]], OR(Table1[[#This Row],[Merchant_Category]]="Electronics", Table1[[#This Row],[Merchant_Category]]="Travel")), "unsafe merchant transaction", "safe merchant transaction")</f>
        <v>safe merchant transaction</v>
      </c>
    </row>
    <row r="832" spans="1:18">
      <c r="A832" t="s">
        <v>4167</v>
      </c>
      <c r="B832" t="s">
        <v>450</v>
      </c>
      <c r="C832">
        <v>1</v>
      </c>
      <c r="D832" t="s">
        <v>9</v>
      </c>
      <c r="E832" t="s">
        <v>420</v>
      </c>
      <c r="F832" s="2">
        <v>45738</v>
      </c>
      <c r="G832">
        <v>254.09</v>
      </c>
      <c r="H832" s="1">
        <f>AVERAGEIF(Table1[Customer_ID], Table1[[#This Row],[Customer_ID]], Table1[Transaction_Amount])</f>
        <v>4999.0016666666679</v>
      </c>
      <c r="I832" t="s">
        <v>1691</v>
      </c>
      <c r="J832" t="s">
        <v>31</v>
      </c>
      <c r="K832" t="s">
        <v>12</v>
      </c>
      <c r="L832">
        <v>1</v>
      </c>
      <c r="M832" t="s">
        <v>51</v>
      </c>
      <c r="N832" t="s">
        <v>412</v>
      </c>
      <c r="O832" t="s">
        <v>392</v>
      </c>
      <c r="P832" s="6" t="str">
        <f>IF(Table1[[#This Row],[Transaction_Amount]]&lt;=Table1[[#This Row],[avg_transaction_amount]], "usual transaction", "unusual transaction")</f>
        <v>usual transaction</v>
      </c>
      <c r="Q832" s="6" t="str">
        <f>IF(AND(Table1[[#This Row],[Country_of_Residence]]&lt;&gt;Table1[[#This Row],[Country_of_Transaction]], OR(Table1[[#This Row],[Authentication_Type]]="Biometric", Table1[[#This Row],[Authentication_Type]]="OTP")), "safe location transaction", "unsafe location transaction")</f>
        <v>unsafe location transaction</v>
      </c>
      <c r="R832" s="6" t="str">
        <f>IF(AND(Table1[[#This Row],[Country_of_Residence]]&lt;&gt;Table1[[#This Row],[Country_of_Transaction]], OR(Table1[[#This Row],[Merchant_Category]]="Electronics", Table1[[#This Row],[Merchant_Category]]="Travel")), "unsafe merchant transaction", "safe merchant transaction")</f>
        <v>safe merchant transaction</v>
      </c>
    </row>
    <row r="833" spans="1:18">
      <c r="A833" t="s">
        <v>4223</v>
      </c>
      <c r="B833" t="s">
        <v>450</v>
      </c>
      <c r="C833">
        <v>1</v>
      </c>
      <c r="D833" t="s">
        <v>15</v>
      </c>
      <c r="E833" t="s">
        <v>6</v>
      </c>
      <c r="F833" s="2">
        <v>45882</v>
      </c>
      <c r="G833">
        <v>845.03</v>
      </c>
      <c r="H833" s="1">
        <f>AVERAGEIF(Table1[Customer_ID], Table1[[#This Row],[Customer_ID]], Table1[Transaction_Amount])</f>
        <v>4999.0016666666679</v>
      </c>
      <c r="I833" t="s">
        <v>1742</v>
      </c>
      <c r="J833" t="s">
        <v>31</v>
      </c>
      <c r="K833" t="s">
        <v>8</v>
      </c>
      <c r="L833">
        <v>2</v>
      </c>
      <c r="M833" t="s">
        <v>33</v>
      </c>
      <c r="N833" t="s">
        <v>33</v>
      </c>
      <c r="O833" t="s">
        <v>393</v>
      </c>
      <c r="P833" s="6" t="str">
        <f>IF(Table1[[#This Row],[Transaction_Amount]]&lt;=Table1[[#This Row],[avg_transaction_amount]], "usual transaction", "unusual transaction")</f>
        <v>usual transaction</v>
      </c>
      <c r="Q833" s="6" t="str">
        <f>IF(AND(Table1[[#This Row],[Country_of_Residence]]&lt;&gt;Table1[[#This Row],[Country_of_Transaction]], OR(Table1[[#This Row],[Authentication_Type]]="Biometric", Table1[[#This Row],[Authentication_Type]]="OTP")), "safe location transaction", "unsafe location transaction")</f>
        <v>unsafe location transaction</v>
      </c>
      <c r="R833" s="6" t="str">
        <f>IF(AND(Table1[[#This Row],[Country_of_Residence]]&lt;&gt;Table1[[#This Row],[Country_of_Transaction]], OR(Table1[[#This Row],[Merchant_Category]]="Electronics", Table1[[#This Row],[Merchant_Category]]="Travel")), "unsafe merchant transaction", "safe merchant transaction")</f>
        <v>safe merchant transaction</v>
      </c>
    </row>
    <row r="834" spans="1:18">
      <c r="A834" t="s">
        <v>4230</v>
      </c>
      <c r="B834" t="s">
        <v>450</v>
      </c>
      <c r="C834">
        <v>1</v>
      </c>
      <c r="D834" t="s">
        <v>9</v>
      </c>
      <c r="E834" t="s">
        <v>420</v>
      </c>
      <c r="F834" s="2">
        <v>45662</v>
      </c>
      <c r="G834">
        <v>3244.91</v>
      </c>
      <c r="H834" s="1">
        <f>AVERAGEIF(Table1[Customer_ID], Table1[[#This Row],[Customer_ID]], Table1[Transaction_Amount])</f>
        <v>4999.0016666666679</v>
      </c>
      <c r="I834" t="s">
        <v>1749</v>
      </c>
      <c r="J834" t="s">
        <v>50</v>
      </c>
      <c r="K834" t="s">
        <v>10</v>
      </c>
      <c r="L834">
        <v>1</v>
      </c>
      <c r="M834" t="s">
        <v>33</v>
      </c>
      <c r="N834" t="s">
        <v>42</v>
      </c>
      <c r="O834" t="s">
        <v>393</v>
      </c>
      <c r="P834" s="6" t="str">
        <f>IF(Table1[[#This Row],[Transaction_Amount]]&lt;=Table1[[#This Row],[avg_transaction_amount]], "usual transaction", "unusual transaction")</f>
        <v>usual transaction</v>
      </c>
      <c r="Q834" s="6" t="str">
        <f>IF(AND(Table1[[#This Row],[Country_of_Residence]]&lt;&gt;Table1[[#This Row],[Country_of_Transaction]], OR(Table1[[#This Row],[Authentication_Type]]="Biometric", Table1[[#This Row],[Authentication_Type]]="OTP")), "safe location transaction", "unsafe location transaction")</f>
        <v>safe location transaction</v>
      </c>
      <c r="R834" s="6" t="str">
        <f>IF(AND(Table1[[#This Row],[Country_of_Residence]]&lt;&gt;Table1[[#This Row],[Country_of_Transaction]], OR(Table1[[#This Row],[Merchant_Category]]="Electronics", Table1[[#This Row],[Merchant_Category]]="Travel")), "unsafe merchant transaction", "safe merchant transaction")</f>
        <v>unsafe merchant transaction</v>
      </c>
    </row>
    <row r="835" spans="1:18">
      <c r="A835" t="s">
        <v>4304</v>
      </c>
      <c r="B835" t="s">
        <v>450</v>
      </c>
      <c r="C835">
        <v>1</v>
      </c>
      <c r="D835" t="s">
        <v>9</v>
      </c>
      <c r="E835" t="s">
        <v>3</v>
      </c>
      <c r="F835" s="2">
        <v>45693</v>
      </c>
      <c r="G835">
        <v>1992.6</v>
      </c>
      <c r="H835" s="1">
        <f>AVERAGEIF(Table1[Customer_ID], Table1[[#This Row],[Customer_ID]], Table1[Transaction_Amount])</f>
        <v>4999.0016666666679</v>
      </c>
      <c r="I835" t="s">
        <v>1711</v>
      </c>
      <c r="J835" t="s">
        <v>46</v>
      </c>
      <c r="K835" t="s">
        <v>12</v>
      </c>
      <c r="L835">
        <v>3</v>
      </c>
      <c r="M835" t="s">
        <v>412</v>
      </c>
      <c r="N835" t="s">
        <v>33</v>
      </c>
      <c r="O835" t="s">
        <v>393</v>
      </c>
      <c r="P835" s="6" t="str">
        <f>IF(Table1[[#This Row],[Transaction_Amount]]&lt;=Table1[[#This Row],[avg_transaction_amount]], "usual transaction", "unusual transaction")</f>
        <v>usual transaction</v>
      </c>
      <c r="Q835" s="6" t="str">
        <f>IF(AND(Table1[[#This Row],[Country_of_Residence]]&lt;&gt;Table1[[#This Row],[Country_of_Transaction]], OR(Table1[[#This Row],[Authentication_Type]]="Biometric", Table1[[#This Row],[Authentication_Type]]="OTP")), "safe location transaction", "unsafe location transaction")</f>
        <v>unsafe location transaction</v>
      </c>
      <c r="R835" s="6" t="str">
        <f>IF(AND(Table1[[#This Row],[Country_of_Residence]]&lt;&gt;Table1[[#This Row],[Country_of_Transaction]], OR(Table1[[#This Row],[Merchant_Category]]="Electronics", Table1[[#This Row],[Merchant_Category]]="Travel")), "unsafe merchant transaction", "safe merchant transaction")</f>
        <v>safe merchant transaction</v>
      </c>
    </row>
    <row r="836" spans="1:18">
      <c r="A836" t="s">
        <v>4353</v>
      </c>
      <c r="B836" t="s">
        <v>450</v>
      </c>
      <c r="C836">
        <v>1</v>
      </c>
      <c r="D836" t="s">
        <v>9</v>
      </c>
      <c r="E836" t="s">
        <v>5</v>
      </c>
      <c r="F836" s="2">
        <v>45887</v>
      </c>
      <c r="G836">
        <v>2822.09</v>
      </c>
      <c r="H836" s="1">
        <f>AVERAGEIF(Table1[Customer_ID], Table1[[#This Row],[Customer_ID]], Table1[Transaction_Amount])</f>
        <v>4999.0016666666679</v>
      </c>
      <c r="I836" t="s">
        <v>701</v>
      </c>
      <c r="J836" t="s">
        <v>46</v>
      </c>
      <c r="K836" t="s">
        <v>10</v>
      </c>
      <c r="L836">
        <v>1</v>
      </c>
      <c r="M836" t="s">
        <v>33</v>
      </c>
      <c r="N836" t="s">
        <v>56</v>
      </c>
      <c r="O836" t="s">
        <v>393</v>
      </c>
      <c r="P836" s="6" t="str">
        <f>IF(Table1[[#This Row],[Transaction_Amount]]&lt;=Table1[[#This Row],[avg_transaction_amount]], "usual transaction", "unusual transaction")</f>
        <v>usual transaction</v>
      </c>
      <c r="Q836" s="6" t="str">
        <f>IF(AND(Table1[[#This Row],[Country_of_Residence]]&lt;&gt;Table1[[#This Row],[Country_of_Transaction]], OR(Table1[[#This Row],[Authentication_Type]]="Biometric", Table1[[#This Row],[Authentication_Type]]="OTP")), "safe location transaction", "unsafe location transaction")</f>
        <v>safe location transaction</v>
      </c>
      <c r="R836" s="6" t="str">
        <f>IF(AND(Table1[[#This Row],[Country_of_Residence]]&lt;&gt;Table1[[#This Row],[Country_of_Transaction]], OR(Table1[[#This Row],[Merchant_Category]]="Electronics", Table1[[#This Row],[Merchant_Category]]="Travel")), "unsafe merchant transaction", "safe merchant transaction")</f>
        <v>safe merchant transaction</v>
      </c>
    </row>
    <row r="837" spans="1:18">
      <c r="A837" t="s">
        <v>4378</v>
      </c>
      <c r="B837" t="s">
        <v>450</v>
      </c>
      <c r="C837">
        <v>1</v>
      </c>
      <c r="D837" t="s">
        <v>9</v>
      </c>
      <c r="E837" t="s">
        <v>6</v>
      </c>
      <c r="F837" s="2">
        <v>45691</v>
      </c>
      <c r="G837">
        <v>3101.89</v>
      </c>
      <c r="H837" s="1">
        <f>AVERAGEIF(Table1[Customer_ID], Table1[[#This Row],[Customer_ID]], Table1[Transaction_Amount])</f>
        <v>4999.0016666666679</v>
      </c>
      <c r="I837" t="s">
        <v>1878</v>
      </c>
      <c r="J837" t="s">
        <v>50</v>
      </c>
      <c r="K837" t="s">
        <v>8</v>
      </c>
      <c r="L837">
        <v>4</v>
      </c>
      <c r="M837" t="s">
        <v>412</v>
      </c>
      <c r="N837" t="s">
        <v>56</v>
      </c>
      <c r="O837" t="s">
        <v>393</v>
      </c>
      <c r="P837" s="6" t="str">
        <f>IF(Table1[[#This Row],[Transaction_Amount]]&lt;=Table1[[#This Row],[avg_transaction_amount]], "usual transaction", "unusual transaction")</f>
        <v>usual transaction</v>
      </c>
      <c r="Q837" s="6" t="str">
        <f>IF(AND(Table1[[#This Row],[Country_of_Residence]]&lt;&gt;Table1[[#This Row],[Country_of_Transaction]], OR(Table1[[#This Row],[Authentication_Type]]="Biometric", Table1[[#This Row],[Authentication_Type]]="OTP")), "safe location transaction", "unsafe location transaction")</f>
        <v>safe location transaction</v>
      </c>
      <c r="R837" s="6" t="str">
        <f>IF(AND(Table1[[#This Row],[Country_of_Residence]]&lt;&gt;Table1[[#This Row],[Country_of_Transaction]], OR(Table1[[#This Row],[Merchant_Category]]="Electronics", Table1[[#This Row],[Merchant_Category]]="Travel")), "unsafe merchant transaction", "safe merchant transaction")</f>
        <v>unsafe merchant transaction</v>
      </c>
    </row>
    <row r="838" spans="1:18">
      <c r="A838" t="s">
        <v>4667</v>
      </c>
      <c r="B838" t="s">
        <v>450</v>
      </c>
      <c r="C838">
        <v>1</v>
      </c>
      <c r="D838" t="s">
        <v>9</v>
      </c>
      <c r="E838" t="s">
        <v>6</v>
      </c>
      <c r="F838" s="2">
        <v>45968</v>
      </c>
      <c r="G838">
        <v>9120.57</v>
      </c>
      <c r="H838" s="1">
        <f>AVERAGEIF(Table1[Customer_ID], Table1[[#This Row],[Customer_ID]], Table1[Transaction_Amount])</f>
        <v>4999.0016666666679</v>
      </c>
      <c r="I838" t="s">
        <v>2125</v>
      </c>
      <c r="J838" t="s">
        <v>31</v>
      </c>
      <c r="K838" t="s">
        <v>10</v>
      </c>
      <c r="L838">
        <v>0</v>
      </c>
      <c r="M838" t="s">
        <v>55</v>
      </c>
      <c r="N838" t="s">
        <v>47</v>
      </c>
      <c r="O838" t="s">
        <v>393</v>
      </c>
      <c r="P838" s="6" t="str">
        <f>IF(Table1[[#This Row],[Transaction_Amount]]&lt;=Table1[[#This Row],[avg_transaction_amount]], "usual transaction", "unusual transaction")</f>
        <v>unusual transaction</v>
      </c>
      <c r="Q838" s="6" t="str">
        <f>IF(AND(Table1[[#This Row],[Country_of_Residence]]&lt;&gt;Table1[[#This Row],[Country_of_Transaction]], OR(Table1[[#This Row],[Authentication_Type]]="Biometric", Table1[[#This Row],[Authentication_Type]]="OTP")), "safe location transaction", "unsafe location transaction")</f>
        <v>safe location transaction</v>
      </c>
      <c r="R838" s="6" t="str">
        <f>IF(AND(Table1[[#This Row],[Country_of_Residence]]&lt;&gt;Table1[[#This Row],[Country_of_Transaction]], OR(Table1[[#This Row],[Merchant_Category]]="Electronics", Table1[[#This Row],[Merchant_Category]]="Travel")), "unsafe merchant transaction", "safe merchant transaction")</f>
        <v>safe merchant transaction</v>
      </c>
    </row>
    <row r="839" spans="1:18">
      <c r="A839" t="s">
        <v>4671</v>
      </c>
      <c r="B839" t="s">
        <v>450</v>
      </c>
      <c r="C839">
        <v>1</v>
      </c>
      <c r="D839" t="s">
        <v>15</v>
      </c>
      <c r="E839" t="s">
        <v>420</v>
      </c>
      <c r="F839" s="2">
        <v>45751</v>
      </c>
      <c r="G839">
        <v>8721.4699999999993</v>
      </c>
      <c r="H839" s="1">
        <f>AVERAGEIF(Table1[Customer_ID], Table1[[#This Row],[Customer_ID]], Table1[Transaction_Amount])</f>
        <v>4999.0016666666679</v>
      </c>
      <c r="I839" t="s">
        <v>2127</v>
      </c>
      <c r="J839" t="s">
        <v>50</v>
      </c>
      <c r="K839" t="s">
        <v>12</v>
      </c>
      <c r="L839">
        <v>1</v>
      </c>
      <c r="M839" t="s">
        <v>47</v>
      </c>
      <c r="N839" t="s">
        <v>51</v>
      </c>
      <c r="O839" t="s">
        <v>393</v>
      </c>
      <c r="P839" s="6" t="str">
        <f>IF(Table1[[#This Row],[Transaction_Amount]]&lt;=Table1[[#This Row],[avg_transaction_amount]], "usual transaction", "unusual transaction")</f>
        <v>unusual transaction</v>
      </c>
      <c r="Q839" s="6" t="str">
        <f>IF(AND(Table1[[#This Row],[Country_of_Residence]]&lt;&gt;Table1[[#This Row],[Country_of_Transaction]], OR(Table1[[#This Row],[Authentication_Type]]="Biometric", Table1[[#This Row],[Authentication_Type]]="OTP")), "safe location transaction", "unsafe location transaction")</f>
        <v>unsafe location transaction</v>
      </c>
      <c r="R839" s="6" t="str">
        <f>IF(AND(Table1[[#This Row],[Country_of_Residence]]&lt;&gt;Table1[[#This Row],[Country_of_Transaction]], OR(Table1[[#This Row],[Merchant_Category]]="Electronics", Table1[[#This Row],[Merchant_Category]]="Travel")), "unsafe merchant transaction", "safe merchant transaction")</f>
        <v>unsafe merchant transaction</v>
      </c>
    </row>
    <row r="840" spans="1:18">
      <c r="A840" t="s">
        <v>5185</v>
      </c>
      <c r="B840" t="s">
        <v>450</v>
      </c>
      <c r="C840">
        <v>1</v>
      </c>
      <c r="D840" t="s">
        <v>15</v>
      </c>
      <c r="E840" t="s">
        <v>5</v>
      </c>
      <c r="F840" s="2">
        <v>46014</v>
      </c>
      <c r="G840">
        <v>2210.14</v>
      </c>
      <c r="H840" s="1">
        <f>AVERAGEIF(Table1[Customer_ID], Table1[[#This Row],[Customer_ID]], Table1[Transaction_Amount])</f>
        <v>4999.0016666666679</v>
      </c>
      <c r="I840" t="s">
        <v>2518</v>
      </c>
      <c r="J840" t="s">
        <v>41</v>
      </c>
      <c r="K840" t="s">
        <v>12</v>
      </c>
      <c r="L840">
        <v>3</v>
      </c>
      <c r="M840" t="s">
        <v>42</v>
      </c>
      <c r="N840" t="s">
        <v>55</v>
      </c>
      <c r="O840" t="s">
        <v>393</v>
      </c>
      <c r="P840" s="6" t="str">
        <f>IF(Table1[[#This Row],[Transaction_Amount]]&lt;=Table1[[#This Row],[avg_transaction_amount]], "usual transaction", "unusual transaction")</f>
        <v>usual transaction</v>
      </c>
      <c r="Q840" s="6" t="str">
        <f>IF(AND(Table1[[#This Row],[Country_of_Residence]]&lt;&gt;Table1[[#This Row],[Country_of_Transaction]], OR(Table1[[#This Row],[Authentication_Type]]="Biometric", Table1[[#This Row],[Authentication_Type]]="OTP")), "safe location transaction", "unsafe location transaction")</f>
        <v>unsafe location transaction</v>
      </c>
      <c r="R840" s="6" t="str">
        <f>IF(AND(Table1[[#This Row],[Country_of_Residence]]&lt;&gt;Table1[[#This Row],[Country_of_Transaction]], OR(Table1[[#This Row],[Merchant_Category]]="Electronics", Table1[[#This Row],[Merchant_Category]]="Travel")), "unsafe merchant transaction", "safe merchant transaction")</f>
        <v>safe merchant transaction</v>
      </c>
    </row>
    <row r="841" spans="1:18">
      <c r="A841" t="s">
        <v>5253</v>
      </c>
      <c r="B841" t="s">
        <v>450</v>
      </c>
      <c r="C841">
        <v>1</v>
      </c>
      <c r="D841" t="s">
        <v>15</v>
      </c>
      <c r="E841" t="s">
        <v>420</v>
      </c>
      <c r="F841" s="2">
        <v>45665</v>
      </c>
      <c r="G841">
        <v>8715.89</v>
      </c>
      <c r="H841" s="1">
        <f>AVERAGEIF(Table1[Customer_ID], Table1[[#This Row],[Customer_ID]], Table1[Transaction_Amount])</f>
        <v>4999.0016666666679</v>
      </c>
      <c r="I841" t="s">
        <v>2423</v>
      </c>
      <c r="J841" t="s">
        <v>46</v>
      </c>
      <c r="K841" t="s">
        <v>10</v>
      </c>
      <c r="L841">
        <v>2</v>
      </c>
      <c r="M841" t="s">
        <v>33</v>
      </c>
      <c r="N841" t="s">
        <v>55</v>
      </c>
      <c r="O841" t="s">
        <v>393</v>
      </c>
      <c r="P841" s="6" t="str">
        <f>IF(Table1[[#This Row],[Transaction_Amount]]&lt;=Table1[[#This Row],[avg_transaction_amount]], "usual transaction", "unusual transaction")</f>
        <v>unusual transaction</v>
      </c>
      <c r="Q841" s="6" t="str">
        <f>IF(AND(Table1[[#This Row],[Country_of_Residence]]&lt;&gt;Table1[[#This Row],[Country_of_Transaction]], OR(Table1[[#This Row],[Authentication_Type]]="Biometric", Table1[[#This Row],[Authentication_Type]]="OTP")), "safe location transaction", "unsafe location transaction")</f>
        <v>safe location transaction</v>
      </c>
      <c r="R841" s="6" t="str">
        <f>IF(AND(Table1[[#This Row],[Country_of_Residence]]&lt;&gt;Table1[[#This Row],[Country_of_Transaction]], OR(Table1[[#This Row],[Merchant_Category]]="Electronics", Table1[[#This Row],[Merchant_Category]]="Travel")), "unsafe merchant transaction", "safe merchant transaction")</f>
        <v>safe merchant transaction</v>
      </c>
    </row>
    <row r="842" spans="1:18">
      <c r="A842" t="s">
        <v>5451</v>
      </c>
      <c r="B842" t="s">
        <v>450</v>
      </c>
      <c r="C842">
        <v>1</v>
      </c>
      <c r="D842" t="s">
        <v>15</v>
      </c>
      <c r="E842" t="s">
        <v>5</v>
      </c>
      <c r="F842" s="2">
        <v>45661</v>
      </c>
      <c r="G842">
        <v>5071.18</v>
      </c>
      <c r="H842" s="1">
        <f>AVERAGEIF(Table1[Customer_ID], Table1[[#This Row],[Customer_ID]], Table1[Transaction_Amount])</f>
        <v>4999.0016666666679</v>
      </c>
      <c r="I842" t="s">
        <v>2717</v>
      </c>
      <c r="J842" t="s">
        <v>41</v>
      </c>
      <c r="K842" t="s">
        <v>12</v>
      </c>
      <c r="L842">
        <v>0</v>
      </c>
      <c r="M842" t="s">
        <v>47</v>
      </c>
      <c r="N842" t="s">
        <v>37</v>
      </c>
      <c r="O842" t="s">
        <v>393</v>
      </c>
      <c r="P842" s="6" t="str">
        <f>IF(Table1[[#This Row],[Transaction_Amount]]&lt;=Table1[[#This Row],[avg_transaction_amount]], "usual transaction", "unusual transaction")</f>
        <v>unusual transaction</v>
      </c>
      <c r="Q842" s="6" t="str">
        <f>IF(AND(Table1[[#This Row],[Country_of_Residence]]&lt;&gt;Table1[[#This Row],[Country_of_Transaction]], OR(Table1[[#This Row],[Authentication_Type]]="Biometric", Table1[[#This Row],[Authentication_Type]]="OTP")), "safe location transaction", "unsafe location transaction")</f>
        <v>unsafe location transaction</v>
      </c>
      <c r="R842" s="6" t="str">
        <f>IF(AND(Table1[[#This Row],[Country_of_Residence]]&lt;&gt;Table1[[#This Row],[Country_of_Transaction]], OR(Table1[[#This Row],[Merchant_Category]]="Electronics", Table1[[#This Row],[Merchant_Category]]="Travel")), "unsafe merchant transaction", "safe merchant transaction")</f>
        <v>safe merchant transaction</v>
      </c>
    </row>
    <row r="843" spans="1:18">
      <c r="A843" t="s">
        <v>158</v>
      </c>
      <c r="B843" t="s">
        <v>154</v>
      </c>
      <c r="C843">
        <v>1</v>
      </c>
      <c r="D843" t="s">
        <v>9</v>
      </c>
      <c r="E843" t="s">
        <v>5</v>
      </c>
      <c r="F843" s="2">
        <v>45809.252083333296</v>
      </c>
      <c r="G843">
        <v>2212.86</v>
      </c>
      <c r="H843" s="1">
        <f>AVERAGEIF(Table1[Customer_ID], Table1[[#This Row],[Customer_ID]], Table1[Transaction_Amount])</f>
        <v>4568.2275925925924</v>
      </c>
      <c r="I843" t="s">
        <v>159</v>
      </c>
      <c r="J843" t="s">
        <v>41</v>
      </c>
      <c r="K843" t="s">
        <v>10</v>
      </c>
      <c r="L843">
        <v>0</v>
      </c>
      <c r="M843" t="s">
        <v>156</v>
      </c>
      <c r="N843" t="s">
        <v>160</v>
      </c>
      <c r="O843" t="s">
        <v>393</v>
      </c>
      <c r="P843" t="str">
        <f>IF(Table1[[#This Row],[Transaction_Amount]]&lt;=Table1[[#This Row],[avg_transaction_amount]], "usual transaction", "unusual transaction")</f>
        <v>usual transaction</v>
      </c>
      <c r="Q843" t="str">
        <f>IF(AND(Table1[[#This Row],[Country_of_Residence]]&lt;&gt;Table1[[#This Row],[Country_of_Transaction]], OR(Table1[[#This Row],[Authentication_Type]]="Biometric", Table1[[#This Row],[Authentication_Type]]="OTP")), "safe location transaction", "unsafe location transaction")</f>
        <v>safe location transaction</v>
      </c>
      <c r="R843" t="str">
        <f>IF(AND(Table1[[#This Row],[Country_of_Residence]]&lt;&gt;Table1[[#This Row],[Country_of_Transaction]], OR(Table1[[#This Row],[Merchant_Category]]="Electronics", Table1[[#This Row],[Merchant_Category]]="Travel")), "unsafe merchant transaction", "safe merchant transaction")</f>
        <v>safe merchant transaction</v>
      </c>
    </row>
    <row r="844" spans="1:18">
      <c r="A844" t="s">
        <v>153</v>
      </c>
      <c r="B844" t="s">
        <v>154</v>
      </c>
      <c r="C844">
        <v>1</v>
      </c>
      <c r="D844" t="s">
        <v>15</v>
      </c>
      <c r="E844" t="s">
        <v>3</v>
      </c>
      <c r="F844" s="2">
        <v>45829.956250000003</v>
      </c>
      <c r="G844">
        <v>449.94</v>
      </c>
      <c r="H844" s="1">
        <f>AVERAGEIF(Table1[Customer_ID], Table1[[#This Row],[Customer_ID]], Table1[Transaction_Amount])</f>
        <v>4568.2275925925924</v>
      </c>
      <c r="I844" t="s">
        <v>155</v>
      </c>
      <c r="J844" t="s">
        <v>50</v>
      </c>
      <c r="K844" t="s">
        <v>10</v>
      </c>
      <c r="L844">
        <v>3</v>
      </c>
      <c r="M844" t="s">
        <v>156</v>
      </c>
      <c r="N844" t="s">
        <v>157</v>
      </c>
      <c r="O844" t="s">
        <v>392</v>
      </c>
      <c r="P844" t="str">
        <f>IF(Table1[[#This Row],[Transaction_Amount]]&lt;=Table1[[#This Row],[avg_transaction_amount]], "usual transaction", "unusual transaction")</f>
        <v>usual transaction</v>
      </c>
      <c r="Q844" t="str">
        <f>IF(AND(Table1[[#This Row],[Country_of_Residence]]&lt;&gt;Table1[[#This Row],[Country_of_Transaction]], OR(Table1[[#This Row],[Authentication_Type]]="Biometric", Table1[[#This Row],[Authentication_Type]]="OTP")), "safe location transaction", "unsafe location transaction")</f>
        <v>safe location transaction</v>
      </c>
      <c r="R844" t="str">
        <f>IF(AND(Table1[[#This Row],[Country_of_Residence]]&lt;&gt;Table1[[#This Row],[Country_of_Transaction]], OR(Table1[[#This Row],[Merchant_Category]]="Electronics", Table1[[#This Row],[Merchant_Category]]="Travel")), "unsafe merchant transaction", "safe merchant transaction")</f>
        <v>unsafe merchant transaction</v>
      </c>
    </row>
    <row r="845" spans="1:18">
      <c r="A845" t="s">
        <v>161</v>
      </c>
      <c r="B845" t="s">
        <v>154</v>
      </c>
      <c r="C845">
        <v>1</v>
      </c>
      <c r="D845" t="s">
        <v>9</v>
      </c>
      <c r="E845" t="s">
        <v>6</v>
      </c>
      <c r="F845" s="2">
        <v>45848.3972222222</v>
      </c>
      <c r="G845">
        <v>8692.7199999999993</v>
      </c>
      <c r="H845" s="1">
        <f>AVERAGEIF(Table1[Customer_ID], Table1[[#This Row],[Customer_ID]], Table1[Transaction_Amount])</f>
        <v>4568.2275925925924</v>
      </c>
      <c r="I845" t="s">
        <v>162</v>
      </c>
      <c r="J845" t="s">
        <v>46</v>
      </c>
      <c r="K845" t="s">
        <v>8</v>
      </c>
      <c r="L845">
        <v>0</v>
      </c>
      <c r="M845" t="s">
        <v>156</v>
      </c>
      <c r="N845" t="s">
        <v>163</v>
      </c>
      <c r="O845" t="s">
        <v>393</v>
      </c>
      <c r="P845" t="str">
        <f>IF(Table1[[#This Row],[Transaction_Amount]]&lt;=Table1[[#This Row],[avg_transaction_amount]], "usual transaction", "unusual transaction")</f>
        <v>unusual transaction</v>
      </c>
      <c r="Q845" t="str">
        <f>IF(AND(Table1[[#This Row],[Country_of_Residence]]&lt;&gt;Table1[[#This Row],[Country_of_Transaction]], OR(Table1[[#This Row],[Authentication_Type]]="Biometric", Table1[[#This Row],[Authentication_Type]]="OTP")), "safe location transaction", "unsafe location transaction")</f>
        <v>safe location transaction</v>
      </c>
      <c r="R845" t="str">
        <f>IF(AND(Table1[[#This Row],[Country_of_Residence]]&lt;&gt;Table1[[#This Row],[Country_of_Transaction]], OR(Table1[[#This Row],[Merchant_Category]]="Electronics", Table1[[#This Row],[Merchant_Category]]="Travel")), "unsafe merchant transaction", "safe merchant transaction")</f>
        <v>safe merchant transaction</v>
      </c>
    </row>
    <row r="846" spans="1:18">
      <c r="A846" t="s">
        <v>2808</v>
      </c>
      <c r="B846" t="s">
        <v>154</v>
      </c>
      <c r="C846">
        <v>1</v>
      </c>
      <c r="D846" t="s">
        <v>15</v>
      </c>
      <c r="E846" t="s">
        <v>420</v>
      </c>
      <c r="F846" s="2">
        <v>46016</v>
      </c>
      <c r="G846">
        <v>1305.9000000000001</v>
      </c>
      <c r="H846" s="1">
        <f>AVERAGEIF(Table1[Customer_ID], Table1[[#This Row],[Customer_ID]], Table1[Transaction_Amount])</f>
        <v>4568.2275925925924</v>
      </c>
      <c r="I846" t="s">
        <v>459</v>
      </c>
      <c r="J846" t="s">
        <v>46</v>
      </c>
      <c r="K846" t="s">
        <v>10</v>
      </c>
      <c r="L846">
        <v>1</v>
      </c>
      <c r="M846" t="s">
        <v>37</v>
      </c>
      <c r="N846" t="s">
        <v>32</v>
      </c>
      <c r="O846" t="s">
        <v>392</v>
      </c>
      <c r="P846" s="6" t="str">
        <f>IF(Table1[[#This Row],[Transaction_Amount]]&lt;=Table1[[#This Row],[avg_transaction_amount]], "usual transaction", "unusual transaction")</f>
        <v>usual transaction</v>
      </c>
      <c r="Q846" s="6" t="str">
        <f>IF(AND(Table1[[#This Row],[Country_of_Residence]]&lt;&gt;Table1[[#This Row],[Country_of_Transaction]], OR(Table1[[#This Row],[Authentication_Type]]="Biometric", Table1[[#This Row],[Authentication_Type]]="OTP")), "safe location transaction", "unsafe location transaction")</f>
        <v>safe location transaction</v>
      </c>
      <c r="R846" s="6" t="str">
        <f>IF(AND(Table1[[#This Row],[Country_of_Residence]]&lt;&gt;Table1[[#This Row],[Country_of_Transaction]], OR(Table1[[#This Row],[Merchant_Category]]="Electronics", Table1[[#This Row],[Merchant_Category]]="Travel")), "unsafe merchant transaction", "safe merchant transaction")</f>
        <v>safe merchant transaction</v>
      </c>
    </row>
    <row r="847" spans="1:18">
      <c r="A847" t="s">
        <v>2918</v>
      </c>
      <c r="B847" t="s">
        <v>154</v>
      </c>
      <c r="C847">
        <v>1</v>
      </c>
      <c r="D847" t="s">
        <v>9</v>
      </c>
      <c r="E847" t="s">
        <v>5</v>
      </c>
      <c r="F847" s="2">
        <v>45826</v>
      </c>
      <c r="G847">
        <v>117.96</v>
      </c>
      <c r="H847" s="1">
        <f>AVERAGEIF(Table1[Customer_ID], Table1[[#This Row],[Customer_ID]], Table1[Transaction_Amount])</f>
        <v>4568.2275925925924</v>
      </c>
      <c r="I847" t="s">
        <v>567</v>
      </c>
      <c r="J847" t="s">
        <v>50</v>
      </c>
      <c r="K847" t="s">
        <v>14</v>
      </c>
      <c r="L847">
        <v>5</v>
      </c>
      <c r="M847" t="s">
        <v>55</v>
      </c>
      <c r="N847" t="s">
        <v>412</v>
      </c>
      <c r="O847" t="s">
        <v>392</v>
      </c>
      <c r="P847" s="6" t="str">
        <f>IF(Table1[[#This Row],[Transaction_Amount]]&lt;=Table1[[#This Row],[avg_transaction_amount]], "usual transaction", "unusual transaction")</f>
        <v>usual transaction</v>
      </c>
      <c r="Q847" s="6" t="str">
        <f>IF(AND(Table1[[#This Row],[Country_of_Residence]]&lt;&gt;Table1[[#This Row],[Country_of_Transaction]], OR(Table1[[#This Row],[Authentication_Type]]="Biometric", Table1[[#This Row],[Authentication_Type]]="OTP")), "safe location transaction", "unsafe location transaction")</f>
        <v>unsafe location transaction</v>
      </c>
      <c r="R847" s="6" t="str">
        <f>IF(AND(Table1[[#This Row],[Country_of_Residence]]&lt;&gt;Table1[[#This Row],[Country_of_Transaction]], OR(Table1[[#This Row],[Merchant_Category]]="Electronics", Table1[[#This Row],[Merchant_Category]]="Travel")), "unsafe merchant transaction", "safe merchant transaction")</f>
        <v>unsafe merchant transaction</v>
      </c>
    </row>
    <row r="848" spans="1:18">
      <c r="A848" t="s">
        <v>2946</v>
      </c>
      <c r="B848" t="s">
        <v>154</v>
      </c>
      <c r="C848">
        <v>1</v>
      </c>
      <c r="D848" t="s">
        <v>15</v>
      </c>
      <c r="E848" t="s">
        <v>420</v>
      </c>
      <c r="F848" s="2">
        <v>46022</v>
      </c>
      <c r="G848">
        <v>7145.43</v>
      </c>
      <c r="H848" s="1">
        <f>AVERAGEIF(Table1[Customer_ID], Table1[[#This Row],[Customer_ID]], Table1[Transaction_Amount])</f>
        <v>4568.2275925925924</v>
      </c>
      <c r="I848" t="s">
        <v>595</v>
      </c>
      <c r="J848" t="s">
        <v>36</v>
      </c>
      <c r="K848" t="s">
        <v>14</v>
      </c>
      <c r="L848">
        <v>2</v>
      </c>
      <c r="M848" t="s">
        <v>32</v>
      </c>
      <c r="N848" t="s">
        <v>32</v>
      </c>
      <c r="O848" t="s">
        <v>392</v>
      </c>
      <c r="P848" s="6" t="str">
        <f>IF(Table1[[#This Row],[Transaction_Amount]]&lt;=Table1[[#This Row],[avg_transaction_amount]], "usual transaction", "unusual transaction")</f>
        <v>unusual transaction</v>
      </c>
      <c r="Q848" s="6" t="str">
        <f>IF(AND(Table1[[#This Row],[Country_of_Residence]]&lt;&gt;Table1[[#This Row],[Country_of_Transaction]], OR(Table1[[#This Row],[Authentication_Type]]="Biometric", Table1[[#This Row],[Authentication_Type]]="OTP")), "safe location transaction", "unsafe location transaction")</f>
        <v>unsafe location transaction</v>
      </c>
      <c r="R848" s="6" t="str">
        <f>IF(AND(Table1[[#This Row],[Country_of_Residence]]&lt;&gt;Table1[[#This Row],[Country_of_Transaction]], OR(Table1[[#This Row],[Merchant_Category]]="Electronics", Table1[[#This Row],[Merchant_Category]]="Travel")), "unsafe merchant transaction", "safe merchant transaction")</f>
        <v>safe merchant transaction</v>
      </c>
    </row>
    <row r="849" spans="1:18">
      <c r="A849" t="s">
        <v>2983</v>
      </c>
      <c r="B849" t="s">
        <v>154</v>
      </c>
      <c r="C849">
        <v>1</v>
      </c>
      <c r="D849" t="s">
        <v>9</v>
      </c>
      <c r="E849" t="s">
        <v>3</v>
      </c>
      <c r="F849" s="2">
        <v>45816</v>
      </c>
      <c r="G849">
        <v>907.82</v>
      </c>
      <c r="H849" s="1">
        <f>AVERAGEIF(Table1[Customer_ID], Table1[[#This Row],[Customer_ID]], Table1[Transaction_Amount])</f>
        <v>4568.2275925925924</v>
      </c>
      <c r="I849" t="s">
        <v>631</v>
      </c>
      <c r="J849" t="s">
        <v>31</v>
      </c>
      <c r="K849" t="s">
        <v>10</v>
      </c>
      <c r="L849">
        <v>5</v>
      </c>
      <c r="M849" t="s">
        <v>42</v>
      </c>
      <c r="N849" t="s">
        <v>412</v>
      </c>
      <c r="O849" t="s">
        <v>392</v>
      </c>
      <c r="P849" s="6" t="str">
        <f>IF(Table1[[#This Row],[Transaction_Amount]]&lt;=Table1[[#This Row],[avg_transaction_amount]], "usual transaction", "unusual transaction")</f>
        <v>usual transaction</v>
      </c>
      <c r="Q849" s="6" t="str">
        <f>IF(AND(Table1[[#This Row],[Country_of_Residence]]&lt;&gt;Table1[[#This Row],[Country_of_Transaction]], OR(Table1[[#This Row],[Authentication_Type]]="Biometric", Table1[[#This Row],[Authentication_Type]]="OTP")), "safe location transaction", "unsafe location transaction")</f>
        <v>safe location transaction</v>
      </c>
      <c r="R849" s="6" t="str">
        <f>IF(AND(Table1[[#This Row],[Country_of_Residence]]&lt;&gt;Table1[[#This Row],[Country_of_Transaction]], OR(Table1[[#This Row],[Merchant_Category]]="Electronics", Table1[[#This Row],[Merchant_Category]]="Travel")), "unsafe merchant transaction", "safe merchant transaction")</f>
        <v>safe merchant transaction</v>
      </c>
    </row>
    <row r="850" spans="1:18">
      <c r="A850" t="s">
        <v>3002</v>
      </c>
      <c r="B850" t="s">
        <v>154</v>
      </c>
      <c r="C850">
        <v>1</v>
      </c>
      <c r="D850" t="s">
        <v>15</v>
      </c>
      <c r="E850" t="s">
        <v>6</v>
      </c>
      <c r="F850" s="2">
        <v>45952</v>
      </c>
      <c r="G850">
        <v>6585.8</v>
      </c>
      <c r="H850" s="1">
        <f>AVERAGEIF(Table1[Customer_ID], Table1[[#This Row],[Customer_ID]], Table1[Transaction_Amount])</f>
        <v>4568.2275925925924</v>
      </c>
      <c r="I850" t="s">
        <v>649</v>
      </c>
      <c r="J850" t="s">
        <v>46</v>
      </c>
      <c r="K850" t="s">
        <v>12</v>
      </c>
      <c r="L850">
        <v>1</v>
      </c>
      <c r="M850" t="s">
        <v>51</v>
      </c>
      <c r="N850" t="s">
        <v>51</v>
      </c>
      <c r="O850" t="s">
        <v>392</v>
      </c>
      <c r="P850" s="6" t="str">
        <f>IF(Table1[[#This Row],[Transaction_Amount]]&lt;=Table1[[#This Row],[avg_transaction_amount]], "usual transaction", "unusual transaction")</f>
        <v>unusual transaction</v>
      </c>
      <c r="Q850" s="6" t="str">
        <f>IF(AND(Table1[[#This Row],[Country_of_Residence]]&lt;&gt;Table1[[#This Row],[Country_of_Transaction]], OR(Table1[[#This Row],[Authentication_Type]]="Biometric", Table1[[#This Row],[Authentication_Type]]="OTP")), "safe location transaction", "unsafe location transaction")</f>
        <v>unsafe location transaction</v>
      </c>
      <c r="R850" s="6" t="str">
        <f>IF(AND(Table1[[#This Row],[Country_of_Residence]]&lt;&gt;Table1[[#This Row],[Country_of_Transaction]], OR(Table1[[#This Row],[Merchant_Category]]="Electronics", Table1[[#This Row],[Merchant_Category]]="Travel")), "unsafe merchant transaction", "safe merchant transaction")</f>
        <v>safe merchant transaction</v>
      </c>
    </row>
    <row r="851" spans="1:18">
      <c r="A851" t="s">
        <v>3109</v>
      </c>
      <c r="B851" t="s">
        <v>154</v>
      </c>
      <c r="C851">
        <v>1</v>
      </c>
      <c r="D851" t="s">
        <v>15</v>
      </c>
      <c r="E851" t="s">
        <v>6</v>
      </c>
      <c r="F851" s="2">
        <v>45734</v>
      </c>
      <c r="G851">
        <v>5575.63</v>
      </c>
      <c r="H851" s="1">
        <f>AVERAGEIF(Table1[Customer_ID], Table1[[#This Row],[Customer_ID]], Table1[Transaction_Amount])</f>
        <v>4568.2275925925924</v>
      </c>
      <c r="I851" t="s">
        <v>746</v>
      </c>
      <c r="J851" t="s">
        <v>46</v>
      </c>
      <c r="K851" t="s">
        <v>8</v>
      </c>
      <c r="L851">
        <v>3</v>
      </c>
      <c r="M851" t="s">
        <v>42</v>
      </c>
      <c r="N851" t="s">
        <v>33</v>
      </c>
      <c r="O851" t="s">
        <v>393</v>
      </c>
      <c r="P851" s="6" t="str">
        <f>IF(Table1[[#This Row],[Transaction_Amount]]&lt;=Table1[[#This Row],[avg_transaction_amount]], "usual transaction", "unusual transaction")</f>
        <v>unusual transaction</v>
      </c>
      <c r="Q851" s="6" t="str">
        <f>IF(AND(Table1[[#This Row],[Country_of_Residence]]&lt;&gt;Table1[[#This Row],[Country_of_Transaction]], OR(Table1[[#This Row],[Authentication_Type]]="Biometric", Table1[[#This Row],[Authentication_Type]]="OTP")), "safe location transaction", "unsafe location transaction")</f>
        <v>safe location transaction</v>
      </c>
      <c r="R851" s="6" t="str">
        <f>IF(AND(Table1[[#This Row],[Country_of_Residence]]&lt;&gt;Table1[[#This Row],[Country_of_Transaction]], OR(Table1[[#This Row],[Merchant_Category]]="Electronics", Table1[[#This Row],[Merchant_Category]]="Travel")), "unsafe merchant transaction", "safe merchant transaction")</f>
        <v>safe merchant transaction</v>
      </c>
    </row>
    <row r="852" spans="1:18">
      <c r="A852" t="s">
        <v>3128</v>
      </c>
      <c r="B852" t="s">
        <v>154</v>
      </c>
      <c r="C852">
        <v>1</v>
      </c>
      <c r="D852" t="s">
        <v>9</v>
      </c>
      <c r="E852" t="s">
        <v>6</v>
      </c>
      <c r="F852" s="2">
        <v>45848</v>
      </c>
      <c r="G852">
        <v>138.85</v>
      </c>
      <c r="H852" s="1">
        <f>AVERAGEIF(Table1[Customer_ID], Table1[[#This Row],[Customer_ID]], Table1[Transaction_Amount])</f>
        <v>4568.2275925925924</v>
      </c>
      <c r="I852" t="s">
        <v>769</v>
      </c>
      <c r="J852" t="s">
        <v>46</v>
      </c>
      <c r="K852" t="s">
        <v>8</v>
      </c>
      <c r="L852">
        <v>0</v>
      </c>
      <c r="M852" t="s">
        <v>51</v>
      </c>
      <c r="N852" t="s">
        <v>412</v>
      </c>
      <c r="O852" t="s">
        <v>392</v>
      </c>
      <c r="P852" s="6" t="str">
        <f>IF(Table1[[#This Row],[Transaction_Amount]]&lt;=Table1[[#This Row],[avg_transaction_amount]], "usual transaction", "unusual transaction")</f>
        <v>usual transaction</v>
      </c>
      <c r="Q852" s="6" t="str">
        <f>IF(AND(Table1[[#This Row],[Country_of_Residence]]&lt;&gt;Table1[[#This Row],[Country_of_Transaction]], OR(Table1[[#This Row],[Authentication_Type]]="Biometric", Table1[[#This Row],[Authentication_Type]]="OTP")), "safe location transaction", "unsafe location transaction")</f>
        <v>safe location transaction</v>
      </c>
      <c r="R852" s="6" t="str">
        <f>IF(AND(Table1[[#This Row],[Country_of_Residence]]&lt;&gt;Table1[[#This Row],[Country_of_Transaction]], OR(Table1[[#This Row],[Merchant_Category]]="Electronics", Table1[[#This Row],[Merchant_Category]]="Travel")), "unsafe merchant transaction", "safe merchant transaction")</f>
        <v>safe merchant transaction</v>
      </c>
    </row>
    <row r="853" spans="1:18">
      <c r="A853" t="s">
        <v>3217</v>
      </c>
      <c r="B853" t="s">
        <v>154</v>
      </c>
      <c r="C853">
        <v>1</v>
      </c>
      <c r="D853" t="s">
        <v>15</v>
      </c>
      <c r="E853" t="s">
        <v>3</v>
      </c>
      <c r="F853" s="2">
        <v>45815</v>
      </c>
      <c r="G853">
        <v>7027.9</v>
      </c>
      <c r="H853" s="1">
        <f>AVERAGEIF(Table1[Customer_ID], Table1[[#This Row],[Customer_ID]], Table1[Transaction_Amount])</f>
        <v>4568.2275925925924</v>
      </c>
      <c r="I853" t="s">
        <v>850</v>
      </c>
      <c r="J853" t="s">
        <v>41</v>
      </c>
      <c r="K853" t="s">
        <v>12</v>
      </c>
      <c r="L853">
        <v>4</v>
      </c>
      <c r="M853" t="s">
        <v>32</v>
      </c>
      <c r="N853" t="s">
        <v>32</v>
      </c>
      <c r="O853" t="s">
        <v>392</v>
      </c>
      <c r="P853" s="6" t="str">
        <f>IF(Table1[[#This Row],[Transaction_Amount]]&lt;=Table1[[#This Row],[avg_transaction_amount]], "usual transaction", "unusual transaction")</f>
        <v>unusual transaction</v>
      </c>
      <c r="Q853" s="6" t="str">
        <f>IF(AND(Table1[[#This Row],[Country_of_Residence]]&lt;&gt;Table1[[#This Row],[Country_of_Transaction]], OR(Table1[[#This Row],[Authentication_Type]]="Biometric", Table1[[#This Row],[Authentication_Type]]="OTP")), "safe location transaction", "unsafe location transaction")</f>
        <v>unsafe location transaction</v>
      </c>
      <c r="R853" s="6" t="str">
        <f>IF(AND(Table1[[#This Row],[Country_of_Residence]]&lt;&gt;Table1[[#This Row],[Country_of_Transaction]], OR(Table1[[#This Row],[Merchant_Category]]="Electronics", Table1[[#This Row],[Merchant_Category]]="Travel")), "unsafe merchant transaction", "safe merchant transaction")</f>
        <v>safe merchant transaction</v>
      </c>
    </row>
    <row r="854" spans="1:18">
      <c r="A854" t="s">
        <v>3243</v>
      </c>
      <c r="B854" t="s">
        <v>154</v>
      </c>
      <c r="C854">
        <v>1</v>
      </c>
      <c r="D854" t="s">
        <v>15</v>
      </c>
      <c r="E854" t="s">
        <v>420</v>
      </c>
      <c r="F854" s="2">
        <v>45791</v>
      </c>
      <c r="G854">
        <v>1213.33</v>
      </c>
      <c r="H854" s="1">
        <f>AVERAGEIF(Table1[Customer_ID], Table1[[#This Row],[Customer_ID]], Table1[Transaction_Amount])</f>
        <v>4568.2275925925924</v>
      </c>
      <c r="I854" t="s">
        <v>607</v>
      </c>
      <c r="J854" t="s">
        <v>46</v>
      </c>
      <c r="K854" t="s">
        <v>10</v>
      </c>
      <c r="L854">
        <v>5</v>
      </c>
      <c r="M854" t="s">
        <v>51</v>
      </c>
      <c r="N854" t="s">
        <v>51</v>
      </c>
      <c r="O854" t="s">
        <v>392</v>
      </c>
      <c r="P854" s="6" t="str">
        <f>IF(Table1[[#This Row],[Transaction_Amount]]&lt;=Table1[[#This Row],[avg_transaction_amount]], "usual transaction", "unusual transaction")</f>
        <v>usual transaction</v>
      </c>
      <c r="Q854" s="6" t="str">
        <f>IF(AND(Table1[[#This Row],[Country_of_Residence]]&lt;&gt;Table1[[#This Row],[Country_of_Transaction]], OR(Table1[[#This Row],[Authentication_Type]]="Biometric", Table1[[#This Row],[Authentication_Type]]="OTP")), "safe location transaction", "unsafe location transaction")</f>
        <v>unsafe location transaction</v>
      </c>
      <c r="R854" s="6" t="str">
        <f>IF(AND(Table1[[#This Row],[Country_of_Residence]]&lt;&gt;Table1[[#This Row],[Country_of_Transaction]], OR(Table1[[#This Row],[Merchant_Category]]="Electronics", Table1[[#This Row],[Merchant_Category]]="Travel")), "unsafe merchant transaction", "safe merchant transaction")</f>
        <v>safe merchant transaction</v>
      </c>
    </row>
    <row r="855" spans="1:18">
      <c r="A855" t="s">
        <v>3283</v>
      </c>
      <c r="B855" t="s">
        <v>154</v>
      </c>
      <c r="C855">
        <v>1</v>
      </c>
      <c r="D855" t="s">
        <v>9</v>
      </c>
      <c r="E855" t="s">
        <v>420</v>
      </c>
      <c r="F855" s="2">
        <v>45874</v>
      </c>
      <c r="G855">
        <v>7980.6</v>
      </c>
      <c r="H855" s="1">
        <f>AVERAGEIF(Table1[Customer_ID], Table1[[#This Row],[Customer_ID]], Table1[Transaction_Amount])</f>
        <v>4568.2275925925924</v>
      </c>
      <c r="I855" t="s">
        <v>911</v>
      </c>
      <c r="J855" t="s">
        <v>46</v>
      </c>
      <c r="K855" t="s">
        <v>12</v>
      </c>
      <c r="L855">
        <v>2</v>
      </c>
      <c r="M855" t="s">
        <v>42</v>
      </c>
      <c r="N855" t="s">
        <v>412</v>
      </c>
      <c r="O855" t="s">
        <v>393</v>
      </c>
      <c r="P855" s="6" t="str">
        <f>IF(Table1[[#This Row],[Transaction_Amount]]&lt;=Table1[[#This Row],[avg_transaction_amount]], "usual transaction", "unusual transaction")</f>
        <v>unusual transaction</v>
      </c>
      <c r="Q855" s="6" t="str">
        <f>IF(AND(Table1[[#This Row],[Country_of_Residence]]&lt;&gt;Table1[[#This Row],[Country_of_Transaction]], OR(Table1[[#This Row],[Authentication_Type]]="Biometric", Table1[[#This Row],[Authentication_Type]]="OTP")), "safe location transaction", "unsafe location transaction")</f>
        <v>unsafe location transaction</v>
      </c>
      <c r="R855" s="6" t="str">
        <f>IF(AND(Table1[[#This Row],[Country_of_Residence]]&lt;&gt;Table1[[#This Row],[Country_of_Transaction]], OR(Table1[[#This Row],[Merchant_Category]]="Electronics", Table1[[#This Row],[Merchant_Category]]="Travel")), "unsafe merchant transaction", "safe merchant transaction")</f>
        <v>safe merchant transaction</v>
      </c>
    </row>
    <row r="856" spans="1:18">
      <c r="A856" t="s">
        <v>3305</v>
      </c>
      <c r="B856" t="s">
        <v>154</v>
      </c>
      <c r="C856">
        <v>1</v>
      </c>
      <c r="D856" t="s">
        <v>9</v>
      </c>
      <c r="E856" t="s">
        <v>3</v>
      </c>
      <c r="F856" s="2">
        <v>45803</v>
      </c>
      <c r="G856">
        <v>7694.12</v>
      </c>
      <c r="H856" s="1">
        <f>AVERAGEIF(Table1[Customer_ID], Table1[[#This Row],[Customer_ID]], Table1[Transaction_Amount])</f>
        <v>4568.2275925925924</v>
      </c>
      <c r="I856" t="s">
        <v>932</v>
      </c>
      <c r="J856" t="s">
        <v>36</v>
      </c>
      <c r="K856" t="s">
        <v>14</v>
      </c>
      <c r="L856">
        <v>4</v>
      </c>
      <c r="M856" t="s">
        <v>32</v>
      </c>
      <c r="N856" t="s">
        <v>51</v>
      </c>
      <c r="O856" t="s">
        <v>392</v>
      </c>
      <c r="P856" s="6" t="str">
        <f>IF(Table1[[#This Row],[Transaction_Amount]]&lt;=Table1[[#This Row],[avg_transaction_amount]], "usual transaction", "unusual transaction")</f>
        <v>unusual transaction</v>
      </c>
      <c r="Q856" s="6" t="str">
        <f>IF(AND(Table1[[#This Row],[Country_of_Residence]]&lt;&gt;Table1[[#This Row],[Country_of_Transaction]], OR(Table1[[#This Row],[Authentication_Type]]="Biometric", Table1[[#This Row],[Authentication_Type]]="OTP")), "safe location transaction", "unsafe location transaction")</f>
        <v>unsafe location transaction</v>
      </c>
      <c r="R856" s="6" t="str">
        <f>IF(AND(Table1[[#This Row],[Country_of_Residence]]&lt;&gt;Table1[[#This Row],[Country_of_Transaction]], OR(Table1[[#This Row],[Merchant_Category]]="Electronics", Table1[[#This Row],[Merchant_Category]]="Travel")), "unsafe merchant transaction", "safe merchant transaction")</f>
        <v>safe merchant transaction</v>
      </c>
    </row>
    <row r="857" spans="1:18">
      <c r="A857" t="s">
        <v>3308</v>
      </c>
      <c r="B857" t="s">
        <v>154</v>
      </c>
      <c r="C857">
        <v>1</v>
      </c>
      <c r="D857" t="s">
        <v>15</v>
      </c>
      <c r="E857" t="s">
        <v>3</v>
      </c>
      <c r="F857" s="2">
        <v>45764</v>
      </c>
      <c r="G857">
        <v>9652.24</v>
      </c>
      <c r="H857" s="1">
        <f>AVERAGEIF(Table1[Customer_ID], Table1[[#This Row],[Customer_ID]], Table1[Transaction_Amount])</f>
        <v>4568.2275925925924</v>
      </c>
      <c r="I857" t="s">
        <v>935</v>
      </c>
      <c r="J857" t="s">
        <v>36</v>
      </c>
      <c r="K857" t="s">
        <v>14</v>
      </c>
      <c r="L857">
        <v>5</v>
      </c>
      <c r="M857" t="s">
        <v>42</v>
      </c>
      <c r="N857" t="s">
        <v>32</v>
      </c>
      <c r="O857" t="s">
        <v>393</v>
      </c>
      <c r="P857" s="6" t="str">
        <f>IF(Table1[[#This Row],[Transaction_Amount]]&lt;=Table1[[#This Row],[avg_transaction_amount]], "usual transaction", "unusual transaction")</f>
        <v>unusual transaction</v>
      </c>
      <c r="Q857" s="6" t="str">
        <f>IF(AND(Table1[[#This Row],[Country_of_Residence]]&lt;&gt;Table1[[#This Row],[Country_of_Transaction]], OR(Table1[[#This Row],[Authentication_Type]]="Biometric", Table1[[#This Row],[Authentication_Type]]="OTP")), "safe location transaction", "unsafe location transaction")</f>
        <v>unsafe location transaction</v>
      </c>
      <c r="R857" s="6" t="str">
        <f>IF(AND(Table1[[#This Row],[Country_of_Residence]]&lt;&gt;Table1[[#This Row],[Country_of_Transaction]], OR(Table1[[#This Row],[Merchant_Category]]="Electronics", Table1[[#This Row],[Merchant_Category]]="Travel")), "unsafe merchant transaction", "safe merchant transaction")</f>
        <v>safe merchant transaction</v>
      </c>
    </row>
    <row r="858" spans="1:18">
      <c r="A858" t="s">
        <v>3364</v>
      </c>
      <c r="B858" t="s">
        <v>154</v>
      </c>
      <c r="C858">
        <v>1</v>
      </c>
      <c r="D858" t="s">
        <v>9</v>
      </c>
      <c r="E858" t="s">
        <v>3</v>
      </c>
      <c r="F858" s="2">
        <v>45828</v>
      </c>
      <c r="G858">
        <v>1123.01</v>
      </c>
      <c r="H858" s="1">
        <f>AVERAGEIF(Table1[Customer_ID], Table1[[#This Row],[Customer_ID]], Table1[Transaction_Amount])</f>
        <v>4568.2275925925924</v>
      </c>
      <c r="I858" t="s">
        <v>988</v>
      </c>
      <c r="J858" t="s">
        <v>31</v>
      </c>
      <c r="K858" t="s">
        <v>8</v>
      </c>
      <c r="L858">
        <v>0</v>
      </c>
      <c r="M858" t="s">
        <v>47</v>
      </c>
      <c r="N858" t="s">
        <v>32</v>
      </c>
      <c r="O858" t="s">
        <v>392</v>
      </c>
      <c r="P858" s="6" t="str">
        <f>IF(Table1[[#This Row],[Transaction_Amount]]&lt;=Table1[[#This Row],[avg_transaction_amount]], "usual transaction", "unusual transaction")</f>
        <v>usual transaction</v>
      </c>
      <c r="Q858" s="6" t="str">
        <f>IF(AND(Table1[[#This Row],[Country_of_Residence]]&lt;&gt;Table1[[#This Row],[Country_of_Transaction]], OR(Table1[[#This Row],[Authentication_Type]]="Biometric", Table1[[#This Row],[Authentication_Type]]="OTP")), "safe location transaction", "unsafe location transaction")</f>
        <v>safe location transaction</v>
      </c>
      <c r="R858" s="6" t="str">
        <f>IF(AND(Table1[[#This Row],[Country_of_Residence]]&lt;&gt;Table1[[#This Row],[Country_of_Transaction]], OR(Table1[[#This Row],[Merchant_Category]]="Electronics", Table1[[#This Row],[Merchant_Category]]="Travel")), "unsafe merchant transaction", "safe merchant transaction")</f>
        <v>safe merchant transaction</v>
      </c>
    </row>
    <row r="859" spans="1:18">
      <c r="A859" t="s">
        <v>3370</v>
      </c>
      <c r="B859" t="s">
        <v>154</v>
      </c>
      <c r="C859">
        <v>1</v>
      </c>
      <c r="D859" t="s">
        <v>15</v>
      </c>
      <c r="E859" t="s">
        <v>420</v>
      </c>
      <c r="F859" s="2">
        <v>45834</v>
      </c>
      <c r="G859">
        <v>5095.72</v>
      </c>
      <c r="H859" s="1">
        <f>AVERAGEIF(Table1[Customer_ID], Table1[[#This Row],[Customer_ID]], Table1[Transaction_Amount])</f>
        <v>4568.2275925925924</v>
      </c>
      <c r="I859" t="s">
        <v>994</v>
      </c>
      <c r="J859" t="s">
        <v>46</v>
      </c>
      <c r="K859" t="s">
        <v>10</v>
      </c>
      <c r="L859">
        <v>2</v>
      </c>
      <c r="M859" t="s">
        <v>55</v>
      </c>
      <c r="N859" t="s">
        <v>47</v>
      </c>
      <c r="O859" t="s">
        <v>393</v>
      </c>
      <c r="P859" s="6" t="str">
        <f>IF(Table1[[#This Row],[Transaction_Amount]]&lt;=Table1[[#This Row],[avg_transaction_amount]], "usual transaction", "unusual transaction")</f>
        <v>unusual transaction</v>
      </c>
      <c r="Q859" s="6" t="str">
        <f>IF(AND(Table1[[#This Row],[Country_of_Residence]]&lt;&gt;Table1[[#This Row],[Country_of_Transaction]], OR(Table1[[#This Row],[Authentication_Type]]="Biometric", Table1[[#This Row],[Authentication_Type]]="OTP")), "safe location transaction", "unsafe location transaction")</f>
        <v>safe location transaction</v>
      </c>
      <c r="R859" s="6" t="str">
        <f>IF(AND(Table1[[#This Row],[Country_of_Residence]]&lt;&gt;Table1[[#This Row],[Country_of_Transaction]], OR(Table1[[#This Row],[Merchant_Category]]="Electronics", Table1[[#This Row],[Merchant_Category]]="Travel")), "unsafe merchant transaction", "safe merchant transaction")</f>
        <v>safe merchant transaction</v>
      </c>
    </row>
    <row r="860" spans="1:18">
      <c r="A860" t="s">
        <v>3417</v>
      </c>
      <c r="B860" t="s">
        <v>154</v>
      </c>
      <c r="C860">
        <v>1</v>
      </c>
      <c r="D860" t="s">
        <v>15</v>
      </c>
      <c r="E860" t="s">
        <v>3</v>
      </c>
      <c r="F860" s="2">
        <v>45717</v>
      </c>
      <c r="G860">
        <v>6041.39</v>
      </c>
      <c r="H860" s="1">
        <f>AVERAGEIF(Table1[Customer_ID], Table1[[#This Row],[Customer_ID]], Table1[Transaction_Amount])</f>
        <v>4568.2275925925924</v>
      </c>
      <c r="I860" t="s">
        <v>1037</v>
      </c>
      <c r="J860" t="s">
        <v>36</v>
      </c>
      <c r="K860" t="s">
        <v>10</v>
      </c>
      <c r="L860">
        <v>4</v>
      </c>
      <c r="M860" t="s">
        <v>55</v>
      </c>
      <c r="N860" t="s">
        <v>56</v>
      </c>
      <c r="O860" t="s">
        <v>392</v>
      </c>
      <c r="P860" s="6" t="str">
        <f>IF(Table1[[#This Row],[Transaction_Amount]]&lt;=Table1[[#This Row],[avg_transaction_amount]], "usual transaction", "unusual transaction")</f>
        <v>unusual transaction</v>
      </c>
      <c r="Q860" s="6" t="str">
        <f>IF(AND(Table1[[#This Row],[Country_of_Residence]]&lt;&gt;Table1[[#This Row],[Country_of_Transaction]], OR(Table1[[#This Row],[Authentication_Type]]="Biometric", Table1[[#This Row],[Authentication_Type]]="OTP")), "safe location transaction", "unsafe location transaction")</f>
        <v>safe location transaction</v>
      </c>
      <c r="R860" s="6" t="str">
        <f>IF(AND(Table1[[#This Row],[Country_of_Residence]]&lt;&gt;Table1[[#This Row],[Country_of_Transaction]], OR(Table1[[#This Row],[Merchant_Category]]="Electronics", Table1[[#This Row],[Merchant_Category]]="Travel")), "unsafe merchant transaction", "safe merchant transaction")</f>
        <v>safe merchant transaction</v>
      </c>
    </row>
    <row r="861" spans="1:18">
      <c r="A861" t="s">
        <v>3553</v>
      </c>
      <c r="B861" t="s">
        <v>154</v>
      </c>
      <c r="C861">
        <v>1</v>
      </c>
      <c r="D861" t="s">
        <v>15</v>
      </c>
      <c r="E861" t="s">
        <v>420</v>
      </c>
      <c r="F861" s="2">
        <v>45858</v>
      </c>
      <c r="G861">
        <v>705.18</v>
      </c>
      <c r="H861" s="1">
        <f>AVERAGEIF(Table1[Customer_ID], Table1[[#This Row],[Customer_ID]], Table1[Transaction_Amount])</f>
        <v>4568.2275925925924</v>
      </c>
      <c r="I861" t="s">
        <v>1166</v>
      </c>
      <c r="J861" t="s">
        <v>46</v>
      </c>
      <c r="K861" t="s">
        <v>14</v>
      </c>
      <c r="L861">
        <v>3</v>
      </c>
      <c r="M861" t="s">
        <v>55</v>
      </c>
      <c r="N861" t="s">
        <v>42</v>
      </c>
      <c r="O861" t="s">
        <v>392</v>
      </c>
      <c r="P861" s="6" t="str">
        <f>IF(Table1[[#This Row],[Transaction_Amount]]&lt;=Table1[[#This Row],[avg_transaction_amount]], "usual transaction", "unusual transaction")</f>
        <v>usual transaction</v>
      </c>
      <c r="Q861" s="6" t="str">
        <f>IF(AND(Table1[[#This Row],[Country_of_Residence]]&lt;&gt;Table1[[#This Row],[Country_of_Transaction]], OR(Table1[[#This Row],[Authentication_Type]]="Biometric", Table1[[#This Row],[Authentication_Type]]="OTP")), "safe location transaction", "unsafe location transaction")</f>
        <v>unsafe location transaction</v>
      </c>
      <c r="R861" s="6" t="str">
        <f>IF(AND(Table1[[#This Row],[Country_of_Residence]]&lt;&gt;Table1[[#This Row],[Country_of_Transaction]], OR(Table1[[#This Row],[Merchant_Category]]="Electronics", Table1[[#This Row],[Merchant_Category]]="Travel")), "unsafe merchant transaction", "safe merchant transaction")</f>
        <v>safe merchant transaction</v>
      </c>
    </row>
    <row r="862" spans="1:18">
      <c r="A862" t="s">
        <v>3622</v>
      </c>
      <c r="B862" t="s">
        <v>154</v>
      </c>
      <c r="C862">
        <v>1</v>
      </c>
      <c r="D862" t="s">
        <v>15</v>
      </c>
      <c r="E862" t="s">
        <v>6</v>
      </c>
      <c r="F862" s="2">
        <v>45793</v>
      </c>
      <c r="G862">
        <v>1411.9</v>
      </c>
      <c r="H862" s="1">
        <f>AVERAGEIF(Table1[Customer_ID], Table1[[#This Row],[Customer_ID]], Table1[Transaction_Amount])</f>
        <v>4568.2275925925924</v>
      </c>
      <c r="I862" t="s">
        <v>1228</v>
      </c>
      <c r="J862" t="s">
        <v>36</v>
      </c>
      <c r="K862" t="s">
        <v>12</v>
      </c>
      <c r="L862">
        <v>5</v>
      </c>
      <c r="M862" t="s">
        <v>47</v>
      </c>
      <c r="N862" t="s">
        <v>37</v>
      </c>
      <c r="O862" t="s">
        <v>392</v>
      </c>
      <c r="P862" s="6" t="str">
        <f>IF(Table1[[#This Row],[Transaction_Amount]]&lt;=Table1[[#This Row],[avg_transaction_amount]], "usual transaction", "unusual transaction")</f>
        <v>usual transaction</v>
      </c>
      <c r="Q862" s="6" t="str">
        <f>IF(AND(Table1[[#This Row],[Country_of_Residence]]&lt;&gt;Table1[[#This Row],[Country_of_Transaction]], OR(Table1[[#This Row],[Authentication_Type]]="Biometric", Table1[[#This Row],[Authentication_Type]]="OTP")), "safe location transaction", "unsafe location transaction")</f>
        <v>unsafe location transaction</v>
      </c>
      <c r="R862" s="6" t="str">
        <f>IF(AND(Table1[[#This Row],[Country_of_Residence]]&lt;&gt;Table1[[#This Row],[Country_of_Transaction]], OR(Table1[[#This Row],[Merchant_Category]]="Electronics", Table1[[#This Row],[Merchant_Category]]="Travel")), "unsafe merchant transaction", "safe merchant transaction")</f>
        <v>safe merchant transaction</v>
      </c>
    </row>
    <row r="863" spans="1:18">
      <c r="A863" t="s">
        <v>3760</v>
      </c>
      <c r="B863" t="s">
        <v>154</v>
      </c>
      <c r="C863">
        <v>1</v>
      </c>
      <c r="D863" t="s">
        <v>9</v>
      </c>
      <c r="E863" t="s">
        <v>3</v>
      </c>
      <c r="F863" s="2">
        <v>45911</v>
      </c>
      <c r="G863">
        <v>5502.47</v>
      </c>
      <c r="H863" s="1">
        <f>AVERAGEIF(Table1[Customer_ID], Table1[[#This Row],[Customer_ID]], Table1[Transaction_Amount])</f>
        <v>4568.2275925925924</v>
      </c>
      <c r="I863" t="s">
        <v>1351</v>
      </c>
      <c r="J863" t="s">
        <v>46</v>
      </c>
      <c r="K863" t="s">
        <v>12</v>
      </c>
      <c r="L863">
        <v>3</v>
      </c>
      <c r="M863" t="s">
        <v>55</v>
      </c>
      <c r="N863" t="s">
        <v>42</v>
      </c>
      <c r="O863" t="s">
        <v>392</v>
      </c>
      <c r="P863" s="6" t="str">
        <f>IF(Table1[[#This Row],[Transaction_Amount]]&lt;=Table1[[#This Row],[avg_transaction_amount]], "usual transaction", "unusual transaction")</f>
        <v>unusual transaction</v>
      </c>
      <c r="Q863" s="6" t="str">
        <f>IF(AND(Table1[[#This Row],[Country_of_Residence]]&lt;&gt;Table1[[#This Row],[Country_of_Transaction]], OR(Table1[[#This Row],[Authentication_Type]]="Biometric", Table1[[#This Row],[Authentication_Type]]="OTP")), "safe location transaction", "unsafe location transaction")</f>
        <v>unsafe location transaction</v>
      </c>
      <c r="R863" s="6" t="str">
        <f>IF(AND(Table1[[#This Row],[Country_of_Residence]]&lt;&gt;Table1[[#This Row],[Country_of_Transaction]], OR(Table1[[#This Row],[Merchant_Category]]="Electronics", Table1[[#This Row],[Merchant_Category]]="Travel")), "unsafe merchant transaction", "safe merchant transaction")</f>
        <v>safe merchant transaction</v>
      </c>
    </row>
    <row r="864" spans="1:18">
      <c r="A864" t="s">
        <v>3869</v>
      </c>
      <c r="B864" t="s">
        <v>154</v>
      </c>
      <c r="C864">
        <v>1</v>
      </c>
      <c r="D864" t="s">
        <v>9</v>
      </c>
      <c r="E864" t="s">
        <v>6</v>
      </c>
      <c r="F864" s="2">
        <v>45792</v>
      </c>
      <c r="G864">
        <v>6288.06</v>
      </c>
      <c r="H864" s="1">
        <f>AVERAGEIF(Table1[Customer_ID], Table1[[#This Row],[Customer_ID]], Table1[Transaction_Amount])</f>
        <v>4568.2275925925924</v>
      </c>
      <c r="I864" t="s">
        <v>473</v>
      </c>
      <c r="J864" t="s">
        <v>36</v>
      </c>
      <c r="K864" t="s">
        <v>10</v>
      </c>
      <c r="L864">
        <v>2</v>
      </c>
      <c r="M864" t="s">
        <v>56</v>
      </c>
      <c r="N864" t="s">
        <v>412</v>
      </c>
      <c r="O864" t="s">
        <v>392</v>
      </c>
      <c r="P864" s="6" t="str">
        <f>IF(Table1[[#This Row],[Transaction_Amount]]&lt;=Table1[[#This Row],[avg_transaction_amount]], "usual transaction", "unusual transaction")</f>
        <v>unusual transaction</v>
      </c>
      <c r="Q864" s="6" t="str">
        <f>IF(AND(Table1[[#This Row],[Country_of_Residence]]&lt;&gt;Table1[[#This Row],[Country_of_Transaction]], OR(Table1[[#This Row],[Authentication_Type]]="Biometric", Table1[[#This Row],[Authentication_Type]]="OTP")), "safe location transaction", "unsafe location transaction")</f>
        <v>safe location transaction</v>
      </c>
      <c r="R864" s="6" t="str">
        <f>IF(AND(Table1[[#This Row],[Country_of_Residence]]&lt;&gt;Table1[[#This Row],[Country_of_Transaction]], OR(Table1[[#This Row],[Merchant_Category]]="Electronics", Table1[[#This Row],[Merchant_Category]]="Travel")), "unsafe merchant transaction", "safe merchant transaction")</f>
        <v>safe merchant transaction</v>
      </c>
    </row>
    <row r="865" spans="1:18">
      <c r="A865" t="s">
        <v>3894</v>
      </c>
      <c r="B865" t="s">
        <v>154</v>
      </c>
      <c r="C865">
        <v>1</v>
      </c>
      <c r="D865" t="s">
        <v>15</v>
      </c>
      <c r="E865" t="s">
        <v>6</v>
      </c>
      <c r="F865" s="2">
        <v>45985</v>
      </c>
      <c r="G865">
        <v>4576.6899999999996</v>
      </c>
      <c r="H865" s="1">
        <f>AVERAGEIF(Table1[Customer_ID], Table1[[#This Row],[Customer_ID]], Table1[Transaction_Amount])</f>
        <v>4568.2275925925924</v>
      </c>
      <c r="I865" t="s">
        <v>1462</v>
      </c>
      <c r="J865" t="s">
        <v>31</v>
      </c>
      <c r="K865" t="s">
        <v>8</v>
      </c>
      <c r="L865">
        <v>1</v>
      </c>
      <c r="M865" t="s">
        <v>412</v>
      </c>
      <c r="N865" t="s">
        <v>37</v>
      </c>
      <c r="O865" t="s">
        <v>393</v>
      </c>
      <c r="P865" s="6" t="str">
        <f>IF(Table1[[#This Row],[Transaction_Amount]]&lt;=Table1[[#This Row],[avg_transaction_amount]], "usual transaction", "unusual transaction")</f>
        <v>unusual transaction</v>
      </c>
      <c r="Q865" s="6" t="str">
        <f>IF(AND(Table1[[#This Row],[Country_of_Residence]]&lt;&gt;Table1[[#This Row],[Country_of_Transaction]], OR(Table1[[#This Row],[Authentication_Type]]="Biometric", Table1[[#This Row],[Authentication_Type]]="OTP")), "safe location transaction", "unsafe location transaction")</f>
        <v>safe location transaction</v>
      </c>
      <c r="R865" s="6" t="str">
        <f>IF(AND(Table1[[#This Row],[Country_of_Residence]]&lt;&gt;Table1[[#This Row],[Country_of_Transaction]], OR(Table1[[#This Row],[Merchant_Category]]="Electronics", Table1[[#This Row],[Merchant_Category]]="Travel")), "unsafe merchant transaction", "safe merchant transaction")</f>
        <v>safe merchant transaction</v>
      </c>
    </row>
    <row r="866" spans="1:18">
      <c r="A866" t="s">
        <v>3908</v>
      </c>
      <c r="B866" t="s">
        <v>154</v>
      </c>
      <c r="C866">
        <v>1</v>
      </c>
      <c r="D866" t="s">
        <v>15</v>
      </c>
      <c r="E866" t="s">
        <v>5</v>
      </c>
      <c r="F866" s="2">
        <v>45869</v>
      </c>
      <c r="G866">
        <v>4670.26</v>
      </c>
      <c r="H866" s="1">
        <f>AVERAGEIF(Table1[Customer_ID], Table1[[#This Row],[Customer_ID]], Table1[Transaction_Amount])</f>
        <v>4568.2275925925924</v>
      </c>
      <c r="I866" t="s">
        <v>1473</v>
      </c>
      <c r="J866" t="s">
        <v>36</v>
      </c>
      <c r="K866" t="s">
        <v>14</v>
      </c>
      <c r="L866">
        <v>2</v>
      </c>
      <c r="M866" t="s">
        <v>32</v>
      </c>
      <c r="N866" t="s">
        <v>55</v>
      </c>
      <c r="O866" t="s">
        <v>392</v>
      </c>
      <c r="P866" s="6" t="str">
        <f>IF(Table1[[#This Row],[Transaction_Amount]]&lt;=Table1[[#This Row],[avg_transaction_amount]], "usual transaction", "unusual transaction")</f>
        <v>unusual transaction</v>
      </c>
      <c r="Q866" s="6" t="str">
        <f>IF(AND(Table1[[#This Row],[Country_of_Residence]]&lt;&gt;Table1[[#This Row],[Country_of_Transaction]], OR(Table1[[#This Row],[Authentication_Type]]="Biometric", Table1[[#This Row],[Authentication_Type]]="OTP")), "safe location transaction", "unsafe location transaction")</f>
        <v>unsafe location transaction</v>
      </c>
      <c r="R866" s="6" t="str">
        <f>IF(AND(Table1[[#This Row],[Country_of_Residence]]&lt;&gt;Table1[[#This Row],[Country_of_Transaction]], OR(Table1[[#This Row],[Merchant_Category]]="Electronics", Table1[[#This Row],[Merchant_Category]]="Travel")), "unsafe merchant transaction", "safe merchant transaction")</f>
        <v>safe merchant transaction</v>
      </c>
    </row>
    <row r="867" spans="1:18">
      <c r="A867" t="s">
        <v>4005</v>
      </c>
      <c r="B867" t="s">
        <v>154</v>
      </c>
      <c r="C867">
        <v>1</v>
      </c>
      <c r="D867" t="s">
        <v>9</v>
      </c>
      <c r="E867" t="s">
        <v>3</v>
      </c>
      <c r="F867" s="2">
        <v>45673</v>
      </c>
      <c r="G867">
        <v>5896.73</v>
      </c>
      <c r="H867" s="1">
        <f>AVERAGEIF(Table1[Customer_ID], Table1[[#This Row],[Customer_ID]], Table1[Transaction_Amount])</f>
        <v>4568.2275925925924</v>
      </c>
      <c r="I867" t="s">
        <v>1563</v>
      </c>
      <c r="J867" t="s">
        <v>46</v>
      </c>
      <c r="K867" t="s">
        <v>10</v>
      </c>
      <c r="L867">
        <v>0</v>
      </c>
      <c r="M867" t="s">
        <v>33</v>
      </c>
      <c r="N867" t="s">
        <v>56</v>
      </c>
      <c r="O867" t="s">
        <v>393</v>
      </c>
      <c r="P867" s="6" t="str">
        <f>IF(Table1[[#This Row],[Transaction_Amount]]&lt;=Table1[[#This Row],[avg_transaction_amount]], "usual transaction", "unusual transaction")</f>
        <v>unusual transaction</v>
      </c>
      <c r="Q867" s="6" t="str">
        <f>IF(AND(Table1[[#This Row],[Country_of_Residence]]&lt;&gt;Table1[[#This Row],[Country_of_Transaction]], OR(Table1[[#This Row],[Authentication_Type]]="Biometric", Table1[[#This Row],[Authentication_Type]]="OTP")), "safe location transaction", "unsafe location transaction")</f>
        <v>safe location transaction</v>
      </c>
      <c r="R867" s="6" t="str">
        <f>IF(AND(Table1[[#This Row],[Country_of_Residence]]&lt;&gt;Table1[[#This Row],[Country_of_Transaction]], OR(Table1[[#This Row],[Merchant_Category]]="Electronics", Table1[[#This Row],[Merchant_Category]]="Travel")), "unsafe merchant transaction", "safe merchant transaction")</f>
        <v>safe merchant transaction</v>
      </c>
    </row>
    <row r="868" spans="1:18">
      <c r="A868" t="s">
        <v>4023</v>
      </c>
      <c r="B868" t="s">
        <v>154</v>
      </c>
      <c r="C868">
        <v>1</v>
      </c>
      <c r="D868" t="s">
        <v>9</v>
      </c>
      <c r="E868" t="s">
        <v>3</v>
      </c>
      <c r="F868" s="2">
        <v>45739</v>
      </c>
      <c r="G868">
        <v>4328.1099999999997</v>
      </c>
      <c r="H868" s="1">
        <f>AVERAGEIF(Table1[Customer_ID], Table1[[#This Row],[Customer_ID]], Table1[Transaction_Amount])</f>
        <v>4568.2275925925924</v>
      </c>
      <c r="I868" t="s">
        <v>1579</v>
      </c>
      <c r="J868" t="s">
        <v>50</v>
      </c>
      <c r="K868" t="s">
        <v>10</v>
      </c>
      <c r="L868">
        <v>4</v>
      </c>
      <c r="M868" t="s">
        <v>55</v>
      </c>
      <c r="N868" t="s">
        <v>33</v>
      </c>
      <c r="O868" t="s">
        <v>393</v>
      </c>
      <c r="P868" s="6" t="str">
        <f>IF(Table1[[#This Row],[Transaction_Amount]]&lt;=Table1[[#This Row],[avg_transaction_amount]], "usual transaction", "unusual transaction")</f>
        <v>usual transaction</v>
      </c>
      <c r="Q868" s="6" t="str">
        <f>IF(AND(Table1[[#This Row],[Country_of_Residence]]&lt;&gt;Table1[[#This Row],[Country_of_Transaction]], OR(Table1[[#This Row],[Authentication_Type]]="Biometric", Table1[[#This Row],[Authentication_Type]]="OTP")), "safe location transaction", "unsafe location transaction")</f>
        <v>safe location transaction</v>
      </c>
      <c r="R868" s="6" t="str">
        <f>IF(AND(Table1[[#This Row],[Country_of_Residence]]&lt;&gt;Table1[[#This Row],[Country_of_Transaction]], OR(Table1[[#This Row],[Merchant_Category]]="Electronics", Table1[[#This Row],[Merchant_Category]]="Travel")), "unsafe merchant transaction", "safe merchant transaction")</f>
        <v>unsafe merchant transaction</v>
      </c>
    </row>
    <row r="869" spans="1:18">
      <c r="A869" t="s">
        <v>4052</v>
      </c>
      <c r="B869" t="s">
        <v>154</v>
      </c>
      <c r="C869">
        <v>1</v>
      </c>
      <c r="D869" t="s">
        <v>9</v>
      </c>
      <c r="E869" t="s">
        <v>6</v>
      </c>
      <c r="F869" s="2">
        <v>45953</v>
      </c>
      <c r="G869">
        <v>8972.23</v>
      </c>
      <c r="H869" s="1">
        <f>AVERAGEIF(Table1[Customer_ID], Table1[[#This Row],[Customer_ID]], Table1[Transaction_Amount])</f>
        <v>4568.2275925925924</v>
      </c>
      <c r="I869" t="s">
        <v>1606</v>
      </c>
      <c r="J869" t="s">
        <v>50</v>
      </c>
      <c r="K869" t="s">
        <v>14</v>
      </c>
      <c r="L869">
        <v>2</v>
      </c>
      <c r="M869" t="s">
        <v>56</v>
      </c>
      <c r="N869" t="s">
        <v>32</v>
      </c>
      <c r="O869" t="s">
        <v>393</v>
      </c>
      <c r="P869" s="6" t="str">
        <f>IF(Table1[[#This Row],[Transaction_Amount]]&lt;=Table1[[#This Row],[avg_transaction_amount]], "usual transaction", "unusual transaction")</f>
        <v>unusual transaction</v>
      </c>
      <c r="Q869" s="6" t="str">
        <f>IF(AND(Table1[[#This Row],[Country_of_Residence]]&lt;&gt;Table1[[#This Row],[Country_of_Transaction]], OR(Table1[[#This Row],[Authentication_Type]]="Biometric", Table1[[#This Row],[Authentication_Type]]="OTP")), "safe location transaction", "unsafe location transaction")</f>
        <v>unsafe location transaction</v>
      </c>
      <c r="R869" s="6" t="str">
        <f>IF(AND(Table1[[#This Row],[Country_of_Residence]]&lt;&gt;Table1[[#This Row],[Country_of_Transaction]], OR(Table1[[#This Row],[Merchant_Category]]="Electronics", Table1[[#This Row],[Merchant_Category]]="Travel")), "unsafe merchant transaction", "safe merchant transaction")</f>
        <v>unsafe merchant transaction</v>
      </c>
    </row>
    <row r="870" spans="1:18">
      <c r="A870" t="s">
        <v>4087</v>
      </c>
      <c r="B870" t="s">
        <v>154</v>
      </c>
      <c r="C870">
        <v>1</v>
      </c>
      <c r="D870" t="s">
        <v>9</v>
      </c>
      <c r="E870" t="s">
        <v>6</v>
      </c>
      <c r="F870" s="2">
        <v>45715</v>
      </c>
      <c r="G870">
        <v>3725.3</v>
      </c>
      <c r="H870" s="1">
        <f>AVERAGEIF(Table1[Customer_ID], Table1[[#This Row],[Customer_ID]], Table1[Transaction_Amount])</f>
        <v>4568.2275925925924</v>
      </c>
      <c r="I870" t="s">
        <v>1631</v>
      </c>
      <c r="J870" t="s">
        <v>31</v>
      </c>
      <c r="K870" t="s">
        <v>14</v>
      </c>
      <c r="L870">
        <v>5</v>
      </c>
      <c r="M870" t="s">
        <v>33</v>
      </c>
      <c r="N870" t="s">
        <v>412</v>
      </c>
      <c r="O870" t="s">
        <v>392</v>
      </c>
      <c r="P870" s="6" t="str">
        <f>IF(Table1[[#This Row],[Transaction_Amount]]&lt;=Table1[[#This Row],[avg_transaction_amount]], "usual transaction", "unusual transaction")</f>
        <v>usual transaction</v>
      </c>
      <c r="Q870" s="6" t="str">
        <f>IF(AND(Table1[[#This Row],[Country_of_Residence]]&lt;&gt;Table1[[#This Row],[Country_of_Transaction]], OR(Table1[[#This Row],[Authentication_Type]]="Biometric", Table1[[#This Row],[Authentication_Type]]="OTP")), "safe location transaction", "unsafe location transaction")</f>
        <v>unsafe location transaction</v>
      </c>
      <c r="R870" s="6" t="str">
        <f>IF(AND(Table1[[#This Row],[Country_of_Residence]]&lt;&gt;Table1[[#This Row],[Country_of_Transaction]], OR(Table1[[#This Row],[Merchant_Category]]="Electronics", Table1[[#This Row],[Merchant_Category]]="Travel")), "unsafe merchant transaction", "safe merchant transaction")</f>
        <v>safe merchant transaction</v>
      </c>
    </row>
    <row r="871" spans="1:18">
      <c r="A871" t="s">
        <v>4254</v>
      </c>
      <c r="B871" t="s">
        <v>154</v>
      </c>
      <c r="C871">
        <v>1</v>
      </c>
      <c r="D871" t="s">
        <v>9</v>
      </c>
      <c r="E871" t="s">
        <v>3</v>
      </c>
      <c r="F871" s="2">
        <v>46000</v>
      </c>
      <c r="G871">
        <v>6984.05</v>
      </c>
      <c r="H871" s="1">
        <f>AVERAGEIF(Table1[Customer_ID], Table1[[#This Row],[Customer_ID]], Table1[Transaction_Amount])</f>
        <v>4568.2275925925924</v>
      </c>
      <c r="I871" t="s">
        <v>1769</v>
      </c>
      <c r="J871" t="s">
        <v>31</v>
      </c>
      <c r="K871" t="s">
        <v>8</v>
      </c>
      <c r="L871">
        <v>2</v>
      </c>
      <c r="M871" t="s">
        <v>412</v>
      </c>
      <c r="N871" t="s">
        <v>55</v>
      </c>
      <c r="O871" t="s">
        <v>392</v>
      </c>
      <c r="P871" s="6" t="str">
        <f>IF(Table1[[#This Row],[Transaction_Amount]]&lt;=Table1[[#This Row],[avg_transaction_amount]], "usual transaction", "unusual transaction")</f>
        <v>unusual transaction</v>
      </c>
      <c r="Q871" s="6" t="str">
        <f>IF(AND(Table1[[#This Row],[Country_of_Residence]]&lt;&gt;Table1[[#This Row],[Country_of_Transaction]], OR(Table1[[#This Row],[Authentication_Type]]="Biometric", Table1[[#This Row],[Authentication_Type]]="OTP")), "safe location transaction", "unsafe location transaction")</f>
        <v>safe location transaction</v>
      </c>
      <c r="R871" s="6" t="str">
        <f>IF(AND(Table1[[#This Row],[Country_of_Residence]]&lt;&gt;Table1[[#This Row],[Country_of_Transaction]], OR(Table1[[#This Row],[Merchant_Category]]="Electronics", Table1[[#This Row],[Merchant_Category]]="Travel")), "unsafe merchant transaction", "safe merchant transaction")</f>
        <v>safe merchant transaction</v>
      </c>
    </row>
    <row r="872" spans="1:18">
      <c r="A872" t="s">
        <v>4319</v>
      </c>
      <c r="B872" t="s">
        <v>154</v>
      </c>
      <c r="C872">
        <v>1</v>
      </c>
      <c r="D872" t="s">
        <v>9</v>
      </c>
      <c r="E872" t="s">
        <v>5</v>
      </c>
      <c r="F872" s="2">
        <v>45726</v>
      </c>
      <c r="G872">
        <v>9587.33</v>
      </c>
      <c r="H872" s="1">
        <f>AVERAGEIF(Table1[Customer_ID], Table1[[#This Row],[Customer_ID]], Table1[Transaction_Amount])</f>
        <v>4568.2275925925924</v>
      </c>
      <c r="I872" t="s">
        <v>1827</v>
      </c>
      <c r="J872" t="s">
        <v>50</v>
      </c>
      <c r="K872" t="s">
        <v>10</v>
      </c>
      <c r="L872">
        <v>1</v>
      </c>
      <c r="M872" t="s">
        <v>56</v>
      </c>
      <c r="N872" t="s">
        <v>412</v>
      </c>
      <c r="O872" t="s">
        <v>392</v>
      </c>
      <c r="P872" s="6" t="str">
        <f>IF(Table1[[#This Row],[Transaction_Amount]]&lt;=Table1[[#This Row],[avg_transaction_amount]], "usual transaction", "unusual transaction")</f>
        <v>unusual transaction</v>
      </c>
      <c r="Q872" s="6" t="str">
        <f>IF(AND(Table1[[#This Row],[Country_of_Residence]]&lt;&gt;Table1[[#This Row],[Country_of_Transaction]], OR(Table1[[#This Row],[Authentication_Type]]="Biometric", Table1[[#This Row],[Authentication_Type]]="OTP")), "safe location transaction", "unsafe location transaction")</f>
        <v>safe location transaction</v>
      </c>
      <c r="R872" s="6" t="str">
        <f>IF(AND(Table1[[#This Row],[Country_of_Residence]]&lt;&gt;Table1[[#This Row],[Country_of_Transaction]], OR(Table1[[#This Row],[Merchant_Category]]="Electronics", Table1[[#This Row],[Merchant_Category]]="Travel")), "unsafe merchant transaction", "safe merchant transaction")</f>
        <v>unsafe merchant transaction</v>
      </c>
    </row>
    <row r="873" spans="1:18">
      <c r="A873" t="s">
        <v>4342</v>
      </c>
      <c r="B873" t="s">
        <v>154</v>
      </c>
      <c r="C873">
        <v>1</v>
      </c>
      <c r="D873" t="s">
        <v>15</v>
      </c>
      <c r="E873" t="s">
        <v>3</v>
      </c>
      <c r="F873" s="2">
        <v>45894</v>
      </c>
      <c r="G873">
        <v>1408.79</v>
      </c>
      <c r="H873" s="1">
        <f>AVERAGEIF(Table1[Customer_ID], Table1[[#This Row],[Customer_ID]], Table1[Transaction_Amount])</f>
        <v>4568.2275925925924</v>
      </c>
      <c r="I873" t="s">
        <v>1848</v>
      </c>
      <c r="J873" t="s">
        <v>31</v>
      </c>
      <c r="K873" t="s">
        <v>12</v>
      </c>
      <c r="L873">
        <v>0</v>
      </c>
      <c r="M873" t="s">
        <v>47</v>
      </c>
      <c r="N873" t="s">
        <v>42</v>
      </c>
      <c r="O873" t="s">
        <v>392</v>
      </c>
      <c r="P873" s="6" t="str">
        <f>IF(Table1[[#This Row],[Transaction_Amount]]&lt;=Table1[[#This Row],[avg_transaction_amount]], "usual transaction", "unusual transaction")</f>
        <v>usual transaction</v>
      </c>
      <c r="Q873" s="6" t="str">
        <f>IF(AND(Table1[[#This Row],[Country_of_Residence]]&lt;&gt;Table1[[#This Row],[Country_of_Transaction]], OR(Table1[[#This Row],[Authentication_Type]]="Biometric", Table1[[#This Row],[Authentication_Type]]="OTP")), "safe location transaction", "unsafe location transaction")</f>
        <v>unsafe location transaction</v>
      </c>
      <c r="R873" s="6" t="str">
        <f>IF(AND(Table1[[#This Row],[Country_of_Residence]]&lt;&gt;Table1[[#This Row],[Country_of_Transaction]], OR(Table1[[#This Row],[Merchant_Category]]="Electronics", Table1[[#This Row],[Merchant_Category]]="Travel")), "unsafe merchant transaction", "safe merchant transaction")</f>
        <v>safe merchant transaction</v>
      </c>
    </row>
    <row r="874" spans="1:18">
      <c r="A874" t="s">
        <v>4357</v>
      </c>
      <c r="B874" t="s">
        <v>154</v>
      </c>
      <c r="C874">
        <v>1</v>
      </c>
      <c r="D874" t="s">
        <v>9</v>
      </c>
      <c r="E874" t="s">
        <v>420</v>
      </c>
      <c r="F874" s="2">
        <v>45974</v>
      </c>
      <c r="G874">
        <v>1431.69</v>
      </c>
      <c r="H874" s="1">
        <f>AVERAGEIF(Table1[Customer_ID], Table1[[#This Row],[Customer_ID]], Table1[Transaction_Amount])</f>
        <v>4568.2275925925924</v>
      </c>
      <c r="I874" t="s">
        <v>1860</v>
      </c>
      <c r="J874" t="s">
        <v>31</v>
      </c>
      <c r="K874" t="s">
        <v>14</v>
      </c>
      <c r="L874">
        <v>2</v>
      </c>
      <c r="M874" t="s">
        <v>33</v>
      </c>
      <c r="N874" t="s">
        <v>32</v>
      </c>
      <c r="O874" t="s">
        <v>393</v>
      </c>
      <c r="P874" s="6" t="str">
        <f>IF(Table1[[#This Row],[Transaction_Amount]]&lt;=Table1[[#This Row],[avg_transaction_amount]], "usual transaction", "unusual transaction")</f>
        <v>usual transaction</v>
      </c>
      <c r="Q874" s="6" t="str">
        <f>IF(AND(Table1[[#This Row],[Country_of_Residence]]&lt;&gt;Table1[[#This Row],[Country_of_Transaction]], OR(Table1[[#This Row],[Authentication_Type]]="Biometric", Table1[[#This Row],[Authentication_Type]]="OTP")), "safe location transaction", "unsafe location transaction")</f>
        <v>unsafe location transaction</v>
      </c>
      <c r="R874" s="6" t="str">
        <f>IF(AND(Table1[[#This Row],[Country_of_Residence]]&lt;&gt;Table1[[#This Row],[Country_of_Transaction]], OR(Table1[[#This Row],[Merchant_Category]]="Electronics", Table1[[#This Row],[Merchant_Category]]="Travel")), "unsafe merchant transaction", "safe merchant transaction")</f>
        <v>safe merchant transaction</v>
      </c>
    </row>
    <row r="875" spans="1:18">
      <c r="A875" t="s">
        <v>4508</v>
      </c>
      <c r="B875" t="s">
        <v>154</v>
      </c>
      <c r="C875">
        <v>1</v>
      </c>
      <c r="D875" t="s">
        <v>9</v>
      </c>
      <c r="E875" t="s">
        <v>3</v>
      </c>
      <c r="F875" s="2">
        <v>45844</v>
      </c>
      <c r="G875">
        <v>3300.83</v>
      </c>
      <c r="H875" s="1">
        <f>AVERAGEIF(Table1[Customer_ID], Table1[[#This Row],[Customer_ID]], Table1[Transaction_Amount])</f>
        <v>4568.2275925925924</v>
      </c>
      <c r="I875" t="s">
        <v>1993</v>
      </c>
      <c r="J875" t="s">
        <v>46</v>
      </c>
      <c r="K875" t="s">
        <v>8</v>
      </c>
      <c r="L875">
        <v>0</v>
      </c>
      <c r="M875" t="s">
        <v>33</v>
      </c>
      <c r="N875" t="s">
        <v>37</v>
      </c>
      <c r="O875" t="s">
        <v>392</v>
      </c>
      <c r="P875" s="6" t="str">
        <f>IF(Table1[[#This Row],[Transaction_Amount]]&lt;=Table1[[#This Row],[avg_transaction_amount]], "usual transaction", "unusual transaction")</f>
        <v>usual transaction</v>
      </c>
      <c r="Q875" s="6" t="str">
        <f>IF(AND(Table1[[#This Row],[Country_of_Residence]]&lt;&gt;Table1[[#This Row],[Country_of_Transaction]], OR(Table1[[#This Row],[Authentication_Type]]="Biometric", Table1[[#This Row],[Authentication_Type]]="OTP")), "safe location transaction", "unsafe location transaction")</f>
        <v>safe location transaction</v>
      </c>
      <c r="R875" s="6" t="str">
        <f>IF(AND(Table1[[#This Row],[Country_of_Residence]]&lt;&gt;Table1[[#This Row],[Country_of_Transaction]], OR(Table1[[#This Row],[Merchant_Category]]="Electronics", Table1[[#This Row],[Merchant_Category]]="Travel")), "unsafe merchant transaction", "safe merchant transaction")</f>
        <v>safe merchant transaction</v>
      </c>
    </row>
    <row r="876" spans="1:18">
      <c r="A876" t="s">
        <v>4523</v>
      </c>
      <c r="B876" t="s">
        <v>154</v>
      </c>
      <c r="C876">
        <v>1</v>
      </c>
      <c r="D876" t="s">
        <v>9</v>
      </c>
      <c r="E876" t="s">
        <v>3</v>
      </c>
      <c r="F876" s="2">
        <v>45935</v>
      </c>
      <c r="G876">
        <v>9938.51</v>
      </c>
      <c r="H876" s="1">
        <f>AVERAGEIF(Table1[Customer_ID], Table1[[#This Row],[Customer_ID]], Table1[Transaction_Amount])</f>
        <v>4568.2275925925924</v>
      </c>
      <c r="I876" t="s">
        <v>1172</v>
      </c>
      <c r="J876" t="s">
        <v>31</v>
      </c>
      <c r="K876" t="s">
        <v>10</v>
      </c>
      <c r="L876">
        <v>4</v>
      </c>
      <c r="M876" t="s">
        <v>42</v>
      </c>
      <c r="N876" t="s">
        <v>42</v>
      </c>
      <c r="O876" t="s">
        <v>392</v>
      </c>
      <c r="P876" s="6" t="str">
        <f>IF(Table1[[#This Row],[Transaction_Amount]]&lt;=Table1[[#This Row],[avg_transaction_amount]], "usual transaction", "unusual transaction")</f>
        <v>unusual transaction</v>
      </c>
      <c r="Q876" s="6" t="str">
        <f>IF(AND(Table1[[#This Row],[Country_of_Residence]]&lt;&gt;Table1[[#This Row],[Country_of_Transaction]], OR(Table1[[#This Row],[Authentication_Type]]="Biometric", Table1[[#This Row],[Authentication_Type]]="OTP")), "safe location transaction", "unsafe location transaction")</f>
        <v>unsafe location transaction</v>
      </c>
      <c r="R876" s="6" t="str">
        <f>IF(AND(Table1[[#This Row],[Country_of_Residence]]&lt;&gt;Table1[[#This Row],[Country_of_Transaction]], OR(Table1[[#This Row],[Merchant_Category]]="Electronics", Table1[[#This Row],[Merchant_Category]]="Travel")), "unsafe merchant transaction", "safe merchant transaction")</f>
        <v>safe merchant transaction</v>
      </c>
    </row>
    <row r="877" spans="1:18">
      <c r="A877" t="s">
        <v>4549</v>
      </c>
      <c r="B877" t="s">
        <v>154</v>
      </c>
      <c r="C877">
        <v>1</v>
      </c>
      <c r="D877" t="s">
        <v>9</v>
      </c>
      <c r="E877" t="s">
        <v>5</v>
      </c>
      <c r="F877" s="2">
        <v>45736</v>
      </c>
      <c r="G877">
        <v>4111.68</v>
      </c>
      <c r="H877" s="1">
        <f>AVERAGEIF(Table1[Customer_ID], Table1[[#This Row],[Customer_ID]], Table1[Transaction_Amount])</f>
        <v>4568.2275925925924</v>
      </c>
      <c r="I877" t="s">
        <v>1839</v>
      </c>
      <c r="J877" t="s">
        <v>36</v>
      </c>
      <c r="K877" t="s">
        <v>10</v>
      </c>
      <c r="L877">
        <v>1</v>
      </c>
      <c r="M877" t="s">
        <v>412</v>
      </c>
      <c r="N877" t="s">
        <v>51</v>
      </c>
      <c r="O877" t="s">
        <v>392</v>
      </c>
      <c r="P877" s="6" t="str">
        <f>IF(Table1[[#This Row],[Transaction_Amount]]&lt;=Table1[[#This Row],[avg_transaction_amount]], "usual transaction", "unusual transaction")</f>
        <v>usual transaction</v>
      </c>
      <c r="Q877" s="6" t="str">
        <f>IF(AND(Table1[[#This Row],[Country_of_Residence]]&lt;&gt;Table1[[#This Row],[Country_of_Transaction]], OR(Table1[[#This Row],[Authentication_Type]]="Biometric", Table1[[#This Row],[Authentication_Type]]="OTP")), "safe location transaction", "unsafe location transaction")</f>
        <v>safe location transaction</v>
      </c>
      <c r="R877" s="6" t="str">
        <f>IF(AND(Table1[[#This Row],[Country_of_Residence]]&lt;&gt;Table1[[#This Row],[Country_of_Transaction]], OR(Table1[[#This Row],[Merchant_Category]]="Electronics", Table1[[#This Row],[Merchant_Category]]="Travel")), "unsafe merchant transaction", "safe merchant transaction")</f>
        <v>safe merchant transaction</v>
      </c>
    </row>
    <row r="878" spans="1:18">
      <c r="A878" t="s">
        <v>4596</v>
      </c>
      <c r="B878" t="s">
        <v>154</v>
      </c>
      <c r="C878">
        <v>1</v>
      </c>
      <c r="D878" t="s">
        <v>15</v>
      </c>
      <c r="E878" t="s">
        <v>5</v>
      </c>
      <c r="F878" s="2">
        <v>45705</v>
      </c>
      <c r="G878">
        <v>903.45</v>
      </c>
      <c r="H878" s="1">
        <f>AVERAGEIF(Table1[Customer_ID], Table1[[#This Row],[Customer_ID]], Table1[Transaction_Amount])</f>
        <v>4568.2275925925924</v>
      </c>
      <c r="I878" t="s">
        <v>2064</v>
      </c>
      <c r="J878" t="s">
        <v>46</v>
      </c>
      <c r="K878" t="s">
        <v>8</v>
      </c>
      <c r="L878">
        <v>3</v>
      </c>
      <c r="M878" t="s">
        <v>33</v>
      </c>
      <c r="N878" t="s">
        <v>56</v>
      </c>
      <c r="O878" t="s">
        <v>392</v>
      </c>
      <c r="P878" s="6" t="str">
        <f>IF(Table1[[#This Row],[Transaction_Amount]]&lt;=Table1[[#This Row],[avg_transaction_amount]], "usual transaction", "unusual transaction")</f>
        <v>usual transaction</v>
      </c>
      <c r="Q878" s="6" t="str">
        <f>IF(AND(Table1[[#This Row],[Country_of_Residence]]&lt;&gt;Table1[[#This Row],[Country_of_Transaction]], OR(Table1[[#This Row],[Authentication_Type]]="Biometric", Table1[[#This Row],[Authentication_Type]]="OTP")), "safe location transaction", "unsafe location transaction")</f>
        <v>safe location transaction</v>
      </c>
      <c r="R878" s="6" t="str">
        <f>IF(AND(Table1[[#This Row],[Country_of_Residence]]&lt;&gt;Table1[[#This Row],[Country_of_Transaction]], OR(Table1[[#This Row],[Merchant_Category]]="Electronics", Table1[[#This Row],[Merchant_Category]]="Travel")), "unsafe merchant transaction", "safe merchant transaction")</f>
        <v>safe merchant transaction</v>
      </c>
    </row>
    <row r="879" spans="1:18">
      <c r="A879" t="s">
        <v>4602</v>
      </c>
      <c r="B879" t="s">
        <v>154</v>
      </c>
      <c r="C879">
        <v>1</v>
      </c>
      <c r="D879" t="s">
        <v>15</v>
      </c>
      <c r="E879" t="s">
        <v>6</v>
      </c>
      <c r="F879" s="2">
        <v>45727</v>
      </c>
      <c r="G879">
        <v>2097.7800000000002</v>
      </c>
      <c r="H879" s="1">
        <f>AVERAGEIF(Table1[Customer_ID], Table1[[#This Row],[Customer_ID]], Table1[Transaction_Amount])</f>
        <v>4568.2275925925924</v>
      </c>
      <c r="I879" t="s">
        <v>2069</v>
      </c>
      <c r="J879" t="s">
        <v>31</v>
      </c>
      <c r="K879" t="s">
        <v>10</v>
      </c>
      <c r="L879">
        <v>2</v>
      </c>
      <c r="M879" t="s">
        <v>55</v>
      </c>
      <c r="N879" t="s">
        <v>42</v>
      </c>
      <c r="O879" t="s">
        <v>392</v>
      </c>
      <c r="P879" s="6" t="str">
        <f>IF(Table1[[#This Row],[Transaction_Amount]]&lt;=Table1[[#This Row],[avg_transaction_amount]], "usual transaction", "unusual transaction")</f>
        <v>usual transaction</v>
      </c>
      <c r="Q879" s="6" t="str">
        <f>IF(AND(Table1[[#This Row],[Country_of_Residence]]&lt;&gt;Table1[[#This Row],[Country_of_Transaction]], OR(Table1[[#This Row],[Authentication_Type]]="Biometric", Table1[[#This Row],[Authentication_Type]]="OTP")), "safe location transaction", "unsafe location transaction")</f>
        <v>safe location transaction</v>
      </c>
      <c r="R879" s="6" t="str">
        <f>IF(AND(Table1[[#This Row],[Country_of_Residence]]&lt;&gt;Table1[[#This Row],[Country_of_Transaction]], OR(Table1[[#This Row],[Merchant_Category]]="Electronics", Table1[[#This Row],[Merchant_Category]]="Travel")), "unsafe merchant transaction", "safe merchant transaction")</f>
        <v>safe merchant transaction</v>
      </c>
    </row>
    <row r="880" spans="1:18">
      <c r="A880" t="s">
        <v>4629</v>
      </c>
      <c r="B880" t="s">
        <v>154</v>
      </c>
      <c r="C880">
        <v>1</v>
      </c>
      <c r="D880" t="s">
        <v>15</v>
      </c>
      <c r="E880" t="s">
        <v>420</v>
      </c>
      <c r="F880" s="2">
        <v>45812</v>
      </c>
      <c r="G880">
        <v>5563.37</v>
      </c>
      <c r="H880" s="1">
        <f>AVERAGEIF(Table1[Customer_ID], Table1[[#This Row],[Customer_ID]], Table1[Transaction_Amount])</f>
        <v>4568.2275925925924</v>
      </c>
      <c r="I880" t="s">
        <v>2092</v>
      </c>
      <c r="J880" t="s">
        <v>36</v>
      </c>
      <c r="K880" t="s">
        <v>10</v>
      </c>
      <c r="L880">
        <v>4</v>
      </c>
      <c r="M880" t="s">
        <v>37</v>
      </c>
      <c r="N880" t="s">
        <v>42</v>
      </c>
      <c r="O880" t="s">
        <v>392</v>
      </c>
      <c r="P880" s="6" t="str">
        <f>IF(Table1[[#This Row],[Transaction_Amount]]&lt;=Table1[[#This Row],[avg_transaction_amount]], "usual transaction", "unusual transaction")</f>
        <v>unusual transaction</v>
      </c>
      <c r="Q880" s="6" t="str">
        <f>IF(AND(Table1[[#This Row],[Country_of_Residence]]&lt;&gt;Table1[[#This Row],[Country_of_Transaction]], OR(Table1[[#This Row],[Authentication_Type]]="Biometric", Table1[[#This Row],[Authentication_Type]]="OTP")), "safe location transaction", "unsafe location transaction")</f>
        <v>safe location transaction</v>
      </c>
      <c r="R880" s="6" t="str">
        <f>IF(AND(Table1[[#This Row],[Country_of_Residence]]&lt;&gt;Table1[[#This Row],[Country_of_Transaction]], OR(Table1[[#This Row],[Merchant_Category]]="Electronics", Table1[[#This Row],[Merchant_Category]]="Travel")), "unsafe merchant transaction", "safe merchant transaction")</f>
        <v>safe merchant transaction</v>
      </c>
    </row>
    <row r="881" spans="1:18">
      <c r="A881" t="s">
        <v>4640</v>
      </c>
      <c r="B881" t="s">
        <v>154</v>
      </c>
      <c r="C881">
        <v>1</v>
      </c>
      <c r="D881" t="s">
        <v>9</v>
      </c>
      <c r="E881" t="s">
        <v>6</v>
      </c>
      <c r="F881" s="2">
        <v>45821</v>
      </c>
      <c r="G881">
        <v>3502.94</v>
      </c>
      <c r="H881" s="1">
        <f>AVERAGEIF(Table1[Customer_ID], Table1[[#This Row],[Customer_ID]], Table1[Transaction_Amount])</f>
        <v>4568.2275925925924</v>
      </c>
      <c r="I881" t="s">
        <v>2101</v>
      </c>
      <c r="J881" t="s">
        <v>46</v>
      </c>
      <c r="K881" t="s">
        <v>12</v>
      </c>
      <c r="L881">
        <v>0</v>
      </c>
      <c r="M881" t="s">
        <v>56</v>
      </c>
      <c r="N881" t="s">
        <v>37</v>
      </c>
      <c r="O881" t="s">
        <v>392</v>
      </c>
      <c r="P881" s="6" t="str">
        <f>IF(Table1[[#This Row],[Transaction_Amount]]&lt;=Table1[[#This Row],[avg_transaction_amount]], "usual transaction", "unusual transaction")</f>
        <v>usual transaction</v>
      </c>
      <c r="Q881" s="6" t="str">
        <f>IF(AND(Table1[[#This Row],[Country_of_Residence]]&lt;&gt;Table1[[#This Row],[Country_of_Transaction]], OR(Table1[[#This Row],[Authentication_Type]]="Biometric", Table1[[#This Row],[Authentication_Type]]="OTP")), "safe location transaction", "unsafe location transaction")</f>
        <v>unsafe location transaction</v>
      </c>
      <c r="R881" s="6" t="str">
        <f>IF(AND(Table1[[#This Row],[Country_of_Residence]]&lt;&gt;Table1[[#This Row],[Country_of_Transaction]], OR(Table1[[#This Row],[Merchant_Category]]="Electronics", Table1[[#This Row],[Merchant_Category]]="Travel")), "unsafe merchant transaction", "safe merchant transaction")</f>
        <v>safe merchant transaction</v>
      </c>
    </row>
    <row r="882" spans="1:18">
      <c r="A882" t="s">
        <v>4665</v>
      </c>
      <c r="B882" t="s">
        <v>154</v>
      </c>
      <c r="C882">
        <v>1</v>
      </c>
      <c r="D882" t="s">
        <v>9</v>
      </c>
      <c r="E882" t="s">
        <v>420</v>
      </c>
      <c r="F882" s="2">
        <v>45670</v>
      </c>
      <c r="G882">
        <v>739.01</v>
      </c>
      <c r="H882" s="1">
        <f>AVERAGEIF(Table1[Customer_ID], Table1[[#This Row],[Customer_ID]], Table1[Transaction_Amount])</f>
        <v>4568.2275925925924</v>
      </c>
      <c r="I882" t="s">
        <v>2123</v>
      </c>
      <c r="J882" t="s">
        <v>36</v>
      </c>
      <c r="K882" t="s">
        <v>12</v>
      </c>
      <c r="L882">
        <v>2</v>
      </c>
      <c r="M882" t="s">
        <v>55</v>
      </c>
      <c r="N882" t="s">
        <v>42</v>
      </c>
      <c r="O882" t="s">
        <v>392</v>
      </c>
      <c r="P882" s="6" t="str">
        <f>IF(Table1[[#This Row],[Transaction_Amount]]&lt;=Table1[[#This Row],[avg_transaction_amount]], "usual transaction", "unusual transaction")</f>
        <v>usual transaction</v>
      </c>
      <c r="Q882" s="6" t="str">
        <f>IF(AND(Table1[[#This Row],[Country_of_Residence]]&lt;&gt;Table1[[#This Row],[Country_of_Transaction]], OR(Table1[[#This Row],[Authentication_Type]]="Biometric", Table1[[#This Row],[Authentication_Type]]="OTP")), "safe location transaction", "unsafe location transaction")</f>
        <v>unsafe location transaction</v>
      </c>
      <c r="R882" s="6" t="str">
        <f>IF(AND(Table1[[#This Row],[Country_of_Residence]]&lt;&gt;Table1[[#This Row],[Country_of_Transaction]], OR(Table1[[#This Row],[Merchant_Category]]="Electronics", Table1[[#This Row],[Merchant_Category]]="Travel")), "unsafe merchant transaction", "safe merchant transaction")</f>
        <v>safe merchant transaction</v>
      </c>
    </row>
    <row r="883" spans="1:18">
      <c r="A883" t="s">
        <v>4746</v>
      </c>
      <c r="B883" t="s">
        <v>154</v>
      </c>
      <c r="C883">
        <v>1</v>
      </c>
      <c r="D883" t="s">
        <v>15</v>
      </c>
      <c r="E883" t="s">
        <v>420</v>
      </c>
      <c r="F883" s="2">
        <v>45910</v>
      </c>
      <c r="G883">
        <v>9233.32</v>
      </c>
      <c r="H883" s="1">
        <f>AVERAGEIF(Table1[Customer_ID], Table1[[#This Row],[Customer_ID]], Table1[Transaction_Amount])</f>
        <v>4568.2275925925924</v>
      </c>
      <c r="I883" t="s">
        <v>2182</v>
      </c>
      <c r="J883" t="s">
        <v>50</v>
      </c>
      <c r="K883" t="s">
        <v>10</v>
      </c>
      <c r="L883">
        <v>5</v>
      </c>
      <c r="M883" t="s">
        <v>51</v>
      </c>
      <c r="N883" t="s">
        <v>33</v>
      </c>
      <c r="O883" t="s">
        <v>392</v>
      </c>
      <c r="P883" s="6" t="str">
        <f>IF(Table1[[#This Row],[Transaction_Amount]]&lt;=Table1[[#This Row],[avg_transaction_amount]], "usual transaction", "unusual transaction")</f>
        <v>unusual transaction</v>
      </c>
      <c r="Q883" s="6" t="str">
        <f>IF(AND(Table1[[#This Row],[Country_of_Residence]]&lt;&gt;Table1[[#This Row],[Country_of_Transaction]], OR(Table1[[#This Row],[Authentication_Type]]="Biometric", Table1[[#This Row],[Authentication_Type]]="OTP")), "safe location transaction", "unsafe location transaction")</f>
        <v>safe location transaction</v>
      </c>
      <c r="R883" s="6" t="str">
        <f>IF(AND(Table1[[#This Row],[Country_of_Residence]]&lt;&gt;Table1[[#This Row],[Country_of_Transaction]], OR(Table1[[#This Row],[Merchant_Category]]="Electronics", Table1[[#This Row],[Merchant_Category]]="Travel")), "unsafe merchant transaction", "safe merchant transaction")</f>
        <v>unsafe merchant transaction</v>
      </c>
    </row>
    <row r="884" spans="1:18">
      <c r="A884" t="s">
        <v>4764</v>
      </c>
      <c r="B884" t="s">
        <v>154</v>
      </c>
      <c r="C884">
        <v>1</v>
      </c>
      <c r="D884" t="s">
        <v>15</v>
      </c>
      <c r="E884" t="s">
        <v>5</v>
      </c>
      <c r="F884" s="2">
        <v>45711</v>
      </c>
      <c r="G884">
        <v>2726.49</v>
      </c>
      <c r="H884" s="1">
        <f>AVERAGEIF(Table1[Customer_ID], Table1[[#This Row],[Customer_ID]], Table1[Transaction_Amount])</f>
        <v>4568.2275925925924</v>
      </c>
      <c r="I884" t="s">
        <v>2195</v>
      </c>
      <c r="J884" t="s">
        <v>36</v>
      </c>
      <c r="K884" t="s">
        <v>10</v>
      </c>
      <c r="L884">
        <v>4</v>
      </c>
      <c r="M884" t="s">
        <v>51</v>
      </c>
      <c r="N884" t="s">
        <v>32</v>
      </c>
      <c r="O884" t="s">
        <v>392</v>
      </c>
      <c r="P884" s="6" t="str">
        <f>IF(Table1[[#This Row],[Transaction_Amount]]&lt;=Table1[[#This Row],[avg_transaction_amount]], "usual transaction", "unusual transaction")</f>
        <v>usual transaction</v>
      </c>
      <c r="Q884" s="6" t="str">
        <f>IF(AND(Table1[[#This Row],[Country_of_Residence]]&lt;&gt;Table1[[#This Row],[Country_of_Transaction]], OR(Table1[[#This Row],[Authentication_Type]]="Biometric", Table1[[#This Row],[Authentication_Type]]="OTP")), "safe location transaction", "unsafe location transaction")</f>
        <v>safe location transaction</v>
      </c>
      <c r="R884" s="6" t="str">
        <f>IF(AND(Table1[[#This Row],[Country_of_Residence]]&lt;&gt;Table1[[#This Row],[Country_of_Transaction]], OR(Table1[[#This Row],[Merchant_Category]]="Electronics", Table1[[#This Row],[Merchant_Category]]="Travel")), "unsafe merchant transaction", "safe merchant transaction")</f>
        <v>safe merchant transaction</v>
      </c>
    </row>
    <row r="885" spans="1:18">
      <c r="A885" t="s">
        <v>4801</v>
      </c>
      <c r="B885" t="s">
        <v>154</v>
      </c>
      <c r="C885">
        <v>1</v>
      </c>
      <c r="D885" t="s">
        <v>15</v>
      </c>
      <c r="E885" t="s">
        <v>5</v>
      </c>
      <c r="F885" s="2">
        <v>45833</v>
      </c>
      <c r="G885">
        <v>7288.21</v>
      </c>
      <c r="H885" s="1">
        <f>AVERAGEIF(Table1[Customer_ID], Table1[[#This Row],[Customer_ID]], Table1[Transaction_Amount])</f>
        <v>4568.2275925925924</v>
      </c>
      <c r="I885" t="s">
        <v>2224</v>
      </c>
      <c r="J885" t="s">
        <v>50</v>
      </c>
      <c r="K885" t="s">
        <v>12</v>
      </c>
      <c r="L885">
        <v>2</v>
      </c>
      <c r="M885" t="s">
        <v>412</v>
      </c>
      <c r="N885" t="s">
        <v>51</v>
      </c>
      <c r="O885" t="s">
        <v>392</v>
      </c>
      <c r="P885" s="6" t="str">
        <f>IF(Table1[[#This Row],[Transaction_Amount]]&lt;=Table1[[#This Row],[avg_transaction_amount]], "usual transaction", "unusual transaction")</f>
        <v>unusual transaction</v>
      </c>
      <c r="Q885" s="6" t="str">
        <f>IF(AND(Table1[[#This Row],[Country_of_Residence]]&lt;&gt;Table1[[#This Row],[Country_of_Transaction]], OR(Table1[[#This Row],[Authentication_Type]]="Biometric", Table1[[#This Row],[Authentication_Type]]="OTP")), "safe location transaction", "unsafe location transaction")</f>
        <v>unsafe location transaction</v>
      </c>
      <c r="R885" s="6" t="str">
        <f>IF(AND(Table1[[#This Row],[Country_of_Residence]]&lt;&gt;Table1[[#This Row],[Country_of_Transaction]], OR(Table1[[#This Row],[Merchant_Category]]="Electronics", Table1[[#This Row],[Merchant_Category]]="Travel")), "unsafe merchant transaction", "safe merchant transaction")</f>
        <v>unsafe merchant transaction</v>
      </c>
    </row>
    <row r="886" spans="1:18">
      <c r="A886" t="s">
        <v>4823</v>
      </c>
      <c r="B886" t="s">
        <v>154</v>
      </c>
      <c r="C886">
        <v>1</v>
      </c>
      <c r="D886" t="s">
        <v>15</v>
      </c>
      <c r="E886" t="s">
        <v>6</v>
      </c>
      <c r="F886" s="2">
        <v>45868</v>
      </c>
      <c r="G886">
        <v>3452.47</v>
      </c>
      <c r="H886" s="1">
        <f>AVERAGEIF(Table1[Customer_ID], Table1[[#This Row],[Customer_ID]], Table1[Transaction_Amount])</f>
        <v>4568.2275925925924</v>
      </c>
      <c r="I886" t="s">
        <v>2110</v>
      </c>
      <c r="J886" t="s">
        <v>31</v>
      </c>
      <c r="K886" t="s">
        <v>10</v>
      </c>
      <c r="L886">
        <v>2</v>
      </c>
      <c r="M886" t="s">
        <v>47</v>
      </c>
      <c r="N886" t="s">
        <v>412</v>
      </c>
      <c r="O886" t="s">
        <v>392</v>
      </c>
      <c r="P886" s="6" t="str">
        <f>IF(Table1[[#This Row],[Transaction_Amount]]&lt;=Table1[[#This Row],[avg_transaction_amount]], "usual transaction", "unusual transaction")</f>
        <v>usual transaction</v>
      </c>
      <c r="Q886" s="6" t="str">
        <f>IF(AND(Table1[[#This Row],[Country_of_Residence]]&lt;&gt;Table1[[#This Row],[Country_of_Transaction]], OR(Table1[[#This Row],[Authentication_Type]]="Biometric", Table1[[#This Row],[Authentication_Type]]="OTP")), "safe location transaction", "unsafe location transaction")</f>
        <v>safe location transaction</v>
      </c>
      <c r="R886" s="6" t="str">
        <f>IF(AND(Table1[[#This Row],[Country_of_Residence]]&lt;&gt;Table1[[#This Row],[Country_of_Transaction]], OR(Table1[[#This Row],[Merchant_Category]]="Electronics", Table1[[#This Row],[Merchant_Category]]="Travel")), "unsafe merchant transaction", "safe merchant transaction")</f>
        <v>safe merchant transaction</v>
      </c>
    </row>
    <row r="887" spans="1:18">
      <c r="A887" t="s">
        <v>4863</v>
      </c>
      <c r="B887" t="s">
        <v>154</v>
      </c>
      <c r="C887">
        <v>1</v>
      </c>
      <c r="D887" t="s">
        <v>15</v>
      </c>
      <c r="E887" t="s">
        <v>6</v>
      </c>
      <c r="F887" s="2">
        <v>45837</v>
      </c>
      <c r="G887">
        <v>9356.8799999999992</v>
      </c>
      <c r="H887" s="1">
        <f>AVERAGEIF(Table1[Customer_ID], Table1[[#This Row],[Customer_ID]], Table1[Transaction_Amount])</f>
        <v>4568.2275925925924</v>
      </c>
      <c r="I887" t="s">
        <v>2270</v>
      </c>
      <c r="J887" t="s">
        <v>46</v>
      </c>
      <c r="K887" t="s">
        <v>10</v>
      </c>
      <c r="L887">
        <v>0</v>
      </c>
      <c r="M887" t="s">
        <v>56</v>
      </c>
      <c r="N887" t="s">
        <v>55</v>
      </c>
      <c r="O887" t="s">
        <v>392</v>
      </c>
      <c r="P887" s="6" t="str">
        <f>IF(Table1[[#This Row],[Transaction_Amount]]&lt;=Table1[[#This Row],[avg_transaction_amount]], "usual transaction", "unusual transaction")</f>
        <v>unusual transaction</v>
      </c>
      <c r="Q887" s="6" t="str">
        <f>IF(AND(Table1[[#This Row],[Country_of_Residence]]&lt;&gt;Table1[[#This Row],[Country_of_Transaction]], OR(Table1[[#This Row],[Authentication_Type]]="Biometric", Table1[[#This Row],[Authentication_Type]]="OTP")), "safe location transaction", "unsafe location transaction")</f>
        <v>safe location transaction</v>
      </c>
      <c r="R887" s="6" t="str">
        <f>IF(AND(Table1[[#This Row],[Country_of_Residence]]&lt;&gt;Table1[[#This Row],[Country_of_Transaction]], OR(Table1[[#This Row],[Merchant_Category]]="Electronics", Table1[[#This Row],[Merchant_Category]]="Travel")), "unsafe merchant transaction", "safe merchant transaction")</f>
        <v>safe merchant transaction</v>
      </c>
    </row>
    <row r="888" spans="1:18">
      <c r="A888" t="s">
        <v>4929</v>
      </c>
      <c r="B888" t="s">
        <v>154</v>
      </c>
      <c r="C888">
        <v>1</v>
      </c>
      <c r="D888" t="s">
        <v>15</v>
      </c>
      <c r="E888" t="s">
        <v>3</v>
      </c>
      <c r="F888" s="2">
        <v>45976</v>
      </c>
      <c r="G888">
        <v>8882.75</v>
      </c>
      <c r="H888" s="1">
        <f>AVERAGEIF(Table1[Customer_ID], Table1[[#This Row],[Customer_ID]], Table1[Transaction_Amount])</f>
        <v>4568.2275925925924</v>
      </c>
      <c r="I888" t="s">
        <v>2323</v>
      </c>
      <c r="J888" t="s">
        <v>41</v>
      </c>
      <c r="K888" t="s">
        <v>8</v>
      </c>
      <c r="L888">
        <v>3</v>
      </c>
      <c r="M888" t="s">
        <v>55</v>
      </c>
      <c r="N888" t="s">
        <v>42</v>
      </c>
      <c r="O888" t="s">
        <v>393</v>
      </c>
      <c r="P888" s="6" t="str">
        <f>IF(Table1[[#This Row],[Transaction_Amount]]&lt;=Table1[[#This Row],[avg_transaction_amount]], "usual transaction", "unusual transaction")</f>
        <v>unusual transaction</v>
      </c>
      <c r="Q888" s="6" t="str">
        <f>IF(AND(Table1[[#This Row],[Country_of_Residence]]&lt;&gt;Table1[[#This Row],[Country_of_Transaction]], OR(Table1[[#This Row],[Authentication_Type]]="Biometric", Table1[[#This Row],[Authentication_Type]]="OTP")), "safe location transaction", "unsafe location transaction")</f>
        <v>safe location transaction</v>
      </c>
      <c r="R888" s="6" t="str">
        <f>IF(AND(Table1[[#This Row],[Country_of_Residence]]&lt;&gt;Table1[[#This Row],[Country_of_Transaction]], OR(Table1[[#This Row],[Merchant_Category]]="Electronics", Table1[[#This Row],[Merchant_Category]]="Travel")), "unsafe merchant transaction", "safe merchant transaction")</f>
        <v>safe merchant transaction</v>
      </c>
    </row>
    <row r="889" spans="1:18">
      <c r="A889" t="s">
        <v>4943</v>
      </c>
      <c r="B889" t="s">
        <v>154</v>
      </c>
      <c r="C889">
        <v>1</v>
      </c>
      <c r="D889" t="s">
        <v>15</v>
      </c>
      <c r="E889" t="s">
        <v>5</v>
      </c>
      <c r="F889" s="2">
        <v>45965</v>
      </c>
      <c r="G889">
        <v>5849.1</v>
      </c>
      <c r="H889" s="1">
        <f>AVERAGEIF(Table1[Customer_ID], Table1[[#This Row],[Customer_ID]], Table1[Transaction_Amount])</f>
        <v>4568.2275925925924</v>
      </c>
      <c r="I889" t="s">
        <v>2335</v>
      </c>
      <c r="J889" t="s">
        <v>41</v>
      </c>
      <c r="K889" t="s">
        <v>12</v>
      </c>
      <c r="L889">
        <v>5</v>
      </c>
      <c r="M889" t="s">
        <v>32</v>
      </c>
      <c r="N889" t="s">
        <v>42</v>
      </c>
      <c r="O889" t="s">
        <v>393</v>
      </c>
      <c r="P889" s="6" t="str">
        <f>IF(Table1[[#This Row],[Transaction_Amount]]&lt;=Table1[[#This Row],[avg_transaction_amount]], "usual transaction", "unusual transaction")</f>
        <v>unusual transaction</v>
      </c>
      <c r="Q889" s="6" t="str">
        <f>IF(AND(Table1[[#This Row],[Country_of_Residence]]&lt;&gt;Table1[[#This Row],[Country_of_Transaction]], OR(Table1[[#This Row],[Authentication_Type]]="Biometric", Table1[[#This Row],[Authentication_Type]]="OTP")), "safe location transaction", "unsafe location transaction")</f>
        <v>unsafe location transaction</v>
      </c>
      <c r="R889" s="6" t="str">
        <f>IF(AND(Table1[[#This Row],[Country_of_Residence]]&lt;&gt;Table1[[#This Row],[Country_of_Transaction]], OR(Table1[[#This Row],[Merchant_Category]]="Electronics", Table1[[#This Row],[Merchant_Category]]="Travel")), "unsafe merchant transaction", "safe merchant transaction")</f>
        <v>safe merchant transaction</v>
      </c>
    </row>
    <row r="890" spans="1:18">
      <c r="A890" t="s">
        <v>4955</v>
      </c>
      <c r="B890" t="s">
        <v>154</v>
      </c>
      <c r="C890">
        <v>1</v>
      </c>
      <c r="D890" t="s">
        <v>9</v>
      </c>
      <c r="E890" t="s">
        <v>5</v>
      </c>
      <c r="F890" s="2">
        <v>45995</v>
      </c>
      <c r="G890">
        <v>8428.25</v>
      </c>
      <c r="H890" s="1">
        <f>AVERAGEIF(Table1[Customer_ID], Table1[[#This Row],[Customer_ID]], Table1[Transaction_Amount])</f>
        <v>4568.2275925925924</v>
      </c>
      <c r="I890" t="s">
        <v>2345</v>
      </c>
      <c r="J890" t="s">
        <v>46</v>
      </c>
      <c r="K890" t="s">
        <v>12</v>
      </c>
      <c r="L890">
        <v>0</v>
      </c>
      <c r="M890" t="s">
        <v>56</v>
      </c>
      <c r="N890" t="s">
        <v>47</v>
      </c>
      <c r="O890" t="s">
        <v>392</v>
      </c>
      <c r="P890" s="6" t="str">
        <f>IF(Table1[[#This Row],[Transaction_Amount]]&lt;=Table1[[#This Row],[avg_transaction_amount]], "usual transaction", "unusual transaction")</f>
        <v>unusual transaction</v>
      </c>
      <c r="Q890" s="6" t="str">
        <f>IF(AND(Table1[[#This Row],[Country_of_Residence]]&lt;&gt;Table1[[#This Row],[Country_of_Transaction]], OR(Table1[[#This Row],[Authentication_Type]]="Biometric", Table1[[#This Row],[Authentication_Type]]="OTP")), "safe location transaction", "unsafe location transaction")</f>
        <v>unsafe location transaction</v>
      </c>
      <c r="R890" s="6" t="str">
        <f>IF(AND(Table1[[#This Row],[Country_of_Residence]]&lt;&gt;Table1[[#This Row],[Country_of_Transaction]], OR(Table1[[#This Row],[Merchant_Category]]="Electronics", Table1[[#This Row],[Merchant_Category]]="Travel")), "unsafe merchant transaction", "safe merchant transaction")</f>
        <v>safe merchant transaction</v>
      </c>
    </row>
    <row r="891" spans="1:18">
      <c r="A891" t="s">
        <v>4960</v>
      </c>
      <c r="B891" t="s">
        <v>154</v>
      </c>
      <c r="C891">
        <v>1</v>
      </c>
      <c r="D891" t="s">
        <v>15</v>
      </c>
      <c r="E891" t="s">
        <v>420</v>
      </c>
      <c r="F891" s="2">
        <v>45682</v>
      </c>
      <c r="G891">
        <v>2340.0100000000002</v>
      </c>
      <c r="H891" s="1">
        <f>AVERAGEIF(Table1[Customer_ID], Table1[[#This Row],[Customer_ID]], Table1[Transaction_Amount])</f>
        <v>4568.2275925925924</v>
      </c>
      <c r="I891" t="s">
        <v>2347</v>
      </c>
      <c r="J891" t="s">
        <v>46</v>
      </c>
      <c r="K891" t="s">
        <v>14</v>
      </c>
      <c r="L891">
        <v>0</v>
      </c>
      <c r="M891" t="s">
        <v>412</v>
      </c>
      <c r="N891" t="s">
        <v>47</v>
      </c>
      <c r="O891" t="s">
        <v>392</v>
      </c>
      <c r="P891" s="6" t="str">
        <f>IF(Table1[[#This Row],[Transaction_Amount]]&lt;=Table1[[#This Row],[avg_transaction_amount]], "usual transaction", "unusual transaction")</f>
        <v>usual transaction</v>
      </c>
      <c r="Q891" s="6" t="str">
        <f>IF(AND(Table1[[#This Row],[Country_of_Residence]]&lt;&gt;Table1[[#This Row],[Country_of_Transaction]], OR(Table1[[#This Row],[Authentication_Type]]="Biometric", Table1[[#This Row],[Authentication_Type]]="OTP")), "safe location transaction", "unsafe location transaction")</f>
        <v>unsafe location transaction</v>
      </c>
      <c r="R891" s="6" t="str">
        <f>IF(AND(Table1[[#This Row],[Country_of_Residence]]&lt;&gt;Table1[[#This Row],[Country_of_Transaction]], OR(Table1[[#This Row],[Merchant_Category]]="Electronics", Table1[[#This Row],[Merchant_Category]]="Travel")), "unsafe merchant transaction", "safe merchant transaction")</f>
        <v>safe merchant transaction</v>
      </c>
    </row>
    <row r="892" spans="1:18">
      <c r="A892" t="s">
        <v>4965</v>
      </c>
      <c r="B892" t="s">
        <v>154</v>
      </c>
      <c r="C892">
        <v>1</v>
      </c>
      <c r="D892" t="s">
        <v>15</v>
      </c>
      <c r="E892" t="s">
        <v>420</v>
      </c>
      <c r="F892" s="2">
        <v>45726</v>
      </c>
      <c r="G892">
        <v>223.62</v>
      </c>
      <c r="H892" s="1">
        <f>AVERAGEIF(Table1[Customer_ID], Table1[[#This Row],[Customer_ID]], Table1[Transaction_Amount])</f>
        <v>4568.2275925925924</v>
      </c>
      <c r="I892" t="s">
        <v>2351</v>
      </c>
      <c r="J892" t="s">
        <v>50</v>
      </c>
      <c r="K892" t="s">
        <v>8</v>
      </c>
      <c r="L892">
        <v>1</v>
      </c>
      <c r="M892" t="s">
        <v>51</v>
      </c>
      <c r="N892" t="s">
        <v>42</v>
      </c>
      <c r="O892" t="s">
        <v>392</v>
      </c>
      <c r="P892" s="6" t="str">
        <f>IF(Table1[[#This Row],[Transaction_Amount]]&lt;=Table1[[#This Row],[avg_transaction_amount]], "usual transaction", "unusual transaction")</f>
        <v>usual transaction</v>
      </c>
      <c r="Q892" s="6" t="str">
        <f>IF(AND(Table1[[#This Row],[Country_of_Residence]]&lt;&gt;Table1[[#This Row],[Country_of_Transaction]], OR(Table1[[#This Row],[Authentication_Type]]="Biometric", Table1[[#This Row],[Authentication_Type]]="OTP")), "safe location transaction", "unsafe location transaction")</f>
        <v>safe location transaction</v>
      </c>
      <c r="R892" s="6" t="str">
        <f>IF(AND(Table1[[#This Row],[Country_of_Residence]]&lt;&gt;Table1[[#This Row],[Country_of_Transaction]], OR(Table1[[#This Row],[Merchant_Category]]="Electronics", Table1[[#This Row],[Merchant_Category]]="Travel")), "unsafe merchant transaction", "safe merchant transaction")</f>
        <v>unsafe merchant transaction</v>
      </c>
    </row>
    <row r="893" spans="1:18">
      <c r="A893" t="s">
        <v>5057</v>
      </c>
      <c r="B893" t="s">
        <v>154</v>
      </c>
      <c r="C893">
        <v>1</v>
      </c>
      <c r="D893" t="s">
        <v>15</v>
      </c>
      <c r="E893" t="s">
        <v>5</v>
      </c>
      <c r="F893" s="2">
        <v>45978</v>
      </c>
      <c r="G893">
        <v>3441.78</v>
      </c>
      <c r="H893" s="1">
        <f>AVERAGEIF(Table1[Customer_ID], Table1[[#This Row],[Customer_ID]], Table1[Transaction_Amount])</f>
        <v>4568.2275925925924</v>
      </c>
      <c r="I893" t="s">
        <v>2420</v>
      </c>
      <c r="J893" t="s">
        <v>36</v>
      </c>
      <c r="K893" t="s">
        <v>8</v>
      </c>
      <c r="L893">
        <v>2</v>
      </c>
      <c r="M893" t="s">
        <v>33</v>
      </c>
      <c r="N893" t="s">
        <v>51</v>
      </c>
      <c r="O893" t="s">
        <v>393</v>
      </c>
      <c r="P893" s="6" t="str">
        <f>IF(Table1[[#This Row],[Transaction_Amount]]&lt;=Table1[[#This Row],[avg_transaction_amount]], "usual transaction", "unusual transaction")</f>
        <v>usual transaction</v>
      </c>
      <c r="Q893" s="6" t="str">
        <f>IF(AND(Table1[[#This Row],[Country_of_Residence]]&lt;&gt;Table1[[#This Row],[Country_of_Transaction]], OR(Table1[[#This Row],[Authentication_Type]]="Biometric", Table1[[#This Row],[Authentication_Type]]="OTP")), "safe location transaction", "unsafe location transaction")</f>
        <v>safe location transaction</v>
      </c>
      <c r="R893" s="6" t="str">
        <f>IF(AND(Table1[[#This Row],[Country_of_Residence]]&lt;&gt;Table1[[#This Row],[Country_of_Transaction]], OR(Table1[[#This Row],[Merchant_Category]]="Electronics", Table1[[#This Row],[Merchant_Category]]="Travel")), "unsafe merchant transaction", "safe merchant transaction")</f>
        <v>safe merchant transaction</v>
      </c>
    </row>
    <row r="894" spans="1:18">
      <c r="A894" t="s">
        <v>5106</v>
      </c>
      <c r="B894" t="s">
        <v>154</v>
      </c>
      <c r="C894">
        <v>1</v>
      </c>
      <c r="D894" t="s">
        <v>9</v>
      </c>
      <c r="E894" t="s">
        <v>6</v>
      </c>
      <c r="F894" s="2">
        <v>45991</v>
      </c>
      <c r="G894">
        <v>2518.35</v>
      </c>
      <c r="H894" s="1">
        <f>AVERAGEIF(Table1[Customer_ID], Table1[[#This Row],[Customer_ID]], Table1[Transaction_Amount])</f>
        <v>4568.2275925925924</v>
      </c>
      <c r="I894" t="s">
        <v>2456</v>
      </c>
      <c r="J894" t="s">
        <v>31</v>
      </c>
      <c r="K894" t="s">
        <v>8</v>
      </c>
      <c r="L894">
        <v>5</v>
      </c>
      <c r="M894" t="s">
        <v>42</v>
      </c>
      <c r="N894" t="s">
        <v>37</v>
      </c>
      <c r="O894" t="s">
        <v>393</v>
      </c>
      <c r="P894" s="6" t="str">
        <f>IF(Table1[[#This Row],[Transaction_Amount]]&lt;=Table1[[#This Row],[avg_transaction_amount]], "usual transaction", "unusual transaction")</f>
        <v>usual transaction</v>
      </c>
      <c r="Q894" s="6" t="str">
        <f>IF(AND(Table1[[#This Row],[Country_of_Residence]]&lt;&gt;Table1[[#This Row],[Country_of_Transaction]], OR(Table1[[#This Row],[Authentication_Type]]="Biometric", Table1[[#This Row],[Authentication_Type]]="OTP")), "safe location transaction", "unsafe location transaction")</f>
        <v>safe location transaction</v>
      </c>
      <c r="R894" s="6" t="str">
        <f>IF(AND(Table1[[#This Row],[Country_of_Residence]]&lt;&gt;Table1[[#This Row],[Country_of_Transaction]], OR(Table1[[#This Row],[Merchant_Category]]="Electronics", Table1[[#This Row],[Merchant_Category]]="Travel")), "unsafe merchant transaction", "safe merchant transaction")</f>
        <v>safe merchant transaction</v>
      </c>
    </row>
    <row r="895" spans="1:18">
      <c r="A895" t="s">
        <v>5123</v>
      </c>
      <c r="B895" t="s">
        <v>154</v>
      </c>
      <c r="C895">
        <v>1</v>
      </c>
      <c r="D895" t="s">
        <v>15</v>
      </c>
      <c r="E895" t="s">
        <v>6</v>
      </c>
      <c r="F895" s="2">
        <v>45916</v>
      </c>
      <c r="G895">
        <v>5780.41</v>
      </c>
      <c r="H895" s="1">
        <f>AVERAGEIF(Table1[Customer_ID], Table1[[#This Row],[Customer_ID]], Table1[Transaction_Amount])</f>
        <v>4568.2275925925924</v>
      </c>
      <c r="I895" t="s">
        <v>1879</v>
      </c>
      <c r="J895" t="s">
        <v>36</v>
      </c>
      <c r="K895" t="s">
        <v>12</v>
      </c>
      <c r="L895">
        <v>4</v>
      </c>
      <c r="M895" t="s">
        <v>55</v>
      </c>
      <c r="N895" t="s">
        <v>55</v>
      </c>
      <c r="O895" t="s">
        <v>393</v>
      </c>
      <c r="P895" s="6" t="str">
        <f>IF(Table1[[#This Row],[Transaction_Amount]]&lt;=Table1[[#This Row],[avg_transaction_amount]], "usual transaction", "unusual transaction")</f>
        <v>unusual transaction</v>
      </c>
      <c r="Q895" s="6" t="str">
        <f>IF(AND(Table1[[#This Row],[Country_of_Residence]]&lt;&gt;Table1[[#This Row],[Country_of_Transaction]], OR(Table1[[#This Row],[Authentication_Type]]="Biometric", Table1[[#This Row],[Authentication_Type]]="OTP")), "safe location transaction", "unsafe location transaction")</f>
        <v>unsafe location transaction</v>
      </c>
      <c r="R895" s="6" t="str">
        <f>IF(AND(Table1[[#This Row],[Country_of_Residence]]&lt;&gt;Table1[[#This Row],[Country_of_Transaction]], OR(Table1[[#This Row],[Merchant_Category]]="Electronics", Table1[[#This Row],[Merchant_Category]]="Travel")), "unsafe merchant transaction", "safe merchant transaction")</f>
        <v>safe merchant transaction</v>
      </c>
    </row>
    <row r="896" spans="1:18">
      <c r="A896" t="s">
        <v>5244</v>
      </c>
      <c r="B896" t="s">
        <v>154</v>
      </c>
      <c r="C896">
        <v>1</v>
      </c>
      <c r="D896" t="s">
        <v>15</v>
      </c>
      <c r="E896" t="s">
        <v>420</v>
      </c>
      <c r="F896" s="2">
        <v>45739</v>
      </c>
      <c r="G896">
        <v>2555.0700000000002</v>
      </c>
      <c r="H896" s="1">
        <f>AVERAGEIF(Table1[Customer_ID], Table1[[#This Row],[Customer_ID]], Table1[Transaction_Amount])</f>
        <v>4568.2275925925924</v>
      </c>
      <c r="I896" t="s">
        <v>2566</v>
      </c>
      <c r="J896" t="s">
        <v>36</v>
      </c>
      <c r="K896" t="s">
        <v>8</v>
      </c>
      <c r="L896">
        <v>3</v>
      </c>
      <c r="M896" t="s">
        <v>56</v>
      </c>
      <c r="N896" t="s">
        <v>56</v>
      </c>
      <c r="O896" t="s">
        <v>393</v>
      </c>
      <c r="P896" s="6" t="str">
        <f>IF(Table1[[#This Row],[Transaction_Amount]]&lt;=Table1[[#This Row],[avg_transaction_amount]], "usual transaction", "unusual transaction")</f>
        <v>usual transaction</v>
      </c>
      <c r="Q896" s="6" t="str">
        <f>IF(AND(Table1[[#This Row],[Country_of_Residence]]&lt;&gt;Table1[[#This Row],[Country_of_Transaction]], OR(Table1[[#This Row],[Authentication_Type]]="Biometric", Table1[[#This Row],[Authentication_Type]]="OTP")), "safe location transaction", "unsafe location transaction")</f>
        <v>unsafe location transaction</v>
      </c>
      <c r="R896" s="6" t="str">
        <f>IF(AND(Table1[[#This Row],[Country_of_Residence]]&lt;&gt;Table1[[#This Row],[Country_of_Transaction]], OR(Table1[[#This Row],[Merchant_Category]]="Electronics", Table1[[#This Row],[Merchant_Category]]="Travel")), "unsafe merchant transaction", "safe merchant transaction")</f>
        <v>safe merchant transaction</v>
      </c>
    </row>
    <row r="897" spans="1:18">
      <c r="A897" t="s">
        <v>167</v>
      </c>
      <c r="B897" t="s">
        <v>165</v>
      </c>
      <c r="C897">
        <v>1</v>
      </c>
      <c r="D897" t="s">
        <v>11</v>
      </c>
      <c r="E897" t="s">
        <v>4</v>
      </c>
      <c r="F897" s="2">
        <v>45868.045833333301</v>
      </c>
      <c r="G897">
        <v>831.95</v>
      </c>
      <c r="H897" s="1">
        <f>AVERAGEIF(Table1[Customer_ID], Table1[[#This Row],[Customer_ID]], Table1[Transaction_Amount])</f>
        <v>5496.3600000000006</v>
      </c>
      <c r="I897" t="s">
        <v>168</v>
      </c>
      <c r="J897" t="s">
        <v>59</v>
      </c>
      <c r="K897" t="s">
        <v>14</v>
      </c>
      <c r="L897">
        <v>4</v>
      </c>
      <c r="M897" t="s">
        <v>118</v>
      </c>
      <c r="N897" t="s">
        <v>163</v>
      </c>
      <c r="O897" t="s">
        <v>392</v>
      </c>
      <c r="P897" t="str">
        <f>IF(Table1[[#This Row],[Transaction_Amount]]&lt;=Table1[[#This Row],[avg_transaction_amount]], "usual transaction", "unusual transaction")</f>
        <v>usual transaction</v>
      </c>
      <c r="Q897" t="str">
        <f>IF(AND(Table1[[#This Row],[Country_of_Residence]]&lt;&gt;Table1[[#This Row],[Country_of_Transaction]], OR(Table1[[#This Row],[Authentication_Type]]="Biometric", Table1[[#This Row],[Authentication_Type]]="OTP")), "safe location transaction", "unsafe location transaction")</f>
        <v>unsafe location transaction</v>
      </c>
      <c r="R897" t="str">
        <f>IF(AND(Table1[[#This Row],[Country_of_Residence]]&lt;&gt;Table1[[#This Row],[Country_of_Transaction]], OR(Table1[[#This Row],[Merchant_Category]]="Electronics", Table1[[#This Row],[Merchant_Category]]="Travel")), "unsafe merchant transaction", "safe merchant transaction")</f>
        <v>unsafe merchant transaction</v>
      </c>
    </row>
    <row r="898" spans="1:18">
      <c r="A898" t="s">
        <v>164</v>
      </c>
      <c r="B898" t="s">
        <v>165</v>
      </c>
      <c r="C898">
        <v>1</v>
      </c>
      <c r="D898" t="s">
        <v>9</v>
      </c>
      <c r="E898" t="s">
        <v>5</v>
      </c>
      <c r="F898" s="2">
        <v>45663.622222222199</v>
      </c>
      <c r="G898">
        <v>5667.31</v>
      </c>
      <c r="H898" s="1">
        <f>AVERAGEIF(Table1[Customer_ID], Table1[[#This Row],[Customer_ID]], Table1[Transaction_Amount])</f>
        <v>5496.3600000000006</v>
      </c>
      <c r="I898" t="s">
        <v>166</v>
      </c>
      <c r="J898" t="s">
        <v>59</v>
      </c>
      <c r="K898" t="s">
        <v>10</v>
      </c>
      <c r="L898">
        <v>5</v>
      </c>
      <c r="M898" t="s">
        <v>118</v>
      </c>
      <c r="N898" t="s">
        <v>137</v>
      </c>
      <c r="O898" t="s">
        <v>392</v>
      </c>
      <c r="P898" t="str">
        <f>IF(Table1[[#This Row],[Transaction_Amount]]&lt;=Table1[[#This Row],[avg_transaction_amount]], "usual transaction", "unusual transaction")</f>
        <v>unusual transaction</v>
      </c>
      <c r="Q898" t="str">
        <f>IF(AND(Table1[[#This Row],[Country_of_Residence]]&lt;&gt;Table1[[#This Row],[Country_of_Transaction]], OR(Table1[[#This Row],[Authentication_Type]]="Biometric", Table1[[#This Row],[Authentication_Type]]="OTP")), "safe location transaction", "unsafe location transaction")</f>
        <v>safe location transaction</v>
      </c>
      <c r="R898" t="str">
        <f>IF(AND(Table1[[#This Row],[Country_of_Residence]]&lt;&gt;Table1[[#This Row],[Country_of_Transaction]], OR(Table1[[#This Row],[Merchant_Category]]="Electronics", Table1[[#This Row],[Merchant_Category]]="Travel")), "unsafe merchant transaction", "safe merchant transaction")</f>
        <v>unsafe merchant transaction</v>
      </c>
    </row>
    <row r="899" spans="1:18">
      <c r="A899" t="s">
        <v>2785</v>
      </c>
      <c r="B899" t="s">
        <v>165</v>
      </c>
      <c r="C899">
        <v>1</v>
      </c>
      <c r="D899" t="s">
        <v>15</v>
      </c>
      <c r="E899" t="s">
        <v>5</v>
      </c>
      <c r="F899" s="2">
        <v>45860</v>
      </c>
      <c r="G899">
        <v>2082.38</v>
      </c>
      <c r="H899" s="1">
        <f>AVERAGEIF(Table1[Customer_ID], Table1[[#This Row],[Customer_ID]], Table1[Transaction_Amount])</f>
        <v>5496.3600000000006</v>
      </c>
      <c r="I899" t="s">
        <v>434</v>
      </c>
      <c r="J899" t="s">
        <v>36</v>
      </c>
      <c r="K899" t="s">
        <v>14</v>
      </c>
      <c r="L899">
        <v>0</v>
      </c>
      <c r="M899" t="s">
        <v>412</v>
      </c>
      <c r="N899" t="s">
        <v>47</v>
      </c>
      <c r="O899" t="s">
        <v>392</v>
      </c>
      <c r="P899" s="6" t="str">
        <f>IF(Table1[[#This Row],[Transaction_Amount]]&lt;=Table1[[#This Row],[avg_transaction_amount]], "usual transaction", "unusual transaction")</f>
        <v>usual transaction</v>
      </c>
      <c r="Q899" s="6" t="str">
        <f>IF(AND(Table1[[#This Row],[Country_of_Residence]]&lt;&gt;Table1[[#This Row],[Country_of_Transaction]], OR(Table1[[#This Row],[Authentication_Type]]="Biometric", Table1[[#This Row],[Authentication_Type]]="OTP")), "safe location transaction", "unsafe location transaction")</f>
        <v>unsafe location transaction</v>
      </c>
      <c r="R899" s="6" t="str">
        <f>IF(AND(Table1[[#This Row],[Country_of_Residence]]&lt;&gt;Table1[[#This Row],[Country_of_Transaction]], OR(Table1[[#This Row],[Merchant_Category]]="Electronics", Table1[[#This Row],[Merchant_Category]]="Travel")), "unsafe merchant transaction", "safe merchant transaction")</f>
        <v>safe merchant transaction</v>
      </c>
    </row>
    <row r="900" spans="1:18">
      <c r="A900" t="s">
        <v>2923</v>
      </c>
      <c r="B900" t="s">
        <v>165</v>
      </c>
      <c r="C900">
        <v>1</v>
      </c>
      <c r="D900" t="s">
        <v>15</v>
      </c>
      <c r="E900" t="s">
        <v>3</v>
      </c>
      <c r="F900" s="2">
        <v>45874</v>
      </c>
      <c r="G900">
        <v>8173.71</v>
      </c>
      <c r="H900" s="1">
        <f>AVERAGEIF(Table1[Customer_ID], Table1[[#This Row],[Customer_ID]], Table1[Transaction_Amount])</f>
        <v>5496.3600000000006</v>
      </c>
      <c r="I900" t="s">
        <v>572</v>
      </c>
      <c r="J900" t="s">
        <v>41</v>
      </c>
      <c r="K900" t="s">
        <v>10</v>
      </c>
      <c r="L900">
        <v>0</v>
      </c>
      <c r="M900" t="s">
        <v>47</v>
      </c>
      <c r="N900" t="s">
        <v>412</v>
      </c>
      <c r="O900" t="s">
        <v>393</v>
      </c>
      <c r="P900" s="6" t="str">
        <f>IF(Table1[[#This Row],[Transaction_Amount]]&lt;=Table1[[#This Row],[avg_transaction_amount]], "usual transaction", "unusual transaction")</f>
        <v>unusual transaction</v>
      </c>
      <c r="Q900" s="6" t="str">
        <f>IF(AND(Table1[[#This Row],[Country_of_Residence]]&lt;&gt;Table1[[#This Row],[Country_of_Transaction]], OR(Table1[[#This Row],[Authentication_Type]]="Biometric", Table1[[#This Row],[Authentication_Type]]="OTP")), "safe location transaction", "unsafe location transaction")</f>
        <v>safe location transaction</v>
      </c>
      <c r="R900" s="6" t="str">
        <f>IF(AND(Table1[[#This Row],[Country_of_Residence]]&lt;&gt;Table1[[#This Row],[Country_of_Transaction]], OR(Table1[[#This Row],[Merchant_Category]]="Electronics", Table1[[#This Row],[Merchant_Category]]="Travel")), "unsafe merchant transaction", "safe merchant transaction")</f>
        <v>safe merchant transaction</v>
      </c>
    </row>
    <row r="901" spans="1:18">
      <c r="A901" t="s">
        <v>2935</v>
      </c>
      <c r="B901" t="s">
        <v>165</v>
      </c>
      <c r="C901">
        <v>1</v>
      </c>
      <c r="D901" t="s">
        <v>9</v>
      </c>
      <c r="E901" t="s">
        <v>5</v>
      </c>
      <c r="F901" s="2">
        <v>45736</v>
      </c>
      <c r="G901">
        <v>5555.45</v>
      </c>
      <c r="H901" s="1">
        <f>AVERAGEIF(Table1[Customer_ID], Table1[[#This Row],[Customer_ID]], Table1[Transaction_Amount])</f>
        <v>5496.3600000000006</v>
      </c>
      <c r="I901" t="s">
        <v>584</v>
      </c>
      <c r="J901" t="s">
        <v>46</v>
      </c>
      <c r="K901" t="s">
        <v>8</v>
      </c>
      <c r="L901">
        <v>4</v>
      </c>
      <c r="M901" t="s">
        <v>55</v>
      </c>
      <c r="N901" t="s">
        <v>47</v>
      </c>
      <c r="O901" t="s">
        <v>393</v>
      </c>
      <c r="P901" s="6" t="str">
        <f>IF(Table1[[#This Row],[Transaction_Amount]]&lt;=Table1[[#This Row],[avg_transaction_amount]], "usual transaction", "unusual transaction")</f>
        <v>unusual transaction</v>
      </c>
      <c r="Q901" s="6" t="str">
        <f>IF(AND(Table1[[#This Row],[Country_of_Residence]]&lt;&gt;Table1[[#This Row],[Country_of_Transaction]], OR(Table1[[#This Row],[Authentication_Type]]="Biometric", Table1[[#This Row],[Authentication_Type]]="OTP")), "safe location transaction", "unsafe location transaction")</f>
        <v>safe location transaction</v>
      </c>
      <c r="R901" s="6" t="str">
        <f>IF(AND(Table1[[#This Row],[Country_of_Residence]]&lt;&gt;Table1[[#This Row],[Country_of_Transaction]], OR(Table1[[#This Row],[Merchant_Category]]="Electronics", Table1[[#This Row],[Merchant_Category]]="Travel")), "unsafe merchant transaction", "safe merchant transaction")</f>
        <v>safe merchant transaction</v>
      </c>
    </row>
    <row r="902" spans="1:18">
      <c r="A902" t="s">
        <v>2936</v>
      </c>
      <c r="B902" t="s">
        <v>165</v>
      </c>
      <c r="C902">
        <v>1</v>
      </c>
      <c r="D902" t="s">
        <v>9</v>
      </c>
      <c r="E902" t="s">
        <v>420</v>
      </c>
      <c r="F902" s="2">
        <v>45744</v>
      </c>
      <c r="G902">
        <v>7645.44</v>
      </c>
      <c r="H902" s="1">
        <f>AVERAGEIF(Table1[Customer_ID], Table1[[#This Row],[Customer_ID]], Table1[Transaction_Amount])</f>
        <v>5496.3600000000006</v>
      </c>
      <c r="I902" t="s">
        <v>585</v>
      </c>
      <c r="J902" t="s">
        <v>46</v>
      </c>
      <c r="K902" t="s">
        <v>12</v>
      </c>
      <c r="L902">
        <v>5</v>
      </c>
      <c r="M902" t="s">
        <v>33</v>
      </c>
      <c r="N902" t="s">
        <v>47</v>
      </c>
      <c r="O902" t="s">
        <v>392</v>
      </c>
      <c r="P902" s="6" t="str">
        <f>IF(Table1[[#This Row],[Transaction_Amount]]&lt;=Table1[[#This Row],[avg_transaction_amount]], "usual transaction", "unusual transaction")</f>
        <v>unusual transaction</v>
      </c>
      <c r="Q902" s="6" t="str">
        <f>IF(AND(Table1[[#This Row],[Country_of_Residence]]&lt;&gt;Table1[[#This Row],[Country_of_Transaction]], OR(Table1[[#This Row],[Authentication_Type]]="Biometric", Table1[[#This Row],[Authentication_Type]]="OTP")), "safe location transaction", "unsafe location transaction")</f>
        <v>unsafe location transaction</v>
      </c>
      <c r="R902" s="6" t="str">
        <f>IF(AND(Table1[[#This Row],[Country_of_Residence]]&lt;&gt;Table1[[#This Row],[Country_of_Transaction]], OR(Table1[[#This Row],[Merchant_Category]]="Electronics", Table1[[#This Row],[Merchant_Category]]="Travel")), "unsafe merchant transaction", "safe merchant transaction")</f>
        <v>safe merchant transaction</v>
      </c>
    </row>
    <row r="903" spans="1:18">
      <c r="A903" t="s">
        <v>2985</v>
      </c>
      <c r="B903" t="s">
        <v>165</v>
      </c>
      <c r="C903">
        <v>1</v>
      </c>
      <c r="D903" t="s">
        <v>15</v>
      </c>
      <c r="E903" t="s">
        <v>420</v>
      </c>
      <c r="F903" s="2">
        <v>45891</v>
      </c>
      <c r="G903">
        <v>7137.62</v>
      </c>
      <c r="H903" s="1">
        <f>AVERAGEIF(Table1[Customer_ID], Table1[[#This Row],[Customer_ID]], Table1[Transaction_Amount])</f>
        <v>5496.3600000000006</v>
      </c>
      <c r="I903" t="s">
        <v>633</v>
      </c>
      <c r="J903" t="s">
        <v>31</v>
      </c>
      <c r="K903" t="s">
        <v>8</v>
      </c>
      <c r="L903">
        <v>4</v>
      </c>
      <c r="M903" t="s">
        <v>42</v>
      </c>
      <c r="N903" t="s">
        <v>51</v>
      </c>
      <c r="O903" t="s">
        <v>392</v>
      </c>
      <c r="P903" s="6" t="str">
        <f>IF(Table1[[#This Row],[Transaction_Amount]]&lt;=Table1[[#This Row],[avg_transaction_amount]], "usual transaction", "unusual transaction")</f>
        <v>unusual transaction</v>
      </c>
      <c r="Q903" s="6" t="str">
        <f>IF(AND(Table1[[#This Row],[Country_of_Residence]]&lt;&gt;Table1[[#This Row],[Country_of_Transaction]], OR(Table1[[#This Row],[Authentication_Type]]="Biometric", Table1[[#This Row],[Authentication_Type]]="OTP")), "safe location transaction", "unsafe location transaction")</f>
        <v>safe location transaction</v>
      </c>
      <c r="R903" s="6" t="str">
        <f>IF(AND(Table1[[#This Row],[Country_of_Residence]]&lt;&gt;Table1[[#This Row],[Country_of_Transaction]], OR(Table1[[#This Row],[Merchant_Category]]="Electronics", Table1[[#This Row],[Merchant_Category]]="Travel")), "unsafe merchant transaction", "safe merchant transaction")</f>
        <v>safe merchant transaction</v>
      </c>
    </row>
    <row r="904" spans="1:18">
      <c r="A904" t="s">
        <v>2986</v>
      </c>
      <c r="B904" t="s">
        <v>165</v>
      </c>
      <c r="C904">
        <v>1</v>
      </c>
      <c r="D904" t="s">
        <v>15</v>
      </c>
      <c r="E904" t="s">
        <v>6</v>
      </c>
      <c r="F904" s="2">
        <v>45918</v>
      </c>
      <c r="G904">
        <v>7744.62</v>
      </c>
      <c r="H904" s="1">
        <f>AVERAGEIF(Table1[Customer_ID], Table1[[#This Row],[Customer_ID]], Table1[Transaction_Amount])</f>
        <v>5496.3600000000006</v>
      </c>
      <c r="I904" t="s">
        <v>634</v>
      </c>
      <c r="J904" t="s">
        <v>31</v>
      </c>
      <c r="K904" t="s">
        <v>12</v>
      </c>
      <c r="L904">
        <v>0</v>
      </c>
      <c r="M904" t="s">
        <v>47</v>
      </c>
      <c r="N904" t="s">
        <v>51</v>
      </c>
      <c r="O904" t="s">
        <v>393</v>
      </c>
      <c r="P904" s="6" t="str">
        <f>IF(Table1[[#This Row],[Transaction_Amount]]&lt;=Table1[[#This Row],[avg_transaction_amount]], "usual transaction", "unusual transaction")</f>
        <v>unusual transaction</v>
      </c>
      <c r="Q904" s="6" t="str">
        <f>IF(AND(Table1[[#This Row],[Country_of_Residence]]&lt;&gt;Table1[[#This Row],[Country_of_Transaction]], OR(Table1[[#This Row],[Authentication_Type]]="Biometric", Table1[[#This Row],[Authentication_Type]]="OTP")), "safe location transaction", "unsafe location transaction")</f>
        <v>unsafe location transaction</v>
      </c>
      <c r="R904" s="6" t="str">
        <f>IF(AND(Table1[[#This Row],[Country_of_Residence]]&lt;&gt;Table1[[#This Row],[Country_of_Transaction]], OR(Table1[[#This Row],[Merchant_Category]]="Electronics", Table1[[#This Row],[Merchant_Category]]="Travel")), "unsafe merchant transaction", "safe merchant transaction")</f>
        <v>safe merchant transaction</v>
      </c>
    </row>
    <row r="905" spans="1:18">
      <c r="A905" t="s">
        <v>3104</v>
      </c>
      <c r="B905" t="s">
        <v>165</v>
      </c>
      <c r="C905">
        <v>1</v>
      </c>
      <c r="D905" t="s">
        <v>15</v>
      </c>
      <c r="E905" t="s">
        <v>5</v>
      </c>
      <c r="F905" s="2">
        <v>45737</v>
      </c>
      <c r="G905">
        <v>2107.4499999999998</v>
      </c>
      <c r="H905" s="1">
        <f>AVERAGEIF(Table1[Customer_ID], Table1[[#This Row],[Customer_ID]], Table1[Transaction_Amount])</f>
        <v>5496.3600000000006</v>
      </c>
      <c r="I905" t="s">
        <v>747</v>
      </c>
      <c r="J905" t="s">
        <v>31</v>
      </c>
      <c r="K905" t="s">
        <v>8</v>
      </c>
      <c r="L905">
        <v>4</v>
      </c>
      <c r="M905" t="s">
        <v>412</v>
      </c>
      <c r="N905" t="s">
        <v>33</v>
      </c>
      <c r="O905" t="s">
        <v>392</v>
      </c>
      <c r="P905" s="6" t="str">
        <f>IF(Table1[[#This Row],[Transaction_Amount]]&lt;=Table1[[#This Row],[avg_transaction_amount]], "usual transaction", "unusual transaction")</f>
        <v>usual transaction</v>
      </c>
      <c r="Q905" s="6" t="str">
        <f>IF(AND(Table1[[#This Row],[Country_of_Residence]]&lt;&gt;Table1[[#This Row],[Country_of_Transaction]], OR(Table1[[#This Row],[Authentication_Type]]="Biometric", Table1[[#This Row],[Authentication_Type]]="OTP")), "safe location transaction", "unsafe location transaction")</f>
        <v>safe location transaction</v>
      </c>
      <c r="R905" s="6" t="str">
        <f>IF(AND(Table1[[#This Row],[Country_of_Residence]]&lt;&gt;Table1[[#This Row],[Country_of_Transaction]], OR(Table1[[#This Row],[Merchant_Category]]="Electronics", Table1[[#This Row],[Merchant_Category]]="Travel")), "unsafe merchant transaction", "safe merchant transaction")</f>
        <v>safe merchant transaction</v>
      </c>
    </row>
    <row r="906" spans="1:18">
      <c r="A906" t="s">
        <v>3164</v>
      </c>
      <c r="B906" t="s">
        <v>165</v>
      </c>
      <c r="C906">
        <v>1</v>
      </c>
      <c r="D906" t="s">
        <v>15</v>
      </c>
      <c r="E906" t="s">
        <v>3</v>
      </c>
      <c r="F906" s="2">
        <v>45704</v>
      </c>
      <c r="G906">
        <v>3274.54</v>
      </c>
      <c r="H906" s="1">
        <f>AVERAGEIF(Table1[Customer_ID], Table1[[#This Row],[Customer_ID]], Table1[Transaction_Amount])</f>
        <v>5496.3600000000006</v>
      </c>
      <c r="I906" t="s">
        <v>772</v>
      </c>
      <c r="J906" t="s">
        <v>50</v>
      </c>
      <c r="K906" t="s">
        <v>10</v>
      </c>
      <c r="L906">
        <v>4</v>
      </c>
      <c r="M906" t="s">
        <v>56</v>
      </c>
      <c r="N906" t="s">
        <v>33</v>
      </c>
      <c r="O906" t="s">
        <v>392</v>
      </c>
      <c r="P906" s="6" t="str">
        <f>IF(Table1[[#This Row],[Transaction_Amount]]&lt;=Table1[[#This Row],[avg_transaction_amount]], "usual transaction", "unusual transaction")</f>
        <v>usual transaction</v>
      </c>
      <c r="Q906" s="6" t="str">
        <f>IF(AND(Table1[[#This Row],[Country_of_Residence]]&lt;&gt;Table1[[#This Row],[Country_of_Transaction]], OR(Table1[[#This Row],[Authentication_Type]]="Biometric", Table1[[#This Row],[Authentication_Type]]="OTP")), "safe location transaction", "unsafe location transaction")</f>
        <v>safe location transaction</v>
      </c>
      <c r="R906" s="6" t="str">
        <f>IF(AND(Table1[[#This Row],[Country_of_Residence]]&lt;&gt;Table1[[#This Row],[Country_of_Transaction]], OR(Table1[[#This Row],[Merchant_Category]]="Electronics", Table1[[#This Row],[Merchant_Category]]="Travel")), "unsafe merchant transaction", "safe merchant transaction")</f>
        <v>unsafe merchant transaction</v>
      </c>
    </row>
    <row r="907" spans="1:18">
      <c r="A907" t="s">
        <v>3200</v>
      </c>
      <c r="B907" t="s">
        <v>165</v>
      </c>
      <c r="C907">
        <v>1</v>
      </c>
      <c r="D907" t="s">
        <v>9</v>
      </c>
      <c r="E907" t="s">
        <v>3</v>
      </c>
      <c r="F907" s="2">
        <v>45715</v>
      </c>
      <c r="G907">
        <v>1368.76</v>
      </c>
      <c r="H907" s="1">
        <f>AVERAGEIF(Table1[Customer_ID], Table1[[#This Row],[Customer_ID]], Table1[Transaction_Amount])</f>
        <v>5496.3600000000006</v>
      </c>
      <c r="I907" t="s">
        <v>835</v>
      </c>
      <c r="J907" t="s">
        <v>41</v>
      </c>
      <c r="K907" t="s">
        <v>12</v>
      </c>
      <c r="L907">
        <v>5</v>
      </c>
      <c r="M907" t="s">
        <v>47</v>
      </c>
      <c r="N907" t="s">
        <v>51</v>
      </c>
      <c r="O907" t="s">
        <v>392</v>
      </c>
      <c r="P907" s="6" t="str">
        <f>IF(Table1[[#This Row],[Transaction_Amount]]&lt;=Table1[[#This Row],[avg_transaction_amount]], "usual transaction", "unusual transaction")</f>
        <v>usual transaction</v>
      </c>
      <c r="Q907" s="6" t="str">
        <f>IF(AND(Table1[[#This Row],[Country_of_Residence]]&lt;&gt;Table1[[#This Row],[Country_of_Transaction]], OR(Table1[[#This Row],[Authentication_Type]]="Biometric", Table1[[#This Row],[Authentication_Type]]="OTP")), "safe location transaction", "unsafe location transaction")</f>
        <v>unsafe location transaction</v>
      </c>
      <c r="R907" s="6" t="str">
        <f>IF(AND(Table1[[#This Row],[Country_of_Residence]]&lt;&gt;Table1[[#This Row],[Country_of_Transaction]], OR(Table1[[#This Row],[Merchant_Category]]="Electronics", Table1[[#This Row],[Merchant_Category]]="Travel")), "unsafe merchant transaction", "safe merchant transaction")</f>
        <v>safe merchant transaction</v>
      </c>
    </row>
    <row r="908" spans="1:18">
      <c r="A908" t="s">
        <v>3201</v>
      </c>
      <c r="B908" t="s">
        <v>165</v>
      </c>
      <c r="C908">
        <v>1</v>
      </c>
      <c r="D908" t="s">
        <v>15</v>
      </c>
      <c r="E908" t="s">
        <v>3</v>
      </c>
      <c r="F908" s="2">
        <v>45833</v>
      </c>
      <c r="G908">
        <v>7836.15</v>
      </c>
      <c r="H908" s="1">
        <f>AVERAGEIF(Table1[Customer_ID], Table1[[#This Row],[Customer_ID]], Table1[Transaction_Amount])</f>
        <v>5496.3600000000006</v>
      </c>
      <c r="I908" t="s">
        <v>836</v>
      </c>
      <c r="J908" t="s">
        <v>41</v>
      </c>
      <c r="K908" t="s">
        <v>12</v>
      </c>
      <c r="L908">
        <v>3</v>
      </c>
      <c r="M908" t="s">
        <v>56</v>
      </c>
      <c r="N908" t="s">
        <v>56</v>
      </c>
      <c r="O908" t="s">
        <v>392</v>
      </c>
      <c r="P908" s="6" t="str">
        <f>IF(Table1[[#This Row],[Transaction_Amount]]&lt;=Table1[[#This Row],[avg_transaction_amount]], "usual transaction", "unusual transaction")</f>
        <v>unusual transaction</v>
      </c>
      <c r="Q908" s="6" t="str">
        <f>IF(AND(Table1[[#This Row],[Country_of_Residence]]&lt;&gt;Table1[[#This Row],[Country_of_Transaction]], OR(Table1[[#This Row],[Authentication_Type]]="Biometric", Table1[[#This Row],[Authentication_Type]]="OTP")), "safe location transaction", "unsafe location transaction")</f>
        <v>unsafe location transaction</v>
      </c>
      <c r="R908" s="6" t="str">
        <f>IF(AND(Table1[[#This Row],[Country_of_Residence]]&lt;&gt;Table1[[#This Row],[Country_of_Transaction]], OR(Table1[[#This Row],[Merchant_Category]]="Electronics", Table1[[#This Row],[Merchant_Category]]="Travel")), "unsafe merchant transaction", "safe merchant transaction")</f>
        <v>safe merchant transaction</v>
      </c>
    </row>
    <row r="909" spans="1:18">
      <c r="A909" t="s">
        <v>3205</v>
      </c>
      <c r="B909" t="s">
        <v>165</v>
      </c>
      <c r="C909">
        <v>1</v>
      </c>
      <c r="D909" t="s">
        <v>15</v>
      </c>
      <c r="E909" t="s">
        <v>6</v>
      </c>
      <c r="F909" s="2">
        <v>45924</v>
      </c>
      <c r="G909">
        <v>6560.72</v>
      </c>
      <c r="H909" s="1">
        <f>AVERAGEIF(Table1[Customer_ID], Table1[[#This Row],[Customer_ID]], Table1[Transaction_Amount])</f>
        <v>5496.3600000000006</v>
      </c>
      <c r="I909" t="s">
        <v>839</v>
      </c>
      <c r="J909" t="s">
        <v>50</v>
      </c>
      <c r="K909" t="s">
        <v>10</v>
      </c>
      <c r="L909">
        <v>5</v>
      </c>
      <c r="M909" t="s">
        <v>412</v>
      </c>
      <c r="N909" t="s">
        <v>32</v>
      </c>
      <c r="O909" t="s">
        <v>392</v>
      </c>
      <c r="P909" s="6" t="str">
        <f>IF(Table1[[#This Row],[Transaction_Amount]]&lt;=Table1[[#This Row],[avg_transaction_amount]], "usual transaction", "unusual transaction")</f>
        <v>unusual transaction</v>
      </c>
      <c r="Q909" s="6" t="str">
        <f>IF(AND(Table1[[#This Row],[Country_of_Residence]]&lt;&gt;Table1[[#This Row],[Country_of_Transaction]], OR(Table1[[#This Row],[Authentication_Type]]="Biometric", Table1[[#This Row],[Authentication_Type]]="OTP")), "safe location transaction", "unsafe location transaction")</f>
        <v>safe location transaction</v>
      </c>
      <c r="R909" s="6" t="str">
        <f>IF(AND(Table1[[#This Row],[Country_of_Residence]]&lt;&gt;Table1[[#This Row],[Country_of_Transaction]], OR(Table1[[#This Row],[Merchant_Category]]="Electronics", Table1[[#This Row],[Merchant_Category]]="Travel")), "unsafe merchant transaction", "safe merchant transaction")</f>
        <v>unsafe merchant transaction</v>
      </c>
    </row>
    <row r="910" spans="1:18">
      <c r="A910" t="s">
        <v>3254</v>
      </c>
      <c r="B910" t="s">
        <v>165</v>
      </c>
      <c r="C910">
        <v>1</v>
      </c>
      <c r="D910" t="s">
        <v>9</v>
      </c>
      <c r="E910" t="s">
        <v>420</v>
      </c>
      <c r="F910" s="2">
        <v>46012</v>
      </c>
      <c r="G910">
        <v>1670.33</v>
      </c>
      <c r="H910" s="1">
        <f>AVERAGEIF(Table1[Customer_ID], Table1[[#This Row],[Customer_ID]], Table1[Transaction_Amount])</f>
        <v>5496.3600000000006</v>
      </c>
      <c r="I910" t="s">
        <v>885</v>
      </c>
      <c r="J910" t="s">
        <v>46</v>
      </c>
      <c r="K910" t="s">
        <v>10</v>
      </c>
      <c r="L910">
        <v>2</v>
      </c>
      <c r="M910" t="s">
        <v>51</v>
      </c>
      <c r="N910" t="s">
        <v>56</v>
      </c>
      <c r="O910" t="s">
        <v>393</v>
      </c>
      <c r="P910" s="6" t="str">
        <f>IF(Table1[[#This Row],[Transaction_Amount]]&lt;=Table1[[#This Row],[avg_transaction_amount]], "usual transaction", "unusual transaction")</f>
        <v>usual transaction</v>
      </c>
      <c r="Q910" s="6" t="str">
        <f>IF(AND(Table1[[#This Row],[Country_of_Residence]]&lt;&gt;Table1[[#This Row],[Country_of_Transaction]], OR(Table1[[#This Row],[Authentication_Type]]="Biometric", Table1[[#This Row],[Authentication_Type]]="OTP")), "safe location transaction", "unsafe location transaction")</f>
        <v>safe location transaction</v>
      </c>
      <c r="R910" s="6" t="str">
        <f>IF(AND(Table1[[#This Row],[Country_of_Residence]]&lt;&gt;Table1[[#This Row],[Country_of_Transaction]], OR(Table1[[#This Row],[Merchant_Category]]="Electronics", Table1[[#This Row],[Merchant_Category]]="Travel")), "unsafe merchant transaction", "safe merchant transaction")</f>
        <v>safe merchant transaction</v>
      </c>
    </row>
    <row r="911" spans="1:18">
      <c r="A911" t="s">
        <v>3269</v>
      </c>
      <c r="B911" t="s">
        <v>165</v>
      </c>
      <c r="C911">
        <v>1</v>
      </c>
      <c r="D911" t="s">
        <v>15</v>
      </c>
      <c r="E911" t="s">
        <v>3</v>
      </c>
      <c r="F911" s="2">
        <v>45708</v>
      </c>
      <c r="G911">
        <v>4918.95</v>
      </c>
      <c r="H911" s="1">
        <f>AVERAGEIF(Table1[Customer_ID], Table1[[#This Row],[Customer_ID]], Table1[Transaction_Amount])</f>
        <v>5496.3600000000006</v>
      </c>
      <c r="I911" t="s">
        <v>897</v>
      </c>
      <c r="J911" t="s">
        <v>31</v>
      </c>
      <c r="K911" t="s">
        <v>8</v>
      </c>
      <c r="L911">
        <v>5</v>
      </c>
      <c r="M911" t="s">
        <v>412</v>
      </c>
      <c r="N911" t="s">
        <v>42</v>
      </c>
      <c r="O911" t="s">
        <v>393</v>
      </c>
      <c r="P911" s="6" t="str">
        <f>IF(Table1[[#This Row],[Transaction_Amount]]&lt;=Table1[[#This Row],[avg_transaction_amount]], "usual transaction", "unusual transaction")</f>
        <v>usual transaction</v>
      </c>
      <c r="Q911" s="6" t="str">
        <f>IF(AND(Table1[[#This Row],[Country_of_Residence]]&lt;&gt;Table1[[#This Row],[Country_of_Transaction]], OR(Table1[[#This Row],[Authentication_Type]]="Biometric", Table1[[#This Row],[Authentication_Type]]="OTP")), "safe location transaction", "unsafe location transaction")</f>
        <v>safe location transaction</v>
      </c>
      <c r="R911" s="6" t="str">
        <f>IF(AND(Table1[[#This Row],[Country_of_Residence]]&lt;&gt;Table1[[#This Row],[Country_of_Transaction]], OR(Table1[[#This Row],[Merchant_Category]]="Electronics", Table1[[#This Row],[Merchant_Category]]="Travel")), "unsafe merchant transaction", "safe merchant transaction")</f>
        <v>safe merchant transaction</v>
      </c>
    </row>
    <row r="912" spans="1:18">
      <c r="A912" t="s">
        <v>3287</v>
      </c>
      <c r="B912" t="s">
        <v>165</v>
      </c>
      <c r="C912">
        <v>1</v>
      </c>
      <c r="D912" t="s">
        <v>9</v>
      </c>
      <c r="E912" t="s">
        <v>3</v>
      </c>
      <c r="F912" s="2">
        <v>45820</v>
      </c>
      <c r="G912">
        <v>8635.85</v>
      </c>
      <c r="H912" s="1">
        <f>AVERAGEIF(Table1[Customer_ID], Table1[[#This Row],[Customer_ID]], Table1[Transaction_Amount])</f>
        <v>5496.3600000000006</v>
      </c>
      <c r="I912" t="s">
        <v>915</v>
      </c>
      <c r="J912" t="s">
        <v>36</v>
      </c>
      <c r="K912" t="s">
        <v>12</v>
      </c>
      <c r="L912">
        <v>2</v>
      </c>
      <c r="M912" t="s">
        <v>42</v>
      </c>
      <c r="N912" t="s">
        <v>51</v>
      </c>
      <c r="O912" t="s">
        <v>393</v>
      </c>
      <c r="P912" s="6" t="str">
        <f>IF(Table1[[#This Row],[Transaction_Amount]]&lt;=Table1[[#This Row],[avg_transaction_amount]], "usual transaction", "unusual transaction")</f>
        <v>unusual transaction</v>
      </c>
      <c r="Q912" s="6" t="str">
        <f>IF(AND(Table1[[#This Row],[Country_of_Residence]]&lt;&gt;Table1[[#This Row],[Country_of_Transaction]], OR(Table1[[#This Row],[Authentication_Type]]="Biometric", Table1[[#This Row],[Authentication_Type]]="OTP")), "safe location transaction", "unsafe location transaction")</f>
        <v>unsafe location transaction</v>
      </c>
      <c r="R912" s="6" t="str">
        <f>IF(AND(Table1[[#This Row],[Country_of_Residence]]&lt;&gt;Table1[[#This Row],[Country_of_Transaction]], OR(Table1[[#This Row],[Merchant_Category]]="Electronics", Table1[[#This Row],[Merchant_Category]]="Travel")), "unsafe merchant transaction", "safe merchant transaction")</f>
        <v>safe merchant transaction</v>
      </c>
    </row>
    <row r="913" spans="1:18">
      <c r="A913" t="s">
        <v>3293</v>
      </c>
      <c r="B913" t="s">
        <v>165</v>
      </c>
      <c r="C913">
        <v>1</v>
      </c>
      <c r="D913" t="s">
        <v>9</v>
      </c>
      <c r="E913" t="s">
        <v>5</v>
      </c>
      <c r="F913" s="2">
        <v>45759</v>
      </c>
      <c r="G913">
        <v>1776.12</v>
      </c>
      <c r="H913" s="1">
        <f>AVERAGEIF(Table1[Customer_ID], Table1[[#This Row],[Customer_ID]], Table1[Transaction_Amount])</f>
        <v>5496.3600000000006</v>
      </c>
      <c r="I913" t="s">
        <v>921</v>
      </c>
      <c r="J913" t="s">
        <v>50</v>
      </c>
      <c r="K913" t="s">
        <v>12</v>
      </c>
      <c r="L913">
        <v>3</v>
      </c>
      <c r="M913" t="s">
        <v>56</v>
      </c>
      <c r="N913" t="s">
        <v>55</v>
      </c>
      <c r="O913" t="s">
        <v>392</v>
      </c>
      <c r="P913" s="6" t="str">
        <f>IF(Table1[[#This Row],[Transaction_Amount]]&lt;=Table1[[#This Row],[avg_transaction_amount]], "usual transaction", "unusual transaction")</f>
        <v>usual transaction</v>
      </c>
      <c r="Q913" s="6" t="str">
        <f>IF(AND(Table1[[#This Row],[Country_of_Residence]]&lt;&gt;Table1[[#This Row],[Country_of_Transaction]], OR(Table1[[#This Row],[Authentication_Type]]="Biometric", Table1[[#This Row],[Authentication_Type]]="OTP")), "safe location transaction", "unsafe location transaction")</f>
        <v>unsafe location transaction</v>
      </c>
      <c r="R913" s="6" t="str">
        <f>IF(AND(Table1[[#This Row],[Country_of_Residence]]&lt;&gt;Table1[[#This Row],[Country_of_Transaction]], OR(Table1[[#This Row],[Merchant_Category]]="Electronics", Table1[[#This Row],[Merchant_Category]]="Travel")), "unsafe merchant transaction", "safe merchant transaction")</f>
        <v>unsafe merchant transaction</v>
      </c>
    </row>
    <row r="914" spans="1:18">
      <c r="A914" t="s">
        <v>3413</v>
      </c>
      <c r="B914" t="s">
        <v>165</v>
      </c>
      <c r="C914">
        <v>1</v>
      </c>
      <c r="D914" t="s">
        <v>9</v>
      </c>
      <c r="E914" t="s">
        <v>420</v>
      </c>
      <c r="F914" s="2">
        <v>45945</v>
      </c>
      <c r="G914">
        <v>3835.48</v>
      </c>
      <c r="H914" s="1">
        <f>AVERAGEIF(Table1[Customer_ID], Table1[[#This Row],[Customer_ID]], Table1[Transaction_Amount])</f>
        <v>5496.3600000000006</v>
      </c>
      <c r="I914" t="s">
        <v>1033</v>
      </c>
      <c r="J914" t="s">
        <v>31</v>
      </c>
      <c r="K914" t="s">
        <v>14</v>
      </c>
      <c r="L914">
        <v>1</v>
      </c>
      <c r="M914" t="s">
        <v>47</v>
      </c>
      <c r="N914" t="s">
        <v>55</v>
      </c>
      <c r="O914" t="s">
        <v>392</v>
      </c>
      <c r="P914" s="6" t="str">
        <f>IF(Table1[[#This Row],[Transaction_Amount]]&lt;=Table1[[#This Row],[avg_transaction_amount]], "usual transaction", "unusual transaction")</f>
        <v>usual transaction</v>
      </c>
      <c r="Q914" s="6" t="str">
        <f>IF(AND(Table1[[#This Row],[Country_of_Residence]]&lt;&gt;Table1[[#This Row],[Country_of_Transaction]], OR(Table1[[#This Row],[Authentication_Type]]="Biometric", Table1[[#This Row],[Authentication_Type]]="OTP")), "safe location transaction", "unsafe location transaction")</f>
        <v>unsafe location transaction</v>
      </c>
      <c r="R914" s="6" t="str">
        <f>IF(AND(Table1[[#This Row],[Country_of_Residence]]&lt;&gt;Table1[[#This Row],[Country_of_Transaction]], OR(Table1[[#This Row],[Merchant_Category]]="Electronics", Table1[[#This Row],[Merchant_Category]]="Travel")), "unsafe merchant transaction", "safe merchant transaction")</f>
        <v>safe merchant transaction</v>
      </c>
    </row>
    <row r="915" spans="1:18">
      <c r="A915" t="s">
        <v>3459</v>
      </c>
      <c r="B915" t="s">
        <v>165</v>
      </c>
      <c r="C915">
        <v>1</v>
      </c>
      <c r="D915" t="s">
        <v>9</v>
      </c>
      <c r="E915" t="s">
        <v>6</v>
      </c>
      <c r="F915" s="2">
        <v>45814</v>
      </c>
      <c r="G915">
        <v>2170.0100000000002</v>
      </c>
      <c r="H915" s="1">
        <f>AVERAGEIF(Table1[Customer_ID], Table1[[#This Row],[Customer_ID]], Table1[Transaction_Amount])</f>
        <v>5496.3600000000006</v>
      </c>
      <c r="I915" t="s">
        <v>1077</v>
      </c>
      <c r="J915" t="s">
        <v>31</v>
      </c>
      <c r="K915" t="s">
        <v>8</v>
      </c>
      <c r="L915">
        <v>4</v>
      </c>
      <c r="M915" t="s">
        <v>47</v>
      </c>
      <c r="N915" t="s">
        <v>412</v>
      </c>
      <c r="O915" t="s">
        <v>393</v>
      </c>
      <c r="P915" s="6" t="str">
        <f>IF(Table1[[#This Row],[Transaction_Amount]]&lt;=Table1[[#This Row],[avg_transaction_amount]], "usual transaction", "unusual transaction")</f>
        <v>usual transaction</v>
      </c>
      <c r="Q915" s="6" t="str">
        <f>IF(AND(Table1[[#This Row],[Country_of_Residence]]&lt;&gt;Table1[[#This Row],[Country_of_Transaction]], OR(Table1[[#This Row],[Authentication_Type]]="Biometric", Table1[[#This Row],[Authentication_Type]]="OTP")), "safe location transaction", "unsafe location transaction")</f>
        <v>safe location transaction</v>
      </c>
      <c r="R915" s="6" t="str">
        <f>IF(AND(Table1[[#This Row],[Country_of_Residence]]&lt;&gt;Table1[[#This Row],[Country_of_Transaction]], OR(Table1[[#This Row],[Merchant_Category]]="Electronics", Table1[[#This Row],[Merchant_Category]]="Travel")), "unsafe merchant transaction", "safe merchant transaction")</f>
        <v>safe merchant transaction</v>
      </c>
    </row>
    <row r="916" spans="1:18">
      <c r="A916" t="s">
        <v>3509</v>
      </c>
      <c r="B916" t="s">
        <v>165</v>
      </c>
      <c r="C916">
        <v>1</v>
      </c>
      <c r="D916" t="s">
        <v>15</v>
      </c>
      <c r="E916" t="s">
        <v>3</v>
      </c>
      <c r="F916" s="2">
        <v>45783</v>
      </c>
      <c r="G916">
        <v>8780.2199999999993</v>
      </c>
      <c r="H916" s="1">
        <f>AVERAGEIF(Table1[Customer_ID], Table1[[#This Row],[Customer_ID]], Table1[Transaction_Amount])</f>
        <v>5496.3600000000006</v>
      </c>
      <c r="I916" t="s">
        <v>1124</v>
      </c>
      <c r="J916" t="s">
        <v>46</v>
      </c>
      <c r="K916" t="s">
        <v>10</v>
      </c>
      <c r="L916">
        <v>2</v>
      </c>
      <c r="M916" t="s">
        <v>56</v>
      </c>
      <c r="N916" t="s">
        <v>42</v>
      </c>
      <c r="O916" t="s">
        <v>393</v>
      </c>
      <c r="P916" s="6" t="str">
        <f>IF(Table1[[#This Row],[Transaction_Amount]]&lt;=Table1[[#This Row],[avg_transaction_amount]], "usual transaction", "unusual transaction")</f>
        <v>unusual transaction</v>
      </c>
      <c r="Q916" s="6" t="str">
        <f>IF(AND(Table1[[#This Row],[Country_of_Residence]]&lt;&gt;Table1[[#This Row],[Country_of_Transaction]], OR(Table1[[#This Row],[Authentication_Type]]="Biometric", Table1[[#This Row],[Authentication_Type]]="OTP")), "safe location transaction", "unsafe location transaction")</f>
        <v>safe location transaction</v>
      </c>
      <c r="R916" s="6" t="str">
        <f>IF(AND(Table1[[#This Row],[Country_of_Residence]]&lt;&gt;Table1[[#This Row],[Country_of_Transaction]], OR(Table1[[#This Row],[Merchant_Category]]="Electronics", Table1[[#This Row],[Merchant_Category]]="Travel")), "unsafe merchant transaction", "safe merchant transaction")</f>
        <v>safe merchant transaction</v>
      </c>
    </row>
    <row r="917" spans="1:18">
      <c r="A917" t="s">
        <v>3566</v>
      </c>
      <c r="B917" t="s">
        <v>165</v>
      </c>
      <c r="C917">
        <v>1</v>
      </c>
      <c r="D917" t="s">
        <v>9</v>
      </c>
      <c r="E917" t="s">
        <v>5</v>
      </c>
      <c r="F917" s="2">
        <v>45701</v>
      </c>
      <c r="G917">
        <v>1400.12</v>
      </c>
      <c r="H917" s="1">
        <f>AVERAGEIF(Table1[Customer_ID], Table1[[#This Row],[Customer_ID]], Table1[Transaction_Amount])</f>
        <v>5496.3600000000006</v>
      </c>
      <c r="I917" t="s">
        <v>1179</v>
      </c>
      <c r="J917" t="s">
        <v>41</v>
      </c>
      <c r="K917" t="s">
        <v>12</v>
      </c>
      <c r="L917">
        <v>3</v>
      </c>
      <c r="M917" t="s">
        <v>56</v>
      </c>
      <c r="N917" t="s">
        <v>32</v>
      </c>
      <c r="O917" t="s">
        <v>392</v>
      </c>
      <c r="P917" s="6" t="str">
        <f>IF(Table1[[#This Row],[Transaction_Amount]]&lt;=Table1[[#This Row],[avg_transaction_amount]], "usual transaction", "unusual transaction")</f>
        <v>usual transaction</v>
      </c>
      <c r="Q917" s="6" t="str">
        <f>IF(AND(Table1[[#This Row],[Country_of_Residence]]&lt;&gt;Table1[[#This Row],[Country_of_Transaction]], OR(Table1[[#This Row],[Authentication_Type]]="Biometric", Table1[[#This Row],[Authentication_Type]]="OTP")), "safe location transaction", "unsafe location transaction")</f>
        <v>unsafe location transaction</v>
      </c>
      <c r="R917" s="6" t="str">
        <f>IF(AND(Table1[[#This Row],[Country_of_Residence]]&lt;&gt;Table1[[#This Row],[Country_of_Transaction]], OR(Table1[[#This Row],[Merchant_Category]]="Electronics", Table1[[#This Row],[Merchant_Category]]="Travel")), "unsafe merchant transaction", "safe merchant transaction")</f>
        <v>safe merchant transaction</v>
      </c>
    </row>
    <row r="918" spans="1:18">
      <c r="A918" t="s">
        <v>3628</v>
      </c>
      <c r="B918" t="s">
        <v>165</v>
      </c>
      <c r="C918">
        <v>1</v>
      </c>
      <c r="D918" t="s">
        <v>15</v>
      </c>
      <c r="E918" t="s">
        <v>5</v>
      </c>
      <c r="F918" s="2">
        <v>45983</v>
      </c>
      <c r="G918">
        <v>9128.07</v>
      </c>
      <c r="H918" s="1">
        <f>AVERAGEIF(Table1[Customer_ID], Table1[[#This Row],[Customer_ID]], Table1[Transaction_Amount])</f>
        <v>5496.3600000000006</v>
      </c>
      <c r="I918" t="s">
        <v>1233</v>
      </c>
      <c r="J918" t="s">
        <v>36</v>
      </c>
      <c r="K918" t="s">
        <v>8</v>
      </c>
      <c r="L918">
        <v>1</v>
      </c>
      <c r="M918" t="s">
        <v>42</v>
      </c>
      <c r="N918" t="s">
        <v>33</v>
      </c>
      <c r="O918" t="s">
        <v>392</v>
      </c>
      <c r="P918" s="6" t="str">
        <f>IF(Table1[[#This Row],[Transaction_Amount]]&lt;=Table1[[#This Row],[avg_transaction_amount]], "usual transaction", "unusual transaction")</f>
        <v>unusual transaction</v>
      </c>
      <c r="Q918" s="6" t="str">
        <f>IF(AND(Table1[[#This Row],[Country_of_Residence]]&lt;&gt;Table1[[#This Row],[Country_of_Transaction]], OR(Table1[[#This Row],[Authentication_Type]]="Biometric", Table1[[#This Row],[Authentication_Type]]="OTP")), "safe location transaction", "unsafe location transaction")</f>
        <v>safe location transaction</v>
      </c>
      <c r="R918" s="6" t="str">
        <f>IF(AND(Table1[[#This Row],[Country_of_Residence]]&lt;&gt;Table1[[#This Row],[Country_of_Transaction]], OR(Table1[[#This Row],[Merchant_Category]]="Electronics", Table1[[#This Row],[Merchant_Category]]="Travel")), "unsafe merchant transaction", "safe merchant transaction")</f>
        <v>safe merchant transaction</v>
      </c>
    </row>
    <row r="919" spans="1:18">
      <c r="A919" t="s">
        <v>3646</v>
      </c>
      <c r="B919" t="s">
        <v>165</v>
      </c>
      <c r="C919">
        <v>1</v>
      </c>
      <c r="D919" t="s">
        <v>9</v>
      </c>
      <c r="E919" t="s">
        <v>5</v>
      </c>
      <c r="F919" s="2">
        <v>45952</v>
      </c>
      <c r="G919">
        <v>5658.41</v>
      </c>
      <c r="H919" s="1">
        <f>AVERAGEIF(Table1[Customer_ID], Table1[[#This Row],[Customer_ID]], Table1[Transaction_Amount])</f>
        <v>5496.3600000000006</v>
      </c>
      <c r="I919" t="s">
        <v>1251</v>
      </c>
      <c r="J919" t="s">
        <v>41</v>
      </c>
      <c r="K919" t="s">
        <v>8</v>
      </c>
      <c r="L919">
        <v>1</v>
      </c>
      <c r="M919" t="s">
        <v>42</v>
      </c>
      <c r="N919" t="s">
        <v>412</v>
      </c>
      <c r="O919" t="s">
        <v>392</v>
      </c>
      <c r="P919" s="6" t="str">
        <f>IF(Table1[[#This Row],[Transaction_Amount]]&lt;=Table1[[#This Row],[avg_transaction_amount]], "usual transaction", "unusual transaction")</f>
        <v>unusual transaction</v>
      </c>
      <c r="Q919" s="6" t="str">
        <f>IF(AND(Table1[[#This Row],[Country_of_Residence]]&lt;&gt;Table1[[#This Row],[Country_of_Transaction]], OR(Table1[[#This Row],[Authentication_Type]]="Biometric", Table1[[#This Row],[Authentication_Type]]="OTP")), "safe location transaction", "unsafe location transaction")</f>
        <v>safe location transaction</v>
      </c>
      <c r="R919" s="6" t="str">
        <f>IF(AND(Table1[[#This Row],[Country_of_Residence]]&lt;&gt;Table1[[#This Row],[Country_of_Transaction]], OR(Table1[[#This Row],[Merchant_Category]]="Electronics", Table1[[#This Row],[Merchant_Category]]="Travel")), "unsafe merchant transaction", "safe merchant transaction")</f>
        <v>safe merchant transaction</v>
      </c>
    </row>
    <row r="920" spans="1:18">
      <c r="A920" t="s">
        <v>3751</v>
      </c>
      <c r="B920" t="s">
        <v>165</v>
      </c>
      <c r="C920">
        <v>1</v>
      </c>
      <c r="D920" t="s">
        <v>9</v>
      </c>
      <c r="E920" t="s">
        <v>5</v>
      </c>
      <c r="F920" s="2">
        <v>45700</v>
      </c>
      <c r="G920">
        <v>6420.64</v>
      </c>
      <c r="H920" s="1">
        <f>AVERAGEIF(Table1[Customer_ID], Table1[[#This Row],[Customer_ID]], Table1[Transaction_Amount])</f>
        <v>5496.3600000000006</v>
      </c>
      <c r="I920" t="s">
        <v>1342</v>
      </c>
      <c r="J920" t="s">
        <v>36</v>
      </c>
      <c r="K920" t="s">
        <v>12</v>
      </c>
      <c r="L920">
        <v>4</v>
      </c>
      <c r="M920" t="s">
        <v>47</v>
      </c>
      <c r="N920" t="s">
        <v>55</v>
      </c>
      <c r="O920" t="s">
        <v>393</v>
      </c>
      <c r="P920" s="6" t="str">
        <f>IF(Table1[[#This Row],[Transaction_Amount]]&lt;=Table1[[#This Row],[avg_transaction_amount]], "usual transaction", "unusual transaction")</f>
        <v>unusual transaction</v>
      </c>
      <c r="Q920" s="6" t="str">
        <f>IF(AND(Table1[[#This Row],[Country_of_Residence]]&lt;&gt;Table1[[#This Row],[Country_of_Transaction]], OR(Table1[[#This Row],[Authentication_Type]]="Biometric", Table1[[#This Row],[Authentication_Type]]="OTP")), "safe location transaction", "unsafe location transaction")</f>
        <v>unsafe location transaction</v>
      </c>
      <c r="R920" s="6" t="str">
        <f>IF(AND(Table1[[#This Row],[Country_of_Residence]]&lt;&gt;Table1[[#This Row],[Country_of_Transaction]], OR(Table1[[#This Row],[Merchant_Category]]="Electronics", Table1[[#This Row],[Merchant_Category]]="Travel")), "unsafe merchant transaction", "safe merchant transaction")</f>
        <v>safe merchant transaction</v>
      </c>
    </row>
    <row r="921" spans="1:18">
      <c r="A921" t="s">
        <v>3857</v>
      </c>
      <c r="B921" t="s">
        <v>165</v>
      </c>
      <c r="C921">
        <v>1</v>
      </c>
      <c r="D921" t="s">
        <v>9</v>
      </c>
      <c r="E921" t="s">
        <v>3</v>
      </c>
      <c r="F921" s="2">
        <v>45874</v>
      </c>
      <c r="G921">
        <v>7021.28</v>
      </c>
      <c r="H921" s="1">
        <f>AVERAGEIF(Table1[Customer_ID], Table1[[#This Row],[Customer_ID]], Table1[Transaction_Amount])</f>
        <v>5496.3600000000006</v>
      </c>
      <c r="I921" t="s">
        <v>1432</v>
      </c>
      <c r="J921" t="s">
        <v>36</v>
      </c>
      <c r="K921" t="s">
        <v>10</v>
      </c>
      <c r="L921">
        <v>3</v>
      </c>
      <c r="M921" t="s">
        <v>412</v>
      </c>
      <c r="N921" t="s">
        <v>47</v>
      </c>
      <c r="O921" t="s">
        <v>392</v>
      </c>
      <c r="P921" s="6" t="str">
        <f>IF(Table1[[#This Row],[Transaction_Amount]]&lt;=Table1[[#This Row],[avg_transaction_amount]], "usual transaction", "unusual transaction")</f>
        <v>unusual transaction</v>
      </c>
      <c r="Q921" s="6" t="str">
        <f>IF(AND(Table1[[#This Row],[Country_of_Residence]]&lt;&gt;Table1[[#This Row],[Country_of_Transaction]], OR(Table1[[#This Row],[Authentication_Type]]="Biometric", Table1[[#This Row],[Authentication_Type]]="OTP")), "safe location transaction", "unsafe location transaction")</f>
        <v>safe location transaction</v>
      </c>
      <c r="R921" s="6" t="str">
        <f>IF(AND(Table1[[#This Row],[Country_of_Residence]]&lt;&gt;Table1[[#This Row],[Country_of_Transaction]], OR(Table1[[#This Row],[Merchant_Category]]="Electronics", Table1[[#This Row],[Merchant_Category]]="Travel")), "unsafe merchant transaction", "safe merchant transaction")</f>
        <v>safe merchant transaction</v>
      </c>
    </row>
    <row r="922" spans="1:18">
      <c r="A922" t="s">
        <v>3860</v>
      </c>
      <c r="B922" t="s">
        <v>165</v>
      </c>
      <c r="C922">
        <v>1</v>
      </c>
      <c r="D922" t="s">
        <v>9</v>
      </c>
      <c r="E922" t="s">
        <v>6</v>
      </c>
      <c r="F922" s="2">
        <v>45889</v>
      </c>
      <c r="G922">
        <v>5877.33</v>
      </c>
      <c r="H922" s="1">
        <f>AVERAGEIF(Table1[Customer_ID], Table1[[#This Row],[Customer_ID]], Table1[Transaction_Amount])</f>
        <v>5496.3600000000006</v>
      </c>
      <c r="I922" t="s">
        <v>1115</v>
      </c>
      <c r="J922" t="s">
        <v>31</v>
      </c>
      <c r="K922" t="s">
        <v>14</v>
      </c>
      <c r="L922">
        <v>4</v>
      </c>
      <c r="M922" t="s">
        <v>51</v>
      </c>
      <c r="N922" t="s">
        <v>56</v>
      </c>
      <c r="O922" t="s">
        <v>392</v>
      </c>
      <c r="P922" s="6" t="str">
        <f>IF(Table1[[#This Row],[Transaction_Amount]]&lt;=Table1[[#This Row],[avg_transaction_amount]], "usual transaction", "unusual transaction")</f>
        <v>unusual transaction</v>
      </c>
      <c r="Q922" s="6" t="str">
        <f>IF(AND(Table1[[#This Row],[Country_of_Residence]]&lt;&gt;Table1[[#This Row],[Country_of_Transaction]], OR(Table1[[#This Row],[Authentication_Type]]="Biometric", Table1[[#This Row],[Authentication_Type]]="OTP")), "safe location transaction", "unsafe location transaction")</f>
        <v>unsafe location transaction</v>
      </c>
      <c r="R922" s="6" t="str">
        <f>IF(AND(Table1[[#This Row],[Country_of_Residence]]&lt;&gt;Table1[[#This Row],[Country_of_Transaction]], OR(Table1[[#This Row],[Merchant_Category]]="Electronics", Table1[[#This Row],[Merchant_Category]]="Travel")), "unsafe merchant transaction", "safe merchant transaction")</f>
        <v>safe merchant transaction</v>
      </c>
    </row>
    <row r="923" spans="1:18">
      <c r="A923" t="s">
        <v>3952</v>
      </c>
      <c r="B923" t="s">
        <v>165</v>
      </c>
      <c r="C923">
        <v>1</v>
      </c>
      <c r="D923" t="s">
        <v>15</v>
      </c>
      <c r="E923" t="s">
        <v>420</v>
      </c>
      <c r="F923" s="2">
        <v>45928</v>
      </c>
      <c r="G923">
        <v>8106.62</v>
      </c>
      <c r="H923" s="1">
        <f>AVERAGEIF(Table1[Customer_ID], Table1[[#This Row],[Customer_ID]], Table1[Transaction_Amount])</f>
        <v>5496.3600000000006</v>
      </c>
      <c r="I923" t="s">
        <v>439</v>
      </c>
      <c r="J923" t="s">
        <v>31</v>
      </c>
      <c r="K923" t="s">
        <v>14</v>
      </c>
      <c r="L923">
        <v>5</v>
      </c>
      <c r="M923" t="s">
        <v>33</v>
      </c>
      <c r="N923" t="s">
        <v>56</v>
      </c>
      <c r="O923" t="s">
        <v>393</v>
      </c>
      <c r="P923" s="6" t="str">
        <f>IF(Table1[[#This Row],[Transaction_Amount]]&lt;=Table1[[#This Row],[avg_transaction_amount]], "usual transaction", "unusual transaction")</f>
        <v>unusual transaction</v>
      </c>
      <c r="Q923" s="6" t="str">
        <f>IF(AND(Table1[[#This Row],[Country_of_Residence]]&lt;&gt;Table1[[#This Row],[Country_of_Transaction]], OR(Table1[[#This Row],[Authentication_Type]]="Biometric", Table1[[#This Row],[Authentication_Type]]="OTP")), "safe location transaction", "unsafe location transaction")</f>
        <v>unsafe location transaction</v>
      </c>
      <c r="R923" s="6" t="str">
        <f>IF(AND(Table1[[#This Row],[Country_of_Residence]]&lt;&gt;Table1[[#This Row],[Country_of_Transaction]], OR(Table1[[#This Row],[Merchant_Category]]="Electronics", Table1[[#This Row],[Merchant_Category]]="Travel")), "unsafe merchant transaction", "safe merchant transaction")</f>
        <v>safe merchant transaction</v>
      </c>
    </row>
    <row r="924" spans="1:18">
      <c r="A924" t="s">
        <v>4092</v>
      </c>
      <c r="B924" t="s">
        <v>165</v>
      </c>
      <c r="C924">
        <v>1</v>
      </c>
      <c r="D924" t="s">
        <v>9</v>
      </c>
      <c r="E924" t="s">
        <v>3</v>
      </c>
      <c r="F924" s="2">
        <v>45839</v>
      </c>
      <c r="G924">
        <v>9051.98</v>
      </c>
      <c r="H924" s="1">
        <f>AVERAGEIF(Table1[Customer_ID], Table1[[#This Row],[Customer_ID]], Table1[Transaction_Amount])</f>
        <v>5496.3600000000006</v>
      </c>
      <c r="I924" t="s">
        <v>634</v>
      </c>
      <c r="J924" t="s">
        <v>36</v>
      </c>
      <c r="K924" t="s">
        <v>12</v>
      </c>
      <c r="L924">
        <v>1</v>
      </c>
      <c r="M924" t="s">
        <v>47</v>
      </c>
      <c r="N924" t="s">
        <v>37</v>
      </c>
      <c r="O924" t="s">
        <v>392</v>
      </c>
      <c r="P924" s="6" t="str">
        <f>IF(Table1[[#This Row],[Transaction_Amount]]&lt;=Table1[[#This Row],[avg_transaction_amount]], "usual transaction", "unusual transaction")</f>
        <v>unusual transaction</v>
      </c>
      <c r="Q924" s="6" t="str">
        <f>IF(AND(Table1[[#This Row],[Country_of_Residence]]&lt;&gt;Table1[[#This Row],[Country_of_Transaction]], OR(Table1[[#This Row],[Authentication_Type]]="Biometric", Table1[[#This Row],[Authentication_Type]]="OTP")), "safe location transaction", "unsafe location transaction")</f>
        <v>unsafe location transaction</v>
      </c>
      <c r="R924" s="6" t="str">
        <f>IF(AND(Table1[[#This Row],[Country_of_Residence]]&lt;&gt;Table1[[#This Row],[Country_of_Transaction]], OR(Table1[[#This Row],[Merchant_Category]]="Electronics", Table1[[#This Row],[Merchant_Category]]="Travel")), "unsafe merchant transaction", "safe merchant transaction")</f>
        <v>safe merchant transaction</v>
      </c>
    </row>
    <row r="925" spans="1:18">
      <c r="A925" t="s">
        <v>4121</v>
      </c>
      <c r="B925" t="s">
        <v>165</v>
      </c>
      <c r="C925">
        <v>1</v>
      </c>
      <c r="D925" t="s">
        <v>15</v>
      </c>
      <c r="E925" t="s">
        <v>420</v>
      </c>
      <c r="F925" s="2">
        <v>45969</v>
      </c>
      <c r="G925">
        <v>3323.07</v>
      </c>
      <c r="H925" s="1">
        <f>AVERAGEIF(Table1[Customer_ID], Table1[[#This Row],[Customer_ID]], Table1[Transaction_Amount])</f>
        <v>5496.3600000000006</v>
      </c>
      <c r="I925" t="s">
        <v>1655</v>
      </c>
      <c r="J925" t="s">
        <v>41</v>
      </c>
      <c r="K925" t="s">
        <v>12</v>
      </c>
      <c r="L925">
        <v>2</v>
      </c>
      <c r="M925" t="s">
        <v>55</v>
      </c>
      <c r="N925" t="s">
        <v>51</v>
      </c>
      <c r="O925" t="s">
        <v>392</v>
      </c>
      <c r="P925" s="6" t="str">
        <f>IF(Table1[[#This Row],[Transaction_Amount]]&lt;=Table1[[#This Row],[avg_transaction_amount]], "usual transaction", "unusual transaction")</f>
        <v>usual transaction</v>
      </c>
      <c r="Q925" s="6" t="str">
        <f>IF(AND(Table1[[#This Row],[Country_of_Residence]]&lt;&gt;Table1[[#This Row],[Country_of_Transaction]], OR(Table1[[#This Row],[Authentication_Type]]="Biometric", Table1[[#This Row],[Authentication_Type]]="OTP")), "safe location transaction", "unsafe location transaction")</f>
        <v>unsafe location transaction</v>
      </c>
      <c r="R925" s="6" t="str">
        <f>IF(AND(Table1[[#This Row],[Country_of_Residence]]&lt;&gt;Table1[[#This Row],[Country_of_Transaction]], OR(Table1[[#This Row],[Merchant_Category]]="Electronics", Table1[[#This Row],[Merchant_Category]]="Travel")), "unsafe merchant transaction", "safe merchant transaction")</f>
        <v>safe merchant transaction</v>
      </c>
    </row>
    <row r="926" spans="1:18">
      <c r="A926" t="s">
        <v>4166</v>
      </c>
      <c r="B926" t="s">
        <v>165</v>
      </c>
      <c r="C926">
        <v>1</v>
      </c>
      <c r="D926" t="s">
        <v>15</v>
      </c>
      <c r="E926" t="s">
        <v>420</v>
      </c>
      <c r="F926" s="2">
        <v>45914</v>
      </c>
      <c r="G926">
        <v>488.68</v>
      </c>
      <c r="H926" s="1">
        <f>AVERAGEIF(Table1[Customer_ID], Table1[[#This Row],[Customer_ID]], Table1[Transaction_Amount])</f>
        <v>5496.3600000000006</v>
      </c>
      <c r="I926" t="s">
        <v>543</v>
      </c>
      <c r="J926" t="s">
        <v>46</v>
      </c>
      <c r="K926" t="s">
        <v>12</v>
      </c>
      <c r="L926">
        <v>4</v>
      </c>
      <c r="M926" t="s">
        <v>37</v>
      </c>
      <c r="N926" t="s">
        <v>37</v>
      </c>
      <c r="O926" t="s">
        <v>393</v>
      </c>
      <c r="P926" s="6" t="str">
        <f>IF(Table1[[#This Row],[Transaction_Amount]]&lt;=Table1[[#This Row],[avg_transaction_amount]], "usual transaction", "unusual transaction")</f>
        <v>usual transaction</v>
      </c>
      <c r="Q926" s="6" t="str">
        <f>IF(AND(Table1[[#This Row],[Country_of_Residence]]&lt;&gt;Table1[[#This Row],[Country_of_Transaction]], OR(Table1[[#This Row],[Authentication_Type]]="Biometric", Table1[[#This Row],[Authentication_Type]]="OTP")), "safe location transaction", "unsafe location transaction")</f>
        <v>unsafe location transaction</v>
      </c>
      <c r="R926" s="6" t="str">
        <f>IF(AND(Table1[[#This Row],[Country_of_Residence]]&lt;&gt;Table1[[#This Row],[Country_of_Transaction]], OR(Table1[[#This Row],[Merchant_Category]]="Electronics", Table1[[#This Row],[Merchant_Category]]="Travel")), "unsafe merchant transaction", "safe merchant transaction")</f>
        <v>safe merchant transaction</v>
      </c>
    </row>
    <row r="927" spans="1:18">
      <c r="A927" t="s">
        <v>4267</v>
      </c>
      <c r="B927" t="s">
        <v>165</v>
      </c>
      <c r="C927">
        <v>1</v>
      </c>
      <c r="D927" t="s">
        <v>9</v>
      </c>
      <c r="E927" t="s">
        <v>5</v>
      </c>
      <c r="F927" s="2">
        <v>45726</v>
      </c>
      <c r="G927">
        <v>5584.91</v>
      </c>
      <c r="H927" s="1">
        <f>AVERAGEIF(Table1[Customer_ID], Table1[[#This Row],[Customer_ID]], Table1[Transaction_Amount])</f>
        <v>5496.3600000000006</v>
      </c>
      <c r="I927" t="s">
        <v>1780</v>
      </c>
      <c r="J927" t="s">
        <v>31</v>
      </c>
      <c r="K927" t="s">
        <v>8</v>
      </c>
      <c r="L927">
        <v>1</v>
      </c>
      <c r="M927" t="s">
        <v>33</v>
      </c>
      <c r="N927" t="s">
        <v>47</v>
      </c>
      <c r="O927" t="s">
        <v>393</v>
      </c>
      <c r="P927" s="6" t="str">
        <f>IF(Table1[[#This Row],[Transaction_Amount]]&lt;=Table1[[#This Row],[avg_transaction_amount]], "usual transaction", "unusual transaction")</f>
        <v>unusual transaction</v>
      </c>
      <c r="Q927" s="6" t="str">
        <f>IF(AND(Table1[[#This Row],[Country_of_Residence]]&lt;&gt;Table1[[#This Row],[Country_of_Transaction]], OR(Table1[[#This Row],[Authentication_Type]]="Biometric", Table1[[#This Row],[Authentication_Type]]="OTP")), "safe location transaction", "unsafe location transaction")</f>
        <v>safe location transaction</v>
      </c>
      <c r="R927" s="6" t="str">
        <f>IF(AND(Table1[[#This Row],[Country_of_Residence]]&lt;&gt;Table1[[#This Row],[Country_of_Transaction]], OR(Table1[[#This Row],[Merchant_Category]]="Electronics", Table1[[#This Row],[Merchant_Category]]="Travel")), "unsafe merchant transaction", "safe merchant transaction")</f>
        <v>safe merchant transaction</v>
      </c>
    </row>
    <row r="928" spans="1:18">
      <c r="A928" t="s">
        <v>4286</v>
      </c>
      <c r="B928" t="s">
        <v>165</v>
      </c>
      <c r="C928">
        <v>1</v>
      </c>
      <c r="D928" t="s">
        <v>15</v>
      </c>
      <c r="E928" t="s">
        <v>420</v>
      </c>
      <c r="F928" s="2">
        <v>45663</v>
      </c>
      <c r="G928">
        <v>2935.66</v>
      </c>
      <c r="H928" s="1">
        <f>AVERAGEIF(Table1[Customer_ID], Table1[[#This Row],[Customer_ID]], Table1[Transaction_Amount])</f>
        <v>5496.3600000000006</v>
      </c>
      <c r="I928" t="s">
        <v>1797</v>
      </c>
      <c r="J928" t="s">
        <v>31</v>
      </c>
      <c r="K928" t="s">
        <v>10</v>
      </c>
      <c r="L928">
        <v>1</v>
      </c>
      <c r="M928" t="s">
        <v>56</v>
      </c>
      <c r="N928" t="s">
        <v>42</v>
      </c>
      <c r="O928" t="s">
        <v>393</v>
      </c>
      <c r="P928" s="6" t="str">
        <f>IF(Table1[[#This Row],[Transaction_Amount]]&lt;=Table1[[#This Row],[avg_transaction_amount]], "usual transaction", "unusual transaction")</f>
        <v>usual transaction</v>
      </c>
      <c r="Q928" s="6" t="str">
        <f>IF(AND(Table1[[#This Row],[Country_of_Residence]]&lt;&gt;Table1[[#This Row],[Country_of_Transaction]], OR(Table1[[#This Row],[Authentication_Type]]="Biometric", Table1[[#This Row],[Authentication_Type]]="OTP")), "safe location transaction", "unsafe location transaction")</f>
        <v>safe location transaction</v>
      </c>
      <c r="R928" s="6" t="str">
        <f>IF(AND(Table1[[#This Row],[Country_of_Residence]]&lt;&gt;Table1[[#This Row],[Country_of_Transaction]], OR(Table1[[#This Row],[Merchant_Category]]="Electronics", Table1[[#This Row],[Merchant_Category]]="Travel")), "unsafe merchant transaction", "safe merchant transaction")</f>
        <v>safe merchant transaction</v>
      </c>
    </row>
    <row r="929" spans="1:18">
      <c r="A929" t="s">
        <v>4296</v>
      </c>
      <c r="B929" t="s">
        <v>165</v>
      </c>
      <c r="C929">
        <v>1</v>
      </c>
      <c r="D929" t="s">
        <v>9</v>
      </c>
      <c r="E929" t="s">
        <v>5</v>
      </c>
      <c r="F929" s="2">
        <v>45935</v>
      </c>
      <c r="G929">
        <v>5014.09</v>
      </c>
      <c r="H929" s="1">
        <f>AVERAGEIF(Table1[Customer_ID], Table1[[#This Row],[Customer_ID]], Table1[Transaction_Amount])</f>
        <v>5496.3600000000006</v>
      </c>
      <c r="I929" t="s">
        <v>1806</v>
      </c>
      <c r="J929" t="s">
        <v>50</v>
      </c>
      <c r="K929" t="s">
        <v>12</v>
      </c>
      <c r="L929">
        <v>4</v>
      </c>
      <c r="M929" t="s">
        <v>56</v>
      </c>
      <c r="N929" t="s">
        <v>51</v>
      </c>
      <c r="O929" t="s">
        <v>392</v>
      </c>
      <c r="P929" s="6" t="str">
        <f>IF(Table1[[#This Row],[Transaction_Amount]]&lt;=Table1[[#This Row],[avg_transaction_amount]], "usual transaction", "unusual transaction")</f>
        <v>usual transaction</v>
      </c>
      <c r="Q929" s="6" t="str">
        <f>IF(AND(Table1[[#This Row],[Country_of_Residence]]&lt;&gt;Table1[[#This Row],[Country_of_Transaction]], OR(Table1[[#This Row],[Authentication_Type]]="Biometric", Table1[[#This Row],[Authentication_Type]]="OTP")), "safe location transaction", "unsafe location transaction")</f>
        <v>unsafe location transaction</v>
      </c>
      <c r="R929" s="6" t="str">
        <f>IF(AND(Table1[[#This Row],[Country_of_Residence]]&lt;&gt;Table1[[#This Row],[Country_of_Transaction]], OR(Table1[[#This Row],[Merchant_Category]]="Electronics", Table1[[#This Row],[Merchant_Category]]="Travel")), "unsafe merchant transaction", "safe merchant transaction")</f>
        <v>unsafe merchant transaction</v>
      </c>
    </row>
    <row r="930" spans="1:18">
      <c r="A930" t="s">
        <v>4333</v>
      </c>
      <c r="B930" t="s">
        <v>165</v>
      </c>
      <c r="C930">
        <v>1</v>
      </c>
      <c r="D930" t="s">
        <v>15</v>
      </c>
      <c r="E930" t="s">
        <v>3</v>
      </c>
      <c r="F930" s="2">
        <v>45836</v>
      </c>
      <c r="G930">
        <v>988.22</v>
      </c>
      <c r="H930" s="1">
        <f>AVERAGEIF(Table1[Customer_ID], Table1[[#This Row],[Customer_ID]], Table1[Transaction_Amount])</f>
        <v>5496.3600000000006</v>
      </c>
      <c r="I930" t="s">
        <v>1839</v>
      </c>
      <c r="J930" t="s">
        <v>36</v>
      </c>
      <c r="K930" t="s">
        <v>10</v>
      </c>
      <c r="L930">
        <v>1</v>
      </c>
      <c r="M930" t="s">
        <v>33</v>
      </c>
      <c r="N930" t="s">
        <v>42</v>
      </c>
      <c r="O930" t="s">
        <v>393</v>
      </c>
      <c r="P930" s="6" t="str">
        <f>IF(Table1[[#This Row],[Transaction_Amount]]&lt;=Table1[[#This Row],[avg_transaction_amount]], "usual transaction", "unusual transaction")</f>
        <v>usual transaction</v>
      </c>
      <c r="Q930" s="6" t="str">
        <f>IF(AND(Table1[[#This Row],[Country_of_Residence]]&lt;&gt;Table1[[#This Row],[Country_of_Transaction]], OR(Table1[[#This Row],[Authentication_Type]]="Biometric", Table1[[#This Row],[Authentication_Type]]="OTP")), "safe location transaction", "unsafe location transaction")</f>
        <v>safe location transaction</v>
      </c>
      <c r="R930" s="6" t="str">
        <f>IF(AND(Table1[[#This Row],[Country_of_Residence]]&lt;&gt;Table1[[#This Row],[Country_of_Transaction]], OR(Table1[[#This Row],[Merchant_Category]]="Electronics", Table1[[#This Row],[Merchant_Category]]="Travel")), "unsafe merchant transaction", "safe merchant transaction")</f>
        <v>safe merchant transaction</v>
      </c>
    </row>
    <row r="931" spans="1:18">
      <c r="A931" t="s">
        <v>4344</v>
      </c>
      <c r="B931" t="s">
        <v>165</v>
      </c>
      <c r="C931">
        <v>1</v>
      </c>
      <c r="D931" t="s">
        <v>9</v>
      </c>
      <c r="E931" t="s">
        <v>420</v>
      </c>
      <c r="F931" s="2">
        <v>45715</v>
      </c>
      <c r="G931">
        <v>3196.32</v>
      </c>
      <c r="H931" s="1">
        <f>AVERAGEIF(Table1[Customer_ID], Table1[[#This Row],[Customer_ID]], Table1[Transaction_Amount])</f>
        <v>5496.3600000000006</v>
      </c>
      <c r="I931" t="s">
        <v>1850</v>
      </c>
      <c r="J931" t="s">
        <v>41</v>
      </c>
      <c r="K931" t="s">
        <v>12</v>
      </c>
      <c r="L931">
        <v>4</v>
      </c>
      <c r="M931" t="s">
        <v>32</v>
      </c>
      <c r="N931" t="s">
        <v>47</v>
      </c>
      <c r="O931" t="s">
        <v>392</v>
      </c>
      <c r="P931" s="6" t="str">
        <f>IF(Table1[[#This Row],[Transaction_Amount]]&lt;=Table1[[#This Row],[avg_transaction_amount]], "usual transaction", "unusual transaction")</f>
        <v>usual transaction</v>
      </c>
      <c r="Q931" s="6" t="str">
        <f>IF(AND(Table1[[#This Row],[Country_of_Residence]]&lt;&gt;Table1[[#This Row],[Country_of_Transaction]], OR(Table1[[#This Row],[Authentication_Type]]="Biometric", Table1[[#This Row],[Authentication_Type]]="OTP")), "safe location transaction", "unsafe location transaction")</f>
        <v>unsafe location transaction</v>
      </c>
      <c r="R931" s="6" t="str">
        <f>IF(AND(Table1[[#This Row],[Country_of_Residence]]&lt;&gt;Table1[[#This Row],[Country_of_Transaction]], OR(Table1[[#This Row],[Merchant_Category]]="Electronics", Table1[[#This Row],[Merchant_Category]]="Travel")), "unsafe merchant transaction", "safe merchant transaction")</f>
        <v>safe merchant transaction</v>
      </c>
    </row>
    <row r="932" spans="1:18">
      <c r="A932" t="s">
        <v>4350</v>
      </c>
      <c r="B932" t="s">
        <v>165</v>
      </c>
      <c r="C932">
        <v>1</v>
      </c>
      <c r="D932" t="s">
        <v>9</v>
      </c>
      <c r="E932" t="s">
        <v>6</v>
      </c>
      <c r="F932" s="2">
        <v>45767</v>
      </c>
      <c r="G932">
        <v>4815.75</v>
      </c>
      <c r="H932" s="1">
        <f>AVERAGEIF(Table1[Customer_ID], Table1[[#This Row],[Customer_ID]], Table1[Transaction_Amount])</f>
        <v>5496.3600000000006</v>
      </c>
      <c r="I932" t="s">
        <v>1856</v>
      </c>
      <c r="J932" t="s">
        <v>31</v>
      </c>
      <c r="K932" t="s">
        <v>10</v>
      </c>
      <c r="L932">
        <v>4</v>
      </c>
      <c r="M932" t="s">
        <v>33</v>
      </c>
      <c r="N932" t="s">
        <v>37</v>
      </c>
      <c r="O932" t="s">
        <v>393</v>
      </c>
      <c r="P932" s="6" t="str">
        <f>IF(Table1[[#This Row],[Transaction_Amount]]&lt;=Table1[[#This Row],[avg_transaction_amount]], "usual transaction", "unusual transaction")</f>
        <v>usual transaction</v>
      </c>
      <c r="Q932" s="6" t="str">
        <f>IF(AND(Table1[[#This Row],[Country_of_Residence]]&lt;&gt;Table1[[#This Row],[Country_of_Transaction]], OR(Table1[[#This Row],[Authentication_Type]]="Biometric", Table1[[#This Row],[Authentication_Type]]="OTP")), "safe location transaction", "unsafe location transaction")</f>
        <v>safe location transaction</v>
      </c>
      <c r="R932" s="6" t="str">
        <f>IF(AND(Table1[[#This Row],[Country_of_Residence]]&lt;&gt;Table1[[#This Row],[Country_of_Transaction]], OR(Table1[[#This Row],[Merchant_Category]]="Electronics", Table1[[#This Row],[Merchant_Category]]="Travel")), "unsafe merchant transaction", "safe merchant transaction")</f>
        <v>safe merchant transaction</v>
      </c>
    </row>
    <row r="933" spans="1:18">
      <c r="A933" t="s">
        <v>4367</v>
      </c>
      <c r="B933" t="s">
        <v>165</v>
      </c>
      <c r="C933">
        <v>1</v>
      </c>
      <c r="D933" t="s">
        <v>15</v>
      </c>
      <c r="E933" t="s">
        <v>6</v>
      </c>
      <c r="F933" s="2">
        <v>45945</v>
      </c>
      <c r="G933">
        <v>4293.38</v>
      </c>
      <c r="H933" s="1">
        <f>AVERAGEIF(Table1[Customer_ID], Table1[[#This Row],[Customer_ID]], Table1[Transaction_Amount])</f>
        <v>5496.3600000000006</v>
      </c>
      <c r="I933" t="s">
        <v>1867</v>
      </c>
      <c r="J933" t="s">
        <v>46</v>
      </c>
      <c r="K933" t="s">
        <v>8</v>
      </c>
      <c r="L933">
        <v>0</v>
      </c>
      <c r="M933" t="s">
        <v>412</v>
      </c>
      <c r="N933" t="s">
        <v>32</v>
      </c>
      <c r="O933" t="s">
        <v>392</v>
      </c>
      <c r="P933" s="6" t="str">
        <f>IF(Table1[[#This Row],[Transaction_Amount]]&lt;=Table1[[#This Row],[avg_transaction_amount]], "usual transaction", "unusual transaction")</f>
        <v>usual transaction</v>
      </c>
      <c r="Q933" s="6" t="str">
        <f>IF(AND(Table1[[#This Row],[Country_of_Residence]]&lt;&gt;Table1[[#This Row],[Country_of_Transaction]], OR(Table1[[#This Row],[Authentication_Type]]="Biometric", Table1[[#This Row],[Authentication_Type]]="OTP")), "safe location transaction", "unsafe location transaction")</f>
        <v>safe location transaction</v>
      </c>
      <c r="R933" s="6" t="str">
        <f>IF(AND(Table1[[#This Row],[Country_of_Residence]]&lt;&gt;Table1[[#This Row],[Country_of_Transaction]], OR(Table1[[#This Row],[Merchant_Category]]="Electronics", Table1[[#This Row],[Merchant_Category]]="Travel")), "unsafe merchant transaction", "safe merchant transaction")</f>
        <v>safe merchant transaction</v>
      </c>
    </row>
    <row r="934" spans="1:18">
      <c r="A934" t="s">
        <v>4379</v>
      </c>
      <c r="B934" t="s">
        <v>165</v>
      </c>
      <c r="C934">
        <v>1</v>
      </c>
      <c r="D934" t="s">
        <v>15</v>
      </c>
      <c r="E934" t="s">
        <v>3</v>
      </c>
      <c r="F934" s="2">
        <v>45680</v>
      </c>
      <c r="G934">
        <v>8668.4</v>
      </c>
      <c r="H934" s="1">
        <f>AVERAGEIF(Table1[Customer_ID], Table1[[#This Row],[Customer_ID]], Table1[Transaction_Amount])</f>
        <v>5496.3600000000006</v>
      </c>
      <c r="I934" t="s">
        <v>1879</v>
      </c>
      <c r="J934" t="s">
        <v>46</v>
      </c>
      <c r="K934" t="s">
        <v>14</v>
      </c>
      <c r="L934">
        <v>2</v>
      </c>
      <c r="M934" t="s">
        <v>55</v>
      </c>
      <c r="N934" t="s">
        <v>37</v>
      </c>
      <c r="O934" t="s">
        <v>392</v>
      </c>
      <c r="P934" s="6" t="str">
        <f>IF(Table1[[#This Row],[Transaction_Amount]]&lt;=Table1[[#This Row],[avg_transaction_amount]], "usual transaction", "unusual transaction")</f>
        <v>unusual transaction</v>
      </c>
      <c r="Q934" s="6" t="str">
        <f>IF(AND(Table1[[#This Row],[Country_of_Residence]]&lt;&gt;Table1[[#This Row],[Country_of_Transaction]], OR(Table1[[#This Row],[Authentication_Type]]="Biometric", Table1[[#This Row],[Authentication_Type]]="OTP")), "safe location transaction", "unsafe location transaction")</f>
        <v>unsafe location transaction</v>
      </c>
      <c r="R934" s="6" t="str">
        <f>IF(AND(Table1[[#This Row],[Country_of_Residence]]&lt;&gt;Table1[[#This Row],[Country_of_Transaction]], OR(Table1[[#This Row],[Merchant_Category]]="Electronics", Table1[[#This Row],[Merchant_Category]]="Travel")), "unsafe merchant transaction", "safe merchant transaction")</f>
        <v>safe merchant transaction</v>
      </c>
    </row>
    <row r="935" spans="1:18">
      <c r="A935" t="s">
        <v>4527</v>
      </c>
      <c r="B935" t="s">
        <v>165</v>
      </c>
      <c r="C935">
        <v>1</v>
      </c>
      <c r="D935" t="s">
        <v>9</v>
      </c>
      <c r="E935" t="s">
        <v>6</v>
      </c>
      <c r="F935" s="2">
        <v>45774</v>
      </c>
      <c r="G935">
        <v>6902.96</v>
      </c>
      <c r="H935" s="1">
        <f>AVERAGEIF(Table1[Customer_ID], Table1[[#This Row],[Customer_ID]], Table1[Transaction_Amount])</f>
        <v>5496.3600000000006</v>
      </c>
      <c r="I935" t="s">
        <v>1621</v>
      </c>
      <c r="J935" t="s">
        <v>50</v>
      </c>
      <c r="K935" t="s">
        <v>14</v>
      </c>
      <c r="L935">
        <v>1</v>
      </c>
      <c r="M935" t="s">
        <v>55</v>
      </c>
      <c r="N935" t="s">
        <v>37</v>
      </c>
      <c r="O935" t="s">
        <v>393</v>
      </c>
      <c r="P935" s="6" t="str">
        <f>IF(Table1[[#This Row],[Transaction_Amount]]&lt;=Table1[[#This Row],[avg_transaction_amount]], "usual transaction", "unusual transaction")</f>
        <v>unusual transaction</v>
      </c>
      <c r="Q935" s="6" t="str">
        <f>IF(AND(Table1[[#This Row],[Country_of_Residence]]&lt;&gt;Table1[[#This Row],[Country_of_Transaction]], OR(Table1[[#This Row],[Authentication_Type]]="Biometric", Table1[[#This Row],[Authentication_Type]]="OTP")), "safe location transaction", "unsafe location transaction")</f>
        <v>unsafe location transaction</v>
      </c>
      <c r="R935" s="6" t="str">
        <f>IF(AND(Table1[[#This Row],[Country_of_Residence]]&lt;&gt;Table1[[#This Row],[Country_of_Transaction]], OR(Table1[[#This Row],[Merchant_Category]]="Electronics", Table1[[#This Row],[Merchant_Category]]="Travel")), "unsafe merchant transaction", "safe merchant transaction")</f>
        <v>unsafe merchant transaction</v>
      </c>
    </row>
    <row r="936" spans="1:18">
      <c r="A936" t="s">
        <v>4535</v>
      </c>
      <c r="B936" t="s">
        <v>165</v>
      </c>
      <c r="C936">
        <v>1</v>
      </c>
      <c r="D936" t="s">
        <v>9</v>
      </c>
      <c r="E936" t="s">
        <v>420</v>
      </c>
      <c r="F936" s="2">
        <v>45794</v>
      </c>
      <c r="G936">
        <v>9461.35</v>
      </c>
      <c r="H936" s="1">
        <f>AVERAGEIF(Table1[Customer_ID], Table1[[#This Row],[Customer_ID]], Table1[Transaction_Amount])</f>
        <v>5496.3600000000006</v>
      </c>
      <c r="I936" t="s">
        <v>2014</v>
      </c>
      <c r="J936" t="s">
        <v>41</v>
      </c>
      <c r="K936" t="s">
        <v>12</v>
      </c>
      <c r="L936">
        <v>0</v>
      </c>
      <c r="M936" t="s">
        <v>33</v>
      </c>
      <c r="N936" t="s">
        <v>55</v>
      </c>
      <c r="O936" t="s">
        <v>393</v>
      </c>
      <c r="P936" s="6" t="str">
        <f>IF(Table1[[#This Row],[Transaction_Amount]]&lt;=Table1[[#This Row],[avg_transaction_amount]], "usual transaction", "unusual transaction")</f>
        <v>unusual transaction</v>
      </c>
      <c r="Q936" s="6" t="str">
        <f>IF(AND(Table1[[#This Row],[Country_of_Residence]]&lt;&gt;Table1[[#This Row],[Country_of_Transaction]], OR(Table1[[#This Row],[Authentication_Type]]="Biometric", Table1[[#This Row],[Authentication_Type]]="OTP")), "safe location transaction", "unsafe location transaction")</f>
        <v>unsafe location transaction</v>
      </c>
      <c r="R936" s="6" t="str">
        <f>IF(AND(Table1[[#This Row],[Country_of_Residence]]&lt;&gt;Table1[[#This Row],[Country_of_Transaction]], OR(Table1[[#This Row],[Merchant_Category]]="Electronics", Table1[[#This Row],[Merchant_Category]]="Travel")), "unsafe merchant transaction", "safe merchant transaction")</f>
        <v>safe merchant transaction</v>
      </c>
    </row>
    <row r="937" spans="1:18">
      <c r="A937" t="s">
        <v>4594</v>
      </c>
      <c r="B937" t="s">
        <v>165</v>
      </c>
      <c r="C937">
        <v>1</v>
      </c>
      <c r="D937" t="s">
        <v>9</v>
      </c>
      <c r="E937" t="s">
        <v>5</v>
      </c>
      <c r="F937" s="2">
        <v>45767</v>
      </c>
      <c r="G937">
        <v>6981.99</v>
      </c>
      <c r="H937" s="1">
        <f>AVERAGEIF(Table1[Customer_ID], Table1[[#This Row],[Customer_ID]], Table1[Transaction_Amount])</f>
        <v>5496.3600000000006</v>
      </c>
      <c r="I937" t="s">
        <v>2062</v>
      </c>
      <c r="J937" t="s">
        <v>31</v>
      </c>
      <c r="K937" t="s">
        <v>14</v>
      </c>
      <c r="L937">
        <v>0</v>
      </c>
      <c r="M937" t="s">
        <v>51</v>
      </c>
      <c r="N937" t="s">
        <v>37</v>
      </c>
      <c r="O937" t="s">
        <v>392</v>
      </c>
      <c r="P937" s="6" t="str">
        <f>IF(Table1[[#This Row],[Transaction_Amount]]&lt;=Table1[[#This Row],[avg_transaction_amount]], "usual transaction", "unusual transaction")</f>
        <v>unusual transaction</v>
      </c>
      <c r="Q937" s="6" t="str">
        <f>IF(AND(Table1[[#This Row],[Country_of_Residence]]&lt;&gt;Table1[[#This Row],[Country_of_Transaction]], OR(Table1[[#This Row],[Authentication_Type]]="Biometric", Table1[[#This Row],[Authentication_Type]]="OTP")), "safe location transaction", "unsafe location transaction")</f>
        <v>unsafe location transaction</v>
      </c>
      <c r="R937" s="6" t="str">
        <f>IF(AND(Table1[[#This Row],[Country_of_Residence]]&lt;&gt;Table1[[#This Row],[Country_of_Transaction]], OR(Table1[[#This Row],[Merchant_Category]]="Electronics", Table1[[#This Row],[Merchant_Category]]="Travel")), "unsafe merchant transaction", "safe merchant transaction")</f>
        <v>safe merchant transaction</v>
      </c>
    </row>
    <row r="938" spans="1:18">
      <c r="A938" t="s">
        <v>4636</v>
      </c>
      <c r="B938" t="s">
        <v>165</v>
      </c>
      <c r="C938">
        <v>1</v>
      </c>
      <c r="D938" t="s">
        <v>9</v>
      </c>
      <c r="E938" t="s">
        <v>3</v>
      </c>
      <c r="F938" s="2">
        <v>45660</v>
      </c>
      <c r="G938">
        <v>453.23</v>
      </c>
      <c r="H938" s="1">
        <f>AVERAGEIF(Table1[Customer_ID], Table1[[#This Row],[Customer_ID]], Table1[Transaction_Amount])</f>
        <v>5496.3600000000006</v>
      </c>
      <c r="I938" t="s">
        <v>1520</v>
      </c>
      <c r="J938" t="s">
        <v>36</v>
      </c>
      <c r="K938" t="s">
        <v>10</v>
      </c>
      <c r="L938">
        <v>5</v>
      </c>
      <c r="M938" t="s">
        <v>37</v>
      </c>
      <c r="N938" t="s">
        <v>32</v>
      </c>
      <c r="O938" t="s">
        <v>393</v>
      </c>
      <c r="P938" s="6" t="str">
        <f>IF(Table1[[#This Row],[Transaction_Amount]]&lt;=Table1[[#This Row],[avg_transaction_amount]], "usual transaction", "unusual transaction")</f>
        <v>usual transaction</v>
      </c>
      <c r="Q938" s="6" t="str">
        <f>IF(AND(Table1[[#This Row],[Country_of_Residence]]&lt;&gt;Table1[[#This Row],[Country_of_Transaction]], OR(Table1[[#This Row],[Authentication_Type]]="Biometric", Table1[[#This Row],[Authentication_Type]]="OTP")), "safe location transaction", "unsafe location transaction")</f>
        <v>safe location transaction</v>
      </c>
      <c r="R938" s="6" t="str">
        <f>IF(AND(Table1[[#This Row],[Country_of_Residence]]&lt;&gt;Table1[[#This Row],[Country_of_Transaction]], OR(Table1[[#This Row],[Merchant_Category]]="Electronics", Table1[[#This Row],[Merchant_Category]]="Travel")), "unsafe merchant transaction", "safe merchant transaction")</f>
        <v>safe merchant transaction</v>
      </c>
    </row>
    <row r="939" spans="1:18">
      <c r="A939" t="s">
        <v>4712</v>
      </c>
      <c r="B939" t="s">
        <v>165</v>
      </c>
      <c r="C939">
        <v>1</v>
      </c>
      <c r="D939" t="s">
        <v>9</v>
      </c>
      <c r="E939" t="s">
        <v>420</v>
      </c>
      <c r="F939" s="2">
        <v>45703</v>
      </c>
      <c r="G939">
        <v>7077.46</v>
      </c>
      <c r="H939" s="1">
        <f>AVERAGEIF(Table1[Customer_ID], Table1[[#This Row],[Customer_ID]], Table1[Transaction_Amount])</f>
        <v>5496.3600000000006</v>
      </c>
      <c r="I939" t="s">
        <v>2156</v>
      </c>
      <c r="J939" t="s">
        <v>36</v>
      </c>
      <c r="K939" t="s">
        <v>12</v>
      </c>
      <c r="L939">
        <v>4</v>
      </c>
      <c r="M939" t="s">
        <v>412</v>
      </c>
      <c r="N939" t="s">
        <v>33</v>
      </c>
      <c r="O939" t="s">
        <v>392</v>
      </c>
      <c r="P939" s="6" t="str">
        <f>IF(Table1[[#This Row],[Transaction_Amount]]&lt;=Table1[[#This Row],[avg_transaction_amount]], "usual transaction", "unusual transaction")</f>
        <v>unusual transaction</v>
      </c>
      <c r="Q939" s="6" t="str">
        <f>IF(AND(Table1[[#This Row],[Country_of_Residence]]&lt;&gt;Table1[[#This Row],[Country_of_Transaction]], OR(Table1[[#This Row],[Authentication_Type]]="Biometric", Table1[[#This Row],[Authentication_Type]]="OTP")), "safe location transaction", "unsafe location transaction")</f>
        <v>unsafe location transaction</v>
      </c>
      <c r="R939" s="6" t="str">
        <f>IF(AND(Table1[[#This Row],[Country_of_Residence]]&lt;&gt;Table1[[#This Row],[Country_of_Transaction]], OR(Table1[[#This Row],[Merchant_Category]]="Electronics", Table1[[#This Row],[Merchant_Category]]="Travel")), "unsafe merchant transaction", "safe merchant transaction")</f>
        <v>safe merchant transaction</v>
      </c>
    </row>
    <row r="940" spans="1:18">
      <c r="A940" t="s">
        <v>4740</v>
      </c>
      <c r="B940" t="s">
        <v>165</v>
      </c>
      <c r="C940">
        <v>1</v>
      </c>
      <c r="D940" t="s">
        <v>9</v>
      </c>
      <c r="E940" t="s">
        <v>6</v>
      </c>
      <c r="F940" s="2">
        <v>45999</v>
      </c>
      <c r="G940">
        <v>1532.42</v>
      </c>
      <c r="H940" s="1">
        <f>AVERAGEIF(Table1[Customer_ID], Table1[[#This Row],[Customer_ID]], Table1[Transaction_Amount])</f>
        <v>5496.3600000000006</v>
      </c>
      <c r="I940" t="s">
        <v>2176</v>
      </c>
      <c r="J940" t="s">
        <v>31</v>
      </c>
      <c r="K940" t="s">
        <v>14</v>
      </c>
      <c r="L940">
        <v>3</v>
      </c>
      <c r="M940" t="s">
        <v>55</v>
      </c>
      <c r="N940" t="s">
        <v>33</v>
      </c>
      <c r="O940" t="s">
        <v>392</v>
      </c>
      <c r="P940" s="6" t="str">
        <f>IF(Table1[[#This Row],[Transaction_Amount]]&lt;=Table1[[#This Row],[avg_transaction_amount]], "usual transaction", "unusual transaction")</f>
        <v>usual transaction</v>
      </c>
      <c r="Q940" s="6" t="str">
        <f>IF(AND(Table1[[#This Row],[Country_of_Residence]]&lt;&gt;Table1[[#This Row],[Country_of_Transaction]], OR(Table1[[#This Row],[Authentication_Type]]="Biometric", Table1[[#This Row],[Authentication_Type]]="OTP")), "safe location transaction", "unsafe location transaction")</f>
        <v>unsafe location transaction</v>
      </c>
      <c r="R940" s="6" t="str">
        <f>IF(AND(Table1[[#This Row],[Country_of_Residence]]&lt;&gt;Table1[[#This Row],[Country_of_Transaction]], OR(Table1[[#This Row],[Merchant_Category]]="Electronics", Table1[[#This Row],[Merchant_Category]]="Travel")), "unsafe merchant transaction", "safe merchant transaction")</f>
        <v>safe merchant transaction</v>
      </c>
    </row>
    <row r="941" spans="1:18">
      <c r="A941" t="s">
        <v>4837</v>
      </c>
      <c r="B941" t="s">
        <v>165</v>
      </c>
      <c r="C941">
        <v>1</v>
      </c>
      <c r="D941" t="s">
        <v>15</v>
      </c>
      <c r="E941" t="s">
        <v>6</v>
      </c>
      <c r="F941" s="2">
        <v>45817</v>
      </c>
      <c r="G941">
        <v>8668.18</v>
      </c>
      <c r="H941" s="1">
        <f>AVERAGEIF(Table1[Customer_ID], Table1[[#This Row],[Customer_ID]], Table1[Transaction_Amount])</f>
        <v>5496.3600000000006</v>
      </c>
      <c r="I941" t="s">
        <v>2252</v>
      </c>
      <c r="J941" t="s">
        <v>41</v>
      </c>
      <c r="K941" t="s">
        <v>14</v>
      </c>
      <c r="L941">
        <v>4</v>
      </c>
      <c r="M941" t="s">
        <v>47</v>
      </c>
      <c r="N941" t="s">
        <v>55</v>
      </c>
      <c r="O941" t="s">
        <v>392</v>
      </c>
      <c r="P941" s="6" t="str">
        <f>IF(Table1[[#This Row],[Transaction_Amount]]&lt;=Table1[[#This Row],[avg_transaction_amount]], "usual transaction", "unusual transaction")</f>
        <v>unusual transaction</v>
      </c>
      <c r="Q941" s="6" t="str">
        <f>IF(AND(Table1[[#This Row],[Country_of_Residence]]&lt;&gt;Table1[[#This Row],[Country_of_Transaction]], OR(Table1[[#This Row],[Authentication_Type]]="Biometric", Table1[[#This Row],[Authentication_Type]]="OTP")), "safe location transaction", "unsafe location transaction")</f>
        <v>unsafe location transaction</v>
      </c>
      <c r="R941" s="6" t="str">
        <f>IF(AND(Table1[[#This Row],[Country_of_Residence]]&lt;&gt;Table1[[#This Row],[Country_of_Transaction]], OR(Table1[[#This Row],[Merchant_Category]]="Electronics", Table1[[#This Row],[Merchant_Category]]="Travel")), "unsafe merchant transaction", "safe merchant transaction")</f>
        <v>safe merchant transaction</v>
      </c>
    </row>
    <row r="942" spans="1:18">
      <c r="A942" t="s">
        <v>4915</v>
      </c>
      <c r="B942" t="s">
        <v>165</v>
      </c>
      <c r="C942">
        <v>1</v>
      </c>
      <c r="D942" t="s">
        <v>15</v>
      </c>
      <c r="E942" t="s">
        <v>5</v>
      </c>
      <c r="F942" s="2">
        <v>45935</v>
      </c>
      <c r="G942">
        <v>9945.7199999999993</v>
      </c>
      <c r="H942" s="1">
        <f>AVERAGEIF(Table1[Customer_ID], Table1[[#This Row],[Customer_ID]], Table1[Transaction_Amount])</f>
        <v>5496.3600000000006</v>
      </c>
      <c r="I942" t="s">
        <v>2310</v>
      </c>
      <c r="J942" t="s">
        <v>31</v>
      </c>
      <c r="K942" t="s">
        <v>14</v>
      </c>
      <c r="L942">
        <v>5</v>
      </c>
      <c r="M942" t="s">
        <v>47</v>
      </c>
      <c r="N942" t="s">
        <v>55</v>
      </c>
      <c r="O942" t="s">
        <v>392</v>
      </c>
      <c r="P942" s="6" t="str">
        <f>IF(Table1[[#This Row],[Transaction_Amount]]&lt;=Table1[[#This Row],[avg_transaction_amount]], "usual transaction", "unusual transaction")</f>
        <v>unusual transaction</v>
      </c>
      <c r="Q942" s="6" t="str">
        <f>IF(AND(Table1[[#This Row],[Country_of_Residence]]&lt;&gt;Table1[[#This Row],[Country_of_Transaction]], OR(Table1[[#This Row],[Authentication_Type]]="Biometric", Table1[[#This Row],[Authentication_Type]]="OTP")), "safe location transaction", "unsafe location transaction")</f>
        <v>unsafe location transaction</v>
      </c>
      <c r="R942" s="6" t="str">
        <f>IF(AND(Table1[[#This Row],[Country_of_Residence]]&lt;&gt;Table1[[#This Row],[Country_of_Transaction]], OR(Table1[[#This Row],[Merchant_Category]]="Electronics", Table1[[#This Row],[Merchant_Category]]="Travel")), "unsafe merchant transaction", "safe merchant transaction")</f>
        <v>safe merchant transaction</v>
      </c>
    </row>
    <row r="943" spans="1:18">
      <c r="A943" t="s">
        <v>5015</v>
      </c>
      <c r="B943" t="s">
        <v>165</v>
      </c>
      <c r="C943">
        <v>1</v>
      </c>
      <c r="D943" t="s">
        <v>15</v>
      </c>
      <c r="E943" t="s">
        <v>6</v>
      </c>
      <c r="F943" s="2">
        <v>45702</v>
      </c>
      <c r="G943">
        <v>9681.0300000000007</v>
      </c>
      <c r="H943" s="1">
        <f>AVERAGEIF(Table1[Customer_ID], Table1[[#This Row],[Customer_ID]], Table1[Transaction_Amount])</f>
        <v>5496.3600000000006</v>
      </c>
      <c r="I943" t="s">
        <v>2392</v>
      </c>
      <c r="J943" t="s">
        <v>31</v>
      </c>
      <c r="K943" t="s">
        <v>12</v>
      </c>
      <c r="L943">
        <v>5</v>
      </c>
      <c r="M943" t="s">
        <v>55</v>
      </c>
      <c r="N943" t="s">
        <v>33</v>
      </c>
      <c r="O943" t="s">
        <v>393</v>
      </c>
      <c r="P943" s="6" t="str">
        <f>IF(Table1[[#This Row],[Transaction_Amount]]&lt;=Table1[[#This Row],[avg_transaction_amount]], "usual transaction", "unusual transaction")</f>
        <v>unusual transaction</v>
      </c>
      <c r="Q943" s="6" t="str">
        <f>IF(AND(Table1[[#This Row],[Country_of_Residence]]&lt;&gt;Table1[[#This Row],[Country_of_Transaction]], OR(Table1[[#This Row],[Authentication_Type]]="Biometric", Table1[[#This Row],[Authentication_Type]]="OTP")), "safe location transaction", "unsafe location transaction")</f>
        <v>unsafe location transaction</v>
      </c>
      <c r="R943" s="6" t="str">
        <f>IF(AND(Table1[[#This Row],[Country_of_Residence]]&lt;&gt;Table1[[#This Row],[Country_of_Transaction]], OR(Table1[[#This Row],[Merchant_Category]]="Electronics", Table1[[#This Row],[Merchant_Category]]="Travel")), "unsafe merchant transaction", "safe merchant transaction")</f>
        <v>safe merchant transaction</v>
      </c>
    </row>
    <row r="944" spans="1:18">
      <c r="A944" t="s">
        <v>5046</v>
      </c>
      <c r="B944" t="s">
        <v>165</v>
      </c>
      <c r="C944">
        <v>1</v>
      </c>
      <c r="D944" t="s">
        <v>15</v>
      </c>
      <c r="E944" t="s">
        <v>420</v>
      </c>
      <c r="F944" s="2">
        <v>45718</v>
      </c>
      <c r="G944">
        <v>9089.34</v>
      </c>
      <c r="H944" s="1">
        <f>AVERAGEIF(Table1[Customer_ID], Table1[[#This Row],[Customer_ID]], Table1[Transaction_Amount])</f>
        <v>5496.3600000000006</v>
      </c>
      <c r="I944" t="s">
        <v>1522</v>
      </c>
      <c r="J944" t="s">
        <v>31</v>
      </c>
      <c r="K944" t="s">
        <v>14</v>
      </c>
      <c r="L944">
        <v>1</v>
      </c>
      <c r="M944" t="s">
        <v>42</v>
      </c>
      <c r="N944" t="s">
        <v>55</v>
      </c>
      <c r="O944" t="s">
        <v>393</v>
      </c>
      <c r="P944" s="6" t="str">
        <f>IF(Table1[[#This Row],[Transaction_Amount]]&lt;=Table1[[#This Row],[avg_transaction_amount]], "usual transaction", "unusual transaction")</f>
        <v>unusual transaction</v>
      </c>
      <c r="Q944" s="6" t="str">
        <f>IF(AND(Table1[[#This Row],[Country_of_Residence]]&lt;&gt;Table1[[#This Row],[Country_of_Transaction]], OR(Table1[[#This Row],[Authentication_Type]]="Biometric", Table1[[#This Row],[Authentication_Type]]="OTP")), "safe location transaction", "unsafe location transaction")</f>
        <v>unsafe location transaction</v>
      </c>
      <c r="R944" s="6" t="str">
        <f>IF(AND(Table1[[#This Row],[Country_of_Residence]]&lt;&gt;Table1[[#This Row],[Country_of_Transaction]], OR(Table1[[#This Row],[Merchant_Category]]="Electronics", Table1[[#This Row],[Merchant_Category]]="Travel")), "unsafe merchant transaction", "safe merchant transaction")</f>
        <v>safe merchant transaction</v>
      </c>
    </row>
    <row r="945" spans="1:18">
      <c r="A945" t="s">
        <v>5078</v>
      </c>
      <c r="B945" t="s">
        <v>165</v>
      </c>
      <c r="C945">
        <v>1</v>
      </c>
      <c r="D945" t="s">
        <v>9</v>
      </c>
      <c r="E945" t="s">
        <v>5</v>
      </c>
      <c r="F945" s="2">
        <v>45748</v>
      </c>
      <c r="G945">
        <v>4427.6099999999997</v>
      </c>
      <c r="H945" s="1">
        <f>AVERAGEIF(Table1[Customer_ID], Table1[[#This Row],[Customer_ID]], Table1[Transaction_Amount])</f>
        <v>5496.3600000000006</v>
      </c>
      <c r="I945" t="s">
        <v>2432</v>
      </c>
      <c r="J945" t="s">
        <v>46</v>
      </c>
      <c r="K945" t="s">
        <v>8</v>
      </c>
      <c r="L945">
        <v>4</v>
      </c>
      <c r="M945" t="s">
        <v>47</v>
      </c>
      <c r="N945" t="s">
        <v>37</v>
      </c>
      <c r="O945" t="s">
        <v>393</v>
      </c>
      <c r="P945" s="6" t="str">
        <f>IF(Table1[[#This Row],[Transaction_Amount]]&lt;=Table1[[#This Row],[avg_transaction_amount]], "usual transaction", "unusual transaction")</f>
        <v>usual transaction</v>
      </c>
      <c r="Q945" s="6" t="str">
        <f>IF(AND(Table1[[#This Row],[Country_of_Residence]]&lt;&gt;Table1[[#This Row],[Country_of_Transaction]], OR(Table1[[#This Row],[Authentication_Type]]="Biometric", Table1[[#This Row],[Authentication_Type]]="OTP")), "safe location transaction", "unsafe location transaction")</f>
        <v>safe location transaction</v>
      </c>
      <c r="R945" s="6" t="str">
        <f>IF(AND(Table1[[#This Row],[Country_of_Residence]]&lt;&gt;Table1[[#This Row],[Country_of_Transaction]], OR(Table1[[#This Row],[Merchant_Category]]="Electronics", Table1[[#This Row],[Merchant_Category]]="Travel")), "unsafe merchant transaction", "safe merchant transaction")</f>
        <v>safe merchant transaction</v>
      </c>
    </row>
    <row r="946" spans="1:18">
      <c r="A946" t="s">
        <v>5100</v>
      </c>
      <c r="B946" t="s">
        <v>165</v>
      </c>
      <c r="C946">
        <v>1</v>
      </c>
      <c r="D946" t="s">
        <v>9</v>
      </c>
      <c r="E946" t="s">
        <v>5</v>
      </c>
      <c r="F946" s="2">
        <v>45932</v>
      </c>
      <c r="G946">
        <v>4326.3100000000004</v>
      </c>
      <c r="H946" s="1">
        <f>AVERAGEIF(Table1[Customer_ID], Table1[[#This Row],[Customer_ID]], Table1[Transaction_Amount])</f>
        <v>5496.3600000000006</v>
      </c>
      <c r="I946" t="s">
        <v>2450</v>
      </c>
      <c r="J946" t="s">
        <v>50</v>
      </c>
      <c r="K946" t="s">
        <v>12</v>
      </c>
      <c r="L946">
        <v>4</v>
      </c>
      <c r="M946" t="s">
        <v>42</v>
      </c>
      <c r="N946" t="s">
        <v>56</v>
      </c>
      <c r="O946" t="s">
        <v>393</v>
      </c>
      <c r="P946" s="6" t="str">
        <f>IF(Table1[[#This Row],[Transaction_Amount]]&lt;=Table1[[#This Row],[avg_transaction_amount]], "usual transaction", "unusual transaction")</f>
        <v>usual transaction</v>
      </c>
      <c r="Q946" s="6" t="str">
        <f>IF(AND(Table1[[#This Row],[Country_of_Residence]]&lt;&gt;Table1[[#This Row],[Country_of_Transaction]], OR(Table1[[#This Row],[Authentication_Type]]="Biometric", Table1[[#This Row],[Authentication_Type]]="OTP")), "safe location transaction", "unsafe location transaction")</f>
        <v>unsafe location transaction</v>
      </c>
      <c r="R946" s="6" t="str">
        <f>IF(AND(Table1[[#This Row],[Country_of_Residence]]&lt;&gt;Table1[[#This Row],[Country_of_Transaction]], OR(Table1[[#This Row],[Merchant_Category]]="Electronics", Table1[[#This Row],[Merchant_Category]]="Travel")), "unsafe merchant transaction", "safe merchant transaction")</f>
        <v>unsafe merchant transaction</v>
      </c>
    </row>
    <row r="947" spans="1:18">
      <c r="A947" t="s">
        <v>5118</v>
      </c>
      <c r="B947" t="s">
        <v>165</v>
      </c>
      <c r="C947">
        <v>1</v>
      </c>
      <c r="D947" t="s">
        <v>15</v>
      </c>
      <c r="E947" t="s">
        <v>5</v>
      </c>
      <c r="F947" s="2">
        <v>45833</v>
      </c>
      <c r="G947">
        <v>465.5</v>
      </c>
      <c r="H947" s="1">
        <f>AVERAGEIF(Table1[Customer_ID], Table1[[#This Row],[Customer_ID]], Table1[Transaction_Amount])</f>
        <v>5496.3600000000006</v>
      </c>
      <c r="I947" t="s">
        <v>2464</v>
      </c>
      <c r="J947" t="s">
        <v>36</v>
      </c>
      <c r="K947" t="s">
        <v>12</v>
      </c>
      <c r="L947">
        <v>4</v>
      </c>
      <c r="M947" t="s">
        <v>47</v>
      </c>
      <c r="N947" t="s">
        <v>47</v>
      </c>
      <c r="O947" t="s">
        <v>392</v>
      </c>
      <c r="P947" s="6" t="str">
        <f>IF(Table1[[#This Row],[Transaction_Amount]]&lt;=Table1[[#This Row],[avg_transaction_amount]], "usual transaction", "unusual transaction")</f>
        <v>usual transaction</v>
      </c>
      <c r="Q947" s="6" t="str">
        <f>IF(AND(Table1[[#This Row],[Country_of_Residence]]&lt;&gt;Table1[[#This Row],[Country_of_Transaction]], OR(Table1[[#This Row],[Authentication_Type]]="Biometric", Table1[[#This Row],[Authentication_Type]]="OTP")), "safe location transaction", "unsafe location transaction")</f>
        <v>unsafe location transaction</v>
      </c>
      <c r="R947" s="6" t="str">
        <f>IF(AND(Table1[[#This Row],[Country_of_Residence]]&lt;&gt;Table1[[#This Row],[Country_of_Transaction]], OR(Table1[[#This Row],[Merchant_Category]]="Electronics", Table1[[#This Row],[Merchant_Category]]="Travel")), "unsafe merchant transaction", "safe merchant transaction")</f>
        <v>safe merchant transaction</v>
      </c>
    </row>
    <row r="948" spans="1:18">
      <c r="A948" t="s">
        <v>5171</v>
      </c>
      <c r="B948" t="s">
        <v>165</v>
      </c>
      <c r="C948">
        <v>1</v>
      </c>
      <c r="D948" t="s">
        <v>15</v>
      </c>
      <c r="E948" t="s">
        <v>3</v>
      </c>
      <c r="F948" s="2">
        <v>45956</v>
      </c>
      <c r="G948">
        <v>2583.06</v>
      </c>
      <c r="H948" s="1">
        <f>AVERAGEIF(Table1[Customer_ID], Table1[[#This Row],[Customer_ID]], Table1[Transaction_Amount])</f>
        <v>5496.3600000000006</v>
      </c>
      <c r="I948" t="s">
        <v>1603</v>
      </c>
      <c r="J948" t="s">
        <v>31</v>
      </c>
      <c r="K948" t="s">
        <v>8</v>
      </c>
      <c r="L948">
        <v>2</v>
      </c>
      <c r="M948" t="s">
        <v>37</v>
      </c>
      <c r="N948" t="s">
        <v>42</v>
      </c>
      <c r="O948" t="s">
        <v>393</v>
      </c>
      <c r="P948" s="6" t="str">
        <f>IF(Table1[[#This Row],[Transaction_Amount]]&lt;=Table1[[#This Row],[avg_transaction_amount]], "usual transaction", "unusual transaction")</f>
        <v>usual transaction</v>
      </c>
      <c r="Q948" s="6" t="str">
        <f>IF(AND(Table1[[#This Row],[Country_of_Residence]]&lt;&gt;Table1[[#This Row],[Country_of_Transaction]], OR(Table1[[#This Row],[Authentication_Type]]="Biometric", Table1[[#This Row],[Authentication_Type]]="OTP")), "safe location transaction", "unsafe location transaction")</f>
        <v>safe location transaction</v>
      </c>
      <c r="R948" s="6" t="str">
        <f>IF(AND(Table1[[#This Row],[Country_of_Residence]]&lt;&gt;Table1[[#This Row],[Country_of_Transaction]], OR(Table1[[#This Row],[Merchant_Category]]="Electronics", Table1[[#This Row],[Merchant_Category]]="Travel")), "unsafe merchant transaction", "safe merchant transaction")</f>
        <v>safe merchant transaction</v>
      </c>
    </row>
    <row r="949" spans="1:18">
      <c r="A949" t="s">
        <v>5226</v>
      </c>
      <c r="B949" t="s">
        <v>165</v>
      </c>
      <c r="C949">
        <v>1</v>
      </c>
      <c r="D949" t="s">
        <v>15</v>
      </c>
      <c r="E949" t="s">
        <v>3</v>
      </c>
      <c r="F949" s="2">
        <v>46012</v>
      </c>
      <c r="G949">
        <v>7484.15</v>
      </c>
      <c r="H949" s="1">
        <f>AVERAGEIF(Table1[Customer_ID], Table1[[#This Row],[Customer_ID]], Table1[Transaction_Amount])</f>
        <v>5496.3600000000006</v>
      </c>
      <c r="I949" t="s">
        <v>2549</v>
      </c>
      <c r="J949" t="s">
        <v>31</v>
      </c>
      <c r="K949" t="s">
        <v>14</v>
      </c>
      <c r="L949">
        <v>0</v>
      </c>
      <c r="M949" t="s">
        <v>33</v>
      </c>
      <c r="N949" t="s">
        <v>55</v>
      </c>
      <c r="O949" t="s">
        <v>393</v>
      </c>
      <c r="P949" s="6" t="str">
        <f>IF(Table1[[#This Row],[Transaction_Amount]]&lt;=Table1[[#This Row],[avg_transaction_amount]], "usual transaction", "unusual transaction")</f>
        <v>unusual transaction</v>
      </c>
      <c r="Q949" s="6" t="str">
        <f>IF(AND(Table1[[#This Row],[Country_of_Residence]]&lt;&gt;Table1[[#This Row],[Country_of_Transaction]], OR(Table1[[#This Row],[Authentication_Type]]="Biometric", Table1[[#This Row],[Authentication_Type]]="OTP")), "safe location transaction", "unsafe location transaction")</f>
        <v>unsafe location transaction</v>
      </c>
      <c r="R949" s="6" t="str">
        <f>IF(AND(Table1[[#This Row],[Country_of_Residence]]&lt;&gt;Table1[[#This Row],[Country_of_Transaction]], OR(Table1[[#This Row],[Merchant_Category]]="Electronics", Table1[[#This Row],[Merchant_Category]]="Travel")), "unsafe merchant transaction", "safe merchant transaction")</f>
        <v>safe merchant transaction</v>
      </c>
    </row>
    <row r="950" spans="1:18">
      <c r="A950" t="s">
        <v>5238</v>
      </c>
      <c r="B950" t="s">
        <v>165</v>
      </c>
      <c r="C950">
        <v>1</v>
      </c>
      <c r="D950" t="s">
        <v>15</v>
      </c>
      <c r="E950" t="s">
        <v>5</v>
      </c>
      <c r="F950" s="2">
        <v>46015</v>
      </c>
      <c r="G950">
        <v>8896.6</v>
      </c>
      <c r="H950" s="1">
        <f>AVERAGEIF(Table1[Customer_ID], Table1[[#This Row],[Customer_ID]], Table1[Transaction_Amount])</f>
        <v>5496.3600000000006</v>
      </c>
      <c r="I950" t="s">
        <v>2560</v>
      </c>
      <c r="J950" t="s">
        <v>50</v>
      </c>
      <c r="K950" t="s">
        <v>10</v>
      </c>
      <c r="L950">
        <v>4</v>
      </c>
      <c r="M950" t="s">
        <v>47</v>
      </c>
      <c r="N950" t="s">
        <v>33</v>
      </c>
      <c r="O950" t="s">
        <v>392</v>
      </c>
      <c r="P950" s="6" t="str">
        <f>IF(Table1[[#This Row],[Transaction_Amount]]&lt;=Table1[[#This Row],[avg_transaction_amount]], "usual transaction", "unusual transaction")</f>
        <v>unusual transaction</v>
      </c>
      <c r="Q950" s="6" t="str">
        <f>IF(AND(Table1[[#This Row],[Country_of_Residence]]&lt;&gt;Table1[[#This Row],[Country_of_Transaction]], OR(Table1[[#This Row],[Authentication_Type]]="Biometric", Table1[[#This Row],[Authentication_Type]]="OTP")), "safe location transaction", "unsafe location transaction")</f>
        <v>safe location transaction</v>
      </c>
      <c r="R950" s="6" t="str">
        <f>IF(AND(Table1[[#This Row],[Country_of_Residence]]&lt;&gt;Table1[[#This Row],[Country_of_Transaction]], OR(Table1[[#This Row],[Merchant_Category]]="Electronics", Table1[[#This Row],[Merchant_Category]]="Travel")), "unsafe merchant transaction", "safe merchant transaction")</f>
        <v>unsafe merchant transaction</v>
      </c>
    </row>
    <row r="951" spans="1:18">
      <c r="A951" t="s">
        <v>5239</v>
      </c>
      <c r="B951" t="s">
        <v>165</v>
      </c>
      <c r="C951">
        <v>1</v>
      </c>
      <c r="D951" t="s">
        <v>15</v>
      </c>
      <c r="E951" t="s">
        <v>420</v>
      </c>
      <c r="F951" s="2">
        <v>45904</v>
      </c>
      <c r="G951">
        <v>6961.93</v>
      </c>
      <c r="H951" s="1">
        <f>AVERAGEIF(Table1[Customer_ID], Table1[[#This Row],[Customer_ID]], Table1[Transaction_Amount])</f>
        <v>5496.3600000000006</v>
      </c>
      <c r="I951" t="s">
        <v>2561</v>
      </c>
      <c r="J951" t="s">
        <v>46</v>
      </c>
      <c r="K951" t="s">
        <v>14</v>
      </c>
      <c r="L951">
        <v>0</v>
      </c>
      <c r="M951" t="s">
        <v>42</v>
      </c>
      <c r="N951" t="s">
        <v>32</v>
      </c>
      <c r="O951" t="s">
        <v>392</v>
      </c>
      <c r="P951" s="6" t="str">
        <f>IF(Table1[[#This Row],[Transaction_Amount]]&lt;=Table1[[#This Row],[avg_transaction_amount]], "usual transaction", "unusual transaction")</f>
        <v>unusual transaction</v>
      </c>
      <c r="Q951" s="6" t="str">
        <f>IF(AND(Table1[[#This Row],[Country_of_Residence]]&lt;&gt;Table1[[#This Row],[Country_of_Transaction]], OR(Table1[[#This Row],[Authentication_Type]]="Biometric", Table1[[#This Row],[Authentication_Type]]="OTP")), "safe location transaction", "unsafe location transaction")</f>
        <v>unsafe location transaction</v>
      </c>
      <c r="R951" s="6" t="str">
        <f>IF(AND(Table1[[#This Row],[Country_of_Residence]]&lt;&gt;Table1[[#This Row],[Country_of_Transaction]], OR(Table1[[#This Row],[Merchant_Category]]="Electronics", Table1[[#This Row],[Merchant_Category]]="Travel")), "unsafe merchant transaction", "safe merchant transaction")</f>
        <v>safe merchant transaction</v>
      </c>
    </row>
    <row r="952" spans="1:18">
      <c r="A952" t="s">
        <v>5295</v>
      </c>
      <c r="B952" t="s">
        <v>165</v>
      </c>
      <c r="C952">
        <v>1</v>
      </c>
      <c r="D952" t="s">
        <v>15</v>
      </c>
      <c r="E952" t="s">
        <v>420</v>
      </c>
      <c r="F952" s="2">
        <v>45963</v>
      </c>
      <c r="G952">
        <v>9692.08</v>
      </c>
      <c r="H952" s="1">
        <f>AVERAGEIF(Table1[Customer_ID], Table1[[#This Row],[Customer_ID]], Table1[Transaction_Amount])</f>
        <v>5496.3600000000006</v>
      </c>
      <c r="I952" t="s">
        <v>2600</v>
      </c>
      <c r="J952" t="s">
        <v>50</v>
      </c>
      <c r="K952" t="s">
        <v>14</v>
      </c>
      <c r="L952">
        <v>0</v>
      </c>
      <c r="M952" t="s">
        <v>42</v>
      </c>
      <c r="N952" t="s">
        <v>47</v>
      </c>
      <c r="O952" t="s">
        <v>392</v>
      </c>
      <c r="P952" s="6" t="str">
        <f>IF(Table1[[#This Row],[Transaction_Amount]]&lt;=Table1[[#This Row],[avg_transaction_amount]], "usual transaction", "unusual transaction")</f>
        <v>unusual transaction</v>
      </c>
      <c r="Q952" s="6" t="str">
        <f>IF(AND(Table1[[#This Row],[Country_of_Residence]]&lt;&gt;Table1[[#This Row],[Country_of_Transaction]], OR(Table1[[#This Row],[Authentication_Type]]="Biometric", Table1[[#This Row],[Authentication_Type]]="OTP")), "safe location transaction", "unsafe location transaction")</f>
        <v>unsafe location transaction</v>
      </c>
      <c r="R952" s="6" t="str">
        <f>IF(AND(Table1[[#This Row],[Country_of_Residence]]&lt;&gt;Table1[[#This Row],[Country_of_Transaction]], OR(Table1[[#This Row],[Merchant_Category]]="Electronics", Table1[[#This Row],[Merchant_Category]]="Travel")), "unsafe merchant transaction", "safe merchant transaction")</f>
        <v>unsafe merchant transaction</v>
      </c>
    </row>
    <row r="953" spans="1:18">
      <c r="A953" t="s">
        <v>5322</v>
      </c>
      <c r="B953" t="s">
        <v>165</v>
      </c>
      <c r="C953">
        <v>1</v>
      </c>
      <c r="D953" t="s">
        <v>9</v>
      </c>
      <c r="E953" t="s">
        <v>6</v>
      </c>
      <c r="F953" s="2">
        <v>45705</v>
      </c>
      <c r="G953">
        <v>3871.02</v>
      </c>
      <c r="H953" s="1">
        <f>AVERAGEIF(Table1[Customer_ID], Table1[[#This Row],[Customer_ID]], Table1[Transaction_Amount])</f>
        <v>5496.3600000000006</v>
      </c>
      <c r="I953" t="s">
        <v>2251</v>
      </c>
      <c r="J953" t="s">
        <v>36</v>
      </c>
      <c r="K953" t="s">
        <v>8</v>
      </c>
      <c r="L953">
        <v>2</v>
      </c>
      <c r="M953" t="s">
        <v>42</v>
      </c>
      <c r="N953" t="s">
        <v>55</v>
      </c>
      <c r="O953" t="s">
        <v>393</v>
      </c>
      <c r="P953" s="6" t="str">
        <f>IF(Table1[[#This Row],[Transaction_Amount]]&lt;=Table1[[#This Row],[avg_transaction_amount]], "usual transaction", "unusual transaction")</f>
        <v>usual transaction</v>
      </c>
      <c r="Q953" s="6" t="str">
        <f>IF(AND(Table1[[#This Row],[Country_of_Residence]]&lt;&gt;Table1[[#This Row],[Country_of_Transaction]], OR(Table1[[#This Row],[Authentication_Type]]="Biometric", Table1[[#This Row],[Authentication_Type]]="OTP")), "safe location transaction", "unsafe location transaction")</f>
        <v>safe location transaction</v>
      </c>
      <c r="R953" s="6" t="str">
        <f>IF(AND(Table1[[#This Row],[Country_of_Residence]]&lt;&gt;Table1[[#This Row],[Country_of_Transaction]], OR(Table1[[#This Row],[Merchant_Category]]="Electronics", Table1[[#This Row],[Merchant_Category]]="Travel")), "unsafe merchant transaction", "safe merchant transaction")</f>
        <v>safe merchant transaction</v>
      </c>
    </row>
    <row r="954" spans="1:18">
      <c r="A954" t="s">
        <v>5329</v>
      </c>
      <c r="B954" t="s">
        <v>165</v>
      </c>
      <c r="C954">
        <v>1</v>
      </c>
      <c r="D954" t="s">
        <v>15</v>
      </c>
      <c r="E954" t="s">
        <v>5</v>
      </c>
      <c r="F954" s="2">
        <v>45735</v>
      </c>
      <c r="G954">
        <v>8006.38</v>
      </c>
      <c r="H954" s="1">
        <f>AVERAGEIF(Table1[Customer_ID], Table1[[#This Row],[Customer_ID]], Table1[Transaction_Amount])</f>
        <v>5496.3600000000006</v>
      </c>
      <c r="I954" t="s">
        <v>2625</v>
      </c>
      <c r="J954" t="s">
        <v>36</v>
      </c>
      <c r="K954" t="s">
        <v>8</v>
      </c>
      <c r="L954">
        <v>2</v>
      </c>
      <c r="M954" t="s">
        <v>47</v>
      </c>
      <c r="N954" t="s">
        <v>32</v>
      </c>
      <c r="O954" t="s">
        <v>393</v>
      </c>
      <c r="P954" s="6" t="str">
        <f>IF(Table1[[#This Row],[Transaction_Amount]]&lt;=Table1[[#This Row],[avg_transaction_amount]], "usual transaction", "unusual transaction")</f>
        <v>unusual transaction</v>
      </c>
      <c r="Q954" s="6" t="str">
        <f>IF(AND(Table1[[#This Row],[Country_of_Residence]]&lt;&gt;Table1[[#This Row],[Country_of_Transaction]], OR(Table1[[#This Row],[Authentication_Type]]="Biometric", Table1[[#This Row],[Authentication_Type]]="OTP")), "safe location transaction", "unsafe location transaction")</f>
        <v>safe location transaction</v>
      </c>
      <c r="R954" s="6" t="str">
        <f>IF(AND(Table1[[#This Row],[Country_of_Residence]]&lt;&gt;Table1[[#This Row],[Country_of_Transaction]], OR(Table1[[#This Row],[Merchant_Category]]="Electronics", Table1[[#This Row],[Merchant_Category]]="Travel")), "unsafe merchant transaction", "safe merchant transaction")</f>
        <v>safe merchant transaction</v>
      </c>
    </row>
    <row r="955" spans="1:18">
      <c r="A955" t="s">
        <v>5429</v>
      </c>
      <c r="B955" t="s">
        <v>165</v>
      </c>
      <c r="C955">
        <v>1</v>
      </c>
      <c r="D955" t="s">
        <v>9</v>
      </c>
      <c r="E955" t="s">
        <v>420</v>
      </c>
      <c r="F955" s="2">
        <v>45669</v>
      </c>
      <c r="G955">
        <v>4069.24</v>
      </c>
      <c r="H955" s="1">
        <f>AVERAGEIF(Table1[Customer_ID], Table1[[#This Row],[Customer_ID]], Table1[Transaction_Amount])</f>
        <v>5496.3600000000006</v>
      </c>
      <c r="I955" t="s">
        <v>2700</v>
      </c>
      <c r="J955" t="s">
        <v>31</v>
      </c>
      <c r="K955" t="s">
        <v>10</v>
      </c>
      <c r="L955">
        <v>5</v>
      </c>
      <c r="M955" t="s">
        <v>55</v>
      </c>
      <c r="N955" t="s">
        <v>412</v>
      </c>
      <c r="O955" t="s">
        <v>392</v>
      </c>
      <c r="P955" s="6" t="str">
        <f>IF(Table1[[#This Row],[Transaction_Amount]]&lt;=Table1[[#This Row],[avg_transaction_amount]], "usual transaction", "unusual transaction")</f>
        <v>usual transaction</v>
      </c>
      <c r="Q955" s="6" t="str">
        <f>IF(AND(Table1[[#This Row],[Country_of_Residence]]&lt;&gt;Table1[[#This Row],[Country_of_Transaction]], OR(Table1[[#This Row],[Authentication_Type]]="Biometric", Table1[[#This Row],[Authentication_Type]]="OTP")), "safe location transaction", "unsafe location transaction")</f>
        <v>safe location transaction</v>
      </c>
      <c r="R955" s="6" t="str">
        <f>IF(AND(Table1[[#This Row],[Country_of_Residence]]&lt;&gt;Table1[[#This Row],[Country_of_Transaction]], OR(Table1[[#This Row],[Merchant_Category]]="Electronics", Table1[[#This Row],[Merchant_Category]]="Travel")), "unsafe merchant transaction", "safe merchant transaction")</f>
        <v>safe merchant transaction</v>
      </c>
    </row>
    <row r="956" spans="1:18">
      <c r="A956" t="s">
        <v>5466</v>
      </c>
      <c r="B956" t="s">
        <v>165</v>
      </c>
      <c r="C956">
        <v>1</v>
      </c>
      <c r="D956" t="s">
        <v>15</v>
      </c>
      <c r="E956" t="s">
        <v>5</v>
      </c>
      <c r="F956" s="2">
        <v>45712</v>
      </c>
      <c r="G956">
        <v>6640.87</v>
      </c>
      <c r="H956" s="1">
        <f>AVERAGEIF(Table1[Customer_ID], Table1[[#This Row],[Customer_ID]], Table1[Transaction_Amount])</f>
        <v>5496.3600000000006</v>
      </c>
      <c r="I956" t="s">
        <v>2727</v>
      </c>
      <c r="J956" t="s">
        <v>36</v>
      </c>
      <c r="K956" t="s">
        <v>14</v>
      </c>
      <c r="L956">
        <v>0</v>
      </c>
      <c r="M956" t="s">
        <v>47</v>
      </c>
      <c r="N956" t="s">
        <v>33</v>
      </c>
      <c r="O956" t="s">
        <v>393</v>
      </c>
      <c r="P956" s="6" t="str">
        <f>IF(Table1[[#This Row],[Transaction_Amount]]&lt;=Table1[[#This Row],[avg_transaction_amount]], "usual transaction", "unusual transaction")</f>
        <v>unusual transaction</v>
      </c>
      <c r="Q956" s="6" t="str">
        <f>IF(AND(Table1[[#This Row],[Country_of_Residence]]&lt;&gt;Table1[[#This Row],[Country_of_Transaction]], OR(Table1[[#This Row],[Authentication_Type]]="Biometric", Table1[[#This Row],[Authentication_Type]]="OTP")), "safe location transaction", "unsafe location transaction")</f>
        <v>unsafe location transaction</v>
      </c>
      <c r="R956" s="6" t="str">
        <f>IF(AND(Table1[[#This Row],[Country_of_Residence]]&lt;&gt;Table1[[#This Row],[Country_of_Transaction]], OR(Table1[[#This Row],[Merchant_Category]]="Electronics", Table1[[#This Row],[Merchant_Category]]="Travel")), "unsafe merchant transaction", "safe merchant transaction")</f>
        <v>safe merchant transaction</v>
      </c>
    </row>
    <row r="957" spans="1:18">
      <c r="A957" t="s">
        <v>5506</v>
      </c>
      <c r="B957" t="s">
        <v>165</v>
      </c>
      <c r="C957">
        <v>1</v>
      </c>
      <c r="D957" t="s">
        <v>15</v>
      </c>
      <c r="E957" t="s">
        <v>3</v>
      </c>
      <c r="F957" s="2">
        <v>45881</v>
      </c>
      <c r="G957">
        <v>8313.5400000000009</v>
      </c>
      <c r="H957" s="1">
        <f>AVERAGEIF(Table1[Customer_ID], Table1[[#This Row],[Customer_ID]], Table1[Transaction_Amount])</f>
        <v>5496.3600000000006</v>
      </c>
      <c r="I957" t="s">
        <v>883</v>
      </c>
      <c r="J957" t="s">
        <v>41</v>
      </c>
      <c r="K957" t="s">
        <v>14</v>
      </c>
      <c r="L957">
        <v>4</v>
      </c>
      <c r="M957" t="s">
        <v>42</v>
      </c>
      <c r="N957" t="s">
        <v>37</v>
      </c>
      <c r="O957" t="s">
        <v>393</v>
      </c>
      <c r="P957" s="6" t="str">
        <f>IF(Table1[[#This Row],[Transaction_Amount]]&lt;=Table1[[#This Row],[avg_transaction_amount]], "usual transaction", "unusual transaction")</f>
        <v>unusual transaction</v>
      </c>
      <c r="Q957" s="6" t="str">
        <f>IF(AND(Table1[[#This Row],[Country_of_Residence]]&lt;&gt;Table1[[#This Row],[Country_of_Transaction]], OR(Table1[[#This Row],[Authentication_Type]]="Biometric", Table1[[#This Row],[Authentication_Type]]="OTP")), "safe location transaction", "unsafe location transaction")</f>
        <v>unsafe location transaction</v>
      </c>
      <c r="R957" s="6" t="str">
        <f>IF(AND(Table1[[#This Row],[Country_of_Residence]]&lt;&gt;Table1[[#This Row],[Country_of_Transaction]], OR(Table1[[#This Row],[Merchant_Category]]="Electronics", Table1[[#This Row],[Merchant_Category]]="Travel")), "unsafe merchant transaction", "safe merchant transaction")</f>
        <v>safe merchant transaction</v>
      </c>
    </row>
    <row r="958" spans="1:18">
      <c r="A958" t="s">
        <v>173</v>
      </c>
      <c r="B958" t="s">
        <v>170</v>
      </c>
      <c r="C958">
        <v>1</v>
      </c>
      <c r="D958" t="s">
        <v>11</v>
      </c>
      <c r="E958" t="s">
        <v>6</v>
      </c>
      <c r="F958" s="2">
        <v>45735.043749999997</v>
      </c>
      <c r="G958">
        <v>5524.98</v>
      </c>
      <c r="H958" s="1">
        <f>AVERAGEIF(Table1[Customer_ID], Table1[[#This Row],[Customer_ID]], Table1[Transaction_Amount])</f>
        <v>4816.681818181818</v>
      </c>
      <c r="I958" t="s">
        <v>174</v>
      </c>
      <c r="J958" t="s">
        <v>46</v>
      </c>
      <c r="K958" t="s">
        <v>8</v>
      </c>
      <c r="L958">
        <v>2</v>
      </c>
      <c r="M958" t="s">
        <v>98</v>
      </c>
      <c r="N958" t="s">
        <v>85</v>
      </c>
      <c r="O958" t="s">
        <v>393</v>
      </c>
      <c r="P958" t="str">
        <f>IF(Table1[[#This Row],[Transaction_Amount]]&lt;=Table1[[#This Row],[avg_transaction_amount]], "usual transaction", "unusual transaction")</f>
        <v>unusual transaction</v>
      </c>
      <c r="Q958" t="str">
        <f>IF(AND(Table1[[#This Row],[Country_of_Residence]]&lt;&gt;Table1[[#This Row],[Country_of_Transaction]], OR(Table1[[#This Row],[Authentication_Type]]="Biometric", Table1[[#This Row],[Authentication_Type]]="OTP")), "safe location transaction", "unsafe location transaction")</f>
        <v>safe location transaction</v>
      </c>
      <c r="R958" t="str">
        <f>IF(AND(Table1[[#This Row],[Country_of_Residence]]&lt;&gt;Table1[[#This Row],[Country_of_Transaction]], OR(Table1[[#This Row],[Merchant_Category]]="Electronics", Table1[[#This Row],[Merchant_Category]]="Travel")), "unsafe merchant transaction", "safe merchant transaction")</f>
        <v>safe merchant transaction</v>
      </c>
    </row>
    <row r="959" spans="1:18">
      <c r="A959" t="s">
        <v>169</v>
      </c>
      <c r="B959" t="s">
        <v>170</v>
      </c>
      <c r="C959">
        <v>1</v>
      </c>
      <c r="D959" t="s">
        <v>13</v>
      </c>
      <c r="E959" t="s">
        <v>3</v>
      </c>
      <c r="F959" s="2">
        <v>45773.565972222197</v>
      </c>
      <c r="G959">
        <v>1293.6400000000001</v>
      </c>
      <c r="H959" s="1">
        <f>AVERAGEIF(Table1[Customer_ID], Table1[[#This Row],[Customer_ID]], Table1[Transaction_Amount])</f>
        <v>4816.681818181818</v>
      </c>
      <c r="I959" t="s">
        <v>171</v>
      </c>
      <c r="J959" t="s">
        <v>50</v>
      </c>
      <c r="K959" t="s">
        <v>14</v>
      </c>
      <c r="L959">
        <v>0</v>
      </c>
      <c r="M959" t="s">
        <v>98</v>
      </c>
      <c r="N959" t="s">
        <v>172</v>
      </c>
      <c r="O959" t="s">
        <v>392</v>
      </c>
      <c r="P959" t="str">
        <f>IF(Table1[[#This Row],[Transaction_Amount]]&lt;=Table1[[#This Row],[avg_transaction_amount]], "usual transaction", "unusual transaction")</f>
        <v>usual transaction</v>
      </c>
      <c r="Q959" t="str">
        <f>IF(AND(Table1[[#This Row],[Country_of_Residence]]&lt;&gt;Table1[[#This Row],[Country_of_Transaction]], OR(Table1[[#This Row],[Authentication_Type]]="Biometric", Table1[[#This Row],[Authentication_Type]]="OTP")), "safe location transaction", "unsafe location transaction")</f>
        <v>unsafe location transaction</v>
      </c>
      <c r="R959" t="str">
        <f>IF(AND(Table1[[#This Row],[Country_of_Residence]]&lt;&gt;Table1[[#This Row],[Country_of_Transaction]], OR(Table1[[#This Row],[Merchant_Category]]="Electronics", Table1[[#This Row],[Merchant_Category]]="Travel")), "unsafe merchant transaction", "safe merchant transaction")</f>
        <v>unsafe merchant transaction</v>
      </c>
    </row>
    <row r="960" spans="1:18">
      <c r="A960" t="s">
        <v>2813</v>
      </c>
      <c r="B960" t="s">
        <v>170</v>
      </c>
      <c r="C960">
        <v>1</v>
      </c>
      <c r="D960" t="s">
        <v>9</v>
      </c>
      <c r="E960" t="s">
        <v>3</v>
      </c>
      <c r="F960" s="2">
        <v>45922</v>
      </c>
      <c r="G960">
        <v>8809.18</v>
      </c>
      <c r="H960" s="1">
        <f>AVERAGEIF(Table1[Customer_ID], Table1[[#This Row],[Customer_ID]], Table1[Transaction_Amount])</f>
        <v>4816.681818181818</v>
      </c>
      <c r="I960" t="s">
        <v>464</v>
      </c>
      <c r="J960" t="s">
        <v>46</v>
      </c>
      <c r="K960" t="s">
        <v>8</v>
      </c>
      <c r="L960">
        <v>3</v>
      </c>
      <c r="M960" t="s">
        <v>33</v>
      </c>
      <c r="N960" t="s">
        <v>55</v>
      </c>
      <c r="O960" t="s">
        <v>393</v>
      </c>
      <c r="P960" s="6" t="str">
        <f>IF(Table1[[#This Row],[Transaction_Amount]]&lt;=Table1[[#This Row],[avg_transaction_amount]], "usual transaction", "unusual transaction")</f>
        <v>unusual transaction</v>
      </c>
      <c r="Q960" s="6" t="str">
        <f>IF(AND(Table1[[#This Row],[Country_of_Residence]]&lt;&gt;Table1[[#This Row],[Country_of_Transaction]], OR(Table1[[#This Row],[Authentication_Type]]="Biometric", Table1[[#This Row],[Authentication_Type]]="OTP")), "safe location transaction", "unsafe location transaction")</f>
        <v>safe location transaction</v>
      </c>
      <c r="R960" s="6" t="str">
        <f>IF(AND(Table1[[#This Row],[Country_of_Residence]]&lt;&gt;Table1[[#This Row],[Country_of_Transaction]], OR(Table1[[#This Row],[Merchant_Category]]="Electronics", Table1[[#This Row],[Merchant_Category]]="Travel")), "unsafe merchant transaction", "safe merchant transaction")</f>
        <v>safe merchant transaction</v>
      </c>
    </row>
    <row r="961" spans="1:18">
      <c r="A961" t="s">
        <v>2940</v>
      </c>
      <c r="B961" t="s">
        <v>170</v>
      </c>
      <c r="C961">
        <v>1</v>
      </c>
      <c r="D961" t="s">
        <v>9</v>
      </c>
      <c r="E961" t="s">
        <v>420</v>
      </c>
      <c r="F961" s="2">
        <v>45947</v>
      </c>
      <c r="G961">
        <v>7959.62</v>
      </c>
      <c r="H961" s="1">
        <f>AVERAGEIF(Table1[Customer_ID], Table1[[#This Row],[Customer_ID]], Table1[Transaction_Amount])</f>
        <v>4816.681818181818</v>
      </c>
      <c r="I961" t="s">
        <v>589</v>
      </c>
      <c r="J961" t="s">
        <v>50</v>
      </c>
      <c r="K961" t="s">
        <v>10</v>
      </c>
      <c r="L961">
        <v>5</v>
      </c>
      <c r="M961" t="s">
        <v>412</v>
      </c>
      <c r="N961" t="s">
        <v>32</v>
      </c>
      <c r="O961" t="s">
        <v>393</v>
      </c>
      <c r="P961" s="6" t="str">
        <f>IF(Table1[[#This Row],[Transaction_Amount]]&lt;=Table1[[#This Row],[avg_transaction_amount]], "usual transaction", "unusual transaction")</f>
        <v>unusual transaction</v>
      </c>
      <c r="Q961" s="6" t="str">
        <f>IF(AND(Table1[[#This Row],[Country_of_Residence]]&lt;&gt;Table1[[#This Row],[Country_of_Transaction]], OR(Table1[[#This Row],[Authentication_Type]]="Biometric", Table1[[#This Row],[Authentication_Type]]="OTP")), "safe location transaction", "unsafe location transaction")</f>
        <v>safe location transaction</v>
      </c>
      <c r="R961" s="6" t="str">
        <f>IF(AND(Table1[[#This Row],[Country_of_Residence]]&lt;&gt;Table1[[#This Row],[Country_of_Transaction]], OR(Table1[[#This Row],[Merchant_Category]]="Electronics", Table1[[#This Row],[Merchant_Category]]="Travel")), "unsafe merchant transaction", "safe merchant transaction")</f>
        <v>unsafe merchant transaction</v>
      </c>
    </row>
    <row r="962" spans="1:18">
      <c r="A962" t="s">
        <v>2972</v>
      </c>
      <c r="B962" t="s">
        <v>170</v>
      </c>
      <c r="C962">
        <v>1</v>
      </c>
      <c r="D962" t="s">
        <v>15</v>
      </c>
      <c r="E962" t="s">
        <v>420</v>
      </c>
      <c r="F962" s="2">
        <v>45833</v>
      </c>
      <c r="G962">
        <v>3262.51</v>
      </c>
      <c r="H962" s="1">
        <f>AVERAGEIF(Table1[Customer_ID], Table1[[#This Row],[Customer_ID]], Table1[Transaction_Amount])</f>
        <v>4816.681818181818</v>
      </c>
      <c r="I962" t="s">
        <v>620</v>
      </c>
      <c r="J962" t="s">
        <v>31</v>
      </c>
      <c r="K962" t="s">
        <v>10</v>
      </c>
      <c r="L962">
        <v>5</v>
      </c>
      <c r="M962" t="s">
        <v>47</v>
      </c>
      <c r="N962" t="s">
        <v>412</v>
      </c>
      <c r="O962" t="s">
        <v>392</v>
      </c>
      <c r="P962" s="6" t="str">
        <f>IF(Table1[[#This Row],[Transaction_Amount]]&lt;=Table1[[#This Row],[avg_transaction_amount]], "usual transaction", "unusual transaction")</f>
        <v>usual transaction</v>
      </c>
      <c r="Q962" s="6" t="str">
        <f>IF(AND(Table1[[#This Row],[Country_of_Residence]]&lt;&gt;Table1[[#This Row],[Country_of_Transaction]], OR(Table1[[#This Row],[Authentication_Type]]="Biometric", Table1[[#This Row],[Authentication_Type]]="OTP")), "safe location transaction", "unsafe location transaction")</f>
        <v>safe location transaction</v>
      </c>
      <c r="R962" s="6" t="str">
        <f>IF(AND(Table1[[#This Row],[Country_of_Residence]]&lt;&gt;Table1[[#This Row],[Country_of_Transaction]], OR(Table1[[#This Row],[Merchant_Category]]="Electronics", Table1[[#This Row],[Merchant_Category]]="Travel")), "unsafe merchant transaction", "safe merchant transaction")</f>
        <v>safe merchant transaction</v>
      </c>
    </row>
    <row r="963" spans="1:18">
      <c r="A963" t="s">
        <v>2982</v>
      </c>
      <c r="B963" t="s">
        <v>170</v>
      </c>
      <c r="C963">
        <v>1</v>
      </c>
      <c r="D963" t="s">
        <v>15</v>
      </c>
      <c r="E963" t="s">
        <v>6</v>
      </c>
      <c r="F963" s="2">
        <v>45932</v>
      </c>
      <c r="G963">
        <v>881.79</v>
      </c>
      <c r="H963" s="1">
        <f>AVERAGEIF(Table1[Customer_ID], Table1[[#This Row],[Customer_ID]], Table1[Transaction_Amount])</f>
        <v>4816.681818181818</v>
      </c>
      <c r="I963" t="s">
        <v>630</v>
      </c>
      <c r="J963" t="s">
        <v>41</v>
      </c>
      <c r="K963" t="s">
        <v>10</v>
      </c>
      <c r="L963">
        <v>2</v>
      </c>
      <c r="M963" t="s">
        <v>56</v>
      </c>
      <c r="N963" t="s">
        <v>55</v>
      </c>
      <c r="O963" t="s">
        <v>392</v>
      </c>
      <c r="P963" s="6" t="str">
        <f>IF(Table1[[#This Row],[Transaction_Amount]]&lt;=Table1[[#This Row],[avg_transaction_amount]], "usual transaction", "unusual transaction")</f>
        <v>usual transaction</v>
      </c>
      <c r="Q963" s="6" t="str">
        <f>IF(AND(Table1[[#This Row],[Country_of_Residence]]&lt;&gt;Table1[[#This Row],[Country_of_Transaction]], OR(Table1[[#This Row],[Authentication_Type]]="Biometric", Table1[[#This Row],[Authentication_Type]]="OTP")), "safe location transaction", "unsafe location transaction")</f>
        <v>safe location transaction</v>
      </c>
      <c r="R963" s="6" t="str">
        <f>IF(AND(Table1[[#This Row],[Country_of_Residence]]&lt;&gt;Table1[[#This Row],[Country_of_Transaction]], OR(Table1[[#This Row],[Merchant_Category]]="Electronics", Table1[[#This Row],[Merchant_Category]]="Travel")), "unsafe merchant transaction", "safe merchant transaction")</f>
        <v>safe merchant transaction</v>
      </c>
    </row>
    <row r="964" spans="1:18">
      <c r="A964" t="s">
        <v>2999</v>
      </c>
      <c r="B964" t="s">
        <v>170</v>
      </c>
      <c r="C964">
        <v>1</v>
      </c>
      <c r="D964" t="s">
        <v>15</v>
      </c>
      <c r="E964" t="s">
        <v>5</v>
      </c>
      <c r="F964" s="2">
        <v>45913</v>
      </c>
      <c r="G964">
        <v>4487.8100000000004</v>
      </c>
      <c r="H964" s="1">
        <f>AVERAGEIF(Table1[Customer_ID], Table1[[#This Row],[Customer_ID]], Table1[Transaction_Amount])</f>
        <v>4816.681818181818</v>
      </c>
      <c r="I964" t="s">
        <v>646</v>
      </c>
      <c r="J964" t="s">
        <v>31</v>
      </c>
      <c r="K964" t="s">
        <v>10</v>
      </c>
      <c r="L964">
        <v>2</v>
      </c>
      <c r="M964" t="s">
        <v>56</v>
      </c>
      <c r="N964" t="s">
        <v>42</v>
      </c>
      <c r="O964" t="s">
        <v>393</v>
      </c>
      <c r="P964" s="6" t="str">
        <f>IF(Table1[[#This Row],[Transaction_Amount]]&lt;=Table1[[#This Row],[avg_transaction_amount]], "usual transaction", "unusual transaction")</f>
        <v>usual transaction</v>
      </c>
      <c r="Q964" s="6" t="str">
        <f>IF(AND(Table1[[#This Row],[Country_of_Residence]]&lt;&gt;Table1[[#This Row],[Country_of_Transaction]], OR(Table1[[#This Row],[Authentication_Type]]="Biometric", Table1[[#This Row],[Authentication_Type]]="OTP")), "safe location transaction", "unsafe location transaction")</f>
        <v>safe location transaction</v>
      </c>
      <c r="R964" s="6" t="str">
        <f>IF(AND(Table1[[#This Row],[Country_of_Residence]]&lt;&gt;Table1[[#This Row],[Country_of_Transaction]], OR(Table1[[#This Row],[Merchant_Category]]="Electronics", Table1[[#This Row],[Merchant_Category]]="Travel")), "unsafe merchant transaction", "safe merchant transaction")</f>
        <v>safe merchant transaction</v>
      </c>
    </row>
    <row r="965" spans="1:18">
      <c r="A965" t="s">
        <v>3001</v>
      </c>
      <c r="B965" t="s">
        <v>170</v>
      </c>
      <c r="C965">
        <v>1</v>
      </c>
      <c r="D965" t="s">
        <v>15</v>
      </c>
      <c r="E965" t="s">
        <v>3</v>
      </c>
      <c r="F965" s="2">
        <v>45801</v>
      </c>
      <c r="G965">
        <v>1839.17</v>
      </c>
      <c r="H965" s="1">
        <f>AVERAGEIF(Table1[Customer_ID], Table1[[#This Row],[Customer_ID]], Table1[Transaction_Amount])</f>
        <v>4816.681818181818</v>
      </c>
      <c r="I965" t="s">
        <v>648</v>
      </c>
      <c r="J965" t="s">
        <v>41</v>
      </c>
      <c r="K965" t="s">
        <v>14</v>
      </c>
      <c r="L965">
        <v>4</v>
      </c>
      <c r="M965" t="s">
        <v>55</v>
      </c>
      <c r="N965" t="s">
        <v>42</v>
      </c>
      <c r="O965" t="s">
        <v>392</v>
      </c>
      <c r="P965" s="6" t="str">
        <f>IF(Table1[[#This Row],[Transaction_Amount]]&lt;=Table1[[#This Row],[avg_transaction_amount]], "usual transaction", "unusual transaction")</f>
        <v>usual transaction</v>
      </c>
      <c r="Q965" s="6" t="str">
        <f>IF(AND(Table1[[#This Row],[Country_of_Residence]]&lt;&gt;Table1[[#This Row],[Country_of_Transaction]], OR(Table1[[#This Row],[Authentication_Type]]="Biometric", Table1[[#This Row],[Authentication_Type]]="OTP")), "safe location transaction", "unsafe location transaction")</f>
        <v>unsafe location transaction</v>
      </c>
      <c r="R965" s="6" t="str">
        <f>IF(AND(Table1[[#This Row],[Country_of_Residence]]&lt;&gt;Table1[[#This Row],[Country_of_Transaction]], OR(Table1[[#This Row],[Merchant_Category]]="Electronics", Table1[[#This Row],[Merchant_Category]]="Travel")), "unsafe merchant transaction", "safe merchant transaction")</f>
        <v>safe merchant transaction</v>
      </c>
    </row>
    <row r="966" spans="1:18">
      <c r="A966" t="s">
        <v>3019</v>
      </c>
      <c r="B966" t="s">
        <v>170</v>
      </c>
      <c r="C966">
        <v>1</v>
      </c>
      <c r="D966" t="s">
        <v>15</v>
      </c>
      <c r="E966" t="s">
        <v>420</v>
      </c>
      <c r="F966" s="2">
        <v>45715</v>
      </c>
      <c r="G966">
        <v>5220.8999999999996</v>
      </c>
      <c r="H966" s="1">
        <f>AVERAGEIF(Table1[Customer_ID], Table1[[#This Row],[Customer_ID]], Table1[Transaction_Amount])</f>
        <v>4816.681818181818</v>
      </c>
      <c r="I966" t="s">
        <v>666</v>
      </c>
      <c r="J966" t="s">
        <v>46</v>
      </c>
      <c r="K966" t="s">
        <v>10</v>
      </c>
      <c r="L966">
        <v>0</v>
      </c>
      <c r="M966" t="s">
        <v>32</v>
      </c>
      <c r="N966" t="s">
        <v>37</v>
      </c>
      <c r="O966" t="s">
        <v>393</v>
      </c>
      <c r="P966" s="6" t="str">
        <f>IF(Table1[[#This Row],[Transaction_Amount]]&lt;=Table1[[#This Row],[avg_transaction_amount]], "usual transaction", "unusual transaction")</f>
        <v>unusual transaction</v>
      </c>
      <c r="Q966" s="6" t="str">
        <f>IF(AND(Table1[[#This Row],[Country_of_Residence]]&lt;&gt;Table1[[#This Row],[Country_of_Transaction]], OR(Table1[[#This Row],[Authentication_Type]]="Biometric", Table1[[#This Row],[Authentication_Type]]="OTP")), "safe location transaction", "unsafe location transaction")</f>
        <v>safe location transaction</v>
      </c>
      <c r="R966" s="6" t="str">
        <f>IF(AND(Table1[[#This Row],[Country_of_Residence]]&lt;&gt;Table1[[#This Row],[Country_of_Transaction]], OR(Table1[[#This Row],[Merchant_Category]]="Electronics", Table1[[#This Row],[Merchant_Category]]="Travel")), "unsafe merchant transaction", "safe merchant transaction")</f>
        <v>safe merchant transaction</v>
      </c>
    </row>
    <row r="967" spans="1:18">
      <c r="A967" t="s">
        <v>3051</v>
      </c>
      <c r="B967" t="s">
        <v>170</v>
      </c>
      <c r="C967">
        <v>1</v>
      </c>
      <c r="D967" t="s">
        <v>9</v>
      </c>
      <c r="E967" t="s">
        <v>420</v>
      </c>
      <c r="F967" s="2">
        <v>45778</v>
      </c>
      <c r="G967">
        <v>550.99</v>
      </c>
      <c r="H967" s="1">
        <f>AVERAGEIF(Table1[Customer_ID], Table1[[#This Row],[Customer_ID]], Table1[Transaction_Amount])</f>
        <v>4816.681818181818</v>
      </c>
      <c r="I967" t="s">
        <v>696</v>
      </c>
      <c r="J967" t="s">
        <v>36</v>
      </c>
      <c r="K967" t="s">
        <v>8</v>
      </c>
      <c r="L967">
        <v>0</v>
      </c>
      <c r="M967" t="s">
        <v>47</v>
      </c>
      <c r="N967" t="s">
        <v>47</v>
      </c>
      <c r="O967" t="s">
        <v>393</v>
      </c>
      <c r="P967" s="6" t="str">
        <f>IF(Table1[[#This Row],[Transaction_Amount]]&lt;=Table1[[#This Row],[avg_transaction_amount]], "usual transaction", "unusual transaction")</f>
        <v>usual transaction</v>
      </c>
      <c r="Q967" s="6" t="str">
        <f>IF(AND(Table1[[#This Row],[Country_of_Residence]]&lt;&gt;Table1[[#This Row],[Country_of_Transaction]], OR(Table1[[#This Row],[Authentication_Type]]="Biometric", Table1[[#This Row],[Authentication_Type]]="OTP")), "safe location transaction", "unsafe location transaction")</f>
        <v>unsafe location transaction</v>
      </c>
      <c r="R967" s="6" t="str">
        <f>IF(AND(Table1[[#This Row],[Country_of_Residence]]&lt;&gt;Table1[[#This Row],[Country_of_Transaction]], OR(Table1[[#This Row],[Merchant_Category]]="Electronics", Table1[[#This Row],[Merchant_Category]]="Travel")), "unsafe merchant transaction", "safe merchant transaction")</f>
        <v>safe merchant transaction</v>
      </c>
    </row>
    <row r="968" spans="1:18">
      <c r="A968" t="s">
        <v>3058</v>
      </c>
      <c r="B968" t="s">
        <v>170</v>
      </c>
      <c r="C968">
        <v>1</v>
      </c>
      <c r="D968" t="s">
        <v>9</v>
      </c>
      <c r="E968" t="s">
        <v>420</v>
      </c>
      <c r="F968" s="2">
        <v>45726</v>
      </c>
      <c r="G968">
        <v>4008.81</v>
      </c>
      <c r="H968" s="1">
        <f>AVERAGEIF(Table1[Customer_ID], Table1[[#This Row],[Customer_ID]], Table1[Transaction_Amount])</f>
        <v>4816.681818181818</v>
      </c>
      <c r="I968" t="s">
        <v>703</v>
      </c>
      <c r="J968" t="s">
        <v>41</v>
      </c>
      <c r="K968" t="s">
        <v>14</v>
      </c>
      <c r="L968">
        <v>5</v>
      </c>
      <c r="M968" t="s">
        <v>33</v>
      </c>
      <c r="N968" t="s">
        <v>51</v>
      </c>
      <c r="O968" t="s">
        <v>392</v>
      </c>
      <c r="P968" s="6" t="str">
        <f>IF(Table1[[#This Row],[Transaction_Amount]]&lt;=Table1[[#This Row],[avg_transaction_amount]], "usual transaction", "unusual transaction")</f>
        <v>usual transaction</v>
      </c>
      <c r="Q968" s="6" t="str">
        <f>IF(AND(Table1[[#This Row],[Country_of_Residence]]&lt;&gt;Table1[[#This Row],[Country_of_Transaction]], OR(Table1[[#This Row],[Authentication_Type]]="Biometric", Table1[[#This Row],[Authentication_Type]]="OTP")), "safe location transaction", "unsafe location transaction")</f>
        <v>unsafe location transaction</v>
      </c>
      <c r="R968" s="6" t="str">
        <f>IF(AND(Table1[[#This Row],[Country_of_Residence]]&lt;&gt;Table1[[#This Row],[Country_of_Transaction]], OR(Table1[[#This Row],[Merchant_Category]]="Electronics", Table1[[#This Row],[Merchant_Category]]="Travel")), "unsafe merchant transaction", "safe merchant transaction")</f>
        <v>safe merchant transaction</v>
      </c>
    </row>
    <row r="969" spans="1:18">
      <c r="A969" t="s">
        <v>3237</v>
      </c>
      <c r="B969" t="s">
        <v>170</v>
      </c>
      <c r="C969">
        <v>1</v>
      </c>
      <c r="D969" t="s">
        <v>15</v>
      </c>
      <c r="E969" t="s">
        <v>3</v>
      </c>
      <c r="F969" s="2">
        <v>45848</v>
      </c>
      <c r="G969">
        <v>5060.4799999999996</v>
      </c>
      <c r="H969" s="1">
        <f>AVERAGEIF(Table1[Customer_ID], Table1[[#This Row],[Customer_ID]], Table1[Transaction_Amount])</f>
        <v>4816.681818181818</v>
      </c>
      <c r="I969" t="s">
        <v>870</v>
      </c>
      <c r="J969" t="s">
        <v>36</v>
      </c>
      <c r="K969" t="s">
        <v>10</v>
      </c>
      <c r="L969">
        <v>3</v>
      </c>
      <c r="M969" t="s">
        <v>33</v>
      </c>
      <c r="N969" t="s">
        <v>33</v>
      </c>
      <c r="O969" t="s">
        <v>393</v>
      </c>
      <c r="P969" s="6" t="str">
        <f>IF(Table1[[#This Row],[Transaction_Amount]]&lt;=Table1[[#This Row],[avg_transaction_amount]], "usual transaction", "unusual transaction")</f>
        <v>unusual transaction</v>
      </c>
      <c r="Q969" s="6" t="str">
        <f>IF(AND(Table1[[#This Row],[Country_of_Residence]]&lt;&gt;Table1[[#This Row],[Country_of_Transaction]], OR(Table1[[#This Row],[Authentication_Type]]="Biometric", Table1[[#This Row],[Authentication_Type]]="OTP")), "safe location transaction", "unsafe location transaction")</f>
        <v>unsafe location transaction</v>
      </c>
      <c r="R969" s="6" t="str">
        <f>IF(AND(Table1[[#This Row],[Country_of_Residence]]&lt;&gt;Table1[[#This Row],[Country_of_Transaction]], OR(Table1[[#This Row],[Merchant_Category]]="Electronics", Table1[[#This Row],[Merchant_Category]]="Travel")), "unsafe merchant transaction", "safe merchant transaction")</f>
        <v>safe merchant transaction</v>
      </c>
    </row>
    <row r="970" spans="1:18">
      <c r="A970" t="s">
        <v>3239</v>
      </c>
      <c r="B970" t="s">
        <v>170</v>
      </c>
      <c r="C970">
        <v>1</v>
      </c>
      <c r="D970" t="s">
        <v>15</v>
      </c>
      <c r="E970" t="s">
        <v>6</v>
      </c>
      <c r="F970" s="2">
        <v>45924</v>
      </c>
      <c r="G970">
        <v>1164.6400000000001</v>
      </c>
      <c r="H970" s="1">
        <f>AVERAGEIF(Table1[Customer_ID], Table1[[#This Row],[Customer_ID]], Table1[Transaction_Amount])</f>
        <v>4816.681818181818</v>
      </c>
      <c r="I970" t="s">
        <v>871</v>
      </c>
      <c r="J970" t="s">
        <v>50</v>
      </c>
      <c r="K970" t="s">
        <v>8</v>
      </c>
      <c r="L970">
        <v>5</v>
      </c>
      <c r="M970" t="s">
        <v>33</v>
      </c>
      <c r="N970" t="s">
        <v>42</v>
      </c>
      <c r="O970" t="s">
        <v>393</v>
      </c>
      <c r="P970" s="6" t="str">
        <f>IF(Table1[[#This Row],[Transaction_Amount]]&lt;=Table1[[#This Row],[avg_transaction_amount]], "usual transaction", "unusual transaction")</f>
        <v>usual transaction</v>
      </c>
      <c r="Q970" s="6" t="str">
        <f>IF(AND(Table1[[#This Row],[Country_of_Residence]]&lt;&gt;Table1[[#This Row],[Country_of_Transaction]], OR(Table1[[#This Row],[Authentication_Type]]="Biometric", Table1[[#This Row],[Authentication_Type]]="OTP")), "safe location transaction", "unsafe location transaction")</f>
        <v>safe location transaction</v>
      </c>
      <c r="R970" s="6" t="str">
        <f>IF(AND(Table1[[#This Row],[Country_of_Residence]]&lt;&gt;Table1[[#This Row],[Country_of_Transaction]], OR(Table1[[#This Row],[Merchant_Category]]="Electronics", Table1[[#This Row],[Merchant_Category]]="Travel")), "unsafe merchant transaction", "safe merchant transaction")</f>
        <v>unsafe merchant transaction</v>
      </c>
    </row>
    <row r="971" spans="1:18">
      <c r="A971" t="s">
        <v>3256</v>
      </c>
      <c r="B971" t="s">
        <v>170</v>
      </c>
      <c r="C971">
        <v>1</v>
      </c>
      <c r="D971" t="s">
        <v>15</v>
      </c>
      <c r="E971" t="s">
        <v>5</v>
      </c>
      <c r="F971" s="2">
        <v>45731</v>
      </c>
      <c r="G971">
        <v>6870.17</v>
      </c>
      <c r="H971" s="1">
        <f>AVERAGEIF(Table1[Customer_ID], Table1[[#This Row],[Customer_ID]], Table1[Transaction_Amount])</f>
        <v>4816.681818181818</v>
      </c>
      <c r="I971" t="s">
        <v>83</v>
      </c>
      <c r="J971" t="s">
        <v>41</v>
      </c>
      <c r="K971" t="s">
        <v>14</v>
      </c>
      <c r="L971">
        <v>2</v>
      </c>
      <c r="M971" t="s">
        <v>47</v>
      </c>
      <c r="N971" t="s">
        <v>56</v>
      </c>
      <c r="O971" t="s">
        <v>393</v>
      </c>
      <c r="P971" s="6" t="str">
        <f>IF(Table1[[#This Row],[Transaction_Amount]]&lt;=Table1[[#This Row],[avg_transaction_amount]], "usual transaction", "unusual transaction")</f>
        <v>unusual transaction</v>
      </c>
      <c r="Q971" s="6" t="str">
        <f>IF(AND(Table1[[#This Row],[Country_of_Residence]]&lt;&gt;Table1[[#This Row],[Country_of_Transaction]], OR(Table1[[#This Row],[Authentication_Type]]="Biometric", Table1[[#This Row],[Authentication_Type]]="OTP")), "safe location transaction", "unsafe location transaction")</f>
        <v>unsafe location transaction</v>
      </c>
      <c r="R971" s="6" t="str">
        <f>IF(AND(Table1[[#This Row],[Country_of_Residence]]&lt;&gt;Table1[[#This Row],[Country_of_Transaction]], OR(Table1[[#This Row],[Merchant_Category]]="Electronics", Table1[[#This Row],[Merchant_Category]]="Travel")), "unsafe merchant transaction", "safe merchant transaction")</f>
        <v>safe merchant transaction</v>
      </c>
    </row>
    <row r="972" spans="1:18">
      <c r="A972" t="s">
        <v>3279</v>
      </c>
      <c r="B972" t="s">
        <v>170</v>
      </c>
      <c r="C972">
        <v>1</v>
      </c>
      <c r="D972" t="s">
        <v>9</v>
      </c>
      <c r="E972" t="s">
        <v>420</v>
      </c>
      <c r="F972" s="2">
        <v>45765</v>
      </c>
      <c r="G972">
        <v>719.33</v>
      </c>
      <c r="H972" s="1">
        <f>AVERAGEIF(Table1[Customer_ID], Table1[[#This Row],[Customer_ID]], Table1[Transaction_Amount])</f>
        <v>4816.681818181818</v>
      </c>
      <c r="I972" t="s">
        <v>907</v>
      </c>
      <c r="J972" t="s">
        <v>50</v>
      </c>
      <c r="K972" t="s">
        <v>14</v>
      </c>
      <c r="L972">
        <v>3</v>
      </c>
      <c r="M972" t="s">
        <v>33</v>
      </c>
      <c r="N972" t="s">
        <v>51</v>
      </c>
      <c r="O972" t="s">
        <v>392</v>
      </c>
      <c r="P972" s="6" t="str">
        <f>IF(Table1[[#This Row],[Transaction_Amount]]&lt;=Table1[[#This Row],[avg_transaction_amount]], "usual transaction", "unusual transaction")</f>
        <v>usual transaction</v>
      </c>
      <c r="Q972" s="6" t="str">
        <f>IF(AND(Table1[[#This Row],[Country_of_Residence]]&lt;&gt;Table1[[#This Row],[Country_of_Transaction]], OR(Table1[[#This Row],[Authentication_Type]]="Biometric", Table1[[#This Row],[Authentication_Type]]="OTP")), "safe location transaction", "unsafe location transaction")</f>
        <v>unsafe location transaction</v>
      </c>
      <c r="R972" s="6" t="str">
        <f>IF(AND(Table1[[#This Row],[Country_of_Residence]]&lt;&gt;Table1[[#This Row],[Country_of_Transaction]], OR(Table1[[#This Row],[Merchant_Category]]="Electronics", Table1[[#This Row],[Merchant_Category]]="Travel")), "unsafe merchant transaction", "safe merchant transaction")</f>
        <v>unsafe merchant transaction</v>
      </c>
    </row>
    <row r="973" spans="1:18">
      <c r="A973" t="s">
        <v>3284</v>
      </c>
      <c r="B973" t="s">
        <v>170</v>
      </c>
      <c r="C973">
        <v>1</v>
      </c>
      <c r="D973" t="s">
        <v>15</v>
      </c>
      <c r="E973" t="s">
        <v>420</v>
      </c>
      <c r="F973" s="2">
        <v>45668</v>
      </c>
      <c r="G973">
        <v>6603.77</v>
      </c>
      <c r="H973" s="1">
        <f>AVERAGEIF(Table1[Customer_ID], Table1[[#This Row],[Customer_ID]], Table1[Transaction_Amount])</f>
        <v>4816.681818181818</v>
      </c>
      <c r="I973" t="s">
        <v>912</v>
      </c>
      <c r="J973" t="s">
        <v>50</v>
      </c>
      <c r="K973" t="s">
        <v>14</v>
      </c>
      <c r="L973">
        <v>0</v>
      </c>
      <c r="M973" t="s">
        <v>56</v>
      </c>
      <c r="N973" t="s">
        <v>51</v>
      </c>
      <c r="O973" t="s">
        <v>392</v>
      </c>
      <c r="P973" s="6" t="str">
        <f>IF(Table1[[#This Row],[Transaction_Amount]]&lt;=Table1[[#This Row],[avg_transaction_amount]], "usual transaction", "unusual transaction")</f>
        <v>unusual transaction</v>
      </c>
      <c r="Q973" s="6" t="str">
        <f>IF(AND(Table1[[#This Row],[Country_of_Residence]]&lt;&gt;Table1[[#This Row],[Country_of_Transaction]], OR(Table1[[#This Row],[Authentication_Type]]="Biometric", Table1[[#This Row],[Authentication_Type]]="OTP")), "safe location transaction", "unsafe location transaction")</f>
        <v>unsafe location transaction</v>
      </c>
      <c r="R973" s="6" t="str">
        <f>IF(AND(Table1[[#This Row],[Country_of_Residence]]&lt;&gt;Table1[[#This Row],[Country_of_Transaction]], OR(Table1[[#This Row],[Merchant_Category]]="Electronics", Table1[[#This Row],[Merchant_Category]]="Travel")), "unsafe merchant transaction", "safe merchant transaction")</f>
        <v>unsafe merchant transaction</v>
      </c>
    </row>
    <row r="974" spans="1:18">
      <c r="A974" t="s">
        <v>3310</v>
      </c>
      <c r="B974" t="s">
        <v>170</v>
      </c>
      <c r="C974">
        <v>1</v>
      </c>
      <c r="D974" t="s">
        <v>9</v>
      </c>
      <c r="E974" t="s">
        <v>5</v>
      </c>
      <c r="F974" s="2">
        <v>45972</v>
      </c>
      <c r="G974">
        <v>5652.42</v>
      </c>
      <c r="H974" s="1">
        <f>AVERAGEIF(Table1[Customer_ID], Table1[[#This Row],[Customer_ID]], Table1[Transaction_Amount])</f>
        <v>4816.681818181818</v>
      </c>
      <c r="I974" t="s">
        <v>937</v>
      </c>
      <c r="J974" t="s">
        <v>36</v>
      </c>
      <c r="K974" t="s">
        <v>10</v>
      </c>
      <c r="L974">
        <v>0</v>
      </c>
      <c r="M974" t="s">
        <v>33</v>
      </c>
      <c r="N974" t="s">
        <v>51</v>
      </c>
      <c r="O974" t="s">
        <v>393</v>
      </c>
      <c r="P974" s="6" t="str">
        <f>IF(Table1[[#This Row],[Transaction_Amount]]&lt;=Table1[[#This Row],[avg_transaction_amount]], "usual transaction", "unusual transaction")</f>
        <v>unusual transaction</v>
      </c>
      <c r="Q974" s="6" t="str">
        <f>IF(AND(Table1[[#This Row],[Country_of_Residence]]&lt;&gt;Table1[[#This Row],[Country_of_Transaction]], OR(Table1[[#This Row],[Authentication_Type]]="Biometric", Table1[[#This Row],[Authentication_Type]]="OTP")), "safe location transaction", "unsafe location transaction")</f>
        <v>safe location transaction</v>
      </c>
      <c r="R974" s="6" t="str">
        <f>IF(AND(Table1[[#This Row],[Country_of_Residence]]&lt;&gt;Table1[[#This Row],[Country_of_Transaction]], OR(Table1[[#This Row],[Merchant_Category]]="Electronics", Table1[[#This Row],[Merchant_Category]]="Travel")), "unsafe merchant transaction", "safe merchant transaction")</f>
        <v>safe merchant transaction</v>
      </c>
    </row>
    <row r="975" spans="1:18">
      <c r="A975" t="s">
        <v>3321</v>
      </c>
      <c r="B975" t="s">
        <v>170</v>
      </c>
      <c r="C975">
        <v>1</v>
      </c>
      <c r="D975" t="s">
        <v>9</v>
      </c>
      <c r="E975" t="s">
        <v>3</v>
      </c>
      <c r="F975" s="2">
        <v>45911</v>
      </c>
      <c r="G975">
        <v>8934.1299999999992</v>
      </c>
      <c r="H975" s="1">
        <f>AVERAGEIF(Table1[Customer_ID], Table1[[#This Row],[Customer_ID]], Table1[Transaction_Amount])</f>
        <v>4816.681818181818</v>
      </c>
      <c r="I975" t="s">
        <v>947</v>
      </c>
      <c r="J975" t="s">
        <v>36</v>
      </c>
      <c r="K975" t="s">
        <v>8</v>
      </c>
      <c r="L975">
        <v>0</v>
      </c>
      <c r="M975" t="s">
        <v>42</v>
      </c>
      <c r="N975" t="s">
        <v>37</v>
      </c>
      <c r="O975" t="s">
        <v>392</v>
      </c>
      <c r="P975" s="6" t="str">
        <f>IF(Table1[[#This Row],[Transaction_Amount]]&lt;=Table1[[#This Row],[avg_transaction_amount]], "usual transaction", "unusual transaction")</f>
        <v>unusual transaction</v>
      </c>
      <c r="Q975" s="6" t="str">
        <f>IF(AND(Table1[[#This Row],[Country_of_Residence]]&lt;&gt;Table1[[#This Row],[Country_of_Transaction]], OR(Table1[[#This Row],[Authentication_Type]]="Biometric", Table1[[#This Row],[Authentication_Type]]="OTP")), "safe location transaction", "unsafe location transaction")</f>
        <v>safe location transaction</v>
      </c>
      <c r="R975" s="6" t="str">
        <f>IF(AND(Table1[[#This Row],[Country_of_Residence]]&lt;&gt;Table1[[#This Row],[Country_of_Transaction]], OR(Table1[[#This Row],[Merchant_Category]]="Electronics", Table1[[#This Row],[Merchant_Category]]="Travel")), "unsafe merchant transaction", "safe merchant transaction")</f>
        <v>safe merchant transaction</v>
      </c>
    </row>
    <row r="976" spans="1:18">
      <c r="A976" t="s">
        <v>3329</v>
      </c>
      <c r="B976" t="s">
        <v>170</v>
      </c>
      <c r="C976">
        <v>1</v>
      </c>
      <c r="D976" t="s">
        <v>9</v>
      </c>
      <c r="E976" t="s">
        <v>6</v>
      </c>
      <c r="F976" s="2">
        <v>45735</v>
      </c>
      <c r="G976">
        <v>3755.74</v>
      </c>
      <c r="H976" s="1">
        <f>AVERAGEIF(Table1[Customer_ID], Table1[[#This Row],[Customer_ID]], Table1[Transaction_Amount])</f>
        <v>4816.681818181818</v>
      </c>
      <c r="I976" t="s">
        <v>953</v>
      </c>
      <c r="J976" t="s">
        <v>46</v>
      </c>
      <c r="K976" t="s">
        <v>12</v>
      </c>
      <c r="L976">
        <v>3</v>
      </c>
      <c r="M976" t="s">
        <v>56</v>
      </c>
      <c r="N976" t="s">
        <v>56</v>
      </c>
      <c r="O976" t="s">
        <v>393</v>
      </c>
      <c r="P976" s="6" t="str">
        <f>IF(Table1[[#This Row],[Transaction_Amount]]&lt;=Table1[[#This Row],[avg_transaction_amount]], "usual transaction", "unusual transaction")</f>
        <v>usual transaction</v>
      </c>
      <c r="Q976" s="6" t="str">
        <f>IF(AND(Table1[[#This Row],[Country_of_Residence]]&lt;&gt;Table1[[#This Row],[Country_of_Transaction]], OR(Table1[[#This Row],[Authentication_Type]]="Biometric", Table1[[#This Row],[Authentication_Type]]="OTP")), "safe location transaction", "unsafe location transaction")</f>
        <v>unsafe location transaction</v>
      </c>
      <c r="R976" s="6" t="str">
        <f>IF(AND(Table1[[#This Row],[Country_of_Residence]]&lt;&gt;Table1[[#This Row],[Country_of_Transaction]], OR(Table1[[#This Row],[Merchant_Category]]="Electronics", Table1[[#This Row],[Merchant_Category]]="Travel")), "unsafe merchant transaction", "safe merchant transaction")</f>
        <v>safe merchant transaction</v>
      </c>
    </row>
    <row r="977" spans="1:18">
      <c r="A977" t="s">
        <v>3392</v>
      </c>
      <c r="B977" t="s">
        <v>170</v>
      </c>
      <c r="C977">
        <v>1</v>
      </c>
      <c r="D977" t="s">
        <v>9</v>
      </c>
      <c r="E977" t="s">
        <v>3</v>
      </c>
      <c r="F977" s="2">
        <v>45862</v>
      </c>
      <c r="G977">
        <v>2056.94</v>
      </c>
      <c r="H977" s="1">
        <f>AVERAGEIF(Table1[Customer_ID], Table1[[#This Row],[Customer_ID]], Table1[Transaction_Amount])</f>
        <v>4816.681818181818</v>
      </c>
      <c r="I977" t="s">
        <v>1013</v>
      </c>
      <c r="J977" t="s">
        <v>41</v>
      </c>
      <c r="K977" t="s">
        <v>14</v>
      </c>
      <c r="L977">
        <v>4</v>
      </c>
      <c r="M977" t="s">
        <v>47</v>
      </c>
      <c r="N977" t="s">
        <v>47</v>
      </c>
      <c r="O977" t="s">
        <v>393</v>
      </c>
      <c r="P977" s="6" t="str">
        <f>IF(Table1[[#This Row],[Transaction_Amount]]&lt;=Table1[[#This Row],[avg_transaction_amount]], "usual transaction", "unusual transaction")</f>
        <v>usual transaction</v>
      </c>
      <c r="Q977" s="6" t="str">
        <f>IF(AND(Table1[[#This Row],[Country_of_Residence]]&lt;&gt;Table1[[#This Row],[Country_of_Transaction]], OR(Table1[[#This Row],[Authentication_Type]]="Biometric", Table1[[#This Row],[Authentication_Type]]="OTP")), "safe location transaction", "unsafe location transaction")</f>
        <v>unsafe location transaction</v>
      </c>
      <c r="R977" s="6" t="str">
        <f>IF(AND(Table1[[#This Row],[Country_of_Residence]]&lt;&gt;Table1[[#This Row],[Country_of_Transaction]], OR(Table1[[#This Row],[Merchant_Category]]="Electronics", Table1[[#This Row],[Merchant_Category]]="Travel")), "unsafe merchant transaction", "safe merchant transaction")</f>
        <v>safe merchant transaction</v>
      </c>
    </row>
    <row r="978" spans="1:18">
      <c r="A978" t="s">
        <v>3422</v>
      </c>
      <c r="B978" t="s">
        <v>170</v>
      </c>
      <c r="C978">
        <v>1</v>
      </c>
      <c r="D978" t="s">
        <v>15</v>
      </c>
      <c r="E978" t="s">
        <v>420</v>
      </c>
      <c r="F978" s="2">
        <v>45906</v>
      </c>
      <c r="G978">
        <v>689.41</v>
      </c>
      <c r="H978" s="1">
        <f>AVERAGEIF(Table1[Customer_ID], Table1[[#This Row],[Customer_ID]], Table1[Transaction_Amount])</f>
        <v>4816.681818181818</v>
      </c>
      <c r="I978" t="s">
        <v>1042</v>
      </c>
      <c r="J978" t="s">
        <v>31</v>
      </c>
      <c r="K978" t="s">
        <v>10</v>
      </c>
      <c r="L978">
        <v>2</v>
      </c>
      <c r="M978" t="s">
        <v>412</v>
      </c>
      <c r="N978" t="s">
        <v>412</v>
      </c>
      <c r="O978" t="s">
        <v>392</v>
      </c>
      <c r="P978" s="6" t="str">
        <f>IF(Table1[[#This Row],[Transaction_Amount]]&lt;=Table1[[#This Row],[avg_transaction_amount]], "usual transaction", "unusual transaction")</f>
        <v>usual transaction</v>
      </c>
      <c r="Q978" s="6" t="str">
        <f>IF(AND(Table1[[#This Row],[Country_of_Residence]]&lt;&gt;Table1[[#This Row],[Country_of_Transaction]], OR(Table1[[#This Row],[Authentication_Type]]="Biometric", Table1[[#This Row],[Authentication_Type]]="OTP")), "safe location transaction", "unsafe location transaction")</f>
        <v>unsafe location transaction</v>
      </c>
      <c r="R978" s="6" t="str">
        <f>IF(AND(Table1[[#This Row],[Country_of_Residence]]&lt;&gt;Table1[[#This Row],[Country_of_Transaction]], OR(Table1[[#This Row],[Merchant_Category]]="Electronics", Table1[[#This Row],[Merchant_Category]]="Travel")), "unsafe merchant transaction", "safe merchant transaction")</f>
        <v>safe merchant transaction</v>
      </c>
    </row>
    <row r="979" spans="1:18">
      <c r="A979" t="s">
        <v>3500</v>
      </c>
      <c r="B979" t="s">
        <v>170</v>
      </c>
      <c r="C979">
        <v>1</v>
      </c>
      <c r="D979" t="s">
        <v>9</v>
      </c>
      <c r="E979" t="s">
        <v>3</v>
      </c>
      <c r="F979" s="2">
        <v>45780</v>
      </c>
      <c r="G979">
        <v>1128.5899999999999</v>
      </c>
      <c r="H979" s="1">
        <f>AVERAGEIF(Table1[Customer_ID], Table1[[#This Row],[Customer_ID]], Table1[Transaction_Amount])</f>
        <v>4816.681818181818</v>
      </c>
      <c r="I979" t="s">
        <v>1115</v>
      </c>
      <c r="J979" t="s">
        <v>41</v>
      </c>
      <c r="K979" t="s">
        <v>10</v>
      </c>
      <c r="L979">
        <v>0</v>
      </c>
      <c r="M979" t="s">
        <v>55</v>
      </c>
      <c r="N979" t="s">
        <v>412</v>
      </c>
      <c r="O979" t="s">
        <v>393</v>
      </c>
      <c r="P979" s="6" t="str">
        <f>IF(Table1[[#This Row],[Transaction_Amount]]&lt;=Table1[[#This Row],[avg_transaction_amount]], "usual transaction", "unusual transaction")</f>
        <v>usual transaction</v>
      </c>
      <c r="Q979" s="6" t="str">
        <f>IF(AND(Table1[[#This Row],[Country_of_Residence]]&lt;&gt;Table1[[#This Row],[Country_of_Transaction]], OR(Table1[[#This Row],[Authentication_Type]]="Biometric", Table1[[#This Row],[Authentication_Type]]="OTP")), "safe location transaction", "unsafe location transaction")</f>
        <v>safe location transaction</v>
      </c>
      <c r="R979" s="6" t="str">
        <f>IF(AND(Table1[[#This Row],[Country_of_Residence]]&lt;&gt;Table1[[#This Row],[Country_of_Transaction]], OR(Table1[[#This Row],[Merchant_Category]]="Electronics", Table1[[#This Row],[Merchant_Category]]="Travel")), "unsafe merchant transaction", "safe merchant transaction")</f>
        <v>safe merchant transaction</v>
      </c>
    </row>
    <row r="980" spans="1:18">
      <c r="A980" t="s">
        <v>3528</v>
      </c>
      <c r="B980" t="s">
        <v>170</v>
      </c>
      <c r="C980">
        <v>1</v>
      </c>
      <c r="D980" t="s">
        <v>15</v>
      </c>
      <c r="E980" t="s">
        <v>3</v>
      </c>
      <c r="F980" s="2">
        <v>45714</v>
      </c>
      <c r="G980">
        <v>875.49</v>
      </c>
      <c r="H980" s="1">
        <f>AVERAGEIF(Table1[Customer_ID], Table1[[#This Row],[Customer_ID]], Table1[Transaction_Amount])</f>
        <v>4816.681818181818</v>
      </c>
      <c r="I980" t="s">
        <v>1143</v>
      </c>
      <c r="J980" t="s">
        <v>31</v>
      </c>
      <c r="K980" t="s">
        <v>12</v>
      </c>
      <c r="L980">
        <v>2</v>
      </c>
      <c r="M980" t="s">
        <v>37</v>
      </c>
      <c r="N980" t="s">
        <v>42</v>
      </c>
      <c r="O980" t="s">
        <v>392</v>
      </c>
      <c r="P980" s="6" t="str">
        <f>IF(Table1[[#This Row],[Transaction_Amount]]&lt;=Table1[[#This Row],[avg_transaction_amount]], "usual transaction", "unusual transaction")</f>
        <v>usual transaction</v>
      </c>
      <c r="Q980" s="6" t="str">
        <f>IF(AND(Table1[[#This Row],[Country_of_Residence]]&lt;&gt;Table1[[#This Row],[Country_of_Transaction]], OR(Table1[[#This Row],[Authentication_Type]]="Biometric", Table1[[#This Row],[Authentication_Type]]="OTP")), "safe location transaction", "unsafe location transaction")</f>
        <v>unsafe location transaction</v>
      </c>
      <c r="R980" s="6" t="str">
        <f>IF(AND(Table1[[#This Row],[Country_of_Residence]]&lt;&gt;Table1[[#This Row],[Country_of_Transaction]], OR(Table1[[#This Row],[Merchant_Category]]="Electronics", Table1[[#This Row],[Merchant_Category]]="Travel")), "unsafe merchant transaction", "safe merchant transaction")</f>
        <v>safe merchant transaction</v>
      </c>
    </row>
    <row r="981" spans="1:18">
      <c r="A981" t="s">
        <v>3596</v>
      </c>
      <c r="B981" t="s">
        <v>170</v>
      </c>
      <c r="C981">
        <v>1</v>
      </c>
      <c r="D981" t="s">
        <v>15</v>
      </c>
      <c r="E981" t="s">
        <v>3</v>
      </c>
      <c r="F981" s="2">
        <v>45800</v>
      </c>
      <c r="G981">
        <v>5902.99</v>
      </c>
      <c r="H981" s="1">
        <f>AVERAGEIF(Table1[Customer_ID], Table1[[#This Row],[Customer_ID]], Table1[Transaction_Amount])</f>
        <v>4816.681818181818</v>
      </c>
      <c r="I981" t="s">
        <v>1205</v>
      </c>
      <c r="J981" t="s">
        <v>36</v>
      </c>
      <c r="K981" t="s">
        <v>10</v>
      </c>
      <c r="L981">
        <v>3</v>
      </c>
      <c r="M981" t="s">
        <v>56</v>
      </c>
      <c r="N981" t="s">
        <v>47</v>
      </c>
      <c r="O981" t="s">
        <v>392</v>
      </c>
      <c r="P981" s="6" t="str">
        <f>IF(Table1[[#This Row],[Transaction_Amount]]&lt;=Table1[[#This Row],[avg_transaction_amount]], "usual transaction", "unusual transaction")</f>
        <v>unusual transaction</v>
      </c>
      <c r="Q981" s="6" t="str">
        <f>IF(AND(Table1[[#This Row],[Country_of_Residence]]&lt;&gt;Table1[[#This Row],[Country_of_Transaction]], OR(Table1[[#This Row],[Authentication_Type]]="Biometric", Table1[[#This Row],[Authentication_Type]]="OTP")), "safe location transaction", "unsafe location transaction")</f>
        <v>safe location transaction</v>
      </c>
      <c r="R981" s="6" t="str">
        <f>IF(AND(Table1[[#This Row],[Country_of_Residence]]&lt;&gt;Table1[[#This Row],[Country_of_Transaction]], OR(Table1[[#This Row],[Merchant_Category]]="Electronics", Table1[[#This Row],[Merchant_Category]]="Travel")), "unsafe merchant transaction", "safe merchant transaction")</f>
        <v>safe merchant transaction</v>
      </c>
    </row>
    <row r="982" spans="1:18">
      <c r="A982" t="s">
        <v>3627</v>
      </c>
      <c r="B982" t="s">
        <v>170</v>
      </c>
      <c r="C982">
        <v>1</v>
      </c>
      <c r="D982" t="s">
        <v>9</v>
      </c>
      <c r="E982" t="s">
        <v>3</v>
      </c>
      <c r="F982" s="2">
        <v>45945</v>
      </c>
      <c r="G982">
        <v>5099.5</v>
      </c>
      <c r="H982" s="1">
        <f>AVERAGEIF(Table1[Customer_ID], Table1[[#This Row],[Customer_ID]], Table1[Transaction_Amount])</f>
        <v>4816.681818181818</v>
      </c>
      <c r="I982" t="s">
        <v>1232</v>
      </c>
      <c r="J982" t="s">
        <v>50</v>
      </c>
      <c r="K982" t="s">
        <v>8</v>
      </c>
      <c r="L982">
        <v>3</v>
      </c>
      <c r="M982" t="s">
        <v>47</v>
      </c>
      <c r="N982" t="s">
        <v>56</v>
      </c>
      <c r="O982" t="s">
        <v>393</v>
      </c>
      <c r="P982" s="6" t="str">
        <f>IF(Table1[[#This Row],[Transaction_Amount]]&lt;=Table1[[#This Row],[avg_transaction_amount]], "usual transaction", "unusual transaction")</f>
        <v>unusual transaction</v>
      </c>
      <c r="Q982" s="6" t="str">
        <f>IF(AND(Table1[[#This Row],[Country_of_Residence]]&lt;&gt;Table1[[#This Row],[Country_of_Transaction]], OR(Table1[[#This Row],[Authentication_Type]]="Biometric", Table1[[#This Row],[Authentication_Type]]="OTP")), "safe location transaction", "unsafe location transaction")</f>
        <v>safe location transaction</v>
      </c>
      <c r="R982" s="6" t="str">
        <f>IF(AND(Table1[[#This Row],[Country_of_Residence]]&lt;&gt;Table1[[#This Row],[Country_of_Transaction]], OR(Table1[[#This Row],[Merchant_Category]]="Electronics", Table1[[#This Row],[Merchant_Category]]="Travel")), "unsafe merchant transaction", "safe merchant transaction")</f>
        <v>unsafe merchant transaction</v>
      </c>
    </row>
    <row r="983" spans="1:18">
      <c r="A983" t="s">
        <v>3747</v>
      </c>
      <c r="B983" t="s">
        <v>170</v>
      </c>
      <c r="C983">
        <v>1</v>
      </c>
      <c r="D983" t="s">
        <v>15</v>
      </c>
      <c r="E983" t="s">
        <v>6</v>
      </c>
      <c r="F983" s="2">
        <v>45885</v>
      </c>
      <c r="G983">
        <v>1447.38</v>
      </c>
      <c r="H983" s="1">
        <f>AVERAGEIF(Table1[Customer_ID], Table1[[#This Row],[Customer_ID]], Table1[Transaction_Amount])</f>
        <v>4816.681818181818</v>
      </c>
      <c r="I983" t="s">
        <v>1339</v>
      </c>
      <c r="J983" t="s">
        <v>50</v>
      </c>
      <c r="K983" t="s">
        <v>10</v>
      </c>
      <c r="L983">
        <v>5</v>
      </c>
      <c r="M983" t="s">
        <v>32</v>
      </c>
      <c r="N983" t="s">
        <v>33</v>
      </c>
      <c r="O983" t="s">
        <v>393</v>
      </c>
      <c r="P983" s="6" t="str">
        <f>IF(Table1[[#This Row],[Transaction_Amount]]&lt;=Table1[[#This Row],[avg_transaction_amount]], "usual transaction", "unusual transaction")</f>
        <v>usual transaction</v>
      </c>
      <c r="Q983" s="6" t="str">
        <f>IF(AND(Table1[[#This Row],[Country_of_Residence]]&lt;&gt;Table1[[#This Row],[Country_of_Transaction]], OR(Table1[[#This Row],[Authentication_Type]]="Biometric", Table1[[#This Row],[Authentication_Type]]="OTP")), "safe location transaction", "unsafe location transaction")</f>
        <v>safe location transaction</v>
      </c>
      <c r="R983" s="6" t="str">
        <f>IF(AND(Table1[[#This Row],[Country_of_Residence]]&lt;&gt;Table1[[#This Row],[Country_of_Transaction]], OR(Table1[[#This Row],[Merchant_Category]]="Electronics", Table1[[#This Row],[Merchant_Category]]="Travel")), "unsafe merchant transaction", "safe merchant transaction")</f>
        <v>unsafe merchant transaction</v>
      </c>
    </row>
    <row r="984" spans="1:18">
      <c r="A984" t="s">
        <v>3755</v>
      </c>
      <c r="B984" t="s">
        <v>170</v>
      </c>
      <c r="C984">
        <v>1</v>
      </c>
      <c r="D984" t="s">
        <v>9</v>
      </c>
      <c r="E984" t="s">
        <v>5</v>
      </c>
      <c r="F984" s="2">
        <v>45740</v>
      </c>
      <c r="G984">
        <v>4487.7700000000004</v>
      </c>
      <c r="H984" s="1">
        <f>AVERAGEIF(Table1[Customer_ID], Table1[[#This Row],[Customer_ID]], Table1[Transaction_Amount])</f>
        <v>4816.681818181818</v>
      </c>
      <c r="I984" t="s">
        <v>1346</v>
      </c>
      <c r="J984" t="s">
        <v>50</v>
      </c>
      <c r="K984" t="s">
        <v>8</v>
      </c>
      <c r="L984">
        <v>2</v>
      </c>
      <c r="M984" t="s">
        <v>42</v>
      </c>
      <c r="N984" t="s">
        <v>47</v>
      </c>
      <c r="O984" t="s">
        <v>392</v>
      </c>
      <c r="P984" s="6" t="str">
        <f>IF(Table1[[#This Row],[Transaction_Amount]]&lt;=Table1[[#This Row],[avg_transaction_amount]], "usual transaction", "unusual transaction")</f>
        <v>usual transaction</v>
      </c>
      <c r="Q984" s="6" t="str">
        <f>IF(AND(Table1[[#This Row],[Country_of_Residence]]&lt;&gt;Table1[[#This Row],[Country_of_Transaction]], OR(Table1[[#This Row],[Authentication_Type]]="Biometric", Table1[[#This Row],[Authentication_Type]]="OTP")), "safe location transaction", "unsafe location transaction")</f>
        <v>safe location transaction</v>
      </c>
      <c r="R984" s="6" t="str">
        <f>IF(AND(Table1[[#This Row],[Country_of_Residence]]&lt;&gt;Table1[[#This Row],[Country_of_Transaction]], OR(Table1[[#This Row],[Merchant_Category]]="Electronics", Table1[[#This Row],[Merchant_Category]]="Travel")), "unsafe merchant transaction", "safe merchant transaction")</f>
        <v>unsafe merchant transaction</v>
      </c>
    </row>
    <row r="985" spans="1:18">
      <c r="A985" t="s">
        <v>3797</v>
      </c>
      <c r="B985" t="s">
        <v>170</v>
      </c>
      <c r="C985">
        <v>1</v>
      </c>
      <c r="D985" t="s">
        <v>15</v>
      </c>
      <c r="E985" t="s">
        <v>420</v>
      </c>
      <c r="F985" s="2">
        <v>45952</v>
      </c>
      <c r="G985">
        <v>9837.14</v>
      </c>
      <c r="H985" s="1">
        <f>AVERAGEIF(Table1[Customer_ID], Table1[[#This Row],[Customer_ID]], Table1[Transaction_Amount])</f>
        <v>4816.681818181818</v>
      </c>
      <c r="I985" t="s">
        <v>1383</v>
      </c>
      <c r="J985" t="s">
        <v>36</v>
      </c>
      <c r="K985" t="s">
        <v>14</v>
      </c>
      <c r="L985">
        <v>3</v>
      </c>
      <c r="M985" t="s">
        <v>55</v>
      </c>
      <c r="N985" t="s">
        <v>42</v>
      </c>
      <c r="O985" t="s">
        <v>393</v>
      </c>
      <c r="P985" s="6" t="str">
        <f>IF(Table1[[#This Row],[Transaction_Amount]]&lt;=Table1[[#This Row],[avg_transaction_amount]], "usual transaction", "unusual transaction")</f>
        <v>unusual transaction</v>
      </c>
      <c r="Q985" s="6" t="str">
        <f>IF(AND(Table1[[#This Row],[Country_of_Residence]]&lt;&gt;Table1[[#This Row],[Country_of_Transaction]], OR(Table1[[#This Row],[Authentication_Type]]="Biometric", Table1[[#This Row],[Authentication_Type]]="OTP")), "safe location transaction", "unsafe location transaction")</f>
        <v>unsafe location transaction</v>
      </c>
      <c r="R985" s="6" t="str">
        <f>IF(AND(Table1[[#This Row],[Country_of_Residence]]&lt;&gt;Table1[[#This Row],[Country_of_Transaction]], OR(Table1[[#This Row],[Merchant_Category]]="Electronics", Table1[[#This Row],[Merchant_Category]]="Travel")), "unsafe merchant transaction", "safe merchant transaction")</f>
        <v>safe merchant transaction</v>
      </c>
    </row>
    <row r="986" spans="1:18">
      <c r="A986" t="s">
        <v>3808</v>
      </c>
      <c r="B986" t="s">
        <v>170</v>
      </c>
      <c r="C986">
        <v>1</v>
      </c>
      <c r="D986" t="s">
        <v>15</v>
      </c>
      <c r="E986" t="s">
        <v>5</v>
      </c>
      <c r="F986" s="2">
        <v>45918</v>
      </c>
      <c r="G986">
        <v>878.9</v>
      </c>
      <c r="H986" s="1">
        <f>AVERAGEIF(Table1[Customer_ID], Table1[[#This Row],[Customer_ID]], Table1[Transaction_Amount])</f>
        <v>4816.681818181818</v>
      </c>
      <c r="I986" t="s">
        <v>1391</v>
      </c>
      <c r="J986" t="s">
        <v>46</v>
      </c>
      <c r="K986" t="s">
        <v>10</v>
      </c>
      <c r="L986">
        <v>1</v>
      </c>
      <c r="M986" t="s">
        <v>32</v>
      </c>
      <c r="N986" t="s">
        <v>42</v>
      </c>
      <c r="O986" t="s">
        <v>393</v>
      </c>
      <c r="P986" s="6" t="str">
        <f>IF(Table1[[#This Row],[Transaction_Amount]]&lt;=Table1[[#This Row],[avg_transaction_amount]], "usual transaction", "unusual transaction")</f>
        <v>usual transaction</v>
      </c>
      <c r="Q986" s="6" t="str">
        <f>IF(AND(Table1[[#This Row],[Country_of_Residence]]&lt;&gt;Table1[[#This Row],[Country_of_Transaction]], OR(Table1[[#This Row],[Authentication_Type]]="Biometric", Table1[[#This Row],[Authentication_Type]]="OTP")), "safe location transaction", "unsafe location transaction")</f>
        <v>safe location transaction</v>
      </c>
      <c r="R986" s="6" t="str">
        <f>IF(AND(Table1[[#This Row],[Country_of_Residence]]&lt;&gt;Table1[[#This Row],[Country_of_Transaction]], OR(Table1[[#This Row],[Merchant_Category]]="Electronics", Table1[[#This Row],[Merchant_Category]]="Travel")), "unsafe merchant transaction", "safe merchant transaction")</f>
        <v>safe merchant transaction</v>
      </c>
    </row>
    <row r="987" spans="1:18">
      <c r="A987" t="s">
        <v>3847</v>
      </c>
      <c r="B987" t="s">
        <v>170</v>
      </c>
      <c r="C987">
        <v>1</v>
      </c>
      <c r="D987" t="s">
        <v>15</v>
      </c>
      <c r="E987" t="s">
        <v>6</v>
      </c>
      <c r="F987" s="2">
        <v>46011</v>
      </c>
      <c r="G987">
        <v>292.91000000000003</v>
      </c>
      <c r="H987" s="1">
        <f>AVERAGEIF(Table1[Customer_ID], Table1[[#This Row],[Customer_ID]], Table1[Transaction_Amount])</f>
        <v>4816.681818181818</v>
      </c>
      <c r="I987" t="s">
        <v>1422</v>
      </c>
      <c r="J987" t="s">
        <v>31</v>
      </c>
      <c r="K987" t="s">
        <v>8</v>
      </c>
      <c r="L987">
        <v>4</v>
      </c>
      <c r="M987" t="s">
        <v>47</v>
      </c>
      <c r="N987" t="s">
        <v>55</v>
      </c>
      <c r="O987" t="s">
        <v>392</v>
      </c>
      <c r="P987" s="6" t="str">
        <f>IF(Table1[[#This Row],[Transaction_Amount]]&lt;=Table1[[#This Row],[avg_transaction_amount]], "usual transaction", "unusual transaction")</f>
        <v>usual transaction</v>
      </c>
      <c r="Q987" s="6" t="str">
        <f>IF(AND(Table1[[#This Row],[Country_of_Residence]]&lt;&gt;Table1[[#This Row],[Country_of_Transaction]], OR(Table1[[#This Row],[Authentication_Type]]="Biometric", Table1[[#This Row],[Authentication_Type]]="OTP")), "safe location transaction", "unsafe location transaction")</f>
        <v>safe location transaction</v>
      </c>
      <c r="R987" s="6" t="str">
        <f>IF(AND(Table1[[#This Row],[Country_of_Residence]]&lt;&gt;Table1[[#This Row],[Country_of_Transaction]], OR(Table1[[#This Row],[Merchant_Category]]="Electronics", Table1[[#This Row],[Merchant_Category]]="Travel")), "unsafe merchant transaction", "safe merchant transaction")</f>
        <v>safe merchant transaction</v>
      </c>
    </row>
    <row r="988" spans="1:18">
      <c r="A988" t="s">
        <v>3888</v>
      </c>
      <c r="B988" t="s">
        <v>170</v>
      </c>
      <c r="C988">
        <v>1</v>
      </c>
      <c r="D988" t="s">
        <v>9</v>
      </c>
      <c r="E988" t="s">
        <v>6</v>
      </c>
      <c r="F988" s="2">
        <v>45744</v>
      </c>
      <c r="G988">
        <v>3697.62</v>
      </c>
      <c r="H988" s="1">
        <f>AVERAGEIF(Table1[Customer_ID], Table1[[#This Row],[Customer_ID]], Table1[Transaction_Amount])</f>
        <v>4816.681818181818</v>
      </c>
      <c r="I988" t="s">
        <v>1456</v>
      </c>
      <c r="J988" t="s">
        <v>41</v>
      </c>
      <c r="K988" t="s">
        <v>12</v>
      </c>
      <c r="L988">
        <v>0</v>
      </c>
      <c r="M988" t="s">
        <v>56</v>
      </c>
      <c r="N988" t="s">
        <v>51</v>
      </c>
      <c r="O988" t="s">
        <v>392</v>
      </c>
      <c r="P988" s="6" t="str">
        <f>IF(Table1[[#This Row],[Transaction_Amount]]&lt;=Table1[[#This Row],[avg_transaction_amount]], "usual transaction", "unusual transaction")</f>
        <v>usual transaction</v>
      </c>
      <c r="Q988" s="6" t="str">
        <f>IF(AND(Table1[[#This Row],[Country_of_Residence]]&lt;&gt;Table1[[#This Row],[Country_of_Transaction]], OR(Table1[[#This Row],[Authentication_Type]]="Biometric", Table1[[#This Row],[Authentication_Type]]="OTP")), "safe location transaction", "unsafe location transaction")</f>
        <v>unsafe location transaction</v>
      </c>
      <c r="R988" s="6" t="str">
        <f>IF(AND(Table1[[#This Row],[Country_of_Residence]]&lt;&gt;Table1[[#This Row],[Country_of_Transaction]], OR(Table1[[#This Row],[Merchant_Category]]="Electronics", Table1[[#This Row],[Merchant_Category]]="Travel")), "unsafe merchant transaction", "safe merchant transaction")</f>
        <v>safe merchant transaction</v>
      </c>
    </row>
    <row r="989" spans="1:18">
      <c r="A989" t="s">
        <v>3907</v>
      </c>
      <c r="B989" t="s">
        <v>170</v>
      </c>
      <c r="C989">
        <v>1</v>
      </c>
      <c r="D989" t="s">
        <v>9</v>
      </c>
      <c r="E989" t="s">
        <v>420</v>
      </c>
      <c r="F989" s="2">
        <v>45684</v>
      </c>
      <c r="G989">
        <v>3315.13</v>
      </c>
      <c r="H989" s="1">
        <f>AVERAGEIF(Table1[Customer_ID], Table1[[#This Row],[Customer_ID]], Table1[Transaction_Amount])</f>
        <v>4816.681818181818</v>
      </c>
      <c r="I989" t="s">
        <v>445</v>
      </c>
      <c r="J989" t="s">
        <v>50</v>
      </c>
      <c r="K989" t="s">
        <v>10</v>
      </c>
      <c r="L989">
        <v>1</v>
      </c>
      <c r="M989" t="s">
        <v>33</v>
      </c>
      <c r="N989" t="s">
        <v>55</v>
      </c>
      <c r="O989" t="s">
        <v>392</v>
      </c>
      <c r="P989" s="6" t="str">
        <f>IF(Table1[[#This Row],[Transaction_Amount]]&lt;=Table1[[#This Row],[avg_transaction_amount]], "usual transaction", "unusual transaction")</f>
        <v>usual transaction</v>
      </c>
      <c r="Q989" s="6" t="str">
        <f>IF(AND(Table1[[#This Row],[Country_of_Residence]]&lt;&gt;Table1[[#This Row],[Country_of_Transaction]], OR(Table1[[#This Row],[Authentication_Type]]="Biometric", Table1[[#This Row],[Authentication_Type]]="OTP")), "safe location transaction", "unsafe location transaction")</f>
        <v>safe location transaction</v>
      </c>
      <c r="R989" s="6" t="str">
        <f>IF(AND(Table1[[#This Row],[Country_of_Residence]]&lt;&gt;Table1[[#This Row],[Country_of_Transaction]], OR(Table1[[#This Row],[Merchant_Category]]="Electronics", Table1[[#This Row],[Merchant_Category]]="Travel")), "unsafe merchant transaction", "safe merchant transaction")</f>
        <v>unsafe merchant transaction</v>
      </c>
    </row>
    <row r="990" spans="1:18">
      <c r="A990" t="s">
        <v>3950</v>
      </c>
      <c r="B990" t="s">
        <v>170</v>
      </c>
      <c r="C990">
        <v>1</v>
      </c>
      <c r="D990" t="s">
        <v>15</v>
      </c>
      <c r="E990" t="s">
        <v>3</v>
      </c>
      <c r="F990" s="2">
        <v>45778</v>
      </c>
      <c r="G990">
        <v>1646.56</v>
      </c>
      <c r="H990" s="1">
        <f>AVERAGEIF(Table1[Customer_ID], Table1[[#This Row],[Customer_ID]], Table1[Transaction_Amount])</f>
        <v>4816.681818181818</v>
      </c>
      <c r="I990" t="s">
        <v>1514</v>
      </c>
      <c r="J990" t="s">
        <v>36</v>
      </c>
      <c r="K990" t="s">
        <v>12</v>
      </c>
      <c r="L990">
        <v>4</v>
      </c>
      <c r="M990" t="s">
        <v>33</v>
      </c>
      <c r="N990" t="s">
        <v>42</v>
      </c>
      <c r="O990" t="s">
        <v>392</v>
      </c>
      <c r="P990" s="6" t="str">
        <f>IF(Table1[[#This Row],[Transaction_Amount]]&lt;=Table1[[#This Row],[avg_transaction_amount]], "usual transaction", "unusual transaction")</f>
        <v>usual transaction</v>
      </c>
      <c r="Q990" s="6" t="str">
        <f>IF(AND(Table1[[#This Row],[Country_of_Residence]]&lt;&gt;Table1[[#This Row],[Country_of_Transaction]], OR(Table1[[#This Row],[Authentication_Type]]="Biometric", Table1[[#This Row],[Authentication_Type]]="OTP")), "safe location transaction", "unsafe location transaction")</f>
        <v>unsafe location transaction</v>
      </c>
      <c r="R990" s="6" t="str">
        <f>IF(AND(Table1[[#This Row],[Country_of_Residence]]&lt;&gt;Table1[[#This Row],[Country_of_Transaction]], OR(Table1[[#This Row],[Merchant_Category]]="Electronics", Table1[[#This Row],[Merchant_Category]]="Travel")), "unsafe merchant transaction", "safe merchant transaction")</f>
        <v>safe merchant transaction</v>
      </c>
    </row>
    <row r="991" spans="1:18">
      <c r="A991" t="s">
        <v>3951</v>
      </c>
      <c r="B991" t="s">
        <v>170</v>
      </c>
      <c r="C991">
        <v>1</v>
      </c>
      <c r="D991" t="s">
        <v>15</v>
      </c>
      <c r="E991" t="s">
        <v>5</v>
      </c>
      <c r="F991" s="2">
        <v>45995</v>
      </c>
      <c r="G991">
        <v>7226.36</v>
      </c>
      <c r="H991" s="1">
        <f>AVERAGEIF(Table1[Customer_ID], Table1[[#This Row],[Customer_ID]], Table1[Transaction_Amount])</f>
        <v>4816.681818181818</v>
      </c>
      <c r="I991" t="s">
        <v>1515</v>
      </c>
      <c r="J991" t="s">
        <v>36</v>
      </c>
      <c r="K991" t="s">
        <v>10</v>
      </c>
      <c r="L991">
        <v>0</v>
      </c>
      <c r="M991" t="s">
        <v>32</v>
      </c>
      <c r="N991" t="s">
        <v>55</v>
      </c>
      <c r="O991" t="s">
        <v>393</v>
      </c>
      <c r="P991" s="6" t="str">
        <f>IF(Table1[[#This Row],[Transaction_Amount]]&lt;=Table1[[#This Row],[avg_transaction_amount]], "usual transaction", "unusual transaction")</f>
        <v>unusual transaction</v>
      </c>
      <c r="Q991" s="6" t="str">
        <f>IF(AND(Table1[[#This Row],[Country_of_Residence]]&lt;&gt;Table1[[#This Row],[Country_of_Transaction]], OR(Table1[[#This Row],[Authentication_Type]]="Biometric", Table1[[#This Row],[Authentication_Type]]="OTP")), "safe location transaction", "unsafe location transaction")</f>
        <v>safe location transaction</v>
      </c>
      <c r="R991" s="6" t="str">
        <f>IF(AND(Table1[[#This Row],[Country_of_Residence]]&lt;&gt;Table1[[#This Row],[Country_of_Transaction]], OR(Table1[[#This Row],[Merchant_Category]]="Electronics", Table1[[#This Row],[Merchant_Category]]="Travel")), "unsafe merchant transaction", "safe merchant transaction")</f>
        <v>safe merchant transaction</v>
      </c>
    </row>
    <row r="992" spans="1:18">
      <c r="A992" t="s">
        <v>3964</v>
      </c>
      <c r="B992" t="s">
        <v>170</v>
      </c>
      <c r="C992">
        <v>1</v>
      </c>
      <c r="D992" t="s">
        <v>15</v>
      </c>
      <c r="E992" t="s">
        <v>6</v>
      </c>
      <c r="F992" s="2">
        <v>45865</v>
      </c>
      <c r="G992">
        <v>3191.52</v>
      </c>
      <c r="H992" s="1">
        <f>AVERAGEIF(Table1[Customer_ID], Table1[[#This Row],[Customer_ID]], Table1[Transaction_Amount])</f>
        <v>4816.681818181818</v>
      </c>
      <c r="I992" t="s">
        <v>1525</v>
      </c>
      <c r="J992" t="s">
        <v>41</v>
      </c>
      <c r="K992" t="s">
        <v>8</v>
      </c>
      <c r="L992">
        <v>0</v>
      </c>
      <c r="M992" t="s">
        <v>32</v>
      </c>
      <c r="N992" t="s">
        <v>42</v>
      </c>
      <c r="O992" t="s">
        <v>392</v>
      </c>
      <c r="P992" s="6" t="str">
        <f>IF(Table1[[#This Row],[Transaction_Amount]]&lt;=Table1[[#This Row],[avg_transaction_amount]], "usual transaction", "unusual transaction")</f>
        <v>usual transaction</v>
      </c>
      <c r="Q992" s="6" t="str">
        <f>IF(AND(Table1[[#This Row],[Country_of_Residence]]&lt;&gt;Table1[[#This Row],[Country_of_Transaction]], OR(Table1[[#This Row],[Authentication_Type]]="Biometric", Table1[[#This Row],[Authentication_Type]]="OTP")), "safe location transaction", "unsafe location transaction")</f>
        <v>safe location transaction</v>
      </c>
      <c r="R992" s="6" t="str">
        <f>IF(AND(Table1[[#This Row],[Country_of_Residence]]&lt;&gt;Table1[[#This Row],[Country_of_Transaction]], OR(Table1[[#This Row],[Merchant_Category]]="Electronics", Table1[[#This Row],[Merchant_Category]]="Travel")), "unsafe merchant transaction", "safe merchant transaction")</f>
        <v>safe merchant transaction</v>
      </c>
    </row>
    <row r="993" spans="1:18">
      <c r="A993" t="s">
        <v>3982</v>
      </c>
      <c r="B993" t="s">
        <v>170</v>
      </c>
      <c r="C993">
        <v>1</v>
      </c>
      <c r="D993" t="s">
        <v>9</v>
      </c>
      <c r="E993" t="s">
        <v>3</v>
      </c>
      <c r="F993" s="2">
        <v>46002</v>
      </c>
      <c r="G993">
        <v>3348.93</v>
      </c>
      <c r="H993" s="1">
        <f>AVERAGEIF(Table1[Customer_ID], Table1[[#This Row],[Customer_ID]], Table1[Transaction_Amount])</f>
        <v>4816.681818181818</v>
      </c>
      <c r="I993" t="s">
        <v>1541</v>
      </c>
      <c r="J993" t="s">
        <v>31</v>
      </c>
      <c r="K993" t="s">
        <v>14</v>
      </c>
      <c r="L993">
        <v>5</v>
      </c>
      <c r="M993" t="s">
        <v>412</v>
      </c>
      <c r="N993" t="s">
        <v>37</v>
      </c>
      <c r="O993" t="s">
        <v>392</v>
      </c>
      <c r="P993" s="6" t="str">
        <f>IF(Table1[[#This Row],[Transaction_Amount]]&lt;=Table1[[#This Row],[avg_transaction_amount]], "usual transaction", "unusual transaction")</f>
        <v>usual transaction</v>
      </c>
      <c r="Q993" s="6" t="str">
        <f>IF(AND(Table1[[#This Row],[Country_of_Residence]]&lt;&gt;Table1[[#This Row],[Country_of_Transaction]], OR(Table1[[#This Row],[Authentication_Type]]="Biometric", Table1[[#This Row],[Authentication_Type]]="OTP")), "safe location transaction", "unsafe location transaction")</f>
        <v>unsafe location transaction</v>
      </c>
      <c r="R993" s="6" t="str">
        <f>IF(AND(Table1[[#This Row],[Country_of_Residence]]&lt;&gt;Table1[[#This Row],[Country_of_Transaction]], OR(Table1[[#This Row],[Merchant_Category]]="Electronics", Table1[[#This Row],[Merchant_Category]]="Travel")), "unsafe merchant transaction", "safe merchant transaction")</f>
        <v>safe merchant transaction</v>
      </c>
    </row>
    <row r="994" spans="1:18">
      <c r="A994" t="s">
        <v>4035</v>
      </c>
      <c r="B994" t="s">
        <v>170</v>
      </c>
      <c r="C994">
        <v>1</v>
      </c>
      <c r="D994" t="s">
        <v>9</v>
      </c>
      <c r="E994" t="s">
        <v>6</v>
      </c>
      <c r="F994" s="2">
        <v>45859</v>
      </c>
      <c r="G994">
        <v>7944.84</v>
      </c>
      <c r="H994" s="1">
        <f>AVERAGEIF(Table1[Customer_ID], Table1[[#This Row],[Customer_ID]], Table1[Transaction_Amount])</f>
        <v>4816.681818181818</v>
      </c>
      <c r="I994" t="s">
        <v>1590</v>
      </c>
      <c r="J994" t="s">
        <v>50</v>
      </c>
      <c r="K994" t="s">
        <v>14</v>
      </c>
      <c r="L994">
        <v>3</v>
      </c>
      <c r="M994" t="s">
        <v>32</v>
      </c>
      <c r="N994" t="s">
        <v>51</v>
      </c>
      <c r="O994" t="s">
        <v>393</v>
      </c>
      <c r="P994" s="6" t="str">
        <f>IF(Table1[[#This Row],[Transaction_Amount]]&lt;=Table1[[#This Row],[avg_transaction_amount]], "usual transaction", "unusual transaction")</f>
        <v>unusual transaction</v>
      </c>
      <c r="Q994" s="6" t="str">
        <f>IF(AND(Table1[[#This Row],[Country_of_Residence]]&lt;&gt;Table1[[#This Row],[Country_of_Transaction]], OR(Table1[[#This Row],[Authentication_Type]]="Biometric", Table1[[#This Row],[Authentication_Type]]="OTP")), "safe location transaction", "unsafe location transaction")</f>
        <v>unsafe location transaction</v>
      </c>
      <c r="R994" s="6" t="str">
        <f>IF(AND(Table1[[#This Row],[Country_of_Residence]]&lt;&gt;Table1[[#This Row],[Country_of_Transaction]], OR(Table1[[#This Row],[Merchant_Category]]="Electronics", Table1[[#This Row],[Merchant_Category]]="Travel")), "unsafe merchant transaction", "safe merchant transaction")</f>
        <v>unsafe merchant transaction</v>
      </c>
    </row>
    <row r="995" spans="1:18">
      <c r="A995" t="s">
        <v>4126</v>
      </c>
      <c r="B995" t="s">
        <v>170</v>
      </c>
      <c r="C995">
        <v>1</v>
      </c>
      <c r="D995" t="s">
        <v>9</v>
      </c>
      <c r="E995" t="s">
        <v>420</v>
      </c>
      <c r="F995" s="2">
        <v>45777</v>
      </c>
      <c r="G995">
        <v>8405.4699999999993</v>
      </c>
      <c r="H995" s="1">
        <f>AVERAGEIF(Table1[Customer_ID], Table1[[#This Row],[Customer_ID]], Table1[Transaction_Amount])</f>
        <v>4816.681818181818</v>
      </c>
      <c r="I995" t="s">
        <v>1659</v>
      </c>
      <c r="J995" t="s">
        <v>41</v>
      </c>
      <c r="K995" t="s">
        <v>8</v>
      </c>
      <c r="L995">
        <v>5</v>
      </c>
      <c r="M995" t="s">
        <v>37</v>
      </c>
      <c r="N995" t="s">
        <v>42</v>
      </c>
      <c r="O995" t="s">
        <v>393</v>
      </c>
      <c r="P995" s="6" t="str">
        <f>IF(Table1[[#This Row],[Transaction_Amount]]&lt;=Table1[[#This Row],[avg_transaction_amount]], "usual transaction", "unusual transaction")</f>
        <v>unusual transaction</v>
      </c>
      <c r="Q995" s="6" t="str">
        <f>IF(AND(Table1[[#This Row],[Country_of_Residence]]&lt;&gt;Table1[[#This Row],[Country_of_Transaction]], OR(Table1[[#This Row],[Authentication_Type]]="Biometric", Table1[[#This Row],[Authentication_Type]]="OTP")), "safe location transaction", "unsafe location transaction")</f>
        <v>safe location transaction</v>
      </c>
      <c r="R995" s="6" t="str">
        <f>IF(AND(Table1[[#This Row],[Country_of_Residence]]&lt;&gt;Table1[[#This Row],[Country_of_Transaction]], OR(Table1[[#This Row],[Merchant_Category]]="Electronics", Table1[[#This Row],[Merchant_Category]]="Travel")), "unsafe merchant transaction", "safe merchant transaction")</f>
        <v>safe merchant transaction</v>
      </c>
    </row>
    <row r="996" spans="1:18">
      <c r="A996" t="s">
        <v>4133</v>
      </c>
      <c r="B996" t="s">
        <v>170</v>
      </c>
      <c r="C996">
        <v>1</v>
      </c>
      <c r="D996" t="s">
        <v>9</v>
      </c>
      <c r="E996" t="s">
        <v>420</v>
      </c>
      <c r="F996" s="2">
        <v>45696</v>
      </c>
      <c r="G996">
        <v>9437.41</v>
      </c>
      <c r="H996" s="1">
        <f>AVERAGEIF(Table1[Customer_ID], Table1[[#This Row],[Customer_ID]], Table1[Transaction_Amount])</f>
        <v>4816.681818181818</v>
      </c>
      <c r="I996" t="s">
        <v>1665</v>
      </c>
      <c r="J996" t="s">
        <v>31</v>
      </c>
      <c r="K996" t="s">
        <v>8</v>
      </c>
      <c r="L996">
        <v>3</v>
      </c>
      <c r="M996" t="s">
        <v>56</v>
      </c>
      <c r="N996" t="s">
        <v>56</v>
      </c>
      <c r="O996" t="s">
        <v>393</v>
      </c>
      <c r="P996" s="6" t="str">
        <f>IF(Table1[[#This Row],[Transaction_Amount]]&lt;=Table1[[#This Row],[avg_transaction_amount]], "usual transaction", "unusual transaction")</f>
        <v>unusual transaction</v>
      </c>
      <c r="Q996" s="6" t="str">
        <f>IF(AND(Table1[[#This Row],[Country_of_Residence]]&lt;&gt;Table1[[#This Row],[Country_of_Transaction]], OR(Table1[[#This Row],[Authentication_Type]]="Biometric", Table1[[#This Row],[Authentication_Type]]="OTP")), "safe location transaction", "unsafe location transaction")</f>
        <v>unsafe location transaction</v>
      </c>
      <c r="R996" s="6" t="str">
        <f>IF(AND(Table1[[#This Row],[Country_of_Residence]]&lt;&gt;Table1[[#This Row],[Country_of_Transaction]], OR(Table1[[#This Row],[Merchant_Category]]="Electronics", Table1[[#This Row],[Merchant_Category]]="Travel")), "unsafe merchant transaction", "safe merchant transaction")</f>
        <v>safe merchant transaction</v>
      </c>
    </row>
    <row r="997" spans="1:18">
      <c r="A997" t="s">
        <v>4198</v>
      </c>
      <c r="B997" t="s">
        <v>170</v>
      </c>
      <c r="C997">
        <v>1</v>
      </c>
      <c r="D997" t="s">
        <v>9</v>
      </c>
      <c r="E997" t="s">
        <v>3</v>
      </c>
      <c r="F997" s="2">
        <v>45999</v>
      </c>
      <c r="G997">
        <v>1856.85</v>
      </c>
      <c r="H997" s="1">
        <f>AVERAGEIF(Table1[Customer_ID], Table1[[#This Row],[Customer_ID]], Table1[Transaction_Amount])</f>
        <v>4816.681818181818</v>
      </c>
      <c r="I997" t="s">
        <v>1718</v>
      </c>
      <c r="J997" t="s">
        <v>41</v>
      </c>
      <c r="K997" t="s">
        <v>12</v>
      </c>
      <c r="L997">
        <v>1</v>
      </c>
      <c r="M997" t="s">
        <v>42</v>
      </c>
      <c r="N997" t="s">
        <v>56</v>
      </c>
      <c r="O997" t="s">
        <v>392</v>
      </c>
      <c r="P997" s="6" t="str">
        <f>IF(Table1[[#This Row],[Transaction_Amount]]&lt;=Table1[[#This Row],[avg_transaction_amount]], "usual transaction", "unusual transaction")</f>
        <v>usual transaction</v>
      </c>
      <c r="Q997" s="6" t="str">
        <f>IF(AND(Table1[[#This Row],[Country_of_Residence]]&lt;&gt;Table1[[#This Row],[Country_of_Transaction]], OR(Table1[[#This Row],[Authentication_Type]]="Biometric", Table1[[#This Row],[Authentication_Type]]="OTP")), "safe location transaction", "unsafe location transaction")</f>
        <v>unsafe location transaction</v>
      </c>
      <c r="R997" s="6" t="str">
        <f>IF(AND(Table1[[#This Row],[Country_of_Residence]]&lt;&gt;Table1[[#This Row],[Country_of_Transaction]], OR(Table1[[#This Row],[Merchant_Category]]="Electronics", Table1[[#This Row],[Merchant_Category]]="Travel")), "unsafe merchant transaction", "safe merchant transaction")</f>
        <v>safe merchant transaction</v>
      </c>
    </row>
    <row r="998" spans="1:18">
      <c r="A998" t="s">
        <v>4237</v>
      </c>
      <c r="B998" t="s">
        <v>170</v>
      </c>
      <c r="C998">
        <v>1</v>
      </c>
      <c r="D998" t="s">
        <v>9</v>
      </c>
      <c r="E998" t="s">
        <v>3</v>
      </c>
      <c r="F998" s="2">
        <v>45733</v>
      </c>
      <c r="G998">
        <v>5688.52</v>
      </c>
      <c r="H998" s="1">
        <f>AVERAGEIF(Table1[Customer_ID], Table1[[#This Row],[Customer_ID]], Table1[Transaction_Amount])</f>
        <v>4816.681818181818</v>
      </c>
      <c r="I998" t="s">
        <v>1753</v>
      </c>
      <c r="J998" t="s">
        <v>41</v>
      </c>
      <c r="K998" t="s">
        <v>10</v>
      </c>
      <c r="L998">
        <v>0</v>
      </c>
      <c r="M998" t="s">
        <v>42</v>
      </c>
      <c r="N998" t="s">
        <v>51</v>
      </c>
      <c r="O998" t="s">
        <v>392</v>
      </c>
      <c r="P998" s="6" t="str">
        <f>IF(Table1[[#This Row],[Transaction_Amount]]&lt;=Table1[[#This Row],[avg_transaction_amount]], "usual transaction", "unusual transaction")</f>
        <v>unusual transaction</v>
      </c>
      <c r="Q998" s="6" t="str">
        <f>IF(AND(Table1[[#This Row],[Country_of_Residence]]&lt;&gt;Table1[[#This Row],[Country_of_Transaction]], OR(Table1[[#This Row],[Authentication_Type]]="Biometric", Table1[[#This Row],[Authentication_Type]]="OTP")), "safe location transaction", "unsafe location transaction")</f>
        <v>safe location transaction</v>
      </c>
      <c r="R998" s="6" t="str">
        <f>IF(AND(Table1[[#This Row],[Country_of_Residence]]&lt;&gt;Table1[[#This Row],[Country_of_Transaction]], OR(Table1[[#This Row],[Merchant_Category]]="Electronics", Table1[[#This Row],[Merchant_Category]]="Travel")), "unsafe merchant transaction", "safe merchant transaction")</f>
        <v>safe merchant transaction</v>
      </c>
    </row>
    <row r="999" spans="1:18">
      <c r="A999" t="s">
        <v>4293</v>
      </c>
      <c r="B999" t="s">
        <v>170</v>
      </c>
      <c r="C999">
        <v>1</v>
      </c>
      <c r="D999" t="s">
        <v>9</v>
      </c>
      <c r="E999" t="s">
        <v>6</v>
      </c>
      <c r="F999" s="2">
        <v>45965</v>
      </c>
      <c r="G999">
        <v>9193.39</v>
      </c>
      <c r="H999" s="1">
        <f>AVERAGEIF(Table1[Customer_ID], Table1[[#This Row],[Customer_ID]], Table1[Transaction_Amount])</f>
        <v>4816.681818181818</v>
      </c>
      <c r="I999" t="s">
        <v>1803</v>
      </c>
      <c r="J999" t="s">
        <v>36</v>
      </c>
      <c r="K999" t="s">
        <v>8</v>
      </c>
      <c r="L999">
        <v>2</v>
      </c>
      <c r="M999" t="s">
        <v>51</v>
      </c>
      <c r="N999" t="s">
        <v>56</v>
      </c>
      <c r="O999" t="s">
        <v>393</v>
      </c>
      <c r="P999" s="6" t="str">
        <f>IF(Table1[[#This Row],[Transaction_Amount]]&lt;=Table1[[#This Row],[avg_transaction_amount]], "usual transaction", "unusual transaction")</f>
        <v>unusual transaction</v>
      </c>
      <c r="Q999" s="6" t="str">
        <f>IF(AND(Table1[[#This Row],[Country_of_Residence]]&lt;&gt;Table1[[#This Row],[Country_of_Transaction]], OR(Table1[[#This Row],[Authentication_Type]]="Biometric", Table1[[#This Row],[Authentication_Type]]="OTP")), "safe location transaction", "unsafe location transaction")</f>
        <v>safe location transaction</v>
      </c>
      <c r="R999" s="6" t="str">
        <f>IF(AND(Table1[[#This Row],[Country_of_Residence]]&lt;&gt;Table1[[#This Row],[Country_of_Transaction]], OR(Table1[[#This Row],[Merchant_Category]]="Electronics", Table1[[#This Row],[Merchant_Category]]="Travel")), "unsafe merchant transaction", "safe merchant transaction")</f>
        <v>safe merchant transaction</v>
      </c>
    </row>
    <row r="1000" spans="1:18">
      <c r="A1000" t="s">
        <v>4308</v>
      </c>
      <c r="B1000" t="s">
        <v>170</v>
      </c>
      <c r="C1000">
        <v>1</v>
      </c>
      <c r="D1000" t="s">
        <v>9</v>
      </c>
      <c r="E1000" t="s">
        <v>420</v>
      </c>
      <c r="F1000" s="2">
        <v>45851</v>
      </c>
      <c r="G1000">
        <v>8700.1</v>
      </c>
      <c r="H1000" s="1">
        <f>AVERAGEIF(Table1[Customer_ID], Table1[[#This Row],[Customer_ID]], Table1[Transaction_Amount])</f>
        <v>4816.681818181818</v>
      </c>
      <c r="I1000" t="s">
        <v>661</v>
      </c>
      <c r="J1000" t="s">
        <v>41</v>
      </c>
      <c r="K1000" t="s">
        <v>10</v>
      </c>
      <c r="L1000">
        <v>2</v>
      </c>
      <c r="M1000" t="s">
        <v>55</v>
      </c>
      <c r="N1000" t="s">
        <v>55</v>
      </c>
      <c r="O1000" t="s">
        <v>393</v>
      </c>
      <c r="P1000" s="6" t="str">
        <f>IF(Table1[[#This Row],[Transaction_Amount]]&lt;=Table1[[#This Row],[avg_transaction_amount]], "usual transaction", "unusual transaction")</f>
        <v>unusual transaction</v>
      </c>
      <c r="Q1000" s="6" t="str">
        <f>IF(AND(Table1[[#This Row],[Country_of_Residence]]&lt;&gt;Table1[[#This Row],[Country_of_Transaction]], OR(Table1[[#This Row],[Authentication_Type]]="Biometric", Table1[[#This Row],[Authentication_Type]]="OTP")), "safe location transaction", "unsafe location transaction")</f>
        <v>unsafe location transaction</v>
      </c>
      <c r="R1000" s="6" t="str">
        <f>IF(AND(Table1[[#This Row],[Country_of_Residence]]&lt;&gt;Table1[[#This Row],[Country_of_Transaction]], OR(Table1[[#This Row],[Merchant_Category]]="Electronics", Table1[[#This Row],[Merchant_Category]]="Travel")), "unsafe merchant transaction", "safe merchant transaction")</f>
        <v>safe merchant transaction</v>
      </c>
    </row>
    <row r="1001" spans="1:18">
      <c r="A1001" t="s">
        <v>4331</v>
      </c>
      <c r="B1001" t="s">
        <v>170</v>
      </c>
      <c r="C1001">
        <v>1</v>
      </c>
      <c r="D1001" t="s">
        <v>9</v>
      </c>
      <c r="E1001" t="s">
        <v>3</v>
      </c>
      <c r="F1001" s="2">
        <v>45712</v>
      </c>
      <c r="G1001">
        <v>8888.25</v>
      </c>
      <c r="H1001" s="1">
        <f>AVERAGEIF(Table1[Customer_ID], Table1[[#This Row],[Customer_ID]], Table1[Transaction_Amount])</f>
        <v>4816.681818181818</v>
      </c>
      <c r="I1001" t="s">
        <v>1837</v>
      </c>
      <c r="J1001" t="s">
        <v>31</v>
      </c>
      <c r="K1001" t="s">
        <v>12</v>
      </c>
      <c r="L1001">
        <v>2</v>
      </c>
      <c r="M1001" t="s">
        <v>55</v>
      </c>
      <c r="N1001" t="s">
        <v>33</v>
      </c>
      <c r="O1001" t="s">
        <v>392</v>
      </c>
      <c r="P1001" s="6" t="str">
        <f>IF(Table1[[#This Row],[Transaction_Amount]]&lt;=Table1[[#This Row],[avg_transaction_amount]], "usual transaction", "unusual transaction")</f>
        <v>unusual transaction</v>
      </c>
      <c r="Q1001" s="6" t="str">
        <f>IF(AND(Table1[[#This Row],[Country_of_Residence]]&lt;&gt;Table1[[#This Row],[Country_of_Transaction]], OR(Table1[[#This Row],[Authentication_Type]]="Biometric", Table1[[#This Row],[Authentication_Type]]="OTP")), "safe location transaction", "unsafe location transaction")</f>
        <v>unsafe location transaction</v>
      </c>
      <c r="R1001" s="6" t="str">
        <f>IF(AND(Table1[[#This Row],[Country_of_Residence]]&lt;&gt;Table1[[#This Row],[Country_of_Transaction]], OR(Table1[[#This Row],[Merchant_Category]]="Electronics", Table1[[#This Row],[Merchant_Category]]="Travel")), "unsafe merchant transaction", "safe merchant transaction")</f>
        <v>safe merchant transaction</v>
      </c>
    </row>
    <row r="1002" spans="1:18">
      <c r="A1002" t="s">
        <v>4354</v>
      </c>
      <c r="B1002" t="s">
        <v>170</v>
      </c>
      <c r="C1002">
        <v>1</v>
      </c>
      <c r="D1002" t="s">
        <v>15</v>
      </c>
      <c r="E1002" t="s">
        <v>6</v>
      </c>
      <c r="F1002" s="2">
        <v>45691</v>
      </c>
      <c r="G1002">
        <v>4345.3500000000004</v>
      </c>
      <c r="H1002" s="1">
        <f>AVERAGEIF(Table1[Customer_ID], Table1[[#This Row],[Customer_ID]], Table1[Transaction_Amount])</f>
        <v>4816.681818181818</v>
      </c>
      <c r="I1002" t="s">
        <v>1858</v>
      </c>
      <c r="J1002" t="s">
        <v>36</v>
      </c>
      <c r="K1002" t="s">
        <v>12</v>
      </c>
      <c r="L1002">
        <v>0</v>
      </c>
      <c r="M1002" t="s">
        <v>51</v>
      </c>
      <c r="N1002" t="s">
        <v>51</v>
      </c>
      <c r="O1002" t="s">
        <v>392</v>
      </c>
      <c r="P1002" s="6" t="str">
        <f>IF(Table1[[#This Row],[Transaction_Amount]]&lt;=Table1[[#This Row],[avg_transaction_amount]], "usual transaction", "unusual transaction")</f>
        <v>usual transaction</v>
      </c>
      <c r="Q1002" s="6" t="str">
        <f>IF(AND(Table1[[#This Row],[Country_of_Residence]]&lt;&gt;Table1[[#This Row],[Country_of_Transaction]], OR(Table1[[#This Row],[Authentication_Type]]="Biometric", Table1[[#This Row],[Authentication_Type]]="OTP")), "safe location transaction", "unsafe location transaction")</f>
        <v>unsafe location transaction</v>
      </c>
      <c r="R1002" s="6" t="str">
        <f>IF(AND(Table1[[#This Row],[Country_of_Residence]]&lt;&gt;Table1[[#This Row],[Country_of_Transaction]], OR(Table1[[#This Row],[Merchant_Category]]="Electronics", Table1[[#This Row],[Merchant_Category]]="Travel")), "unsafe merchant transaction", "safe merchant transaction")</f>
        <v>safe merchant transaction</v>
      </c>
    </row>
    <row r="1003" spans="1:18">
      <c r="A1003" t="s">
        <v>4361</v>
      </c>
      <c r="B1003" t="s">
        <v>170</v>
      </c>
      <c r="C1003">
        <v>1</v>
      </c>
      <c r="D1003" t="s">
        <v>9</v>
      </c>
      <c r="E1003" t="s">
        <v>420</v>
      </c>
      <c r="F1003" s="2">
        <v>45952</v>
      </c>
      <c r="G1003">
        <v>4158.09</v>
      </c>
      <c r="H1003" s="1">
        <f>AVERAGEIF(Table1[Customer_ID], Table1[[#This Row],[Customer_ID]], Table1[Transaction_Amount])</f>
        <v>4816.681818181818</v>
      </c>
      <c r="I1003" t="s">
        <v>1863</v>
      </c>
      <c r="J1003" t="s">
        <v>50</v>
      </c>
      <c r="K1003" t="s">
        <v>14</v>
      </c>
      <c r="L1003">
        <v>3</v>
      </c>
      <c r="M1003" t="s">
        <v>56</v>
      </c>
      <c r="N1003" t="s">
        <v>47</v>
      </c>
      <c r="O1003" t="s">
        <v>392</v>
      </c>
      <c r="P1003" s="6" t="str">
        <f>IF(Table1[[#This Row],[Transaction_Amount]]&lt;=Table1[[#This Row],[avg_transaction_amount]], "usual transaction", "unusual transaction")</f>
        <v>usual transaction</v>
      </c>
      <c r="Q1003" s="6" t="str">
        <f>IF(AND(Table1[[#This Row],[Country_of_Residence]]&lt;&gt;Table1[[#This Row],[Country_of_Transaction]], OR(Table1[[#This Row],[Authentication_Type]]="Biometric", Table1[[#This Row],[Authentication_Type]]="OTP")), "safe location transaction", "unsafe location transaction")</f>
        <v>unsafe location transaction</v>
      </c>
      <c r="R1003" s="6" t="str">
        <f>IF(AND(Table1[[#This Row],[Country_of_Residence]]&lt;&gt;Table1[[#This Row],[Country_of_Transaction]], OR(Table1[[#This Row],[Merchant_Category]]="Electronics", Table1[[#This Row],[Merchant_Category]]="Travel")), "unsafe merchant transaction", "safe merchant transaction")</f>
        <v>unsafe merchant transaction</v>
      </c>
    </row>
    <row r="1004" spans="1:18">
      <c r="A1004" t="s">
        <v>4373</v>
      </c>
      <c r="B1004" t="s">
        <v>170</v>
      </c>
      <c r="C1004">
        <v>1</v>
      </c>
      <c r="D1004" t="s">
        <v>9</v>
      </c>
      <c r="E1004" t="s">
        <v>420</v>
      </c>
      <c r="F1004" s="2">
        <v>45937</v>
      </c>
      <c r="G1004">
        <v>9836.4699999999993</v>
      </c>
      <c r="H1004" s="1">
        <f>AVERAGEIF(Table1[Customer_ID], Table1[[#This Row],[Customer_ID]], Table1[Transaction_Amount])</f>
        <v>4816.681818181818</v>
      </c>
      <c r="I1004" t="s">
        <v>1873</v>
      </c>
      <c r="J1004" t="s">
        <v>50</v>
      </c>
      <c r="K1004" t="s">
        <v>14</v>
      </c>
      <c r="L1004">
        <v>3</v>
      </c>
      <c r="M1004" t="s">
        <v>47</v>
      </c>
      <c r="N1004" t="s">
        <v>32</v>
      </c>
      <c r="O1004" t="s">
        <v>392</v>
      </c>
      <c r="P1004" s="6" t="str">
        <f>IF(Table1[[#This Row],[Transaction_Amount]]&lt;=Table1[[#This Row],[avg_transaction_amount]], "usual transaction", "unusual transaction")</f>
        <v>unusual transaction</v>
      </c>
      <c r="Q1004" s="6" t="str">
        <f>IF(AND(Table1[[#This Row],[Country_of_Residence]]&lt;&gt;Table1[[#This Row],[Country_of_Transaction]], OR(Table1[[#This Row],[Authentication_Type]]="Biometric", Table1[[#This Row],[Authentication_Type]]="OTP")), "safe location transaction", "unsafe location transaction")</f>
        <v>unsafe location transaction</v>
      </c>
      <c r="R1004" s="6" t="str">
        <f>IF(AND(Table1[[#This Row],[Country_of_Residence]]&lt;&gt;Table1[[#This Row],[Country_of_Transaction]], OR(Table1[[#This Row],[Merchant_Category]]="Electronics", Table1[[#This Row],[Merchant_Category]]="Travel")), "unsafe merchant transaction", "safe merchant transaction")</f>
        <v>unsafe merchant transaction</v>
      </c>
    </row>
    <row r="1005" spans="1:18">
      <c r="A1005" t="s">
        <v>4442</v>
      </c>
      <c r="B1005" t="s">
        <v>170</v>
      </c>
      <c r="C1005">
        <v>1</v>
      </c>
      <c r="D1005" t="s">
        <v>9</v>
      </c>
      <c r="E1005" t="s">
        <v>3</v>
      </c>
      <c r="F1005" s="2">
        <v>45900</v>
      </c>
      <c r="G1005">
        <v>4032.32</v>
      </c>
      <c r="H1005" s="1">
        <f>AVERAGEIF(Table1[Customer_ID], Table1[[#This Row],[Customer_ID]], Table1[Transaction_Amount])</f>
        <v>4816.681818181818</v>
      </c>
      <c r="I1005" t="s">
        <v>1936</v>
      </c>
      <c r="J1005" t="s">
        <v>36</v>
      </c>
      <c r="K1005" t="s">
        <v>14</v>
      </c>
      <c r="L1005">
        <v>1</v>
      </c>
      <c r="M1005" t="s">
        <v>33</v>
      </c>
      <c r="N1005" t="s">
        <v>51</v>
      </c>
      <c r="O1005" t="s">
        <v>392</v>
      </c>
      <c r="P1005" s="6" t="str">
        <f>IF(Table1[[#This Row],[Transaction_Amount]]&lt;=Table1[[#This Row],[avg_transaction_amount]], "usual transaction", "unusual transaction")</f>
        <v>usual transaction</v>
      </c>
      <c r="Q1005" s="6" t="str">
        <f>IF(AND(Table1[[#This Row],[Country_of_Residence]]&lt;&gt;Table1[[#This Row],[Country_of_Transaction]], OR(Table1[[#This Row],[Authentication_Type]]="Biometric", Table1[[#This Row],[Authentication_Type]]="OTP")), "safe location transaction", "unsafe location transaction")</f>
        <v>unsafe location transaction</v>
      </c>
      <c r="R1005" s="6" t="str">
        <f>IF(AND(Table1[[#This Row],[Country_of_Residence]]&lt;&gt;Table1[[#This Row],[Country_of_Transaction]], OR(Table1[[#This Row],[Merchant_Category]]="Electronics", Table1[[#This Row],[Merchant_Category]]="Travel")), "unsafe merchant transaction", "safe merchant transaction")</f>
        <v>safe merchant transaction</v>
      </c>
    </row>
    <row r="1006" spans="1:18">
      <c r="A1006" t="s">
        <v>4506</v>
      </c>
      <c r="B1006" t="s">
        <v>170</v>
      </c>
      <c r="C1006">
        <v>1</v>
      </c>
      <c r="D1006" t="s">
        <v>9</v>
      </c>
      <c r="E1006" t="s">
        <v>3</v>
      </c>
      <c r="F1006" s="2">
        <v>45930</v>
      </c>
      <c r="G1006">
        <v>3665.42</v>
      </c>
      <c r="H1006" s="1">
        <f>AVERAGEIF(Table1[Customer_ID], Table1[[#This Row],[Customer_ID]], Table1[Transaction_Amount])</f>
        <v>4816.681818181818</v>
      </c>
      <c r="I1006" t="s">
        <v>1992</v>
      </c>
      <c r="J1006" t="s">
        <v>46</v>
      </c>
      <c r="K1006" t="s">
        <v>10</v>
      </c>
      <c r="L1006">
        <v>3</v>
      </c>
      <c r="M1006" t="s">
        <v>32</v>
      </c>
      <c r="N1006" t="s">
        <v>37</v>
      </c>
      <c r="O1006" t="s">
        <v>393</v>
      </c>
      <c r="P1006" s="6" t="str">
        <f>IF(Table1[[#This Row],[Transaction_Amount]]&lt;=Table1[[#This Row],[avg_transaction_amount]], "usual transaction", "unusual transaction")</f>
        <v>usual transaction</v>
      </c>
      <c r="Q1006" s="6" t="str">
        <f>IF(AND(Table1[[#This Row],[Country_of_Residence]]&lt;&gt;Table1[[#This Row],[Country_of_Transaction]], OR(Table1[[#This Row],[Authentication_Type]]="Biometric", Table1[[#This Row],[Authentication_Type]]="OTP")), "safe location transaction", "unsafe location transaction")</f>
        <v>safe location transaction</v>
      </c>
      <c r="R1006" s="6" t="str">
        <f>IF(AND(Table1[[#This Row],[Country_of_Residence]]&lt;&gt;Table1[[#This Row],[Country_of_Transaction]], OR(Table1[[#This Row],[Merchant_Category]]="Electronics", Table1[[#This Row],[Merchant_Category]]="Travel")), "unsafe merchant transaction", "safe merchant transaction")</f>
        <v>safe merchant transaction</v>
      </c>
    </row>
    <row r="1007" spans="1:18">
      <c r="A1007" t="s">
        <v>4612</v>
      </c>
      <c r="B1007" t="s">
        <v>170</v>
      </c>
      <c r="C1007">
        <v>1</v>
      </c>
      <c r="D1007" t="s">
        <v>9</v>
      </c>
      <c r="E1007" t="s">
        <v>5</v>
      </c>
      <c r="F1007" s="2">
        <v>45914</v>
      </c>
      <c r="G1007">
        <v>2164.4</v>
      </c>
      <c r="H1007" s="1">
        <f>AVERAGEIF(Table1[Customer_ID], Table1[[#This Row],[Customer_ID]], Table1[Transaction_Amount])</f>
        <v>4816.681818181818</v>
      </c>
      <c r="I1007" t="s">
        <v>2076</v>
      </c>
      <c r="J1007" t="s">
        <v>46</v>
      </c>
      <c r="K1007" t="s">
        <v>10</v>
      </c>
      <c r="L1007">
        <v>3</v>
      </c>
      <c r="M1007" t="s">
        <v>32</v>
      </c>
      <c r="N1007" t="s">
        <v>56</v>
      </c>
      <c r="O1007" t="s">
        <v>392</v>
      </c>
      <c r="P1007" s="6" t="str">
        <f>IF(Table1[[#This Row],[Transaction_Amount]]&lt;=Table1[[#This Row],[avg_transaction_amount]], "usual transaction", "unusual transaction")</f>
        <v>usual transaction</v>
      </c>
      <c r="Q1007" s="6" t="str">
        <f>IF(AND(Table1[[#This Row],[Country_of_Residence]]&lt;&gt;Table1[[#This Row],[Country_of_Transaction]], OR(Table1[[#This Row],[Authentication_Type]]="Biometric", Table1[[#This Row],[Authentication_Type]]="OTP")), "safe location transaction", "unsafe location transaction")</f>
        <v>safe location transaction</v>
      </c>
      <c r="R1007" s="6" t="str">
        <f>IF(AND(Table1[[#This Row],[Country_of_Residence]]&lt;&gt;Table1[[#This Row],[Country_of_Transaction]], OR(Table1[[#This Row],[Merchant_Category]]="Electronics", Table1[[#This Row],[Merchant_Category]]="Travel")), "unsafe merchant transaction", "safe merchant transaction")</f>
        <v>safe merchant transaction</v>
      </c>
    </row>
    <row r="1008" spans="1:18">
      <c r="A1008" t="s">
        <v>4615</v>
      </c>
      <c r="B1008" t="s">
        <v>170</v>
      </c>
      <c r="C1008">
        <v>1</v>
      </c>
      <c r="D1008" t="s">
        <v>9</v>
      </c>
      <c r="E1008" t="s">
        <v>3</v>
      </c>
      <c r="F1008" s="2">
        <v>45942</v>
      </c>
      <c r="G1008">
        <v>5386.24</v>
      </c>
      <c r="H1008" s="1">
        <f>AVERAGEIF(Table1[Customer_ID], Table1[[#This Row],[Customer_ID]], Table1[Transaction_Amount])</f>
        <v>4816.681818181818</v>
      </c>
      <c r="I1008" t="s">
        <v>2079</v>
      </c>
      <c r="J1008" t="s">
        <v>50</v>
      </c>
      <c r="K1008" t="s">
        <v>12</v>
      </c>
      <c r="L1008">
        <v>0</v>
      </c>
      <c r="M1008" t="s">
        <v>42</v>
      </c>
      <c r="N1008" t="s">
        <v>32</v>
      </c>
      <c r="O1008" t="s">
        <v>393</v>
      </c>
      <c r="P1008" s="6" t="str">
        <f>IF(Table1[[#This Row],[Transaction_Amount]]&lt;=Table1[[#This Row],[avg_transaction_amount]], "usual transaction", "unusual transaction")</f>
        <v>unusual transaction</v>
      </c>
      <c r="Q1008" s="6" t="str">
        <f>IF(AND(Table1[[#This Row],[Country_of_Residence]]&lt;&gt;Table1[[#This Row],[Country_of_Transaction]], OR(Table1[[#This Row],[Authentication_Type]]="Biometric", Table1[[#This Row],[Authentication_Type]]="OTP")), "safe location transaction", "unsafe location transaction")</f>
        <v>unsafe location transaction</v>
      </c>
      <c r="R1008" s="6" t="str">
        <f>IF(AND(Table1[[#This Row],[Country_of_Residence]]&lt;&gt;Table1[[#This Row],[Country_of_Transaction]], OR(Table1[[#This Row],[Merchant_Category]]="Electronics", Table1[[#This Row],[Merchant_Category]]="Travel")), "unsafe merchant transaction", "safe merchant transaction")</f>
        <v>unsafe merchant transaction</v>
      </c>
    </row>
    <row r="1009" spans="1:18">
      <c r="A1009" t="s">
        <v>4673</v>
      </c>
      <c r="B1009" t="s">
        <v>170</v>
      </c>
      <c r="C1009">
        <v>1</v>
      </c>
      <c r="D1009" t="s">
        <v>9</v>
      </c>
      <c r="E1009" t="s">
        <v>3</v>
      </c>
      <c r="F1009" s="2">
        <v>45669</v>
      </c>
      <c r="G1009">
        <v>8150.75</v>
      </c>
      <c r="H1009" s="1">
        <f>AVERAGEIF(Table1[Customer_ID], Table1[[#This Row],[Customer_ID]], Table1[Transaction_Amount])</f>
        <v>4816.681818181818</v>
      </c>
      <c r="I1009" t="s">
        <v>2129</v>
      </c>
      <c r="J1009" t="s">
        <v>46</v>
      </c>
      <c r="K1009" t="s">
        <v>14</v>
      </c>
      <c r="L1009">
        <v>0</v>
      </c>
      <c r="M1009" t="s">
        <v>56</v>
      </c>
      <c r="N1009" t="s">
        <v>42</v>
      </c>
      <c r="O1009" t="s">
        <v>393</v>
      </c>
      <c r="P1009" s="6" t="str">
        <f>IF(Table1[[#This Row],[Transaction_Amount]]&lt;=Table1[[#This Row],[avg_transaction_amount]], "usual transaction", "unusual transaction")</f>
        <v>unusual transaction</v>
      </c>
      <c r="Q1009" s="6" t="str">
        <f>IF(AND(Table1[[#This Row],[Country_of_Residence]]&lt;&gt;Table1[[#This Row],[Country_of_Transaction]], OR(Table1[[#This Row],[Authentication_Type]]="Biometric", Table1[[#This Row],[Authentication_Type]]="OTP")), "safe location transaction", "unsafe location transaction")</f>
        <v>unsafe location transaction</v>
      </c>
      <c r="R1009" s="6" t="str">
        <f>IF(AND(Table1[[#This Row],[Country_of_Residence]]&lt;&gt;Table1[[#This Row],[Country_of_Transaction]], OR(Table1[[#This Row],[Merchant_Category]]="Electronics", Table1[[#This Row],[Merchant_Category]]="Travel")), "unsafe merchant transaction", "safe merchant transaction")</f>
        <v>safe merchant transaction</v>
      </c>
    </row>
    <row r="1010" spans="1:18">
      <c r="A1010" t="s">
        <v>4686</v>
      </c>
      <c r="B1010" t="s">
        <v>170</v>
      </c>
      <c r="C1010">
        <v>1</v>
      </c>
      <c r="D1010" t="s">
        <v>9</v>
      </c>
      <c r="E1010" t="s">
        <v>420</v>
      </c>
      <c r="F1010" s="2">
        <v>45821</v>
      </c>
      <c r="G1010">
        <v>5174.76</v>
      </c>
      <c r="H1010" s="1">
        <f>AVERAGEIF(Table1[Customer_ID], Table1[[#This Row],[Customer_ID]], Table1[Transaction_Amount])</f>
        <v>4816.681818181818</v>
      </c>
      <c r="I1010" t="s">
        <v>2136</v>
      </c>
      <c r="J1010" t="s">
        <v>31</v>
      </c>
      <c r="K1010" t="s">
        <v>12</v>
      </c>
      <c r="L1010">
        <v>0</v>
      </c>
      <c r="M1010" t="s">
        <v>412</v>
      </c>
      <c r="N1010" t="s">
        <v>32</v>
      </c>
      <c r="O1010" t="s">
        <v>393</v>
      </c>
      <c r="P1010" s="6" t="str">
        <f>IF(Table1[[#This Row],[Transaction_Amount]]&lt;=Table1[[#This Row],[avg_transaction_amount]], "usual transaction", "unusual transaction")</f>
        <v>unusual transaction</v>
      </c>
      <c r="Q1010" s="6" t="str">
        <f>IF(AND(Table1[[#This Row],[Country_of_Residence]]&lt;&gt;Table1[[#This Row],[Country_of_Transaction]], OR(Table1[[#This Row],[Authentication_Type]]="Biometric", Table1[[#This Row],[Authentication_Type]]="OTP")), "safe location transaction", "unsafe location transaction")</f>
        <v>unsafe location transaction</v>
      </c>
      <c r="R1010" s="6" t="str">
        <f>IF(AND(Table1[[#This Row],[Country_of_Residence]]&lt;&gt;Table1[[#This Row],[Country_of_Transaction]], OR(Table1[[#This Row],[Merchant_Category]]="Electronics", Table1[[#This Row],[Merchant_Category]]="Travel")), "unsafe merchant transaction", "safe merchant transaction")</f>
        <v>safe merchant transaction</v>
      </c>
    </row>
    <row r="1011" spans="1:18">
      <c r="A1011" t="s">
        <v>4774</v>
      </c>
      <c r="B1011" t="s">
        <v>170</v>
      </c>
      <c r="C1011">
        <v>1</v>
      </c>
      <c r="D1011" t="s">
        <v>15</v>
      </c>
      <c r="E1011" t="s">
        <v>420</v>
      </c>
      <c r="F1011" s="2">
        <v>46009</v>
      </c>
      <c r="G1011">
        <v>690.92</v>
      </c>
      <c r="H1011" s="1">
        <f>AVERAGEIF(Table1[Customer_ID], Table1[[#This Row],[Customer_ID]], Table1[Transaction_Amount])</f>
        <v>4816.681818181818</v>
      </c>
      <c r="I1011" t="s">
        <v>2201</v>
      </c>
      <c r="J1011" t="s">
        <v>31</v>
      </c>
      <c r="K1011" t="s">
        <v>8</v>
      </c>
      <c r="L1011">
        <v>1</v>
      </c>
      <c r="M1011" t="s">
        <v>42</v>
      </c>
      <c r="N1011" t="s">
        <v>33</v>
      </c>
      <c r="O1011" t="s">
        <v>392</v>
      </c>
      <c r="P1011" s="6" t="str">
        <f>IF(Table1[[#This Row],[Transaction_Amount]]&lt;=Table1[[#This Row],[avg_transaction_amount]], "usual transaction", "unusual transaction")</f>
        <v>usual transaction</v>
      </c>
      <c r="Q1011" s="6" t="str">
        <f>IF(AND(Table1[[#This Row],[Country_of_Residence]]&lt;&gt;Table1[[#This Row],[Country_of_Transaction]], OR(Table1[[#This Row],[Authentication_Type]]="Biometric", Table1[[#This Row],[Authentication_Type]]="OTP")), "safe location transaction", "unsafe location transaction")</f>
        <v>safe location transaction</v>
      </c>
      <c r="R1011" s="6" t="str">
        <f>IF(AND(Table1[[#This Row],[Country_of_Residence]]&lt;&gt;Table1[[#This Row],[Country_of_Transaction]], OR(Table1[[#This Row],[Merchant_Category]]="Electronics", Table1[[#This Row],[Merchant_Category]]="Travel")), "unsafe merchant transaction", "safe merchant transaction")</f>
        <v>safe merchant transaction</v>
      </c>
    </row>
    <row r="1012" spans="1:18">
      <c r="A1012" t="s">
        <v>4775</v>
      </c>
      <c r="B1012" t="s">
        <v>170</v>
      </c>
      <c r="C1012">
        <v>1</v>
      </c>
      <c r="D1012" t="s">
        <v>15</v>
      </c>
      <c r="E1012" t="s">
        <v>3</v>
      </c>
      <c r="F1012" s="2">
        <v>45932</v>
      </c>
      <c r="G1012">
        <v>4824.1499999999996</v>
      </c>
      <c r="H1012" s="1">
        <f>AVERAGEIF(Table1[Customer_ID], Table1[[#This Row],[Customer_ID]], Table1[Transaction_Amount])</f>
        <v>4816.681818181818</v>
      </c>
      <c r="I1012" t="s">
        <v>2202</v>
      </c>
      <c r="J1012" t="s">
        <v>41</v>
      </c>
      <c r="K1012" t="s">
        <v>8</v>
      </c>
      <c r="L1012">
        <v>5</v>
      </c>
      <c r="M1012" t="s">
        <v>412</v>
      </c>
      <c r="N1012" t="s">
        <v>47</v>
      </c>
      <c r="O1012" t="s">
        <v>393</v>
      </c>
      <c r="P1012" s="6" t="str">
        <f>IF(Table1[[#This Row],[Transaction_Amount]]&lt;=Table1[[#This Row],[avg_transaction_amount]], "usual transaction", "unusual transaction")</f>
        <v>unusual transaction</v>
      </c>
      <c r="Q1012" s="6" t="str">
        <f>IF(AND(Table1[[#This Row],[Country_of_Residence]]&lt;&gt;Table1[[#This Row],[Country_of_Transaction]], OR(Table1[[#This Row],[Authentication_Type]]="Biometric", Table1[[#This Row],[Authentication_Type]]="OTP")), "safe location transaction", "unsafe location transaction")</f>
        <v>safe location transaction</v>
      </c>
      <c r="R1012" s="6" t="str">
        <f>IF(AND(Table1[[#This Row],[Country_of_Residence]]&lt;&gt;Table1[[#This Row],[Country_of_Transaction]], OR(Table1[[#This Row],[Merchant_Category]]="Electronics", Table1[[#This Row],[Merchant_Category]]="Travel")), "unsafe merchant transaction", "safe merchant transaction")</f>
        <v>safe merchant transaction</v>
      </c>
    </row>
    <row r="1013" spans="1:18">
      <c r="A1013" t="s">
        <v>4782</v>
      </c>
      <c r="B1013" t="s">
        <v>170</v>
      </c>
      <c r="C1013">
        <v>1</v>
      </c>
      <c r="D1013" t="s">
        <v>15</v>
      </c>
      <c r="E1013" t="s">
        <v>5</v>
      </c>
      <c r="F1013" s="2">
        <v>46010</v>
      </c>
      <c r="G1013">
        <v>5805.04</v>
      </c>
      <c r="H1013" s="1">
        <f>AVERAGEIF(Table1[Customer_ID], Table1[[#This Row],[Customer_ID]], Table1[Transaction_Amount])</f>
        <v>4816.681818181818</v>
      </c>
      <c r="I1013" t="s">
        <v>1057</v>
      </c>
      <c r="J1013" t="s">
        <v>46</v>
      </c>
      <c r="K1013" t="s">
        <v>8</v>
      </c>
      <c r="L1013">
        <v>5</v>
      </c>
      <c r="M1013" t="s">
        <v>42</v>
      </c>
      <c r="N1013" t="s">
        <v>51</v>
      </c>
      <c r="O1013" t="s">
        <v>393</v>
      </c>
      <c r="P1013" s="6" t="str">
        <f>IF(Table1[[#This Row],[Transaction_Amount]]&lt;=Table1[[#This Row],[avg_transaction_amount]], "usual transaction", "unusual transaction")</f>
        <v>unusual transaction</v>
      </c>
      <c r="Q1013" s="6" t="str">
        <f>IF(AND(Table1[[#This Row],[Country_of_Residence]]&lt;&gt;Table1[[#This Row],[Country_of_Transaction]], OR(Table1[[#This Row],[Authentication_Type]]="Biometric", Table1[[#This Row],[Authentication_Type]]="OTP")), "safe location transaction", "unsafe location transaction")</f>
        <v>safe location transaction</v>
      </c>
      <c r="R1013" s="6" t="str">
        <f>IF(AND(Table1[[#This Row],[Country_of_Residence]]&lt;&gt;Table1[[#This Row],[Country_of_Transaction]], OR(Table1[[#This Row],[Merchant_Category]]="Electronics", Table1[[#This Row],[Merchant_Category]]="Travel")), "unsafe merchant transaction", "safe merchant transaction")</f>
        <v>safe merchant transaction</v>
      </c>
    </row>
    <row r="1014" spans="1:18">
      <c r="A1014" t="s">
        <v>4809</v>
      </c>
      <c r="B1014" t="s">
        <v>170</v>
      </c>
      <c r="C1014">
        <v>1</v>
      </c>
      <c r="D1014" t="s">
        <v>9</v>
      </c>
      <c r="E1014" t="s">
        <v>420</v>
      </c>
      <c r="F1014" s="2">
        <v>45867</v>
      </c>
      <c r="G1014">
        <v>3275.84</v>
      </c>
      <c r="H1014" s="1">
        <f>AVERAGEIF(Table1[Customer_ID], Table1[[#This Row],[Customer_ID]], Table1[Transaction_Amount])</f>
        <v>4816.681818181818</v>
      </c>
      <c r="I1014" t="s">
        <v>1235</v>
      </c>
      <c r="J1014" t="s">
        <v>36</v>
      </c>
      <c r="K1014" t="s">
        <v>14</v>
      </c>
      <c r="L1014">
        <v>2</v>
      </c>
      <c r="M1014" t="s">
        <v>412</v>
      </c>
      <c r="N1014" t="s">
        <v>42</v>
      </c>
      <c r="O1014" t="s">
        <v>393</v>
      </c>
      <c r="P1014" s="6" t="str">
        <f>IF(Table1[[#This Row],[Transaction_Amount]]&lt;=Table1[[#This Row],[avg_transaction_amount]], "usual transaction", "unusual transaction")</f>
        <v>usual transaction</v>
      </c>
      <c r="Q1014" s="6" t="str">
        <f>IF(AND(Table1[[#This Row],[Country_of_Residence]]&lt;&gt;Table1[[#This Row],[Country_of_Transaction]], OR(Table1[[#This Row],[Authentication_Type]]="Biometric", Table1[[#This Row],[Authentication_Type]]="OTP")), "safe location transaction", "unsafe location transaction")</f>
        <v>unsafe location transaction</v>
      </c>
      <c r="R1014" s="6" t="str">
        <f>IF(AND(Table1[[#This Row],[Country_of_Residence]]&lt;&gt;Table1[[#This Row],[Country_of_Transaction]], OR(Table1[[#This Row],[Merchant_Category]]="Electronics", Table1[[#This Row],[Merchant_Category]]="Travel")), "unsafe merchant transaction", "safe merchant transaction")</f>
        <v>safe merchant transaction</v>
      </c>
    </row>
    <row r="1015" spans="1:18">
      <c r="A1015" t="s">
        <v>4862</v>
      </c>
      <c r="B1015" t="s">
        <v>170</v>
      </c>
      <c r="C1015">
        <v>1</v>
      </c>
      <c r="D1015" t="s">
        <v>9</v>
      </c>
      <c r="E1015" t="s">
        <v>3</v>
      </c>
      <c r="F1015" s="2">
        <v>45841</v>
      </c>
      <c r="G1015">
        <v>6150.63</v>
      </c>
      <c r="H1015" s="1">
        <f>AVERAGEIF(Table1[Customer_ID], Table1[[#This Row],[Customer_ID]], Table1[Transaction_Amount])</f>
        <v>4816.681818181818</v>
      </c>
      <c r="I1015" t="s">
        <v>2269</v>
      </c>
      <c r="J1015" t="s">
        <v>50</v>
      </c>
      <c r="K1015" t="s">
        <v>10</v>
      </c>
      <c r="L1015">
        <v>4</v>
      </c>
      <c r="M1015" t="s">
        <v>56</v>
      </c>
      <c r="N1015" t="s">
        <v>47</v>
      </c>
      <c r="O1015" t="s">
        <v>393</v>
      </c>
      <c r="P1015" s="6" t="str">
        <f>IF(Table1[[#This Row],[Transaction_Amount]]&lt;=Table1[[#This Row],[avg_transaction_amount]], "usual transaction", "unusual transaction")</f>
        <v>unusual transaction</v>
      </c>
      <c r="Q1015" s="6" t="str">
        <f>IF(AND(Table1[[#This Row],[Country_of_Residence]]&lt;&gt;Table1[[#This Row],[Country_of_Transaction]], OR(Table1[[#This Row],[Authentication_Type]]="Biometric", Table1[[#This Row],[Authentication_Type]]="OTP")), "safe location transaction", "unsafe location transaction")</f>
        <v>safe location transaction</v>
      </c>
      <c r="R1015" s="6" t="str">
        <f>IF(AND(Table1[[#This Row],[Country_of_Residence]]&lt;&gt;Table1[[#This Row],[Country_of_Transaction]], OR(Table1[[#This Row],[Merchant_Category]]="Electronics", Table1[[#This Row],[Merchant_Category]]="Travel")), "unsafe merchant transaction", "safe merchant transaction")</f>
        <v>unsafe merchant transaction</v>
      </c>
    </row>
    <row r="1016" spans="1:18">
      <c r="A1016" t="s">
        <v>4889</v>
      </c>
      <c r="B1016" t="s">
        <v>170</v>
      </c>
      <c r="C1016">
        <v>1</v>
      </c>
      <c r="D1016" t="s">
        <v>15</v>
      </c>
      <c r="E1016" t="s">
        <v>5</v>
      </c>
      <c r="F1016" s="2">
        <v>45712</v>
      </c>
      <c r="G1016">
        <v>7801.95</v>
      </c>
      <c r="H1016" s="1">
        <f>AVERAGEIF(Table1[Customer_ID], Table1[[#This Row],[Customer_ID]], Table1[Transaction_Amount])</f>
        <v>4816.681818181818</v>
      </c>
      <c r="I1016" t="s">
        <v>2292</v>
      </c>
      <c r="J1016" t="s">
        <v>31</v>
      </c>
      <c r="K1016" t="s">
        <v>14</v>
      </c>
      <c r="L1016">
        <v>1</v>
      </c>
      <c r="M1016" t="s">
        <v>412</v>
      </c>
      <c r="N1016" t="s">
        <v>47</v>
      </c>
      <c r="O1016" t="s">
        <v>393</v>
      </c>
      <c r="P1016" s="6" t="str">
        <f>IF(Table1[[#This Row],[Transaction_Amount]]&lt;=Table1[[#This Row],[avg_transaction_amount]], "usual transaction", "unusual transaction")</f>
        <v>unusual transaction</v>
      </c>
      <c r="Q1016" s="6" t="str">
        <f>IF(AND(Table1[[#This Row],[Country_of_Residence]]&lt;&gt;Table1[[#This Row],[Country_of_Transaction]], OR(Table1[[#This Row],[Authentication_Type]]="Biometric", Table1[[#This Row],[Authentication_Type]]="OTP")), "safe location transaction", "unsafe location transaction")</f>
        <v>unsafe location transaction</v>
      </c>
      <c r="R1016" s="6" t="str">
        <f>IF(AND(Table1[[#This Row],[Country_of_Residence]]&lt;&gt;Table1[[#This Row],[Country_of_Transaction]], OR(Table1[[#This Row],[Merchant_Category]]="Electronics", Table1[[#This Row],[Merchant_Category]]="Travel")), "unsafe merchant transaction", "safe merchant transaction")</f>
        <v>safe merchant transaction</v>
      </c>
    </row>
    <row r="1017" spans="1:18">
      <c r="A1017" t="s">
        <v>4957</v>
      </c>
      <c r="B1017" t="s">
        <v>170</v>
      </c>
      <c r="C1017">
        <v>1</v>
      </c>
      <c r="D1017" t="s">
        <v>15</v>
      </c>
      <c r="E1017" t="s">
        <v>5</v>
      </c>
      <c r="F1017" s="2">
        <v>45747</v>
      </c>
      <c r="G1017">
        <v>3228.67</v>
      </c>
      <c r="H1017" s="1">
        <f>AVERAGEIF(Table1[Customer_ID], Table1[[#This Row],[Customer_ID]], Table1[Transaction_Amount])</f>
        <v>4816.681818181818</v>
      </c>
      <c r="I1017" t="s">
        <v>796</v>
      </c>
      <c r="J1017" t="s">
        <v>41</v>
      </c>
      <c r="K1017" t="s">
        <v>12</v>
      </c>
      <c r="L1017">
        <v>2</v>
      </c>
      <c r="M1017" t="s">
        <v>47</v>
      </c>
      <c r="N1017" t="s">
        <v>55</v>
      </c>
      <c r="O1017" t="s">
        <v>392</v>
      </c>
      <c r="P1017" s="6" t="str">
        <f>IF(Table1[[#This Row],[Transaction_Amount]]&lt;=Table1[[#This Row],[avg_transaction_amount]], "usual transaction", "unusual transaction")</f>
        <v>usual transaction</v>
      </c>
      <c r="Q1017" s="6" t="str">
        <f>IF(AND(Table1[[#This Row],[Country_of_Residence]]&lt;&gt;Table1[[#This Row],[Country_of_Transaction]], OR(Table1[[#This Row],[Authentication_Type]]="Biometric", Table1[[#This Row],[Authentication_Type]]="OTP")), "safe location transaction", "unsafe location transaction")</f>
        <v>unsafe location transaction</v>
      </c>
      <c r="R1017" s="6" t="str">
        <f>IF(AND(Table1[[#This Row],[Country_of_Residence]]&lt;&gt;Table1[[#This Row],[Country_of_Transaction]], OR(Table1[[#This Row],[Merchant_Category]]="Electronics", Table1[[#This Row],[Merchant_Category]]="Travel")), "unsafe merchant transaction", "safe merchant transaction")</f>
        <v>safe merchant transaction</v>
      </c>
    </row>
    <row r="1018" spans="1:18">
      <c r="A1018" t="s">
        <v>5004</v>
      </c>
      <c r="B1018" t="s">
        <v>170</v>
      </c>
      <c r="C1018">
        <v>1</v>
      </c>
      <c r="D1018" t="s">
        <v>9</v>
      </c>
      <c r="E1018" t="s">
        <v>5</v>
      </c>
      <c r="F1018" s="2">
        <v>45961</v>
      </c>
      <c r="G1018">
        <v>2901.81</v>
      </c>
      <c r="H1018" s="1">
        <f>AVERAGEIF(Table1[Customer_ID], Table1[[#This Row],[Customer_ID]], Table1[Transaction_Amount])</f>
        <v>4816.681818181818</v>
      </c>
      <c r="I1018" t="s">
        <v>2385</v>
      </c>
      <c r="J1018" t="s">
        <v>50</v>
      </c>
      <c r="K1018" t="s">
        <v>12</v>
      </c>
      <c r="L1018">
        <v>1</v>
      </c>
      <c r="M1018" t="s">
        <v>55</v>
      </c>
      <c r="N1018" t="s">
        <v>33</v>
      </c>
      <c r="O1018" t="s">
        <v>393</v>
      </c>
      <c r="P1018" s="6" t="str">
        <f>IF(Table1[[#This Row],[Transaction_Amount]]&lt;=Table1[[#This Row],[avg_transaction_amount]], "usual transaction", "unusual transaction")</f>
        <v>usual transaction</v>
      </c>
      <c r="Q1018" s="6" t="str">
        <f>IF(AND(Table1[[#This Row],[Country_of_Residence]]&lt;&gt;Table1[[#This Row],[Country_of_Transaction]], OR(Table1[[#This Row],[Authentication_Type]]="Biometric", Table1[[#This Row],[Authentication_Type]]="OTP")), "safe location transaction", "unsafe location transaction")</f>
        <v>unsafe location transaction</v>
      </c>
      <c r="R1018" s="6" t="str">
        <f>IF(AND(Table1[[#This Row],[Country_of_Residence]]&lt;&gt;Table1[[#This Row],[Country_of_Transaction]], OR(Table1[[#This Row],[Merchant_Category]]="Electronics", Table1[[#This Row],[Merchant_Category]]="Travel")), "unsafe merchant transaction", "safe merchant transaction")</f>
        <v>unsafe merchant transaction</v>
      </c>
    </row>
    <row r="1019" spans="1:18">
      <c r="A1019" t="s">
        <v>5039</v>
      </c>
      <c r="B1019" t="s">
        <v>170</v>
      </c>
      <c r="C1019">
        <v>1</v>
      </c>
      <c r="D1019" t="s">
        <v>15</v>
      </c>
      <c r="E1019" t="s">
        <v>420</v>
      </c>
      <c r="F1019" s="2">
        <v>45708</v>
      </c>
      <c r="G1019">
        <v>9103.32</v>
      </c>
      <c r="H1019" s="1">
        <f>AVERAGEIF(Table1[Customer_ID], Table1[[#This Row],[Customer_ID]], Table1[Transaction_Amount])</f>
        <v>4816.681818181818</v>
      </c>
      <c r="I1019" t="s">
        <v>2408</v>
      </c>
      <c r="J1019" t="s">
        <v>50</v>
      </c>
      <c r="K1019" t="s">
        <v>8</v>
      </c>
      <c r="L1019">
        <v>0</v>
      </c>
      <c r="M1019" t="s">
        <v>412</v>
      </c>
      <c r="N1019" t="s">
        <v>33</v>
      </c>
      <c r="O1019" t="s">
        <v>393</v>
      </c>
      <c r="P1019" s="6" t="str">
        <f>IF(Table1[[#This Row],[Transaction_Amount]]&lt;=Table1[[#This Row],[avg_transaction_amount]], "usual transaction", "unusual transaction")</f>
        <v>unusual transaction</v>
      </c>
      <c r="Q1019" s="6" t="str">
        <f>IF(AND(Table1[[#This Row],[Country_of_Residence]]&lt;&gt;Table1[[#This Row],[Country_of_Transaction]], OR(Table1[[#This Row],[Authentication_Type]]="Biometric", Table1[[#This Row],[Authentication_Type]]="OTP")), "safe location transaction", "unsafe location transaction")</f>
        <v>safe location transaction</v>
      </c>
      <c r="R1019" s="6" t="str">
        <f>IF(AND(Table1[[#This Row],[Country_of_Residence]]&lt;&gt;Table1[[#This Row],[Country_of_Transaction]], OR(Table1[[#This Row],[Merchant_Category]]="Electronics", Table1[[#This Row],[Merchant_Category]]="Travel")), "unsafe merchant transaction", "safe merchant transaction")</f>
        <v>unsafe merchant transaction</v>
      </c>
    </row>
    <row r="1020" spans="1:18">
      <c r="A1020" t="s">
        <v>5167</v>
      </c>
      <c r="B1020" t="s">
        <v>170</v>
      </c>
      <c r="C1020">
        <v>1</v>
      </c>
      <c r="D1020" t="s">
        <v>9</v>
      </c>
      <c r="E1020" t="s">
        <v>5</v>
      </c>
      <c r="F1020" s="2">
        <v>45704</v>
      </c>
      <c r="G1020">
        <v>8745.8700000000008</v>
      </c>
      <c r="H1020" s="1">
        <f>AVERAGEIF(Table1[Customer_ID], Table1[[#This Row],[Customer_ID]], Table1[Transaction_Amount])</f>
        <v>4816.681818181818</v>
      </c>
      <c r="I1020" t="s">
        <v>2503</v>
      </c>
      <c r="J1020" t="s">
        <v>46</v>
      </c>
      <c r="K1020" t="s">
        <v>12</v>
      </c>
      <c r="L1020">
        <v>2</v>
      </c>
      <c r="M1020" t="s">
        <v>51</v>
      </c>
      <c r="N1020" t="s">
        <v>42</v>
      </c>
      <c r="O1020" t="s">
        <v>392</v>
      </c>
      <c r="P1020" s="6" t="str">
        <f>IF(Table1[[#This Row],[Transaction_Amount]]&lt;=Table1[[#This Row],[avg_transaction_amount]], "usual transaction", "unusual transaction")</f>
        <v>unusual transaction</v>
      </c>
      <c r="Q1020" s="6" t="str">
        <f>IF(AND(Table1[[#This Row],[Country_of_Residence]]&lt;&gt;Table1[[#This Row],[Country_of_Transaction]], OR(Table1[[#This Row],[Authentication_Type]]="Biometric", Table1[[#This Row],[Authentication_Type]]="OTP")), "safe location transaction", "unsafe location transaction")</f>
        <v>unsafe location transaction</v>
      </c>
      <c r="R1020" s="6" t="str">
        <f>IF(AND(Table1[[#This Row],[Country_of_Residence]]&lt;&gt;Table1[[#This Row],[Country_of_Transaction]], OR(Table1[[#This Row],[Merchant_Category]]="Electronics", Table1[[#This Row],[Merchant_Category]]="Travel")), "unsafe merchant transaction", "safe merchant transaction")</f>
        <v>safe merchant transaction</v>
      </c>
    </row>
    <row r="1021" spans="1:18">
      <c r="A1021" t="s">
        <v>5270</v>
      </c>
      <c r="B1021" t="s">
        <v>170</v>
      </c>
      <c r="C1021">
        <v>1</v>
      </c>
      <c r="D1021" t="s">
        <v>9</v>
      </c>
      <c r="E1021" t="s">
        <v>3</v>
      </c>
      <c r="F1021" s="2">
        <v>45998</v>
      </c>
      <c r="G1021">
        <v>9116.16</v>
      </c>
      <c r="H1021" s="1">
        <f>AVERAGEIF(Table1[Customer_ID], Table1[[#This Row],[Customer_ID]], Table1[Transaction_Amount])</f>
        <v>4816.681818181818</v>
      </c>
      <c r="I1021" t="s">
        <v>2582</v>
      </c>
      <c r="J1021" t="s">
        <v>50</v>
      </c>
      <c r="K1021" t="s">
        <v>8</v>
      </c>
      <c r="L1021">
        <v>4</v>
      </c>
      <c r="M1021" t="s">
        <v>55</v>
      </c>
      <c r="N1021" t="s">
        <v>42</v>
      </c>
      <c r="O1021" t="s">
        <v>393</v>
      </c>
      <c r="P1021" s="6" t="str">
        <f>IF(Table1[[#This Row],[Transaction_Amount]]&lt;=Table1[[#This Row],[avg_transaction_amount]], "usual transaction", "unusual transaction")</f>
        <v>unusual transaction</v>
      </c>
      <c r="Q1021" s="6" t="str">
        <f>IF(AND(Table1[[#This Row],[Country_of_Residence]]&lt;&gt;Table1[[#This Row],[Country_of_Transaction]], OR(Table1[[#This Row],[Authentication_Type]]="Biometric", Table1[[#This Row],[Authentication_Type]]="OTP")), "safe location transaction", "unsafe location transaction")</f>
        <v>safe location transaction</v>
      </c>
      <c r="R1021" s="6" t="str">
        <f>IF(AND(Table1[[#This Row],[Country_of_Residence]]&lt;&gt;Table1[[#This Row],[Country_of_Transaction]], OR(Table1[[#This Row],[Merchant_Category]]="Electronics", Table1[[#This Row],[Merchant_Category]]="Travel")), "unsafe merchant transaction", "safe merchant transaction")</f>
        <v>unsafe merchant transaction</v>
      </c>
    </row>
    <row r="1022" spans="1:18">
      <c r="A1022" t="s">
        <v>5285</v>
      </c>
      <c r="B1022" t="s">
        <v>170</v>
      </c>
      <c r="C1022">
        <v>1</v>
      </c>
      <c r="D1022" t="s">
        <v>15</v>
      </c>
      <c r="E1022" t="s">
        <v>5</v>
      </c>
      <c r="F1022" s="2">
        <v>45669</v>
      </c>
      <c r="G1022">
        <v>7072.85</v>
      </c>
      <c r="H1022" s="1">
        <f>AVERAGEIF(Table1[Customer_ID], Table1[[#This Row],[Customer_ID]], Table1[Transaction_Amount])</f>
        <v>4816.681818181818</v>
      </c>
      <c r="I1022" t="s">
        <v>2593</v>
      </c>
      <c r="J1022" t="s">
        <v>36</v>
      </c>
      <c r="K1022" t="s">
        <v>10</v>
      </c>
      <c r="L1022">
        <v>1</v>
      </c>
      <c r="M1022" t="s">
        <v>47</v>
      </c>
      <c r="N1022" t="s">
        <v>412</v>
      </c>
      <c r="O1022" t="s">
        <v>393</v>
      </c>
      <c r="P1022" s="6" t="str">
        <f>IF(Table1[[#This Row],[Transaction_Amount]]&lt;=Table1[[#This Row],[avg_transaction_amount]], "usual transaction", "unusual transaction")</f>
        <v>unusual transaction</v>
      </c>
      <c r="Q1022" s="6" t="str">
        <f>IF(AND(Table1[[#This Row],[Country_of_Residence]]&lt;&gt;Table1[[#This Row],[Country_of_Transaction]], OR(Table1[[#This Row],[Authentication_Type]]="Biometric", Table1[[#This Row],[Authentication_Type]]="OTP")), "safe location transaction", "unsafe location transaction")</f>
        <v>safe location transaction</v>
      </c>
      <c r="R1022" s="6" t="str">
        <f>IF(AND(Table1[[#This Row],[Country_of_Residence]]&lt;&gt;Table1[[#This Row],[Country_of_Transaction]], OR(Table1[[#This Row],[Merchant_Category]]="Electronics", Table1[[#This Row],[Merchant_Category]]="Travel")), "unsafe merchant transaction", "safe merchant transaction")</f>
        <v>safe merchant transaction</v>
      </c>
    </row>
    <row r="1023" spans="1:18">
      <c r="A1023" t="s">
        <v>5470</v>
      </c>
      <c r="B1023" t="s">
        <v>170</v>
      </c>
      <c r="C1023">
        <v>1</v>
      </c>
      <c r="D1023" t="s">
        <v>9</v>
      </c>
      <c r="E1023" t="s">
        <v>6</v>
      </c>
      <c r="F1023" s="2">
        <v>45857</v>
      </c>
      <c r="G1023">
        <v>4431.9399999999996</v>
      </c>
      <c r="H1023" s="1">
        <f>AVERAGEIF(Table1[Customer_ID], Table1[[#This Row],[Customer_ID]], Table1[Transaction_Amount])</f>
        <v>4816.681818181818</v>
      </c>
      <c r="I1023" t="s">
        <v>2731</v>
      </c>
      <c r="J1023" t="s">
        <v>41</v>
      </c>
      <c r="K1023" t="s">
        <v>8</v>
      </c>
      <c r="L1023">
        <v>2</v>
      </c>
      <c r="M1023" t="s">
        <v>56</v>
      </c>
      <c r="N1023" t="s">
        <v>42</v>
      </c>
      <c r="O1023" t="s">
        <v>393</v>
      </c>
      <c r="P1023" s="6" t="str">
        <f>IF(Table1[[#This Row],[Transaction_Amount]]&lt;=Table1[[#This Row],[avg_transaction_amount]], "usual transaction", "unusual transaction")</f>
        <v>usual transaction</v>
      </c>
      <c r="Q1023" s="6" t="str">
        <f>IF(AND(Table1[[#This Row],[Country_of_Residence]]&lt;&gt;Table1[[#This Row],[Country_of_Transaction]], OR(Table1[[#This Row],[Authentication_Type]]="Biometric", Table1[[#This Row],[Authentication_Type]]="OTP")), "safe location transaction", "unsafe location transaction")</f>
        <v>safe location transaction</v>
      </c>
      <c r="R1023" s="6" t="str">
        <f>IF(AND(Table1[[#This Row],[Country_of_Residence]]&lt;&gt;Table1[[#This Row],[Country_of_Transaction]], OR(Table1[[#This Row],[Merchant_Category]]="Electronics", Table1[[#This Row],[Merchant_Category]]="Travel")), "unsafe merchant transaction", "safe merchant transaction")</f>
        <v>safe merchant transaction</v>
      </c>
    </row>
    <row r="1024" spans="1:18">
      <c r="A1024" t="s">
        <v>175</v>
      </c>
      <c r="B1024" t="s">
        <v>176</v>
      </c>
      <c r="C1024">
        <v>1</v>
      </c>
      <c r="D1024" t="s">
        <v>13</v>
      </c>
      <c r="E1024" t="s">
        <v>4</v>
      </c>
      <c r="F1024" s="2">
        <v>45663.554861111101</v>
      </c>
      <c r="G1024">
        <v>7925.96</v>
      </c>
      <c r="H1024" s="1">
        <f>AVERAGEIF(Table1[Customer_ID], Table1[[#This Row],[Customer_ID]], Table1[Transaction_Amount])</f>
        <v>4495.1373999999996</v>
      </c>
      <c r="I1024" t="s">
        <v>177</v>
      </c>
      <c r="J1024" t="s">
        <v>59</v>
      </c>
      <c r="K1024" t="s">
        <v>14</v>
      </c>
      <c r="L1024">
        <v>4</v>
      </c>
      <c r="M1024" t="s">
        <v>178</v>
      </c>
      <c r="N1024" t="s">
        <v>179</v>
      </c>
      <c r="O1024" t="s">
        <v>392</v>
      </c>
      <c r="P1024" t="str">
        <f>IF(Table1[[#This Row],[Transaction_Amount]]&lt;=Table1[[#This Row],[avg_transaction_amount]], "usual transaction", "unusual transaction")</f>
        <v>unusual transaction</v>
      </c>
      <c r="Q1024" t="str">
        <f>IF(AND(Table1[[#This Row],[Country_of_Residence]]&lt;&gt;Table1[[#This Row],[Country_of_Transaction]], OR(Table1[[#This Row],[Authentication_Type]]="Biometric", Table1[[#This Row],[Authentication_Type]]="OTP")), "safe location transaction", "unsafe location transaction")</f>
        <v>unsafe location transaction</v>
      </c>
      <c r="R1024" t="str">
        <f>IF(AND(Table1[[#This Row],[Country_of_Residence]]&lt;&gt;Table1[[#This Row],[Country_of_Transaction]], OR(Table1[[#This Row],[Merchant_Category]]="Electronics", Table1[[#This Row],[Merchant_Category]]="Travel")), "unsafe merchant transaction", "safe merchant transaction")</f>
        <v>unsafe merchant transaction</v>
      </c>
    </row>
    <row r="1025" spans="1:18">
      <c r="A1025" t="s">
        <v>180</v>
      </c>
      <c r="B1025" t="s">
        <v>176</v>
      </c>
      <c r="C1025">
        <v>1</v>
      </c>
      <c r="D1025" t="s">
        <v>9</v>
      </c>
      <c r="E1025" t="s">
        <v>3</v>
      </c>
      <c r="F1025" s="2">
        <v>45815.877777777801</v>
      </c>
      <c r="G1025">
        <v>7855.5</v>
      </c>
      <c r="H1025" s="1">
        <f>AVERAGEIF(Table1[Customer_ID], Table1[[#This Row],[Customer_ID]], Table1[Transaction_Amount])</f>
        <v>4495.1373999999996</v>
      </c>
      <c r="I1025" t="s">
        <v>181</v>
      </c>
      <c r="J1025" t="s">
        <v>36</v>
      </c>
      <c r="K1025" t="s">
        <v>10</v>
      </c>
      <c r="L1025">
        <v>0</v>
      </c>
      <c r="M1025" t="s">
        <v>178</v>
      </c>
      <c r="N1025" t="s">
        <v>182</v>
      </c>
      <c r="O1025" t="s">
        <v>393</v>
      </c>
      <c r="P1025" t="str">
        <f>IF(Table1[[#This Row],[Transaction_Amount]]&lt;=Table1[[#This Row],[avg_transaction_amount]], "usual transaction", "unusual transaction")</f>
        <v>unusual transaction</v>
      </c>
      <c r="Q1025" t="str">
        <f>IF(AND(Table1[[#This Row],[Country_of_Residence]]&lt;&gt;Table1[[#This Row],[Country_of_Transaction]], OR(Table1[[#This Row],[Authentication_Type]]="Biometric", Table1[[#This Row],[Authentication_Type]]="OTP")), "safe location transaction", "unsafe location transaction")</f>
        <v>safe location transaction</v>
      </c>
      <c r="R1025" t="str">
        <f>IF(AND(Table1[[#This Row],[Country_of_Residence]]&lt;&gt;Table1[[#This Row],[Country_of_Transaction]], OR(Table1[[#This Row],[Merchant_Category]]="Electronics", Table1[[#This Row],[Merchant_Category]]="Travel")), "unsafe merchant transaction", "safe merchant transaction")</f>
        <v>safe merchant transaction</v>
      </c>
    </row>
    <row r="1026" spans="1:18">
      <c r="A1026" t="s">
        <v>2797</v>
      </c>
      <c r="B1026" t="s">
        <v>176</v>
      </c>
      <c r="C1026">
        <v>1</v>
      </c>
      <c r="D1026" t="s">
        <v>9</v>
      </c>
      <c r="E1026" t="s">
        <v>420</v>
      </c>
      <c r="F1026" s="2">
        <v>45884</v>
      </c>
      <c r="G1026">
        <v>2141.3200000000002</v>
      </c>
      <c r="H1026" s="1">
        <f>AVERAGEIF(Table1[Customer_ID], Table1[[#This Row],[Customer_ID]], Table1[Transaction_Amount])</f>
        <v>4495.1373999999996</v>
      </c>
      <c r="I1026" t="s">
        <v>447</v>
      </c>
      <c r="J1026" t="s">
        <v>41</v>
      </c>
      <c r="K1026" t="s">
        <v>8</v>
      </c>
      <c r="L1026">
        <v>5</v>
      </c>
      <c r="M1026" t="s">
        <v>42</v>
      </c>
      <c r="N1026" t="s">
        <v>32</v>
      </c>
      <c r="O1026" t="s">
        <v>393</v>
      </c>
      <c r="P1026" s="6" t="str">
        <f>IF(Table1[[#This Row],[Transaction_Amount]]&lt;=Table1[[#This Row],[avg_transaction_amount]], "usual transaction", "unusual transaction")</f>
        <v>usual transaction</v>
      </c>
      <c r="Q1026" s="6" t="str">
        <f>IF(AND(Table1[[#This Row],[Country_of_Residence]]&lt;&gt;Table1[[#This Row],[Country_of_Transaction]], OR(Table1[[#This Row],[Authentication_Type]]="Biometric", Table1[[#This Row],[Authentication_Type]]="OTP")), "safe location transaction", "unsafe location transaction")</f>
        <v>safe location transaction</v>
      </c>
      <c r="R1026" s="6" t="str">
        <f>IF(AND(Table1[[#This Row],[Country_of_Residence]]&lt;&gt;Table1[[#This Row],[Country_of_Transaction]], OR(Table1[[#This Row],[Merchant_Category]]="Electronics", Table1[[#This Row],[Merchant_Category]]="Travel")), "unsafe merchant transaction", "safe merchant transaction")</f>
        <v>safe merchant transaction</v>
      </c>
    </row>
    <row r="1027" spans="1:18">
      <c r="A1027" t="s">
        <v>2867</v>
      </c>
      <c r="B1027" t="s">
        <v>176</v>
      </c>
      <c r="C1027">
        <v>1</v>
      </c>
      <c r="D1027" t="s">
        <v>15</v>
      </c>
      <c r="E1027" t="s">
        <v>420</v>
      </c>
      <c r="F1027" s="2">
        <v>45894</v>
      </c>
      <c r="G1027">
        <v>813.47</v>
      </c>
      <c r="H1027" s="1">
        <f>AVERAGEIF(Table1[Customer_ID], Table1[[#This Row],[Customer_ID]], Table1[Transaction_Amount])</f>
        <v>4495.1373999999996</v>
      </c>
      <c r="I1027" t="s">
        <v>519</v>
      </c>
      <c r="J1027" t="s">
        <v>36</v>
      </c>
      <c r="K1027" t="s">
        <v>12</v>
      </c>
      <c r="L1027">
        <v>2</v>
      </c>
      <c r="M1027" t="s">
        <v>47</v>
      </c>
      <c r="N1027" t="s">
        <v>33</v>
      </c>
      <c r="O1027" t="s">
        <v>392</v>
      </c>
      <c r="P1027" s="6" t="str">
        <f>IF(Table1[[#This Row],[Transaction_Amount]]&lt;=Table1[[#This Row],[avg_transaction_amount]], "usual transaction", "unusual transaction")</f>
        <v>usual transaction</v>
      </c>
      <c r="Q1027" s="6" t="str">
        <f>IF(AND(Table1[[#This Row],[Country_of_Residence]]&lt;&gt;Table1[[#This Row],[Country_of_Transaction]], OR(Table1[[#This Row],[Authentication_Type]]="Biometric", Table1[[#This Row],[Authentication_Type]]="OTP")), "safe location transaction", "unsafe location transaction")</f>
        <v>unsafe location transaction</v>
      </c>
      <c r="R1027" s="6" t="str">
        <f>IF(AND(Table1[[#This Row],[Country_of_Residence]]&lt;&gt;Table1[[#This Row],[Country_of_Transaction]], OR(Table1[[#This Row],[Merchant_Category]]="Electronics", Table1[[#This Row],[Merchant_Category]]="Travel")), "unsafe merchant transaction", "safe merchant transaction")</f>
        <v>safe merchant transaction</v>
      </c>
    </row>
    <row r="1028" spans="1:18">
      <c r="A1028" t="s">
        <v>2870</v>
      </c>
      <c r="B1028" t="s">
        <v>176</v>
      </c>
      <c r="C1028">
        <v>1</v>
      </c>
      <c r="D1028" t="s">
        <v>15</v>
      </c>
      <c r="E1028" t="s">
        <v>5</v>
      </c>
      <c r="F1028" s="2">
        <v>45699</v>
      </c>
      <c r="G1028">
        <v>2557.36</v>
      </c>
      <c r="H1028" s="1">
        <f>AVERAGEIF(Table1[Customer_ID], Table1[[#This Row],[Customer_ID]], Table1[Transaction_Amount])</f>
        <v>4495.1373999999996</v>
      </c>
      <c r="I1028" t="s">
        <v>522</v>
      </c>
      <c r="J1028" t="s">
        <v>50</v>
      </c>
      <c r="K1028" t="s">
        <v>14</v>
      </c>
      <c r="L1028">
        <v>5</v>
      </c>
      <c r="M1028" t="s">
        <v>56</v>
      </c>
      <c r="N1028" t="s">
        <v>42</v>
      </c>
      <c r="O1028" t="s">
        <v>392</v>
      </c>
      <c r="P1028" s="6" t="str">
        <f>IF(Table1[[#This Row],[Transaction_Amount]]&lt;=Table1[[#This Row],[avg_transaction_amount]], "usual transaction", "unusual transaction")</f>
        <v>usual transaction</v>
      </c>
      <c r="Q1028" s="6" t="str">
        <f>IF(AND(Table1[[#This Row],[Country_of_Residence]]&lt;&gt;Table1[[#This Row],[Country_of_Transaction]], OR(Table1[[#This Row],[Authentication_Type]]="Biometric", Table1[[#This Row],[Authentication_Type]]="OTP")), "safe location transaction", "unsafe location transaction")</f>
        <v>unsafe location transaction</v>
      </c>
      <c r="R1028" s="6" t="str">
        <f>IF(AND(Table1[[#This Row],[Country_of_Residence]]&lt;&gt;Table1[[#This Row],[Country_of_Transaction]], OR(Table1[[#This Row],[Merchant_Category]]="Electronics", Table1[[#This Row],[Merchant_Category]]="Travel")), "unsafe merchant transaction", "safe merchant transaction")</f>
        <v>unsafe merchant transaction</v>
      </c>
    </row>
    <row r="1029" spans="1:18">
      <c r="A1029" t="s">
        <v>2957</v>
      </c>
      <c r="B1029" t="s">
        <v>176</v>
      </c>
      <c r="C1029">
        <v>1</v>
      </c>
      <c r="D1029" t="s">
        <v>15</v>
      </c>
      <c r="E1029" t="s">
        <v>6</v>
      </c>
      <c r="F1029" s="2">
        <v>45836</v>
      </c>
      <c r="G1029">
        <v>4188.96</v>
      </c>
      <c r="H1029" s="1">
        <f>AVERAGEIF(Table1[Customer_ID], Table1[[#This Row],[Customer_ID]], Table1[Transaction_Amount])</f>
        <v>4495.1373999999996</v>
      </c>
      <c r="I1029" t="s">
        <v>605</v>
      </c>
      <c r="J1029" t="s">
        <v>36</v>
      </c>
      <c r="K1029" t="s">
        <v>12</v>
      </c>
      <c r="L1029">
        <v>4</v>
      </c>
      <c r="M1029" t="s">
        <v>47</v>
      </c>
      <c r="N1029" t="s">
        <v>51</v>
      </c>
      <c r="O1029" t="s">
        <v>393</v>
      </c>
      <c r="P1029" s="6" t="str">
        <f>IF(Table1[[#This Row],[Transaction_Amount]]&lt;=Table1[[#This Row],[avg_transaction_amount]], "usual transaction", "unusual transaction")</f>
        <v>usual transaction</v>
      </c>
      <c r="Q1029" s="6" t="str">
        <f>IF(AND(Table1[[#This Row],[Country_of_Residence]]&lt;&gt;Table1[[#This Row],[Country_of_Transaction]], OR(Table1[[#This Row],[Authentication_Type]]="Biometric", Table1[[#This Row],[Authentication_Type]]="OTP")), "safe location transaction", "unsafe location transaction")</f>
        <v>unsafe location transaction</v>
      </c>
      <c r="R1029" s="6" t="str">
        <f>IF(AND(Table1[[#This Row],[Country_of_Residence]]&lt;&gt;Table1[[#This Row],[Country_of_Transaction]], OR(Table1[[#This Row],[Merchant_Category]]="Electronics", Table1[[#This Row],[Merchant_Category]]="Travel")), "unsafe merchant transaction", "safe merchant transaction")</f>
        <v>safe merchant transaction</v>
      </c>
    </row>
    <row r="1030" spans="1:18">
      <c r="A1030" t="s">
        <v>3121</v>
      </c>
      <c r="B1030" t="s">
        <v>176</v>
      </c>
      <c r="C1030">
        <v>1</v>
      </c>
      <c r="D1030" t="s">
        <v>9</v>
      </c>
      <c r="E1030" t="s">
        <v>420</v>
      </c>
      <c r="F1030" s="2">
        <v>45754</v>
      </c>
      <c r="G1030">
        <v>6502.15</v>
      </c>
      <c r="H1030" s="1">
        <f>AVERAGEIF(Table1[Customer_ID], Table1[[#This Row],[Customer_ID]], Table1[Transaction_Amount])</f>
        <v>4495.1373999999996</v>
      </c>
      <c r="I1030" t="s">
        <v>762</v>
      </c>
      <c r="J1030" t="s">
        <v>46</v>
      </c>
      <c r="K1030" t="s">
        <v>14</v>
      </c>
      <c r="L1030">
        <v>0</v>
      </c>
      <c r="M1030" t="s">
        <v>47</v>
      </c>
      <c r="N1030" t="s">
        <v>47</v>
      </c>
      <c r="O1030" t="s">
        <v>393</v>
      </c>
      <c r="P1030" s="6" t="str">
        <f>IF(Table1[[#This Row],[Transaction_Amount]]&lt;=Table1[[#This Row],[avg_transaction_amount]], "usual transaction", "unusual transaction")</f>
        <v>unusual transaction</v>
      </c>
      <c r="Q1030" s="6" t="str">
        <f>IF(AND(Table1[[#This Row],[Country_of_Residence]]&lt;&gt;Table1[[#This Row],[Country_of_Transaction]], OR(Table1[[#This Row],[Authentication_Type]]="Biometric", Table1[[#This Row],[Authentication_Type]]="OTP")), "safe location transaction", "unsafe location transaction")</f>
        <v>unsafe location transaction</v>
      </c>
      <c r="R1030" s="6" t="str">
        <f>IF(AND(Table1[[#This Row],[Country_of_Residence]]&lt;&gt;Table1[[#This Row],[Country_of_Transaction]], OR(Table1[[#This Row],[Merchant_Category]]="Electronics", Table1[[#This Row],[Merchant_Category]]="Travel")), "unsafe merchant transaction", "safe merchant transaction")</f>
        <v>safe merchant transaction</v>
      </c>
    </row>
    <row r="1031" spans="1:18">
      <c r="A1031" t="s">
        <v>3204</v>
      </c>
      <c r="B1031" t="s">
        <v>176</v>
      </c>
      <c r="C1031">
        <v>1</v>
      </c>
      <c r="D1031" t="s">
        <v>9</v>
      </c>
      <c r="E1031" t="s">
        <v>3</v>
      </c>
      <c r="F1031" s="2">
        <v>45707</v>
      </c>
      <c r="G1031">
        <v>9275.86</v>
      </c>
      <c r="H1031" s="1">
        <f>AVERAGEIF(Table1[Customer_ID], Table1[[#This Row],[Customer_ID]], Table1[Transaction_Amount])</f>
        <v>4495.1373999999996</v>
      </c>
      <c r="I1031" t="s">
        <v>838</v>
      </c>
      <c r="J1031" t="s">
        <v>36</v>
      </c>
      <c r="K1031" t="s">
        <v>14</v>
      </c>
      <c r="L1031">
        <v>2</v>
      </c>
      <c r="M1031" t="s">
        <v>37</v>
      </c>
      <c r="N1031" t="s">
        <v>37</v>
      </c>
      <c r="O1031" t="s">
        <v>392</v>
      </c>
      <c r="P1031" s="6" t="str">
        <f>IF(Table1[[#This Row],[Transaction_Amount]]&lt;=Table1[[#This Row],[avg_transaction_amount]], "usual transaction", "unusual transaction")</f>
        <v>unusual transaction</v>
      </c>
      <c r="Q1031" s="6" t="str">
        <f>IF(AND(Table1[[#This Row],[Country_of_Residence]]&lt;&gt;Table1[[#This Row],[Country_of_Transaction]], OR(Table1[[#This Row],[Authentication_Type]]="Biometric", Table1[[#This Row],[Authentication_Type]]="OTP")), "safe location transaction", "unsafe location transaction")</f>
        <v>unsafe location transaction</v>
      </c>
      <c r="R1031" s="6" t="str">
        <f>IF(AND(Table1[[#This Row],[Country_of_Residence]]&lt;&gt;Table1[[#This Row],[Country_of_Transaction]], OR(Table1[[#This Row],[Merchant_Category]]="Electronics", Table1[[#This Row],[Merchant_Category]]="Travel")), "unsafe merchant transaction", "safe merchant transaction")</f>
        <v>safe merchant transaction</v>
      </c>
    </row>
    <row r="1032" spans="1:18">
      <c r="A1032" t="s">
        <v>3242</v>
      </c>
      <c r="B1032" t="s">
        <v>176</v>
      </c>
      <c r="C1032">
        <v>1</v>
      </c>
      <c r="D1032" t="s">
        <v>9</v>
      </c>
      <c r="E1032" t="s">
        <v>5</v>
      </c>
      <c r="F1032" s="2">
        <v>45891</v>
      </c>
      <c r="G1032">
        <v>7709.01</v>
      </c>
      <c r="H1032" s="1">
        <f>AVERAGEIF(Table1[Customer_ID], Table1[[#This Row],[Customer_ID]], Table1[Transaction_Amount])</f>
        <v>4495.1373999999996</v>
      </c>
      <c r="I1032" t="s">
        <v>874</v>
      </c>
      <c r="J1032" t="s">
        <v>41</v>
      </c>
      <c r="K1032" t="s">
        <v>14</v>
      </c>
      <c r="L1032">
        <v>1</v>
      </c>
      <c r="M1032" t="s">
        <v>42</v>
      </c>
      <c r="N1032" t="s">
        <v>42</v>
      </c>
      <c r="O1032" t="s">
        <v>392</v>
      </c>
      <c r="P1032" s="6" t="str">
        <f>IF(Table1[[#This Row],[Transaction_Amount]]&lt;=Table1[[#This Row],[avg_transaction_amount]], "usual transaction", "unusual transaction")</f>
        <v>unusual transaction</v>
      </c>
      <c r="Q1032" s="6" t="str">
        <f>IF(AND(Table1[[#This Row],[Country_of_Residence]]&lt;&gt;Table1[[#This Row],[Country_of_Transaction]], OR(Table1[[#This Row],[Authentication_Type]]="Biometric", Table1[[#This Row],[Authentication_Type]]="OTP")), "safe location transaction", "unsafe location transaction")</f>
        <v>unsafe location transaction</v>
      </c>
      <c r="R1032" s="6" t="str">
        <f>IF(AND(Table1[[#This Row],[Country_of_Residence]]&lt;&gt;Table1[[#This Row],[Country_of_Transaction]], OR(Table1[[#This Row],[Merchant_Category]]="Electronics", Table1[[#This Row],[Merchant_Category]]="Travel")), "unsafe merchant transaction", "safe merchant transaction")</f>
        <v>safe merchant transaction</v>
      </c>
    </row>
    <row r="1033" spans="1:18">
      <c r="A1033" t="s">
        <v>3296</v>
      </c>
      <c r="B1033" t="s">
        <v>176</v>
      </c>
      <c r="C1033">
        <v>1</v>
      </c>
      <c r="D1033" t="s">
        <v>9</v>
      </c>
      <c r="E1033" t="s">
        <v>6</v>
      </c>
      <c r="F1033" s="2">
        <v>45965</v>
      </c>
      <c r="G1033">
        <v>7477.11</v>
      </c>
      <c r="H1033" s="1">
        <f>AVERAGEIF(Table1[Customer_ID], Table1[[#This Row],[Customer_ID]], Table1[Transaction_Amount])</f>
        <v>4495.1373999999996</v>
      </c>
      <c r="I1033" t="s">
        <v>924</v>
      </c>
      <c r="J1033" t="s">
        <v>46</v>
      </c>
      <c r="K1033" t="s">
        <v>8</v>
      </c>
      <c r="L1033">
        <v>1</v>
      </c>
      <c r="M1033" t="s">
        <v>56</v>
      </c>
      <c r="N1033" t="s">
        <v>42</v>
      </c>
      <c r="O1033" t="s">
        <v>392</v>
      </c>
      <c r="P1033" s="6" t="str">
        <f>IF(Table1[[#This Row],[Transaction_Amount]]&lt;=Table1[[#This Row],[avg_transaction_amount]], "usual transaction", "unusual transaction")</f>
        <v>unusual transaction</v>
      </c>
      <c r="Q1033" s="6" t="str">
        <f>IF(AND(Table1[[#This Row],[Country_of_Residence]]&lt;&gt;Table1[[#This Row],[Country_of_Transaction]], OR(Table1[[#This Row],[Authentication_Type]]="Biometric", Table1[[#This Row],[Authentication_Type]]="OTP")), "safe location transaction", "unsafe location transaction")</f>
        <v>safe location transaction</v>
      </c>
      <c r="R1033" s="6" t="str">
        <f>IF(AND(Table1[[#This Row],[Country_of_Residence]]&lt;&gt;Table1[[#This Row],[Country_of_Transaction]], OR(Table1[[#This Row],[Merchant_Category]]="Electronics", Table1[[#This Row],[Merchant_Category]]="Travel")), "unsafe merchant transaction", "safe merchant transaction")</f>
        <v>safe merchant transaction</v>
      </c>
    </row>
    <row r="1034" spans="1:18">
      <c r="A1034" t="s">
        <v>3297</v>
      </c>
      <c r="B1034" t="s">
        <v>176</v>
      </c>
      <c r="C1034">
        <v>1</v>
      </c>
      <c r="D1034" t="s">
        <v>9</v>
      </c>
      <c r="E1034" t="s">
        <v>6</v>
      </c>
      <c r="F1034" s="2">
        <v>45847</v>
      </c>
      <c r="G1034">
        <v>9762.48</v>
      </c>
      <c r="H1034" s="1">
        <f>AVERAGEIF(Table1[Customer_ID], Table1[[#This Row],[Customer_ID]], Table1[Transaction_Amount])</f>
        <v>4495.1373999999996</v>
      </c>
      <c r="I1034" t="s">
        <v>925</v>
      </c>
      <c r="J1034" t="s">
        <v>31</v>
      </c>
      <c r="K1034" t="s">
        <v>10</v>
      </c>
      <c r="L1034">
        <v>3</v>
      </c>
      <c r="M1034" t="s">
        <v>42</v>
      </c>
      <c r="N1034" t="s">
        <v>51</v>
      </c>
      <c r="O1034" t="s">
        <v>393</v>
      </c>
      <c r="P1034" s="6" t="str">
        <f>IF(Table1[[#This Row],[Transaction_Amount]]&lt;=Table1[[#This Row],[avg_transaction_amount]], "usual transaction", "unusual transaction")</f>
        <v>unusual transaction</v>
      </c>
      <c r="Q1034" s="6" t="str">
        <f>IF(AND(Table1[[#This Row],[Country_of_Residence]]&lt;&gt;Table1[[#This Row],[Country_of_Transaction]], OR(Table1[[#This Row],[Authentication_Type]]="Biometric", Table1[[#This Row],[Authentication_Type]]="OTP")), "safe location transaction", "unsafe location transaction")</f>
        <v>safe location transaction</v>
      </c>
      <c r="R1034" s="6" t="str">
        <f>IF(AND(Table1[[#This Row],[Country_of_Residence]]&lt;&gt;Table1[[#This Row],[Country_of_Transaction]], OR(Table1[[#This Row],[Merchant_Category]]="Electronics", Table1[[#This Row],[Merchant_Category]]="Travel")), "unsafe merchant transaction", "safe merchant transaction")</f>
        <v>safe merchant transaction</v>
      </c>
    </row>
    <row r="1035" spans="1:18">
      <c r="A1035" t="s">
        <v>3366</v>
      </c>
      <c r="B1035" t="s">
        <v>176</v>
      </c>
      <c r="C1035">
        <v>1</v>
      </c>
      <c r="D1035" t="s">
        <v>9</v>
      </c>
      <c r="E1035" t="s">
        <v>6</v>
      </c>
      <c r="F1035" s="2">
        <v>45964</v>
      </c>
      <c r="G1035">
        <v>8506.7999999999993</v>
      </c>
      <c r="H1035" s="1">
        <f>AVERAGEIF(Table1[Customer_ID], Table1[[#This Row],[Customer_ID]], Table1[Transaction_Amount])</f>
        <v>4495.1373999999996</v>
      </c>
      <c r="I1035" t="s">
        <v>990</v>
      </c>
      <c r="J1035" t="s">
        <v>36</v>
      </c>
      <c r="K1035" t="s">
        <v>8</v>
      </c>
      <c r="L1035">
        <v>3</v>
      </c>
      <c r="M1035" t="s">
        <v>56</v>
      </c>
      <c r="N1035" t="s">
        <v>32</v>
      </c>
      <c r="O1035" t="s">
        <v>393</v>
      </c>
      <c r="P1035" s="6" t="str">
        <f>IF(Table1[[#This Row],[Transaction_Amount]]&lt;=Table1[[#This Row],[avg_transaction_amount]], "usual transaction", "unusual transaction")</f>
        <v>unusual transaction</v>
      </c>
      <c r="Q1035" s="6" t="str">
        <f>IF(AND(Table1[[#This Row],[Country_of_Residence]]&lt;&gt;Table1[[#This Row],[Country_of_Transaction]], OR(Table1[[#This Row],[Authentication_Type]]="Biometric", Table1[[#This Row],[Authentication_Type]]="OTP")), "safe location transaction", "unsafe location transaction")</f>
        <v>safe location transaction</v>
      </c>
      <c r="R1035" s="6" t="str">
        <f>IF(AND(Table1[[#This Row],[Country_of_Residence]]&lt;&gt;Table1[[#This Row],[Country_of_Transaction]], OR(Table1[[#This Row],[Merchant_Category]]="Electronics", Table1[[#This Row],[Merchant_Category]]="Travel")), "unsafe merchant transaction", "safe merchant transaction")</f>
        <v>safe merchant transaction</v>
      </c>
    </row>
    <row r="1036" spans="1:18">
      <c r="A1036" t="s">
        <v>3374</v>
      </c>
      <c r="B1036" t="s">
        <v>176</v>
      </c>
      <c r="C1036">
        <v>1</v>
      </c>
      <c r="D1036" t="s">
        <v>15</v>
      </c>
      <c r="E1036" t="s">
        <v>5</v>
      </c>
      <c r="F1036" s="2">
        <v>45941</v>
      </c>
      <c r="G1036">
        <v>1782.76</v>
      </c>
      <c r="H1036" s="1">
        <f>AVERAGEIF(Table1[Customer_ID], Table1[[#This Row],[Customer_ID]], Table1[Transaction_Amount])</f>
        <v>4495.1373999999996</v>
      </c>
      <c r="I1036" t="s">
        <v>997</v>
      </c>
      <c r="J1036" t="s">
        <v>46</v>
      </c>
      <c r="K1036" t="s">
        <v>10</v>
      </c>
      <c r="L1036">
        <v>1</v>
      </c>
      <c r="M1036" t="s">
        <v>37</v>
      </c>
      <c r="N1036" t="s">
        <v>32</v>
      </c>
      <c r="O1036" t="s">
        <v>392</v>
      </c>
      <c r="P1036" s="6" t="str">
        <f>IF(Table1[[#This Row],[Transaction_Amount]]&lt;=Table1[[#This Row],[avg_transaction_amount]], "usual transaction", "unusual transaction")</f>
        <v>usual transaction</v>
      </c>
      <c r="Q1036" s="6" t="str">
        <f>IF(AND(Table1[[#This Row],[Country_of_Residence]]&lt;&gt;Table1[[#This Row],[Country_of_Transaction]], OR(Table1[[#This Row],[Authentication_Type]]="Biometric", Table1[[#This Row],[Authentication_Type]]="OTP")), "safe location transaction", "unsafe location transaction")</f>
        <v>safe location transaction</v>
      </c>
      <c r="R1036" s="6" t="str">
        <f>IF(AND(Table1[[#This Row],[Country_of_Residence]]&lt;&gt;Table1[[#This Row],[Country_of_Transaction]], OR(Table1[[#This Row],[Merchant_Category]]="Electronics", Table1[[#This Row],[Merchant_Category]]="Travel")), "unsafe merchant transaction", "safe merchant transaction")</f>
        <v>safe merchant transaction</v>
      </c>
    </row>
    <row r="1037" spans="1:18">
      <c r="A1037" t="s">
        <v>3478</v>
      </c>
      <c r="B1037" t="s">
        <v>176</v>
      </c>
      <c r="C1037">
        <v>1</v>
      </c>
      <c r="D1037" t="s">
        <v>9</v>
      </c>
      <c r="E1037" t="s">
        <v>6</v>
      </c>
      <c r="F1037" s="2">
        <v>45796</v>
      </c>
      <c r="G1037">
        <v>438.95</v>
      </c>
      <c r="H1037" s="1">
        <f>AVERAGEIF(Table1[Customer_ID], Table1[[#This Row],[Customer_ID]], Table1[Transaction_Amount])</f>
        <v>4495.1373999999996</v>
      </c>
      <c r="I1037" t="s">
        <v>1096</v>
      </c>
      <c r="J1037" t="s">
        <v>46</v>
      </c>
      <c r="K1037" t="s">
        <v>10</v>
      </c>
      <c r="L1037">
        <v>0</v>
      </c>
      <c r="M1037" t="s">
        <v>51</v>
      </c>
      <c r="N1037" t="s">
        <v>51</v>
      </c>
      <c r="O1037" t="s">
        <v>393</v>
      </c>
      <c r="P1037" s="6" t="str">
        <f>IF(Table1[[#This Row],[Transaction_Amount]]&lt;=Table1[[#This Row],[avg_transaction_amount]], "usual transaction", "unusual transaction")</f>
        <v>usual transaction</v>
      </c>
      <c r="Q1037" s="6" t="str">
        <f>IF(AND(Table1[[#This Row],[Country_of_Residence]]&lt;&gt;Table1[[#This Row],[Country_of_Transaction]], OR(Table1[[#This Row],[Authentication_Type]]="Biometric", Table1[[#This Row],[Authentication_Type]]="OTP")), "safe location transaction", "unsafe location transaction")</f>
        <v>unsafe location transaction</v>
      </c>
      <c r="R1037" s="6" t="str">
        <f>IF(AND(Table1[[#This Row],[Country_of_Residence]]&lt;&gt;Table1[[#This Row],[Country_of_Transaction]], OR(Table1[[#This Row],[Merchant_Category]]="Electronics", Table1[[#This Row],[Merchant_Category]]="Travel")), "unsafe merchant transaction", "safe merchant transaction")</f>
        <v>safe merchant transaction</v>
      </c>
    </row>
    <row r="1038" spans="1:18">
      <c r="A1038" t="s">
        <v>3508</v>
      </c>
      <c r="B1038" t="s">
        <v>176</v>
      </c>
      <c r="C1038">
        <v>1</v>
      </c>
      <c r="D1038" t="s">
        <v>15</v>
      </c>
      <c r="E1038" t="s">
        <v>420</v>
      </c>
      <c r="F1038" s="2">
        <v>45845</v>
      </c>
      <c r="G1038">
        <v>4039.35</v>
      </c>
      <c r="H1038" s="1">
        <f>AVERAGEIF(Table1[Customer_ID], Table1[[#This Row],[Customer_ID]], Table1[Transaction_Amount])</f>
        <v>4495.1373999999996</v>
      </c>
      <c r="I1038" t="s">
        <v>1123</v>
      </c>
      <c r="J1038" t="s">
        <v>50</v>
      </c>
      <c r="K1038" t="s">
        <v>10</v>
      </c>
      <c r="L1038">
        <v>5</v>
      </c>
      <c r="M1038" t="s">
        <v>56</v>
      </c>
      <c r="N1038" t="s">
        <v>33</v>
      </c>
      <c r="O1038" t="s">
        <v>393</v>
      </c>
      <c r="P1038" s="6" t="str">
        <f>IF(Table1[[#This Row],[Transaction_Amount]]&lt;=Table1[[#This Row],[avg_transaction_amount]], "usual transaction", "unusual transaction")</f>
        <v>usual transaction</v>
      </c>
      <c r="Q1038" s="6" t="str">
        <f>IF(AND(Table1[[#This Row],[Country_of_Residence]]&lt;&gt;Table1[[#This Row],[Country_of_Transaction]], OR(Table1[[#This Row],[Authentication_Type]]="Biometric", Table1[[#This Row],[Authentication_Type]]="OTP")), "safe location transaction", "unsafe location transaction")</f>
        <v>safe location transaction</v>
      </c>
      <c r="R1038" s="6" t="str">
        <f>IF(AND(Table1[[#This Row],[Country_of_Residence]]&lt;&gt;Table1[[#This Row],[Country_of_Transaction]], OR(Table1[[#This Row],[Merchant_Category]]="Electronics", Table1[[#This Row],[Merchant_Category]]="Travel")), "unsafe merchant transaction", "safe merchant transaction")</f>
        <v>unsafe merchant transaction</v>
      </c>
    </row>
    <row r="1039" spans="1:18">
      <c r="A1039" t="s">
        <v>3592</v>
      </c>
      <c r="B1039" t="s">
        <v>176</v>
      </c>
      <c r="C1039">
        <v>1</v>
      </c>
      <c r="D1039" t="s">
        <v>15</v>
      </c>
      <c r="E1039" t="s">
        <v>5</v>
      </c>
      <c r="F1039" s="2">
        <v>45724</v>
      </c>
      <c r="G1039">
        <v>485.01</v>
      </c>
      <c r="H1039" s="1">
        <f>AVERAGEIF(Table1[Customer_ID], Table1[[#This Row],[Customer_ID]], Table1[Transaction_Amount])</f>
        <v>4495.1373999999996</v>
      </c>
      <c r="I1039" t="s">
        <v>1201</v>
      </c>
      <c r="J1039" t="s">
        <v>36</v>
      </c>
      <c r="K1039" t="s">
        <v>10</v>
      </c>
      <c r="L1039">
        <v>5</v>
      </c>
      <c r="M1039" t="s">
        <v>32</v>
      </c>
      <c r="N1039" t="s">
        <v>32</v>
      </c>
      <c r="O1039" t="s">
        <v>393</v>
      </c>
      <c r="P1039" s="6" t="str">
        <f>IF(Table1[[#This Row],[Transaction_Amount]]&lt;=Table1[[#This Row],[avg_transaction_amount]], "usual transaction", "unusual transaction")</f>
        <v>usual transaction</v>
      </c>
      <c r="Q1039" s="6" t="str">
        <f>IF(AND(Table1[[#This Row],[Country_of_Residence]]&lt;&gt;Table1[[#This Row],[Country_of_Transaction]], OR(Table1[[#This Row],[Authentication_Type]]="Biometric", Table1[[#This Row],[Authentication_Type]]="OTP")), "safe location transaction", "unsafe location transaction")</f>
        <v>unsafe location transaction</v>
      </c>
      <c r="R1039" s="6" t="str">
        <f>IF(AND(Table1[[#This Row],[Country_of_Residence]]&lt;&gt;Table1[[#This Row],[Country_of_Transaction]], OR(Table1[[#This Row],[Merchant_Category]]="Electronics", Table1[[#This Row],[Merchant_Category]]="Travel")), "unsafe merchant transaction", "safe merchant transaction")</f>
        <v>safe merchant transaction</v>
      </c>
    </row>
    <row r="1040" spans="1:18">
      <c r="A1040" t="s">
        <v>3616</v>
      </c>
      <c r="B1040" t="s">
        <v>176</v>
      </c>
      <c r="C1040">
        <v>1</v>
      </c>
      <c r="D1040" t="s">
        <v>15</v>
      </c>
      <c r="E1040" t="s">
        <v>6</v>
      </c>
      <c r="F1040" s="2">
        <v>45679</v>
      </c>
      <c r="G1040">
        <v>3261.86</v>
      </c>
      <c r="H1040" s="1">
        <f>AVERAGEIF(Table1[Customer_ID], Table1[[#This Row],[Customer_ID]], Table1[Transaction_Amount])</f>
        <v>4495.1373999999996</v>
      </c>
      <c r="I1040" t="s">
        <v>1222</v>
      </c>
      <c r="J1040" t="s">
        <v>36</v>
      </c>
      <c r="K1040" t="s">
        <v>14</v>
      </c>
      <c r="L1040">
        <v>4</v>
      </c>
      <c r="M1040" t="s">
        <v>51</v>
      </c>
      <c r="N1040" t="s">
        <v>32</v>
      </c>
      <c r="O1040" t="s">
        <v>393</v>
      </c>
      <c r="P1040" s="6" t="str">
        <f>IF(Table1[[#This Row],[Transaction_Amount]]&lt;=Table1[[#This Row],[avg_transaction_amount]], "usual transaction", "unusual transaction")</f>
        <v>usual transaction</v>
      </c>
      <c r="Q1040" s="6" t="str">
        <f>IF(AND(Table1[[#This Row],[Country_of_Residence]]&lt;&gt;Table1[[#This Row],[Country_of_Transaction]], OR(Table1[[#This Row],[Authentication_Type]]="Biometric", Table1[[#This Row],[Authentication_Type]]="OTP")), "safe location transaction", "unsafe location transaction")</f>
        <v>unsafe location transaction</v>
      </c>
      <c r="R1040" s="6" t="str">
        <f>IF(AND(Table1[[#This Row],[Country_of_Residence]]&lt;&gt;Table1[[#This Row],[Country_of_Transaction]], OR(Table1[[#This Row],[Merchant_Category]]="Electronics", Table1[[#This Row],[Merchant_Category]]="Travel")), "unsafe merchant transaction", "safe merchant transaction")</f>
        <v>safe merchant transaction</v>
      </c>
    </row>
    <row r="1041" spans="1:18">
      <c r="A1041" t="s">
        <v>3617</v>
      </c>
      <c r="B1041" t="s">
        <v>176</v>
      </c>
      <c r="C1041">
        <v>1</v>
      </c>
      <c r="D1041" t="s">
        <v>9</v>
      </c>
      <c r="E1041" t="s">
        <v>420</v>
      </c>
      <c r="F1041" s="2">
        <v>45772</v>
      </c>
      <c r="G1041">
        <v>1697.65</v>
      </c>
      <c r="H1041" s="1">
        <f>AVERAGEIF(Table1[Customer_ID], Table1[[#This Row],[Customer_ID]], Table1[Transaction_Amount])</f>
        <v>4495.1373999999996</v>
      </c>
      <c r="I1041" t="s">
        <v>1223</v>
      </c>
      <c r="J1041" t="s">
        <v>50</v>
      </c>
      <c r="K1041" t="s">
        <v>10</v>
      </c>
      <c r="L1041">
        <v>1</v>
      </c>
      <c r="M1041" t="s">
        <v>37</v>
      </c>
      <c r="N1041" t="s">
        <v>42</v>
      </c>
      <c r="O1041" t="s">
        <v>392</v>
      </c>
      <c r="P1041" s="6" t="str">
        <f>IF(Table1[[#This Row],[Transaction_Amount]]&lt;=Table1[[#This Row],[avg_transaction_amount]], "usual transaction", "unusual transaction")</f>
        <v>usual transaction</v>
      </c>
      <c r="Q1041" s="6" t="str">
        <f>IF(AND(Table1[[#This Row],[Country_of_Residence]]&lt;&gt;Table1[[#This Row],[Country_of_Transaction]], OR(Table1[[#This Row],[Authentication_Type]]="Biometric", Table1[[#This Row],[Authentication_Type]]="OTP")), "safe location transaction", "unsafe location transaction")</f>
        <v>safe location transaction</v>
      </c>
      <c r="R1041" s="6" t="str">
        <f>IF(AND(Table1[[#This Row],[Country_of_Residence]]&lt;&gt;Table1[[#This Row],[Country_of_Transaction]], OR(Table1[[#This Row],[Merchant_Category]]="Electronics", Table1[[#This Row],[Merchant_Category]]="Travel")), "unsafe merchant transaction", "safe merchant transaction")</f>
        <v>unsafe merchant transaction</v>
      </c>
    </row>
    <row r="1042" spans="1:18">
      <c r="A1042" t="s">
        <v>3689</v>
      </c>
      <c r="B1042" t="s">
        <v>176</v>
      </c>
      <c r="C1042">
        <v>1</v>
      </c>
      <c r="D1042" t="s">
        <v>9</v>
      </c>
      <c r="E1042" t="s">
        <v>6</v>
      </c>
      <c r="F1042" s="2">
        <v>46007</v>
      </c>
      <c r="G1042">
        <v>83.21</v>
      </c>
      <c r="H1042" s="1">
        <f>AVERAGEIF(Table1[Customer_ID], Table1[[#This Row],[Customer_ID]], Table1[Transaction_Amount])</f>
        <v>4495.1373999999996</v>
      </c>
      <c r="I1042" t="s">
        <v>1289</v>
      </c>
      <c r="J1042" t="s">
        <v>41</v>
      </c>
      <c r="K1042" t="s">
        <v>8</v>
      </c>
      <c r="L1042">
        <v>3</v>
      </c>
      <c r="M1042" t="s">
        <v>56</v>
      </c>
      <c r="N1042" t="s">
        <v>55</v>
      </c>
      <c r="O1042" t="s">
        <v>392</v>
      </c>
      <c r="P1042" s="6" t="str">
        <f>IF(Table1[[#This Row],[Transaction_Amount]]&lt;=Table1[[#This Row],[avg_transaction_amount]], "usual transaction", "unusual transaction")</f>
        <v>usual transaction</v>
      </c>
      <c r="Q1042" s="6" t="str">
        <f>IF(AND(Table1[[#This Row],[Country_of_Residence]]&lt;&gt;Table1[[#This Row],[Country_of_Transaction]], OR(Table1[[#This Row],[Authentication_Type]]="Biometric", Table1[[#This Row],[Authentication_Type]]="OTP")), "safe location transaction", "unsafe location transaction")</f>
        <v>safe location transaction</v>
      </c>
      <c r="R1042" s="6" t="str">
        <f>IF(AND(Table1[[#This Row],[Country_of_Residence]]&lt;&gt;Table1[[#This Row],[Country_of_Transaction]], OR(Table1[[#This Row],[Merchant_Category]]="Electronics", Table1[[#This Row],[Merchant_Category]]="Travel")), "unsafe merchant transaction", "safe merchant transaction")</f>
        <v>safe merchant transaction</v>
      </c>
    </row>
    <row r="1043" spans="1:18">
      <c r="A1043" t="s">
        <v>3692</v>
      </c>
      <c r="B1043" t="s">
        <v>176</v>
      </c>
      <c r="C1043">
        <v>1</v>
      </c>
      <c r="D1043" t="s">
        <v>9</v>
      </c>
      <c r="E1043" t="s">
        <v>420</v>
      </c>
      <c r="F1043" s="2">
        <v>45783</v>
      </c>
      <c r="G1043">
        <v>694.89</v>
      </c>
      <c r="H1043" s="1">
        <f>AVERAGEIF(Table1[Customer_ID], Table1[[#This Row],[Customer_ID]], Table1[Transaction_Amount])</f>
        <v>4495.1373999999996</v>
      </c>
      <c r="I1043" t="s">
        <v>1291</v>
      </c>
      <c r="J1043" t="s">
        <v>46</v>
      </c>
      <c r="K1043" t="s">
        <v>12</v>
      </c>
      <c r="L1043">
        <v>3</v>
      </c>
      <c r="M1043" t="s">
        <v>33</v>
      </c>
      <c r="N1043" t="s">
        <v>32</v>
      </c>
      <c r="O1043" t="s">
        <v>393</v>
      </c>
      <c r="P1043" s="6" t="str">
        <f>IF(Table1[[#This Row],[Transaction_Amount]]&lt;=Table1[[#This Row],[avg_transaction_amount]], "usual transaction", "unusual transaction")</f>
        <v>usual transaction</v>
      </c>
      <c r="Q1043" s="6" t="str">
        <f>IF(AND(Table1[[#This Row],[Country_of_Residence]]&lt;&gt;Table1[[#This Row],[Country_of_Transaction]], OR(Table1[[#This Row],[Authentication_Type]]="Biometric", Table1[[#This Row],[Authentication_Type]]="OTP")), "safe location transaction", "unsafe location transaction")</f>
        <v>unsafe location transaction</v>
      </c>
      <c r="R1043" s="6" t="str">
        <f>IF(AND(Table1[[#This Row],[Country_of_Residence]]&lt;&gt;Table1[[#This Row],[Country_of_Transaction]], OR(Table1[[#This Row],[Merchant_Category]]="Electronics", Table1[[#This Row],[Merchant_Category]]="Travel")), "unsafe merchant transaction", "safe merchant transaction")</f>
        <v>safe merchant transaction</v>
      </c>
    </row>
    <row r="1044" spans="1:18">
      <c r="A1044" t="s">
        <v>3761</v>
      </c>
      <c r="B1044" t="s">
        <v>176</v>
      </c>
      <c r="C1044">
        <v>1</v>
      </c>
      <c r="D1044" t="s">
        <v>9</v>
      </c>
      <c r="E1044" t="s">
        <v>420</v>
      </c>
      <c r="F1044" s="2">
        <v>45870</v>
      </c>
      <c r="G1044">
        <v>2474.62</v>
      </c>
      <c r="H1044" s="1">
        <f>AVERAGEIF(Table1[Customer_ID], Table1[[#This Row],[Customer_ID]], Table1[Transaction_Amount])</f>
        <v>4495.1373999999996</v>
      </c>
      <c r="I1044" t="s">
        <v>1352</v>
      </c>
      <c r="J1044" t="s">
        <v>36</v>
      </c>
      <c r="K1044" t="s">
        <v>12</v>
      </c>
      <c r="L1044">
        <v>4</v>
      </c>
      <c r="M1044" t="s">
        <v>56</v>
      </c>
      <c r="N1044" t="s">
        <v>56</v>
      </c>
      <c r="O1044" t="s">
        <v>393</v>
      </c>
      <c r="P1044" s="6" t="str">
        <f>IF(Table1[[#This Row],[Transaction_Amount]]&lt;=Table1[[#This Row],[avg_transaction_amount]], "usual transaction", "unusual transaction")</f>
        <v>usual transaction</v>
      </c>
      <c r="Q1044" s="6" t="str">
        <f>IF(AND(Table1[[#This Row],[Country_of_Residence]]&lt;&gt;Table1[[#This Row],[Country_of_Transaction]], OR(Table1[[#This Row],[Authentication_Type]]="Biometric", Table1[[#This Row],[Authentication_Type]]="OTP")), "safe location transaction", "unsafe location transaction")</f>
        <v>unsafe location transaction</v>
      </c>
      <c r="R1044" s="6" t="str">
        <f>IF(AND(Table1[[#This Row],[Country_of_Residence]]&lt;&gt;Table1[[#This Row],[Country_of_Transaction]], OR(Table1[[#This Row],[Merchant_Category]]="Electronics", Table1[[#This Row],[Merchant_Category]]="Travel")), "unsafe merchant transaction", "safe merchant transaction")</f>
        <v>safe merchant transaction</v>
      </c>
    </row>
    <row r="1045" spans="1:18">
      <c r="A1045" t="s">
        <v>3848</v>
      </c>
      <c r="B1045" t="s">
        <v>176</v>
      </c>
      <c r="C1045">
        <v>1</v>
      </c>
      <c r="D1045" t="s">
        <v>9</v>
      </c>
      <c r="E1045" t="s">
        <v>420</v>
      </c>
      <c r="F1045" s="2">
        <v>45936</v>
      </c>
      <c r="G1045">
        <v>3672.15</v>
      </c>
      <c r="H1045" s="1">
        <f>AVERAGEIF(Table1[Customer_ID], Table1[[#This Row],[Customer_ID]], Table1[Transaction_Amount])</f>
        <v>4495.1373999999996</v>
      </c>
      <c r="I1045" t="s">
        <v>1423</v>
      </c>
      <c r="J1045" t="s">
        <v>50</v>
      </c>
      <c r="K1045" t="s">
        <v>12</v>
      </c>
      <c r="L1045">
        <v>2</v>
      </c>
      <c r="M1045" t="s">
        <v>51</v>
      </c>
      <c r="N1045" t="s">
        <v>56</v>
      </c>
      <c r="O1045" t="s">
        <v>392</v>
      </c>
      <c r="P1045" s="6" t="str">
        <f>IF(Table1[[#This Row],[Transaction_Amount]]&lt;=Table1[[#This Row],[avg_transaction_amount]], "usual transaction", "unusual transaction")</f>
        <v>usual transaction</v>
      </c>
      <c r="Q1045" s="6" t="str">
        <f>IF(AND(Table1[[#This Row],[Country_of_Residence]]&lt;&gt;Table1[[#This Row],[Country_of_Transaction]], OR(Table1[[#This Row],[Authentication_Type]]="Biometric", Table1[[#This Row],[Authentication_Type]]="OTP")), "safe location transaction", "unsafe location transaction")</f>
        <v>unsafe location transaction</v>
      </c>
      <c r="R1045" s="6" t="str">
        <f>IF(AND(Table1[[#This Row],[Country_of_Residence]]&lt;&gt;Table1[[#This Row],[Country_of_Transaction]], OR(Table1[[#This Row],[Merchant_Category]]="Electronics", Table1[[#This Row],[Merchant_Category]]="Travel")), "unsafe merchant transaction", "safe merchant transaction")</f>
        <v>unsafe merchant transaction</v>
      </c>
    </row>
    <row r="1046" spans="1:18">
      <c r="A1046" t="s">
        <v>3855</v>
      </c>
      <c r="B1046" t="s">
        <v>176</v>
      </c>
      <c r="C1046">
        <v>1</v>
      </c>
      <c r="D1046" t="s">
        <v>15</v>
      </c>
      <c r="E1046" t="s">
        <v>3</v>
      </c>
      <c r="F1046" s="2">
        <v>45787</v>
      </c>
      <c r="G1046">
        <v>1254.7</v>
      </c>
      <c r="H1046" s="1">
        <f>AVERAGEIF(Table1[Customer_ID], Table1[[#This Row],[Customer_ID]], Table1[Transaction_Amount])</f>
        <v>4495.1373999999996</v>
      </c>
      <c r="I1046" t="s">
        <v>1430</v>
      </c>
      <c r="J1046" t="s">
        <v>36</v>
      </c>
      <c r="K1046" t="s">
        <v>14</v>
      </c>
      <c r="L1046">
        <v>5</v>
      </c>
      <c r="M1046" t="s">
        <v>56</v>
      </c>
      <c r="N1046" t="s">
        <v>412</v>
      </c>
      <c r="O1046" t="s">
        <v>393</v>
      </c>
      <c r="P1046" s="6" t="str">
        <f>IF(Table1[[#This Row],[Transaction_Amount]]&lt;=Table1[[#This Row],[avg_transaction_amount]], "usual transaction", "unusual transaction")</f>
        <v>usual transaction</v>
      </c>
      <c r="Q1046" s="6" t="str">
        <f>IF(AND(Table1[[#This Row],[Country_of_Residence]]&lt;&gt;Table1[[#This Row],[Country_of_Transaction]], OR(Table1[[#This Row],[Authentication_Type]]="Biometric", Table1[[#This Row],[Authentication_Type]]="OTP")), "safe location transaction", "unsafe location transaction")</f>
        <v>unsafe location transaction</v>
      </c>
      <c r="R1046" s="6" t="str">
        <f>IF(AND(Table1[[#This Row],[Country_of_Residence]]&lt;&gt;Table1[[#This Row],[Country_of_Transaction]], OR(Table1[[#This Row],[Merchant_Category]]="Electronics", Table1[[#This Row],[Merchant_Category]]="Travel")), "unsafe merchant transaction", "safe merchant transaction")</f>
        <v>safe merchant transaction</v>
      </c>
    </row>
    <row r="1047" spans="1:18">
      <c r="A1047" t="s">
        <v>3890</v>
      </c>
      <c r="B1047" t="s">
        <v>176</v>
      </c>
      <c r="C1047">
        <v>1</v>
      </c>
      <c r="D1047" t="s">
        <v>15</v>
      </c>
      <c r="E1047" t="s">
        <v>6</v>
      </c>
      <c r="F1047" s="2">
        <v>45867</v>
      </c>
      <c r="G1047">
        <v>1459.26</v>
      </c>
      <c r="H1047" s="1">
        <f>AVERAGEIF(Table1[Customer_ID], Table1[[#This Row],[Customer_ID]], Table1[Transaction_Amount])</f>
        <v>4495.1373999999996</v>
      </c>
      <c r="I1047" t="s">
        <v>1458</v>
      </c>
      <c r="J1047" t="s">
        <v>41</v>
      </c>
      <c r="K1047" t="s">
        <v>10</v>
      </c>
      <c r="L1047">
        <v>1</v>
      </c>
      <c r="M1047" t="s">
        <v>32</v>
      </c>
      <c r="N1047" t="s">
        <v>412</v>
      </c>
      <c r="O1047" t="s">
        <v>392</v>
      </c>
      <c r="P1047" s="6" t="str">
        <f>IF(Table1[[#This Row],[Transaction_Amount]]&lt;=Table1[[#This Row],[avg_transaction_amount]], "usual transaction", "unusual transaction")</f>
        <v>usual transaction</v>
      </c>
      <c r="Q1047" s="6" t="str">
        <f>IF(AND(Table1[[#This Row],[Country_of_Residence]]&lt;&gt;Table1[[#This Row],[Country_of_Transaction]], OR(Table1[[#This Row],[Authentication_Type]]="Biometric", Table1[[#This Row],[Authentication_Type]]="OTP")), "safe location transaction", "unsafe location transaction")</f>
        <v>safe location transaction</v>
      </c>
      <c r="R1047" s="6" t="str">
        <f>IF(AND(Table1[[#This Row],[Country_of_Residence]]&lt;&gt;Table1[[#This Row],[Country_of_Transaction]], OR(Table1[[#This Row],[Merchant_Category]]="Electronics", Table1[[#This Row],[Merchant_Category]]="Travel")), "unsafe merchant transaction", "safe merchant transaction")</f>
        <v>safe merchant transaction</v>
      </c>
    </row>
    <row r="1048" spans="1:18">
      <c r="A1048" t="s">
        <v>3891</v>
      </c>
      <c r="B1048" t="s">
        <v>176</v>
      </c>
      <c r="C1048">
        <v>1</v>
      </c>
      <c r="D1048" t="s">
        <v>15</v>
      </c>
      <c r="E1048" t="s">
        <v>6</v>
      </c>
      <c r="F1048" s="2">
        <v>45666</v>
      </c>
      <c r="G1048">
        <v>5501.99</v>
      </c>
      <c r="H1048" s="1">
        <f>AVERAGEIF(Table1[Customer_ID], Table1[[#This Row],[Customer_ID]], Table1[Transaction_Amount])</f>
        <v>4495.1373999999996</v>
      </c>
      <c r="I1048" t="s">
        <v>1459</v>
      </c>
      <c r="J1048" t="s">
        <v>31</v>
      </c>
      <c r="K1048" t="s">
        <v>10</v>
      </c>
      <c r="L1048">
        <v>2</v>
      </c>
      <c r="M1048" t="s">
        <v>42</v>
      </c>
      <c r="N1048" t="s">
        <v>33</v>
      </c>
      <c r="O1048" t="s">
        <v>392</v>
      </c>
      <c r="P1048" s="6" t="str">
        <f>IF(Table1[[#This Row],[Transaction_Amount]]&lt;=Table1[[#This Row],[avg_transaction_amount]], "usual transaction", "unusual transaction")</f>
        <v>unusual transaction</v>
      </c>
      <c r="Q1048" s="6" t="str">
        <f>IF(AND(Table1[[#This Row],[Country_of_Residence]]&lt;&gt;Table1[[#This Row],[Country_of_Transaction]], OR(Table1[[#This Row],[Authentication_Type]]="Biometric", Table1[[#This Row],[Authentication_Type]]="OTP")), "safe location transaction", "unsafe location transaction")</f>
        <v>safe location transaction</v>
      </c>
      <c r="R1048" s="6" t="str">
        <f>IF(AND(Table1[[#This Row],[Country_of_Residence]]&lt;&gt;Table1[[#This Row],[Country_of_Transaction]], OR(Table1[[#This Row],[Merchant_Category]]="Electronics", Table1[[#This Row],[Merchant_Category]]="Travel")), "unsafe merchant transaction", "safe merchant transaction")</f>
        <v>safe merchant transaction</v>
      </c>
    </row>
    <row r="1049" spans="1:18">
      <c r="A1049" t="s">
        <v>3917</v>
      </c>
      <c r="B1049" t="s">
        <v>176</v>
      </c>
      <c r="C1049">
        <v>1</v>
      </c>
      <c r="D1049" t="s">
        <v>15</v>
      </c>
      <c r="E1049" t="s">
        <v>420</v>
      </c>
      <c r="F1049" s="2">
        <v>45880</v>
      </c>
      <c r="G1049">
        <v>7715.15</v>
      </c>
      <c r="H1049" s="1">
        <f>AVERAGEIF(Table1[Customer_ID], Table1[[#This Row],[Customer_ID]], Table1[Transaction_Amount])</f>
        <v>4495.1373999999996</v>
      </c>
      <c r="I1049" t="s">
        <v>1482</v>
      </c>
      <c r="J1049" t="s">
        <v>41</v>
      </c>
      <c r="K1049" t="s">
        <v>14</v>
      </c>
      <c r="L1049">
        <v>5</v>
      </c>
      <c r="M1049" t="s">
        <v>55</v>
      </c>
      <c r="N1049" t="s">
        <v>47</v>
      </c>
      <c r="O1049" t="s">
        <v>392</v>
      </c>
      <c r="P1049" s="6" t="str">
        <f>IF(Table1[[#This Row],[Transaction_Amount]]&lt;=Table1[[#This Row],[avg_transaction_amount]], "usual transaction", "unusual transaction")</f>
        <v>unusual transaction</v>
      </c>
      <c r="Q1049" s="6" t="str">
        <f>IF(AND(Table1[[#This Row],[Country_of_Residence]]&lt;&gt;Table1[[#This Row],[Country_of_Transaction]], OR(Table1[[#This Row],[Authentication_Type]]="Biometric", Table1[[#This Row],[Authentication_Type]]="OTP")), "safe location transaction", "unsafe location transaction")</f>
        <v>unsafe location transaction</v>
      </c>
      <c r="R1049" s="6" t="str">
        <f>IF(AND(Table1[[#This Row],[Country_of_Residence]]&lt;&gt;Table1[[#This Row],[Country_of_Transaction]], OR(Table1[[#This Row],[Merchant_Category]]="Electronics", Table1[[#This Row],[Merchant_Category]]="Travel")), "unsafe merchant transaction", "safe merchant transaction")</f>
        <v>safe merchant transaction</v>
      </c>
    </row>
    <row r="1050" spans="1:18">
      <c r="A1050" t="s">
        <v>4070</v>
      </c>
      <c r="B1050" t="s">
        <v>176</v>
      </c>
      <c r="C1050">
        <v>1</v>
      </c>
      <c r="D1050" t="s">
        <v>15</v>
      </c>
      <c r="E1050" t="s">
        <v>5</v>
      </c>
      <c r="F1050" s="2">
        <v>45821</v>
      </c>
      <c r="G1050">
        <v>5333.92</v>
      </c>
      <c r="H1050" s="1">
        <f>AVERAGEIF(Table1[Customer_ID], Table1[[#This Row],[Customer_ID]], Table1[Transaction_Amount])</f>
        <v>4495.1373999999996</v>
      </c>
      <c r="I1050" t="s">
        <v>1403</v>
      </c>
      <c r="J1050" t="s">
        <v>31</v>
      </c>
      <c r="K1050" t="s">
        <v>12</v>
      </c>
      <c r="L1050">
        <v>5</v>
      </c>
      <c r="M1050" t="s">
        <v>37</v>
      </c>
      <c r="N1050" t="s">
        <v>412</v>
      </c>
      <c r="O1050" t="s">
        <v>392</v>
      </c>
      <c r="P1050" s="6" t="str">
        <f>IF(Table1[[#This Row],[Transaction_Amount]]&lt;=Table1[[#This Row],[avg_transaction_amount]], "usual transaction", "unusual transaction")</f>
        <v>unusual transaction</v>
      </c>
      <c r="Q1050" s="6" t="str">
        <f>IF(AND(Table1[[#This Row],[Country_of_Residence]]&lt;&gt;Table1[[#This Row],[Country_of_Transaction]], OR(Table1[[#This Row],[Authentication_Type]]="Biometric", Table1[[#This Row],[Authentication_Type]]="OTP")), "safe location transaction", "unsafe location transaction")</f>
        <v>unsafe location transaction</v>
      </c>
      <c r="R1050" s="6" t="str">
        <f>IF(AND(Table1[[#This Row],[Country_of_Residence]]&lt;&gt;Table1[[#This Row],[Country_of_Transaction]], OR(Table1[[#This Row],[Merchant_Category]]="Electronics", Table1[[#This Row],[Merchant_Category]]="Travel")), "unsafe merchant transaction", "safe merchant transaction")</f>
        <v>safe merchant transaction</v>
      </c>
    </row>
    <row r="1051" spans="1:18">
      <c r="A1051" t="s">
        <v>4131</v>
      </c>
      <c r="B1051" t="s">
        <v>176</v>
      </c>
      <c r="C1051">
        <v>1</v>
      </c>
      <c r="D1051" t="s">
        <v>9</v>
      </c>
      <c r="E1051" t="s">
        <v>5</v>
      </c>
      <c r="F1051" s="2">
        <v>45990</v>
      </c>
      <c r="G1051">
        <v>664.03</v>
      </c>
      <c r="H1051" s="1">
        <f>AVERAGEIF(Table1[Customer_ID], Table1[[#This Row],[Customer_ID]], Table1[Transaction_Amount])</f>
        <v>4495.1373999999996</v>
      </c>
      <c r="I1051" t="s">
        <v>1663</v>
      </c>
      <c r="J1051" t="s">
        <v>41</v>
      </c>
      <c r="K1051" t="s">
        <v>10</v>
      </c>
      <c r="L1051">
        <v>3</v>
      </c>
      <c r="M1051" t="s">
        <v>37</v>
      </c>
      <c r="N1051" t="s">
        <v>56</v>
      </c>
      <c r="O1051" t="s">
        <v>392</v>
      </c>
      <c r="P1051" s="6" t="str">
        <f>IF(Table1[[#This Row],[Transaction_Amount]]&lt;=Table1[[#This Row],[avg_transaction_amount]], "usual transaction", "unusual transaction")</f>
        <v>usual transaction</v>
      </c>
      <c r="Q1051" s="6" t="str">
        <f>IF(AND(Table1[[#This Row],[Country_of_Residence]]&lt;&gt;Table1[[#This Row],[Country_of_Transaction]], OR(Table1[[#This Row],[Authentication_Type]]="Biometric", Table1[[#This Row],[Authentication_Type]]="OTP")), "safe location transaction", "unsafe location transaction")</f>
        <v>safe location transaction</v>
      </c>
      <c r="R1051" s="6" t="str">
        <f>IF(AND(Table1[[#This Row],[Country_of_Residence]]&lt;&gt;Table1[[#This Row],[Country_of_Transaction]], OR(Table1[[#This Row],[Merchant_Category]]="Electronics", Table1[[#This Row],[Merchant_Category]]="Travel")), "unsafe merchant transaction", "safe merchant transaction")</f>
        <v>safe merchant transaction</v>
      </c>
    </row>
    <row r="1052" spans="1:18">
      <c r="A1052" t="s">
        <v>4136</v>
      </c>
      <c r="B1052" t="s">
        <v>176</v>
      </c>
      <c r="C1052">
        <v>1</v>
      </c>
      <c r="D1052" t="s">
        <v>9</v>
      </c>
      <c r="E1052" t="s">
        <v>6</v>
      </c>
      <c r="F1052" s="2">
        <v>45856</v>
      </c>
      <c r="G1052">
        <v>5561.91</v>
      </c>
      <c r="H1052" s="1">
        <f>AVERAGEIF(Table1[Customer_ID], Table1[[#This Row],[Customer_ID]], Table1[Transaction_Amount])</f>
        <v>4495.1373999999996</v>
      </c>
      <c r="I1052" t="s">
        <v>1668</v>
      </c>
      <c r="J1052" t="s">
        <v>31</v>
      </c>
      <c r="K1052" t="s">
        <v>12</v>
      </c>
      <c r="L1052">
        <v>4</v>
      </c>
      <c r="M1052" t="s">
        <v>56</v>
      </c>
      <c r="N1052" t="s">
        <v>33</v>
      </c>
      <c r="O1052" t="s">
        <v>392</v>
      </c>
      <c r="P1052" s="6" t="str">
        <f>IF(Table1[[#This Row],[Transaction_Amount]]&lt;=Table1[[#This Row],[avg_transaction_amount]], "usual transaction", "unusual transaction")</f>
        <v>unusual transaction</v>
      </c>
      <c r="Q1052" s="6" t="str">
        <f>IF(AND(Table1[[#This Row],[Country_of_Residence]]&lt;&gt;Table1[[#This Row],[Country_of_Transaction]], OR(Table1[[#This Row],[Authentication_Type]]="Biometric", Table1[[#This Row],[Authentication_Type]]="OTP")), "safe location transaction", "unsafe location transaction")</f>
        <v>unsafe location transaction</v>
      </c>
      <c r="R1052" s="6" t="str">
        <f>IF(AND(Table1[[#This Row],[Country_of_Residence]]&lt;&gt;Table1[[#This Row],[Country_of_Transaction]], OR(Table1[[#This Row],[Merchant_Category]]="Electronics", Table1[[#This Row],[Merchant_Category]]="Travel")), "unsafe merchant transaction", "safe merchant transaction")</f>
        <v>safe merchant transaction</v>
      </c>
    </row>
    <row r="1053" spans="1:18">
      <c r="A1053" t="s">
        <v>4243</v>
      </c>
      <c r="B1053" t="s">
        <v>176</v>
      </c>
      <c r="C1053">
        <v>1</v>
      </c>
      <c r="D1053" t="s">
        <v>15</v>
      </c>
      <c r="E1053" t="s">
        <v>5</v>
      </c>
      <c r="F1053" s="2">
        <v>45764</v>
      </c>
      <c r="G1053">
        <v>690.89</v>
      </c>
      <c r="H1053" s="1">
        <f>AVERAGEIF(Table1[Customer_ID], Table1[[#This Row],[Customer_ID]], Table1[Transaction_Amount])</f>
        <v>4495.1373999999996</v>
      </c>
      <c r="I1053" t="s">
        <v>1758</v>
      </c>
      <c r="J1053" t="s">
        <v>46</v>
      </c>
      <c r="K1053" t="s">
        <v>12</v>
      </c>
      <c r="L1053">
        <v>4</v>
      </c>
      <c r="M1053" t="s">
        <v>51</v>
      </c>
      <c r="N1053" t="s">
        <v>412</v>
      </c>
      <c r="O1053" t="s">
        <v>392</v>
      </c>
      <c r="P1053" s="6" t="str">
        <f>IF(Table1[[#This Row],[Transaction_Amount]]&lt;=Table1[[#This Row],[avg_transaction_amount]], "usual transaction", "unusual transaction")</f>
        <v>usual transaction</v>
      </c>
      <c r="Q1053" s="6" t="str">
        <f>IF(AND(Table1[[#This Row],[Country_of_Residence]]&lt;&gt;Table1[[#This Row],[Country_of_Transaction]], OR(Table1[[#This Row],[Authentication_Type]]="Biometric", Table1[[#This Row],[Authentication_Type]]="OTP")), "safe location transaction", "unsafe location transaction")</f>
        <v>unsafe location transaction</v>
      </c>
      <c r="R1053" s="6" t="str">
        <f>IF(AND(Table1[[#This Row],[Country_of_Residence]]&lt;&gt;Table1[[#This Row],[Country_of_Transaction]], OR(Table1[[#This Row],[Merchant_Category]]="Electronics", Table1[[#This Row],[Merchant_Category]]="Travel")), "unsafe merchant transaction", "safe merchant transaction")</f>
        <v>safe merchant transaction</v>
      </c>
    </row>
    <row r="1054" spans="1:18">
      <c r="A1054" t="s">
        <v>4530</v>
      </c>
      <c r="B1054" t="s">
        <v>176</v>
      </c>
      <c r="C1054">
        <v>1</v>
      </c>
      <c r="D1054" t="s">
        <v>15</v>
      </c>
      <c r="E1054" t="s">
        <v>6</v>
      </c>
      <c r="F1054" s="2">
        <v>45879</v>
      </c>
      <c r="G1054">
        <v>9847.58</v>
      </c>
      <c r="H1054" s="1">
        <f>AVERAGEIF(Table1[Customer_ID], Table1[[#This Row],[Customer_ID]], Table1[Transaction_Amount])</f>
        <v>4495.1373999999996</v>
      </c>
      <c r="I1054" t="s">
        <v>2009</v>
      </c>
      <c r="J1054" t="s">
        <v>46</v>
      </c>
      <c r="K1054" t="s">
        <v>8</v>
      </c>
      <c r="L1054">
        <v>3</v>
      </c>
      <c r="M1054" t="s">
        <v>47</v>
      </c>
      <c r="N1054" t="s">
        <v>47</v>
      </c>
      <c r="O1054" t="s">
        <v>392</v>
      </c>
      <c r="P1054" s="6" t="str">
        <f>IF(Table1[[#This Row],[Transaction_Amount]]&lt;=Table1[[#This Row],[avg_transaction_amount]], "usual transaction", "unusual transaction")</f>
        <v>unusual transaction</v>
      </c>
      <c r="Q1054" s="6" t="str">
        <f>IF(AND(Table1[[#This Row],[Country_of_Residence]]&lt;&gt;Table1[[#This Row],[Country_of_Transaction]], OR(Table1[[#This Row],[Authentication_Type]]="Biometric", Table1[[#This Row],[Authentication_Type]]="OTP")), "safe location transaction", "unsafe location transaction")</f>
        <v>unsafe location transaction</v>
      </c>
      <c r="R1054" s="6" t="str">
        <f>IF(AND(Table1[[#This Row],[Country_of_Residence]]&lt;&gt;Table1[[#This Row],[Country_of_Transaction]], OR(Table1[[#This Row],[Merchant_Category]]="Electronics", Table1[[#This Row],[Merchant_Category]]="Travel")), "unsafe merchant transaction", "safe merchant transaction")</f>
        <v>safe merchant transaction</v>
      </c>
    </row>
    <row r="1055" spans="1:18">
      <c r="A1055" t="s">
        <v>4537</v>
      </c>
      <c r="B1055" t="s">
        <v>176</v>
      </c>
      <c r="C1055">
        <v>1</v>
      </c>
      <c r="D1055" t="s">
        <v>15</v>
      </c>
      <c r="E1055" t="s">
        <v>6</v>
      </c>
      <c r="F1055" s="2">
        <v>45871</v>
      </c>
      <c r="G1055">
        <v>5992.29</v>
      </c>
      <c r="H1055" s="1">
        <f>AVERAGEIF(Table1[Customer_ID], Table1[[#This Row],[Customer_ID]], Table1[Transaction_Amount])</f>
        <v>4495.1373999999996</v>
      </c>
      <c r="I1055" t="s">
        <v>2016</v>
      </c>
      <c r="J1055" t="s">
        <v>46</v>
      </c>
      <c r="K1055" t="s">
        <v>12</v>
      </c>
      <c r="L1055">
        <v>1</v>
      </c>
      <c r="M1055" t="s">
        <v>55</v>
      </c>
      <c r="N1055" t="s">
        <v>37</v>
      </c>
      <c r="O1055" t="s">
        <v>393</v>
      </c>
      <c r="P1055" s="6" t="str">
        <f>IF(Table1[[#This Row],[Transaction_Amount]]&lt;=Table1[[#This Row],[avg_transaction_amount]], "usual transaction", "unusual transaction")</f>
        <v>unusual transaction</v>
      </c>
      <c r="Q1055" s="6" t="str">
        <f>IF(AND(Table1[[#This Row],[Country_of_Residence]]&lt;&gt;Table1[[#This Row],[Country_of_Transaction]], OR(Table1[[#This Row],[Authentication_Type]]="Biometric", Table1[[#This Row],[Authentication_Type]]="OTP")), "safe location transaction", "unsafe location transaction")</f>
        <v>unsafe location transaction</v>
      </c>
      <c r="R1055" s="6" t="str">
        <f>IF(AND(Table1[[#This Row],[Country_of_Residence]]&lt;&gt;Table1[[#This Row],[Country_of_Transaction]], OR(Table1[[#This Row],[Merchant_Category]]="Electronics", Table1[[#This Row],[Merchant_Category]]="Travel")), "unsafe merchant transaction", "safe merchant transaction")</f>
        <v>safe merchant transaction</v>
      </c>
    </row>
    <row r="1056" spans="1:18">
      <c r="A1056" t="s">
        <v>4560</v>
      </c>
      <c r="B1056" t="s">
        <v>176</v>
      </c>
      <c r="C1056">
        <v>1</v>
      </c>
      <c r="D1056" t="s">
        <v>9</v>
      </c>
      <c r="E1056" t="s">
        <v>5</v>
      </c>
      <c r="F1056" s="2">
        <v>45946</v>
      </c>
      <c r="G1056">
        <v>7800.45</v>
      </c>
      <c r="H1056" s="1">
        <f>AVERAGEIF(Table1[Customer_ID], Table1[[#This Row],[Customer_ID]], Table1[Transaction_Amount])</f>
        <v>4495.1373999999996</v>
      </c>
      <c r="I1056" t="s">
        <v>2036</v>
      </c>
      <c r="J1056" t="s">
        <v>41</v>
      </c>
      <c r="K1056" t="s">
        <v>10</v>
      </c>
      <c r="L1056">
        <v>3</v>
      </c>
      <c r="M1056" t="s">
        <v>42</v>
      </c>
      <c r="N1056" t="s">
        <v>55</v>
      </c>
      <c r="O1056" t="s">
        <v>392</v>
      </c>
      <c r="P1056" s="6" t="str">
        <f>IF(Table1[[#This Row],[Transaction_Amount]]&lt;=Table1[[#This Row],[avg_transaction_amount]], "usual transaction", "unusual transaction")</f>
        <v>unusual transaction</v>
      </c>
      <c r="Q1056" s="6" t="str">
        <f>IF(AND(Table1[[#This Row],[Country_of_Residence]]&lt;&gt;Table1[[#This Row],[Country_of_Transaction]], OR(Table1[[#This Row],[Authentication_Type]]="Biometric", Table1[[#This Row],[Authentication_Type]]="OTP")), "safe location transaction", "unsafe location transaction")</f>
        <v>safe location transaction</v>
      </c>
      <c r="R1056" s="6" t="str">
        <f>IF(AND(Table1[[#This Row],[Country_of_Residence]]&lt;&gt;Table1[[#This Row],[Country_of_Transaction]], OR(Table1[[#This Row],[Merchant_Category]]="Electronics", Table1[[#This Row],[Merchant_Category]]="Travel")), "unsafe merchant transaction", "safe merchant transaction")</f>
        <v>safe merchant transaction</v>
      </c>
    </row>
    <row r="1057" spans="1:18">
      <c r="A1057" t="s">
        <v>4613</v>
      </c>
      <c r="B1057" t="s">
        <v>176</v>
      </c>
      <c r="C1057">
        <v>1</v>
      </c>
      <c r="D1057" t="s">
        <v>15</v>
      </c>
      <c r="E1057" t="s">
        <v>3</v>
      </c>
      <c r="F1057" s="2">
        <v>45870</v>
      </c>
      <c r="G1057">
        <v>5676.79</v>
      </c>
      <c r="H1057" s="1">
        <f>AVERAGEIF(Table1[Customer_ID], Table1[[#This Row],[Customer_ID]], Table1[Transaction_Amount])</f>
        <v>4495.1373999999996</v>
      </c>
      <c r="I1057" t="s">
        <v>2077</v>
      </c>
      <c r="J1057" t="s">
        <v>46</v>
      </c>
      <c r="K1057" t="s">
        <v>10</v>
      </c>
      <c r="L1057">
        <v>0</v>
      </c>
      <c r="M1057" t="s">
        <v>56</v>
      </c>
      <c r="N1057" t="s">
        <v>33</v>
      </c>
      <c r="O1057" t="s">
        <v>392</v>
      </c>
      <c r="P1057" s="6" t="str">
        <f>IF(Table1[[#This Row],[Transaction_Amount]]&lt;=Table1[[#This Row],[avg_transaction_amount]], "usual transaction", "unusual transaction")</f>
        <v>unusual transaction</v>
      </c>
      <c r="Q1057" s="6" t="str">
        <f>IF(AND(Table1[[#This Row],[Country_of_Residence]]&lt;&gt;Table1[[#This Row],[Country_of_Transaction]], OR(Table1[[#This Row],[Authentication_Type]]="Biometric", Table1[[#This Row],[Authentication_Type]]="OTP")), "safe location transaction", "unsafe location transaction")</f>
        <v>safe location transaction</v>
      </c>
      <c r="R1057" s="6" t="str">
        <f>IF(AND(Table1[[#This Row],[Country_of_Residence]]&lt;&gt;Table1[[#This Row],[Country_of_Transaction]], OR(Table1[[#This Row],[Merchant_Category]]="Electronics", Table1[[#This Row],[Merchant_Category]]="Travel")), "unsafe merchant transaction", "safe merchant transaction")</f>
        <v>safe merchant transaction</v>
      </c>
    </row>
    <row r="1058" spans="1:18">
      <c r="A1058" t="s">
        <v>4643</v>
      </c>
      <c r="B1058" t="s">
        <v>176</v>
      </c>
      <c r="C1058">
        <v>1</v>
      </c>
      <c r="D1058" t="s">
        <v>9</v>
      </c>
      <c r="E1058" t="s">
        <v>5</v>
      </c>
      <c r="F1058" s="2">
        <v>45979</v>
      </c>
      <c r="G1058">
        <v>4721.83</v>
      </c>
      <c r="H1058" s="1">
        <f>AVERAGEIF(Table1[Customer_ID], Table1[[#This Row],[Customer_ID]], Table1[Transaction_Amount])</f>
        <v>4495.1373999999996</v>
      </c>
      <c r="I1058" t="s">
        <v>2104</v>
      </c>
      <c r="J1058" t="s">
        <v>46</v>
      </c>
      <c r="K1058" t="s">
        <v>10</v>
      </c>
      <c r="L1058">
        <v>5</v>
      </c>
      <c r="M1058" t="s">
        <v>33</v>
      </c>
      <c r="N1058" t="s">
        <v>33</v>
      </c>
      <c r="O1058" t="s">
        <v>392</v>
      </c>
      <c r="P1058" s="6" t="str">
        <f>IF(Table1[[#This Row],[Transaction_Amount]]&lt;=Table1[[#This Row],[avg_transaction_amount]], "usual transaction", "unusual transaction")</f>
        <v>unusual transaction</v>
      </c>
      <c r="Q1058" s="6" t="str">
        <f>IF(AND(Table1[[#This Row],[Country_of_Residence]]&lt;&gt;Table1[[#This Row],[Country_of_Transaction]], OR(Table1[[#This Row],[Authentication_Type]]="Biometric", Table1[[#This Row],[Authentication_Type]]="OTP")), "safe location transaction", "unsafe location transaction")</f>
        <v>unsafe location transaction</v>
      </c>
      <c r="R1058" s="6" t="str">
        <f>IF(AND(Table1[[#This Row],[Country_of_Residence]]&lt;&gt;Table1[[#This Row],[Country_of_Transaction]], OR(Table1[[#This Row],[Merchant_Category]]="Electronics", Table1[[#This Row],[Merchant_Category]]="Travel")), "unsafe merchant transaction", "safe merchant transaction")</f>
        <v>safe merchant transaction</v>
      </c>
    </row>
    <row r="1059" spans="1:18">
      <c r="A1059" t="s">
        <v>4685</v>
      </c>
      <c r="B1059" t="s">
        <v>176</v>
      </c>
      <c r="C1059">
        <v>1</v>
      </c>
      <c r="D1059" t="s">
        <v>9</v>
      </c>
      <c r="E1059" t="s">
        <v>420</v>
      </c>
      <c r="F1059" s="2">
        <v>45855</v>
      </c>
      <c r="G1059">
        <v>661.29</v>
      </c>
      <c r="H1059" s="1">
        <f>AVERAGEIF(Table1[Customer_ID], Table1[[#This Row],[Customer_ID]], Table1[Transaction_Amount])</f>
        <v>4495.1373999999996</v>
      </c>
      <c r="I1059" t="s">
        <v>1541</v>
      </c>
      <c r="J1059" t="s">
        <v>31</v>
      </c>
      <c r="K1059" t="s">
        <v>12</v>
      </c>
      <c r="L1059">
        <v>2</v>
      </c>
      <c r="M1059" t="s">
        <v>55</v>
      </c>
      <c r="N1059" t="s">
        <v>33</v>
      </c>
      <c r="O1059" t="s">
        <v>392</v>
      </c>
      <c r="P1059" s="6" t="str">
        <f>IF(Table1[[#This Row],[Transaction_Amount]]&lt;=Table1[[#This Row],[avg_transaction_amount]], "usual transaction", "unusual transaction")</f>
        <v>usual transaction</v>
      </c>
      <c r="Q1059" s="6" t="str">
        <f>IF(AND(Table1[[#This Row],[Country_of_Residence]]&lt;&gt;Table1[[#This Row],[Country_of_Transaction]], OR(Table1[[#This Row],[Authentication_Type]]="Biometric", Table1[[#This Row],[Authentication_Type]]="OTP")), "safe location transaction", "unsafe location transaction")</f>
        <v>unsafe location transaction</v>
      </c>
      <c r="R1059" s="6" t="str">
        <f>IF(AND(Table1[[#This Row],[Country_of_Residence]]&lt;&gt;Table1[[#This Row],[Country_of_Transaction]], OR(Table1[[#This Row],[Merchant_Category]]="Electronics", Table1[[#This Row],[Merchant_Category]]="Travel")), "unsafe merchant transaction", "safe merchant transaction")</f>
        <v>safe merchant transaction</v>
      </c>
    </row>
    <row r="1060" spans="1:18">
      <c r="A1060" t="s">
        <v>4840</v>
      </c>
      <c r="B1060" t="s">
        <v>176</v>
      </c>
      <c r="C1060">
        <v>1</v>
      </c>
      <c r="D1060" t="s">
        <v>15</v>
      </c>
      <c r="E1060" t="s">
        <v>3</v>
      </c>
      <c r="F1060" s="2">
        <v>45682</v>
      </c>
      <c r="G1060">
        <v>152.11000000000001</v>
      </c>
      <c r="H1060" s="1">
        <f>AVERAGEIF(Table1[Customer_ID], Table1[[#This Row],[Customer_ID]], Table1[Transaction_Amount])</f>
        <v>4495.1373999999996</v>
      </c>
      <c r="I1060" t="s">
        <v>2254</v>
      </c>
      <c r="J1060" t="s">
        <v>50</v>
      </c>
      <c r="K1060" t="s">
        <v>14</v>
      </c>
      <c r="L1060">
        <v>5</v>
      </c>
      <c r="M1060" t="s">
        <v>51</v>
      </c>
      <c r="N1060" t="s">
        <v>51</v>
      </c>
      <c r="O1060" t="s">
        <v>393</v>
      </c>
      <c r="P1060" s="6" t="str">
        <f>IF(Table1[[#This Row],[Transaction_Amount]]&lt;=Table1[[#This Row],[avg_transaction_amount]], "usual transaction", "unusual transaction")</f>
        <v>usual transaction</v>
      </c>
      <c r="Q1060" s="6" t="str">
        <f>IF(AND(Table1[[#This Row],[Country_of_Residence]]&lt;&gt;Table1[[#This Row],[Country_of_Transaction]], OR(Table1[[#This Row],[Authentication_Type]]="Biometric", Table1[[#This Row],[Authentication_Type]]="OTP")), "safe location transaction", "unsafe location transaction")</f>
        <v>unsafe location transaction</v>
      </c>
      <c r="R1060" s="6" t="str">
        <f>IF(AND(Table1[[#This Row],[Country_of_Residence]]&lt;&gt;Table1[[#This Row],[Country_of_Transaction]], OR(Table1[[#This Row],[Merchant_Category]]="Electronics", Table1[[#This Row],[Merchant_Category]]="Travel")), "unsafe merchant transaction", "safe merchant transaction")</f>
        <v>safe merchant transaction</v>
      </c>
    </row>
    <row r="1061" spans="1:18">
      <c r="A1061" t="s">
        <v>4923</v>
      </c>
      <c r="B1061" t="s">
        <v>176</v>
      </c>
      <c r="C1061">
        <v>1</v>
      </c>
      <c r="D1061" t="s">
        <v>15</v>
      </c>
      <c r="E1061" t="s">
        <v>3</v>
      </c>
      <c r="F1061" s="2">
        <v>45731</v>
      </c>
      <c r="G1061">
        <v>2057.08</v>
      </c>
      <c r="H1061" s="1">
        <f>AVERAGEIF(Table1[Customer_ID], Table1[[#This Row],[Customer_ID]], Table1[Transaction_Amount])</f>
        <v>4495.1373999999996</v>
      </c>
      <c r="I1061" t="s">
        <v>2318</v>
      </c>
      <c r="J1061" t="s">
        <v>50</v>
      </c>
      <c r="K1061" t="s">
        <v>14</v>
      </c>
      <c r="L1061">
        <v>3</v>
      </c>
      <c r="M1061" t="s">
        <v>412</v>
      </c>
      <c r="N1061" t="s">
        <v>56</v>
      </c>
      <c r="O1061" t="s">
        <v>392</v>
      </c>
      <c r="P1061" s="6" t="str">
        <f>IF(Table1[[#This Row],[Transaction_Amount]]&lt;=Table1[[#This Row],[avg_transaction_amount]], "usual transaction", "unusual transaction")</f>
        <v>usual transaction</v>
      </c>
      <c r="Q1061" s="6" t="str">
        <f>IF(AND(Table1[[#This Row],[Country_of_Residence]]&lt;&gt;Table1[[#This Row],[Country_of_Transaction]], OR(Table1[[#This Row],[Authentication_Type]]="Biometric", Table1[[#This Row],[Authentication_Type]]="OTP")), "safe location transaction", "unsafe location transaction")</f>
        <v>unsafe location transaction</v>
      </c>
      <c r="R1061" s="6" t="str">
        <f>IF(AND(Table1[[#This Row],[Country_of_Residence]]&lt;&gt;Table1[[#This Row],[Country_of_Transaction]], OR(Table1[[#This Row],[Merchant_Category]]="Electronics", Table1[[#This Row],[Merchant_Category]]="Travel")), "unsafe merchant transaction", "safe merchant transaction")</f>
        <v>unsafe merchant transaction</v>
      </c>
    </row>
    <row r="1062" spans="1:18">
      <c r="A1062" t="s">
        <v>4936</v>
      </c>
      <c r="B1062" t="s">
        <v>176</v>
      </c>
      <c r="C1062">
        <v>1</v>
      </c>
      <c r="D1062" t="s">
        <v>15</v>
      </c>
      <c r="E1062" t="s">
        <v>6</v>
      </c>
      <c r="F1062" s="2">
        <v>45664</v>
      </c>
      <c r="G1062">
        <v>7362.7</v>
      </c>
      <c r="H1062" s="1">
        <f>AVERAGEIF(Table1[Customer_ID], Table1[[#This Row],[Customer_ID]], Table1[Transaction_Amount])</f>
        <v>4495.1373999999996</v>
      </c>
      <c r="I1062" t="s">
        <v>2329</v>
      </c>
      <c r="J1062" t="s">
        <v>41</v>
      </c>
      <c r="K1062" t="s">
        <v>8</v>
      </c>
      <c r="L1062">
        <v>1</v>
      </c>
      <c r="M1062" t="s">
        <v>55</v>
      </c>
      <c r="N1062" t="s">
        <v>33</v>
      </c>
      <c r="O1062" t="s">
        <v>392</v>
      </c>
      <c r="P1062" s="6" t="str">
        <f>IF(Table1[[#This Row],[Transaction_Amount]]&lt;=Table1[[#This Row],[avg_transaction_amount]], "usual transaction", "unusual transaction")</f>
        <v>unusual transaction</v>
      </c>
      <c r="Q1062" s="6" t="str">
        <f>IF(AND(Table1[[#This Row],[Country_of_Residence]]&lt;&gt;Table1[[#This Row],[Country_of_Transaction]], OR(Table1[[#This Row],[Authentication_Type]]="Biometric", Table1[[#This Row],[Authentication_Type]]="OTP")), "safe location transaction", "unsafe location transaction")</f>
        <v>safe location transaction</v>
      </c>
      <c r="R1062" s="6" t="str">
        <f>IF(AND(Table1[[#This Row],[Country_of_Residence]]&lt;&gt;Table1[[#This Row],[Country_of_Transaction]], OR(Table1[[#This Row],[Merchant_Category]]="Electronics", Table1[[#This Row],[Merchant_Category]]="Travel")), "unsafe merchant transaction", "safe merchant transaction")</f>
        <v>safe merchant transaction</v>
      </c>
    </row>
    <row r="1063" spans="1:18">
      <c r="A1063" t="s">
        <v>5040</v>
      </c>
      <c r="B1063" t="s">
        <v>176</v>
      </c>
      <c r="C1063">
        <v>1</v>
      </c>
      <c r="D1063" t="s">
        <v>15</v>
      </c>
      <c r="E1063" t="s">
        <v>3</v>
      </c>
      <c r="F1063" s="2">
        <v>45826</v>
      </c>
      <c r="G1063">
        <v>7898.35</v>
      </c>
      <c r="H1063" s="1">
        <f>AVERAGEIF(Table1[Customer_ID], Table1[[#This Row],[Customer_ID]], Table1[Transaction_Amount])</f>
        <v>4495.1373999999996</v>
      </c>
      <c r="I1063" t="s">
        <v>2409</v>
      </c>
      <c r="J1063" t="s">
        <v>36</v>
      </c>
      <c r="K1063" t="s">
        <v>8</v>
      </c>
      <c r="L1063">
        <v>2</v>
      </c>
      <c r="M1063" t="s">
        <v>42</v>
      </c>
      <c r="N1063" t="s">
        <v>56</v>
      </c>
      <c r="O1063" t="s">
        <v>392</v>
      </c>
      <c r="P1063" s="6" t="str">
        <f>IF(Table1[[#This Row],[Transaction_Amount]]&lt;=Table1[[#This Row],[avg_transaction_amount]], "usual transaction", "unusual transaction")</f>
        <v>unusual transaction</v>
      </c>
      <c r="Q1063" s="6" t="str">
        <f>IF(AND(Table1[[#This Row],[Country_of_Residence]]&lt;&gt;Table1[[#This Row],[Country_of_Transaction]], OR(Table1[[#This Row],[Authentication_Type]]="Biometric", Table1[[#This Row],[Authentication_Type]]="OTP")), "safe location transaction", "unsafe location transaction")</f>
        <v>safe location transaction</v>
      </c>
      <c r="R1063" s="6" t="str">
        <f>IF(AND(Table1[[#This Row],[Country_of_Residence]]&lt;&gt;Table1[[#This Row],[Country_of_Transaction]], OR(Table1[[#This Row],[Merchant_Category]]="Electronics", Table1[[#This Row],[Merchant_Category]]="Travel")), "unsafe merchant transaction", "safe merchant transaction")</f>
        <v>safe merchant transaction</v>
      </c>
    </row>
    <row r="1064" spans="1:18">
      <c r="A1064" t="s">
        <v>5077</v>
      </c>
      <c r="B1064" t="s">
        <v>176</v>
      </c>
      <c r="C1064">
        <v>1</v>
      </c>
      <c r="D1064" t="s">
        <v>9</v>
      </c>
      <c r="E1064" t="s">
        <v>5</v>
      </c>
      <c r="F1064" s="2">
        <v>45728</v>
      </c>
      <c r="G1064">
        <v>2623.93</v>
      </c>
      <c r="H1064" s="1">
        <f>AVERAGEIF(Table1[Customer_ID], Table1[[#This Row],[Customer_ID]], Table1[Transaction_Amount])</f>
        <v>4495.1373999999996</v>
      </c>
      <c r="I1064" t="s">
        <v>2431</v>
      </c>
      <c r="J1064" t="s">
        <v>36</v>
      </c>
      <c r="K1064" t="s">
        <v>8</v>
      </c>
      <c r="L1064">
        <v>0</v>
      </c>
      <c r="M1064" t="s">
        <v>56</v>
      </c>
      <c r="N1064" t="s">
        <v>412</v>
      </c>
      <c r="O1064" t="s">
        <v>393</v>
      </c>
      <c r="P1064" s="6" t="str">
        <f>IF(Table1[[#This Row],[Transaction_Amount]]&lt;=Table1[[#This Row],[avg_transaction_amount]], "usual transaction", "unusual transaction")</f>
        <v>usual transaction</v>
      </c>
      <c r="Q1064" s="6" t="str">
        <f>IF(AND(Table1[[#This Row],[Country_of_Residence]]&lt;&gt;Table1[[#This Row],[Country_of_Transaction]], OR(Table1[[#This Row],[Authentication_Type]]="Biometric", Table1[[#This Row],[Authentication_Type]]="OTP")), "safe location transaction", "unsafe location transaction")</f>
        <v>safe location transaction</v>
      </c>
      <c r="R1064" s="6" t="str">
        <f>IF(AND(Table1[[#This Row],[Country_of_Residence]]&lt;&gt;Table1[[#This Row],[Country_of_Transaction]], OR(Table1[[#This Row],[Merchant_Category]]="Electronics", Table1[[#This Row],[Merchant_Category]]="Travel")), "unsafe merchant transaction", "safe merchant transaction")</f>
        <v>safe merchant transaction</v>
      </c>
    </row>
    <row r="1065" spans="1:18">
      <c r="A1065" t="s">
        <v>5091</v>
      </c>
      <c r="B1065" t="s">
        <v>176</v>
      </c>
      <c r="C1065">
        <v>1</v>
      </c>
      <c r="D1065" t="s">
        <v>9</v>
      </c>
      <c r="E1065" t="s">
        <v>3</v>
      </c>
      <c r="F1065" s="2">
        <v>45754</v>
      </c>
      <c r="G1065">
        <v>441.53</v>
      </c>
      <c r="H1065" s="1">
        <f>AVERAGEIF(Table1[Customer_ID], Table1[[#This Row],[Customer_ID]], Table1[Transaction_Amount])</f>
        <v>4495.1373999999996</v>
      </c>
      <c r="I1065" t="s">
        <v>2442</v>
      </c>
      <c r="J1065" t="s">
        <v>41</v>
      </c>
      <c r="K1065" t="s">
        <v>12</v>
      </c>
      <c r="L1065">
        <v>3</v>
      </c>
      <c r="M1065" t="s">
        <v>56</v>
      </c>
      <c r="N1065" t="s">
        <v>56</v>
      </c>
      <c r="O1065" t="s">
        <v>393</v>
      </c>
      <c r="P1065" s="6" t="str">
        <f>IF(Table1[[#This Row],[Transaction_Amount]]&lt;=Table1[[#This Row],[avg_transaction_amount]], "usual transaction", "unusual transaction")</f>
        <v>usual transaction</v>
      </c>
      <c r="Q1065" s="6" t="str">
        <f>IF(AND(Table1[[#This Row],[Country_of_Residence]]&lt;&gt;Table1[[#This Row],[Country_of_Transaction]], OR(Table1[[#This Row],[Authentication_Type]]="Biometric", Table1[[#This Row],[Authentication_Type]]="OTP")), "safe location transaction", "unsafe location transaction")</f>
        <v>unsafe location transaction</v>
      </c>
      <c r="R1065" s="6" t="str">
        <f>IF(AND(Table1[[#This Row],[Country_of_Residence]]&lt;&gt;Table1[[#This Row],[Country_of_Transaction]], OR(Table1[[#This Row],[Merchant_Category]]="Electronics", Table1[[#This Row],[Merchant_Category]]="Travel")), "unsafe merchant transaction", "safe merchant transaction")</f>
        <v>safe merchant transaction</v>
      </c>
    </row>
    <row r="1066" spans="1:18">
      <c r="A1066" t="s">
        <v>5119</v>
      </c>
      <c r="B1066" t="s">
        <v>176</v>
      </c>
      <c r="C1066">
        <v>1</v>
      </c>
      <c r="D1066" t="s">
        <v>15</v>
      </c>
      <c r="E1066" t="s">
        <v>5</v>
      </c>
      <c r="F1066" s="2">
        <v>45956</v>
      </c>
      <c r="G1066">
        <v>1087.4000000000001</v>
      </c>
      <c r="H1066" s="1">
        <f>AVERAGEIF(Table1[Customer_ID], Table1[[#This Row],[Customer_ID]], Table1[Transaction_Amount])</f>
        <v>4495.1373999999996</v>
      </c>
      <c r="I1066" t="s">
        <v>2465</v>
      </c>
      <c r="J1066" t="s">
        <v>36</v>
      </c>
      <c r="K1066" t="s">
        <v>8</v>
      </c>
      <c r="L1066">
        <v>1</v>
      </c>
      <c r="M1066" t="s">
        <v>33</v>
      </c>
      <c r="N1066" t="s">
        <v>56</v>
      </c>
      <c r="O1066" t="s">
        <v>393</v>
      </c>
      <c r="P1066" s="6" t="str">
        <f>IF(Table1[[#This Row],[Transaction_Amount]]&lt;=Table1[[#This Row],[avg_transaction_amount]], "usual transaction", "unusual transaction")</f>
        <v>usual transaction</v>
      </c>
      <c r="Q1066" s="6" t="str">
        <f>IF(AND(Table1[[#This Row],[Country_of_Residence]]&lt;&gt;Table1[[#This Row],[Country_of_Transaction]], OR(Table1[[#This Row],[Authentication_Type]]="Biometric", Table1[[#This Row],[Authentication_Type]]="OTP")), "safe location transaction", "unsafe location transaction")</f>
        <v>safe location transaction</v>
      </c>
      <c r="R1066" s="6" t="str">
        <f>IF(AND(Table1[[#This Row],[Country_of_Residence]]&lt;&gt;Table1[[#This Row],[Country_of_Transaction]], OR(Table1[[#This Row],[Merchant_Category]]="Electronics", Table1[[#This Row],[Merchant_Category]]="Travel")), "unsafe merchant transaction", "safe merchant transaction")</f>
        <v>safe merchant transaction</v>
      </c>
    </row>
    <row r="1067" spans="1:18">
      <c r="A1067" t="s">
        <v>5121</v>
      </c>
      <c r="B1067" t="s">
        <v>176</v>
      </c>
      <c r="C1067">
        <v>1</v>
      </c>
      <c r="D1067" t="s">
        <v>9</v>
      </c>
      <c r="E1067" t="s">
        <v>420</v>
      </c>
      <c r="F1067" s="2">
        <v>45672</v>
      </c>
      <c r="G1067">
        <v>5466.41</v>
      </c>
      <c r="H1067" s="1">
        <f>AVERAGEIF(Table1[Customer_ID], Table1[[#This Row],[Customer_ID]], Table1[Transaction_Amount])</f>
        <v>4495.1373999999996</v>
      </c>
      <c r="I1067" t="s">
        <v>2467</v>
      </c>
      <c r="J1067" t="s">
        <v>46</v>
      </c>
      <c r="K1067" t="s">
        <v>12</v>
      </c>
      <c r="L1067">
        <v>5</v>
      </c>
      <c r="M1067" t="s">
        <v>37</v>
      </c>
      <c r="N1067" t="s">
        <v>51</v>
      </c>
      <c r="O1067" t="s">
        <v>393</v>
      </c>
      <c r="P1067" s="6" t="str">
        <f>IF(Table1[[#This Row],[Transaction_Amount]]&lt;=Table1[[#This Row],[avg_transaction_amount]], "usual transaction", "unusual transaction")</f>
        <v>unusual transaction</v>
      </c>
      <c r="Q1067" s="6" t="str">
        <f>IF(AND(Table1[[#This Row],[Country_of_Residence]]&lt;&gt;Table1[[#This Row],[Country_of_Transaction]], OR(Table1[[#This Row],[Authentication_Type]]="Biometric", Table1[[#This Row],[Authentication_Type]]="OTP")), "safe location transaction", "unsafe location transaction")</f>
        <v>unsafe location transaction</v>
      </c>
      <c r="R1067" s="6" t="str">
        <f>IF(AND(Table1[[#This Row],[Country_of_Residence]]&lt;&gt;Table1[[#This Row],[Country_of_Transaction]], OR(Table1[[#This Row],[Merchant_Category]]="Electronics", Table1[[#This Row],[Merchant_Category]]="Travel")), "unsafe merchant transaction", "safe merchant transaction")</f>
        <v>safe merchant transaction</v>
      </c>
    </row>
    <row r="1068" spans="1:18">
      <c r="A1068" t="s">
        <v>5147</v>
      </c>
      <c r="B1068" t="s">
        <v>176</v>
      </c>
      <c r="C1068">
        <v>1</v>
      </c>
      <c r="D1068" t="s">
        <v>15</v>
      </c>
      <c r="E1068" t="s">
        <v>6</v>
      </c>
      <c r="F1068" s="2">
        <v>45782</v>
      </c>
      <c r="G1068">
        <v>8822.77</v>
      </c>
      <c r="H1068" s="1">
        <f>AVERAGEIF(Table1[Customer_ID], Table1[[#This Row],[Customer_ID]], Table1[Transaction_Amount])</f>
        <v>4495.1373999999996</v>
      </c>
      <c r="I1068" t="s">
        <v>2485</v>
      </c>
      <c r="J1068" t="s">
        <v>41</v>
      </c>
      <c r="K1068" t="s">
        <v>10</v>
      </c>
      <c r="L1068">
        <v>4</v>
      </c>
      <c r="M1068" t="s">
        <v>47</v>
      </c>
      <c r="N1068" t="s">
        <v>42</v>
      </c>
      <c r="O1068" t="s">
        <v>392</v>
      </c>
      <c r="P1068" s="6" t="str">
        <f>IF(Table1[[#This Row],[Transaction_Amount]]&lt;=Table1[[#This Row],[avg_transaction_amount]], "usual transaction", "unusual transaction")</f>
        <v>unusual transaction</v>
      </c>
      <c r="Q1068" s="6" t="str">
        <f>IF(AND(Table1[[#This Row],[Country_of_Residence]]&lt;&gt;Table1[[#This Row],[Country_of_Transaction]], OR(Table1[[#This Row],[Authentication_Type]]="Biometric", Table1[[#This Row],[Authentication_Type]]="OTP")), "safe location transaction", "unsafe location transaction")</f>
        <v>safe location transaction</v>
      </c>
      <c r="R1068" s="6" t="str">
        <f>IF(AND(Table1[[#This Row],[Country_of_Residence]]&lt;&gt;Table1[[#This Row],[Country_of_Transaction]], OR(Table1[[#This Row],[Merchant_Category]]="Electronics", Table1[[#This Row],[Merchant_Category]]="Travel")), "unsafe merchant transaction", "safe merchant transaction")</f>
        <v>safe merchant transaction</v>
      </c>
    </row>
    <row r="1069" spans="1:18">
      <c r="A1069" t="s">
        <v>5204</v>
      </c>
      <c r="B1069" t="s">
        <v>176</v>
      </c>
      <c r="C1069">
        <v>1</v>
      </c>
      <c r="D1069" t="s">
        <v>15</v>
      </c>
      <c r="E1069" t="s">
        <v>5</v>
      </c>
      <c r="F1069" s="2">
        <v>45872</v>
      </c>
      <c r="G1069">
        <v>3533.19</v>
      </c>
      <c r="H1069" s="1">
        <f>AVERAGEIF(Table1[Customer_ID], Table1[[#This Row],[Customer_ID]], Table1[Transaction_Amount])</f>
        <v>4495.1373999999996</v>
      </c>
      <c r="I1069" t="s">
        <v>2532</v>
      </c>
      <c r="J1069" t="s">
        <v>50</v>
      </c>
      <c r="K1069" t="s">
        <v>8</v>
      </c>
      <c r="L1069">
        <v>1</v>
      </c>
      <c r="M1069" t="s">
        <v>55</v>
      </c>
      <c r="N1069" t="s">
        <v>33</v>
      </c>
      <c r="O1069" t="s">
        <v>393</v>
      </c>
      <c r="P1069" s="6" t="str">
        <f>IF(Table1[[#This Row],[Transaction_Amount]]&lt;=Table1[[#This Row],[avg_transaction_amount]], "usual transaction", "unusual transaction")</f>
        <v>usual transaction</v>
      </c>
      <c r="Q1069" s="6" t="str">
        <f>IF(AND(Table1[[#This Row],[Country_of_Residence]]&lt;&gt;Table1[[#This Row],[Country_of_Transaction]], OR(Table1[[#This Row],[Authentication_Type]]="Biometric", Table1[[#This Row],[Authentication_Type]]="OTP")), "safe location transaction", "unsafe location transaction")</f>
        <v>safe location transaction</v>
      </c>
      <c r="R1069" s="6" t="str">
        <f>IF(AND(Table1[[#This Row],[Country_of_Residence]]&lt;&gt;Table1[[#This Row],[Country_of_Transaction]], OR(Table1[[#This Row],[Merchant_Category]]="Electronics", Table1[[#This Row],[Merchant_Category]]="Travel")), "unsafe merchant transaction", "safe merchant transaction")</f>
        <v>unsafe merchant transaction</v>
      </c>
    </row>
    <row r="1070" spans="1:18">
      <c r="A1070" t="s">
        <v>5215</v>
      </c>
      <c r="B1070" t="s">
        <v>176</v>
      </c>
      <c r="C1070">
        <v>1</v>
      </c>
      <c r="D1070" t="s">
        <v>15</v>
      </c>
      <c r="E1070" t="s">
        <v>3</v>
      </c>
      <c r="F1070" s="2">
        <v>45849</v>
      </c>
      <c r="G1070">
        <v>8115.94</v>
      </c>
      <c r="H1070" s="1">
        <f>AVERAGEIF(Table1[Customer_ID], Table1[[#This Row],[Customer_ID]], Table1[Transaction_Amount])</f>
        <v>4495.1373999999996</v>
      </c>
      <c r="I1070" t="s">
        <v>989</v>
      </c>
      <c r="J1070" t="s">
        <v>36</v>
      </c>
      <c r="K1070" t="s">
        <v>10</v>
      </c>
      <c r="L1070">
        <v>4</v>
      </c>
      <c r="M1070" t="s">
        <v>37</v>
      </c>
      <c r="N1070" t="s">
        <v>32</v>
      </c>
      <c r="O1070" t="s">
        <v>392</v>
      </c>
      <c r="P1070" s="6" t="str">
        <f>IF(Table1[[#This Row],[Transaction_Amount]]&lt;=Table1[[#This Row],[avg_transaction_amount]], "usual transaction", "unusual transaction")</f>
        <v>unusual transaction</v>
      </c>
      <c r="Q1070" s="6" t="str">
        <f>IF(AND(Table1[[#This Row],[Country_of_Residence]]&lt;&gt;Table1[[#This Row],[Country_of_Transaction]], OR(Table1[[#This Row],[Authentication_Type]]="Biometric", Table1[[#This Row],[Authentication_Type]]="OTP")), "safe location transaction", "unsafe location transaction")</f>
        <v>safe location transaction</v>
      </c>
      <c r="R1070" s="6" t="str">
        <f>IF(AND(Table1[[#This Row],[Country_of_Residence]]&lt;&gt;Table1[[#This Row],[Country_of_Transaction]], OR(Table1[[#This Row],[Merchant_Category]]="Electronics", Table1[[#This Row],[Merchant_Category]]="Travel")), "unsafe merchant transaction", "safe merchant transaction")</f>
        <v>safe merchant transaction</v>
      </c>
    </row>
    <row r="1071" spans="1:18">
      <c r="A1071" t="s">
        <v>5242</v>
      </c>
      <c r="B1071" t="s">
        <v>176</v>
      </c>
      <c r="C1071">
        <v>1</v>
      </c>
      <c r="D1071" t="s">
        <v>15</v>
      </c>
      <c r="E1071" t="s">
        <v>420</v>
      </c>
      <c r="F1071" s="2">
        <v>45767</v>
      </c>
      <c r="G1071">
        <v>7774.2</v>
      </c>
      <c r="H1071" s="1">
        <f>AVERAGEIF(Table1[Customer_ID], Table1[[#This Row],[Customer_ID]], Table1[Transaction_Amount])</f>
        <v>4495.1373999999996</v>
      </c>
      <c r="I1071" t="s">
        <v>2564</v>
      </c>
      <c r="J1071" t="s">
        <v>41</v>
      </c>
      <c r="K1071" t="s">
        <v>12</v>
      </c>
      <c r="L1071">
        <v>1</v>
      </c>
      <c r="M1071" t="s">
        <v>47</v>
      </c>
      <c r="N1071" t="s">
        <v>42</v>
      </c>
      <c r="O1071" t="s">
        <v>393</v>
      </c>
      <c r="P1071" s="6" t="str">
        <f>IF(Table1[[#This Row],[Transaction_Amount]]&lt;=Table1[[#This Row],[avg_transaction_amount]], "usual transaction", "unusual transaction")</f>
        <v>unusual transaction</v>
      </c>
      <c r="Q1071" s="6" t="str">
        <f>IF(AND(Table1[[#This Row],[Country_of_Residence]]&lt;&gt;Table1[[#This Row],[Country_of_Transaction]], OR(Table1[[#This Row],[Authentication_Type]]="Biometric", Table1[[#This Row],[Authentication_Type]]="OTP")), "safe location transaction", "unsafe location transaction")</f>
        <v>unsafe location transaction</v>
      </c>
      <c r="R1071" s="6" t="str">
        <f>IF(AND(Table1[[#This Row],[Country_of_Residence]]&lt;&gt;Table1[[#This Row],[Country_of_Transaction]], OR(Table1[[#This Row],[Merchant_Category]]="Electronics", Table1[[#This Row],[Merchant_Category]]="Travel")), "unsafe merchant transaction", "safe merchant transaction")</f>
        <v>safe merchant transaction</v>
      </c>
    </row>
    <row r="1072" spans="1:18">
      <c r="A1072" t="s">
        <v>5248</v>
      </c>
      <c r="B1072" t="s">
        <v>176</v>
      </c>
      <c r="C1072">
        <v>1</v>
      </c>
      <c r="D1072" t="s">
        <v>9</v>
      </c>
      <c r="E1072" t="s">
        <v>5</v>
      </c>
      <c r="F1072" s="2">
        <v>45838</v>
      </c>
      <c r="G1072">
        <v>3586.95</v>
      </c>
      <c r="H1072" s="1">
        <f>AVERAGEIF(Table1[Customer_ID], Table1[[#This Row],[Customer_ID]], Table1[Transaction_Amount])</f>
        <v>4495.1373999999996</v>
      </c>
      <c r="I1072" t="s">
        <v>2570</v>
      </c>
      <c r="J1072" t="s">
        <v>50</v>
      </c>
      <c r="K1072" t="s">
        <v>14</v>
      </c>
      <c r="L1072">
        <v>1</v>
      </c>
      <c r="M1072" t="s">
        <v>55</v>
      </c>
      <c r="N1072" t="s">
        <v>32</v>
      </c>
      <c r="O1072" t="s">
        <v>393</v>
      </c>
      <c r="P1072" s="6" t="str">
        <f>IF(Table1[[#This Row],[Transaction_Amount]]&lt;=Table1[[#This Row],[avg_transaction_amount]], "usual transaction", "unusual transaction")</f>
        <v>usual transaction</v>
      </c>
      <c r="Q1072" s="6" t="str">
        <f>IF(AND(Table1[[#This Row],[Country_of_Residence]]&lt;&gt;Table1[[#This Row],[Country_of_Transaction]], OR(Table1[[#This Row],[Authentication_Type]]="Biometric", Table1[[#This Row],[Authentication_Type]]="OTP")), "safe location transaction", "unsafe location transaction")</f>
        <v>unsafe location transaction</v>
      </c>
      <c r="R1072" s="6" t="str">
        <f>IF(AND(Table1[[#This Row],[Country_of_Residence]]&lt;&gt;Table1[[#This Row],[Country_of_Transaction]], OR(Table1[[#This Row],[Merchant_Category]]="Electronics", Table1[[#This Row],[Merchant_Category]]="Travel")), "unsafe merchant transaction", "safe merchant transaction")</f>
        <v>unsafe merchant transaction</v>
      </c>
    </row>
    <row r="1073" spans="1:18">
      <c r="A1073" t="s">
        <v>5311</v>
      </c>
      <c r="B1073" t="s">
        <v>176</v>
      </c>
      <c r="C1073">
        <v>1</v>
      </c>
      <c r="D1073" t="s">
        <v>15</v>
      </c>
      <c r="E1073" t="s">
        <v>5</v>
      </c>
      <c r="F1073" s="2">
        <v>45838</v>
      </c>
      <c r="G1073">
        <v>9605.7999999999993</v>
      </c>
      <c r="H1073" s="1">
        <f>AVERAGEIF(Table1[Customer_ID], Table1[[#This Row],[Customer_ID]], Table1[Transaction_Amount])</f>
        <v>4495.1373999999996</v>
      </c>
      <c r="I1073" t="s">
        <v>2612</v>
      </c>
      <c r="J1073" t="s">
        <v>50</v>
      </c>
      <c r="K1073" t="s">
        <v>8</v>
      </c>
      <c r="L1073">
        <v>1</v>
      </c>
      <c r="M1073" t="s">
        <v>32</v>
      </c>
      <c r="N1073" t="s">
        <v>56</v>
      </c>
      <c r="O1073" t="s">
        <v>392</v>
      </c>
      <c r="P1073" s="6" t="str">
        <f>IF(Table1[[#This Row],[Transaction_Amount]]&lt;=Table1[[#This Row],[avg_transaction_amount]], "usual transaction", "unusual transaction")</f>
        <v>unusual transaction</v>
      </c>
      <c r="Q1073" s="6" t="str">
        <f>IF(AND(Table1[[#This Row],[Country_of_Residence]]&lt;&gt;Table1[[#This Row],[Country_of_Transaction]], OR(Table1[[#This Row],[Authentication_Type]]="Biometric", Table1[[#This Row],[Authentication_Type]]="OTP")), "safe location transaction", "unsafe location transaction")</f>
        <v>safe location transaction</v>
      </c>
      <c r="R1073" s="6" t="str">
        <f>IF(AND(Table1[[#This Row],[Country_of_Residence]]&lt;&gt;Table1[[#This Row],[Country_of_Transaction]], OR(Table1[[#This Row],[Merchant_Category]]="Electronics", Table1[[#This Row],[Merchant_Category]]="Travel")), "unsafe merchant transaction", "safe merchant transaction")</f>
        <v>unsafe merchant transaction</v>
      </c>
    </row>
    <row r="1074" spans="1:18">
      <c r="A1074" t="s">
        <v>191</v>
      </c>
      <c r="B1074" t="s">
        <v>184</v>
      </c>
      <c r="C1074">
        <v>1</v>
      </c>
      <c r="D1074" t="s">
        <v>9</v>
      </c>
      <c r="E1074" t="s">
        <v>5</v>
      </c>
      <c r="F1074" s="2">
        <v>45895.213888888902</v>
      </c>
      <c r="G1074">
        <v>3233.81</v>
      </c>
      <c r="H1074" s="1">
        <f>AVERAGEIF(Table1[Customer_ID], Table1[[#This Row],[Customer_ID]], Table1[Transaction_Amount])</f>
        <v>4578.333623188405</v>
      </c>
      <c r="I1074" t="s">
        <v>192</v>
      </c>
      <c r="J1074" t="s">
        <v>41</v>
      </c>
      <c r="K1074" t="s">
        <v>12</v>
      </c>
      <c r="L1074">
        <v>2</v>
      </c>
      <c r="M1074" t="s">
        <v>186</v>
      </c>
      <c r="N1074" t="s">
        <v>193</v>
      </c>
      <c r="O1074" t="s">
        <v>392</v>
      </c>
      <c r="P1074" t="str">
        <f>IF(Table1[[#This Row],[Transaction_Amount]]&lt;=Table1[[#This Row],[avg_transaction_amount]], "usual transaction", "unusual transaction")</f>
        <v>usual transaction</v>
      </c>
      <c r="Q1074" t="str">
        <f>IF(AND(Table1[[#This Row],[Country_of_Residence]]&lt;&gt;Table1[[#This Row],[Country_of_Transaction]], OR(Table1[[#This Row],[Authentication_Type]]="Biometric", Table1[[#This Row],[Authentication_Type]]="OTP")), "safe location transaction", "unsafe location transaction")</f>
        <v>unsafe location transaction</v>
      </c>
      <c r="R1074" t="str">
        <f>IF(AND(Table1[[#This Row],[Country_of_Residence]]&lt;&gt;Table1[[#This Row],[Country_of_Transaction]], OR(Table1[[#This Row],[Merchant_Category]]="Electronics", Table1[[#This Row],[Merchant_Category]]="Travel")), "unsafe merchant transaction", "safe merchant transaction")</f>
        <v>safe merchant transaction</v>
      </c>
    </row>
    <row r="1075" spans="1:18">
      <c r="A1075" t="s">
        <v>183</v>
      </c>
      <c r="B1075" t="s">
        <v>184</v>
      </c>
      <c r="C1075">
        <v>1</v>
      </c>
      <c r="D1075" t="s">
        <v>9</v>
      </c>
      <c r="E1075" t="s">
        <v>5</v>
      </c>
      <c r="F1075" s="2">
        <v>45797.893750000003</v>
      </c>
      <c r="G1075">
        <v>1997.33</v>
      </c>
      <c r="H1075" s="1">
        <f>AVERAGEIF(Table1[Customer_ID], Table1[[#This Row],[Customer_ID]], Table1[Transaction_Amount])</f>
        <v>4578.333623188405</v>
      </c>
      <c r="I1075" t="s">
        <v>185</v>
      </c>
      <c r="J1075" t="s">
        <v>46</v>
      </c>
      <c r="K1075" t="s">
        <v>14</v>
      </c>
      <c r="L1075">
        <v>4</v>
      </c>
      <c r="M1075" t="s">
        <v>186</v>
      </c>
      <c r="N1075" t="s">
        <v>187</v>
      </c>
      <c r="O1075" t="s">
        <v>392</v>
      </c>
      <c r="P1075" t="str">
        <f>IF(Table1[[#This Row],[Transaction_Amount]]&lt;=Table1[[#This Row],[avg_transaction_amount]], "usual transaction", "unusual transaction")</f>
        <v>usual transaction</v>
      </c>
      <c r="Q1075" t="str">
        <f>IF(AND(Table1[[#This Row],[Country_of_Residence]]&lt;&gt;Table1[[#This Row],[Country_of_Transaction]], OR(Table1[[#This Row],[Authentication_Type]]="Biometric", Table1[[#This Row],[Authentication_Type]]="OTP")), "safe location transaction", "unsafe location transaction")</f>
        <v>unsafe location transaction</v>
      </c>
      <c r="R1075" t="str">
        <f>IF(AND(Table1[[#This Row],[Country_of_Residence]]&lt;&gt;Table1[[#This Row],[Country_of_Transaction]], OR(Table1[[#This Row],[Merchant_Category]]="Electronics", Table1[[#This Row],[Merchant_Category]]="Travel")), "unsafe merchant transaction", "safe merchant transaction")</f>
        <v>safe merchant transaction</v>
      </c>
    </row>
    <row r="1076" spans="1:18">
      <c r="A1076" t="s">
        <v>188</v>
      </c>
      <c r="B1076" t="s">
        <v>184</v>
      </c>
      <c r="C1076">
        <v>1</v>
      </c>
      <c r="D1076" t="s">
        <v>11</v>
      </c>
      <c r="E1076" t="s">
        <v>6</v>
      </c>
      <c r="F1076" s="2">
        <v>45789.417361111096</v>
      </c>
      <c r="G1076">
        <v>3338.49</v>
      </c>
      <c r="H1076" s="1">
        <f>AVERAGEIF(Table1[Customer_ID], Table1[[#This Row],[Customer_ID]], Table1[Transaction_Amount])</f>
        <v>4578.333623188405</v>
      </c>
      <c r="I1076" t="s">
        <v>189</v>
      </c>
      <c r="J1076" t="s">
        <v>46</v>
      </c>
      <c r="K1076" t="s">
        <v>14</v>
      </c>
      <c r="L1076">
        <v>1</v>
      </c>
      <c r="M1076" t="s">
        <v>186</v>
      </c>
      <c r="N1076" t="s">
        <v>190</v>
      </c>
      <c r="O1076" t="s">
        <v>392</v>
      </c>
      <c r="P1076" t="str">
        <f>IF(Table1[[#This Row],[Transaction_Amount]]&lt;=Table1[[#This Row],[avg_transaction_amount]], "usual transaction", "unusual transaction")</f>
        <v>usual transaction</v>
      </c>
      <c r="Q1076" t="str">
        <f>IF(AND(Table1[[#This Row],[Country_of_Residence]]&lt;&gt;Table1[[#This Row],[Country_of_Transaction]], OR(Table1[[#This Row],[Authentication_Type]]="Biometric", Table1[[#This Row],[Authentication_Type]]="OTP")), "safe location transaction", "unsafe location transaction")</f>
        <v>unsafe location transaction</v>
      </c>
      <c r="R1076" t="str">
        <f>IF(AND(Table1[[#This Row],[Country_of_Residence]]&lt;&gt;Table1[[#This Row],[Country_of_Transaction]], OR(Table1[[#This Row],[Merchant_Category]]="Electronics", Table1[[#This Row],[Merchant_Category]]="Travel")), "unsafe merchant transaction", "safe merchant transaction")</f>
        <v>safe merchant transaction</v>
      </c>
    </row>
    <row r="1077" spans="1:18">
      <c r="A1077" t="s">
        <v>2809</v>
      </c>
      <c r="B1077" t="s">
        <v>184</v>
      </c>
      <c r="C1077">
        <v>1</v>
      </c>
      <c r="D1077" t="s">
        <v>9</v>
      </c>
      <c r="E1077" t="s">
        <v>420</v>
      </c>
      <c r="F1077" s="2">
        <v>45759</v>
      </c>
      <c r="G1077">
        <v>5779.18</v>
      </c>
      <c r="H1077" s="1">
        <f>AVERAGEIF(Table1[Customer_ID], Table1[[#This Row],[Customer_ID]], Table1[Transaction_Amount])</f>
        <v>4578.333623188405</v>
      </c>
      <c r="I1077" t="s">
        <v>460</v>
      </c>
      <c r="J1077" t="s">
        <v>31</v>
      </c>
      <c r="K1077" t="s">
        <v>14</v>
      </c>
      <c r="L1077">
        <v>5</v>
      </c>
      <c r="M1077" t="s">
        <v>32</v>
      </c>
      <c r="N1077" t="s">
        <v>412</v>
      </c>
      <c r="O1077" t="s">
        <v>393</v>
      </c>
      <c r="P1077" s="6" t="str">
        <f>IF(Table1[[#This Row],[Transaction_Amount]]&lt;=Table1[[#This Row],[avg_transaction_amount]], "usual transaction", "unusual transaction")</f>
        <v>unusual transaction</v>
      </c>
      <c r="Q1077" s="6" t="str">
        <f>IF(AND(Table1[[#This Row],[Country_of_Residence]]&lt;&gt;Table1[[#This Row],[Country_of_Transaction]], OR(Table1[[#This Row],[Authentication_Type]]="Biometric", Table1[[#This Row],[Authentication_Type]]="OTP")), "safe location transaction", "unsafe location transaction")</f>
        <v>unsafe location transaction</v>
      </c>
      <c r="R1077" s="6" t="str">
        <f>IF(AND(Table1[[#This Row],[Country_of_Residence]]&lt;&gt;Table1[[#This Row],[Country_of_Transaction]], OR(Table1[[#This Row],[Merchant_Category]]="Electronics", Table1[[#This Row],[Merchant_Category]]="Travel")), "unsafe merchant transaction", "safe merchant transaction")</f>
        <v>safe merchant transaction</v>
      </c>
    </row>
    <row r="1078" spans="1:18">
      <c r="A1078" t="s">
        <v>2820</v>
      </c>
      <c r="B1078" t="s">
        <v>184</v>
      </c>
      <c r="C1078">
        <v>1</v>
      </c>
      <c r="D1078" t="s">
        <v>15</v>
      </c>
      <c r="E1078" t="s">
        <v>6</v>
      </c>
      <c r="F1078" s="2">
        <v>45978</v>
      </c>
      <c r="G1078">
        <v>5707.86</v>
      </c>
      <c r="H1078" s="1">
        <f>AVERAGEIF(Table1[Customer_ID], Table1[[#This Row],[Customer_ID]], Table1[Transaction_Amount])</f>
        <v>4578.333623188405</v>
      </c>
      <c r="I1078" t="s">
        <v>471</v>
      </c>
      <c r="J1078" t="s">
        <v>31</v>
      </c>
      <c r="K1078" t="s">
        <v>12</v>
      </c>
      <c r="L1078">
        <v>1</v>
      </c>
      <c r="M1078" t="s">
        <v>42</v>
      </c>
      <c r="N1078" t="s">
        <v>33</v>
      </c>
      <c r="O1078" t="s">
        <v>392</v>
      </c>
      <c r="P1078" s="6" t="str">
        <f>IF(Table1[[#This Row],[Transaction_Amount]]&lt;=Table1[[#This Row],[avg_transaction_amount]], "usual transaction", "unusual transaction")</f>
        <v>unusual transaction</v>
      </c>
      <c r="Q1078" s="6" t="str">
        <f>IF(AND(Table1[[#This Row],[Country_of_Residence]]&lt;&gt;Table1[[#This Row],[Country_of_Transaction]], OR(Table1[[#This Row],[Authentication_Type]]="Biometric", Table1[[#This Row],[Authentication_Type]]="OTP")), "safe location transaction", "unsafe location transaction")</f>
        <v>unsafe location transaction</v>
      </c>
      <c r="R1078" s="6" t="str">
        <f>IF(AND(Table1[[#This Row],[Country_of_Residence]]&lt;&gt;Table1[[#This Row],[Country_of_Transaction]], OR(Table1[[#This Row],[Merchant_Category]]="Electronics", Table1[[#This Row],[Merchant_Category]]="Travel")), "unsafe merchant transaction", "safe merchant transaction")</f>
        <v>safe merchant transaction</v>
      </c>
    </row>
    <row r="1079" spans="1:18">
      <c r="A1079" t="s">
        <v>2871</v>
      </c>
      <c r="B1079" t="s">
        <v>184</v>
      </c>
      <c r="C1079">
        <v>1</v>
      </c>
      <c r="D1079" t="s">
        <v>9</v>
      </c>
      <c r="E1079" t="s">
        <v>6</v>
      </c>
      <c r="F1079" s="2">
        <v>46001</v>
      </c>
      <c r="G1079">
        <v>5611.27</v>
      </c>
      <c r="H1079" s="1">
        <f>AVERAGEIF(Table1[Customer_ID], Table1[[#This Row],[Customer_ID]], Table1[Transaction_Amount])</f>
        <v>4578.333623188405</v>
      </c>
      <c r="I1079" t="s">
        <v>523</v>
      </c>
      <c r="J1079" t="s">
        <v>31</v>
      </c>
      <c r="K1079" t="s">
        <v>8</v>
      </c>
      <c r="L1079">
        <v>4</v>
      </c>
      <c r="M1079" t="s">
        <v>51</v>
      </c>
      <c r="N1079" t="s">
        <v>412</v>
      </c>
      <c r="O1079" t="s">
        <v>393</v>
      </c>
      <c r="P1079" s="6" t="str">
        <f>IF(Table1[[#This Row],[Transaction_Amount]]&lt;=Table1[[#This Row],[avg_transaction_amount]], "usual transaction", "unusual transaction")</f>
        <v>unusual transaction</v>
      </c>
      <c r="Q1079" s="6" t="str">
        <f>IF(AND(Table1[[#This Row],[Country_of_Residence]]&lt;&gt;Table1[[#This Row],[Country_of_Transaction]], OR(Table1[[#This Row],[Authentication_Type]]="Biometric", Table1[[#This Row],[Authentication_Type]]="OTP")), "safe location transaction", "unsafe location transaction")</f>
        <v>safe location transaction</v>
      </c>
      <c r="R1079" s="6" t="str">
        <f>IF(AND(Table1[[#This Row],[Country_of_Residence]]&lt;&gt;Table1[[#This Row],[Country_of_Transaction]], OR(Table1[[#This Row],[Merchant_Category]]="Electronics", Table1[[#This Row],[Merchant_Category]]="Travel")), "unsafe merchant transaction", "safe merchant transaction")</f>
        <v>safe merchant transaction</v>
      </c>
    </row>
    <row r="1080" spans="1:18">
      <c r="A1080" t="s">
        <v>2872</v>
      </c>
      <c r="B1080" t="s">
        <v>184</v>
      </c>
      <c r="C1080">
        <v>1</v>
      </c>
      <c r="D1080" t="s">
        <v>9</v>
      </c>
      <c r="E1080" t="s">
        <v>6</v>
      </c>
      <c r="F1080" s="2">
        <v>45773</v>
      </c>
      <c r="G1080">
        <v>1843.62</v>
      </c>
      <c r="H1080" s="1">
        <f>AVERAGEIF(Table1[Customer_ID], Table1[[#This Row],[Customer_ID]], Table1[Transaction_Amount])</f>
        <v>4578.333623188405</v>
      </c>
      <c r="I1080" t="s">
        <v>524</v>
      </c>
      <c r="J1080" t="s">
        <v>31</v>
      </c>
      <c r="K1080" t="s">
        <v>14</v>
      </c>
      <c r="L1080">
        <v>0</v>
      </c>
      <c r="M1080" t="s">
        <v>33</v>
      </c>
      <c r="N1080" t="s">
        <v>33</v>
      </c>
      <c r="O1080" t="s">
        <v>392</v>
      </c>
      <c r="P1080" s="6" t="str">
        <f>IF(Table1[[#This Row],[Transaction_Amount]]&lt;=Table1[[#This Row],[avg_transaction_amount]], "usual transaction", "unusual transaction")</f>
        <v>usual transaction</v>
      </c>
      <c r="Q1080" s="6" t="str">
        <f>IF(AND(Table1[[#This Row],[Country_of_Residence]]&lt;&gt;Table1[[#This Row],[Country_of_Transaction]], OR(Table1[[#This Row],[Authentication_Type]]="Biometric", Table1[[#This Row],[Authentication_Type]]="OTP")), "safe location transaction", "unsafe location transaction")</f>
        <v>unsafe location transaction</v>
      </c>
      <c r="R1080" s="6" t="str">
        <f>IF(AND(Table1[[#This Row],[Country_of_Residence]]&lt;&gt;Table1[[#This Row],[Country_of_Transaction]], OR(Table1[[#This Row],[Merchant_Category]]="Electronics", Table1[[#This Row],[Merchant_Category]]="Travel")), "unsafe merchant transaction", "safe merchant transaction")</f>
        <v>safe merchant transaction</v>
      </c>
    </row>
    <row r="1081" spans="1:18">
      <c r="A1081" t="s">
        <v>2947</v>
      </c>
      <c r="B1081" t="s">
        <v>184</v>
      </c>
      <c r="C1081">
        <v>1</v>
      </c>
      <c r="D1081" t="s">
        <v>15</v>
      </c>
      <c r="E1081" t="s">
        <v>6</v>
      </c>
      <c r="F1081" s="2">
        <v>45702</v>
      </c>
      <c r="G1081">
        <v>4475.12</v>
      </c>
      <c r="H1081" s="1">
        <f>AVERAGEIF(Table1[Customer_ID], Table1[[#This Row],[Customer_ID]], Table1[Transaction_Amount])</f>
        <v>4578.333623188405</v>
      </c>
      <c r="I1081" t="s">
        <v>185</v>
      </c>
      <c r="J1081" t="s">
        <v>36</v>
      </c>
      <c r="K1081" t="s">
        <v>8</v>
      </c>
      <c r="L1081">
        <v>0</v>
      </c>
      <c r="M1081" t="s">
        <v>412</v>
      </c>
      <c r="N1081" t="s">
        <v>32</v>
      </c>
      <c r="O1081" t="s">
        <v>393</v>
      </c>
      <c r="P1081" s="6" t="str">
        <f>IF(Table1[[#This Row],[Transaction_Amount]]&lt;=Table1[[#This Row],[avg_transaction_amount]], "usual transaction", "unusual transaction")</f>
        <v>usual transaction</v>
      </c>
      <c r="Q1081" s="6" t="str">
        <f>IF(AND(Table1[[#This Row],[Country_of_Residence]]&lt;&gt;Table1[[#This Row],[Country_of_Transaction]], OR(Table1[[#This Row],[Authentication_Type]]="Biometric", Table1[[#This Row],[Authentication_Type]]="OTP")), "safe location transaction", "unsafe location transaction")</f>
        <v>safe location transaction</v>
      </c>
      <c r="R1081" s="6" t="str">
        <f>IF(AND(Table1[[#This Row],[Country_of_Residence]]&lt;&gt;Table1[[#This Row],[Country_of_Transaction]], OR(Table1[[#This Row],[Merchant_Category]]="Electronics", Table1[[#This Row],[Merchant_Category]]="Travel")), "unsafe merchant transaction", "safe merchant transaction")</f>
        <v>safe merchant transaction</v>
      </c>
    </row>
    <row r="1082" spans="1:18">
      <c r="A1082" t="s">
        <v>3017</v>
      </c>
      <c r="B1082" t="s">
        <v>184</v>
      </c>
      <c r="C1082">
        <v>1</v>
      </c>
      <c r="D1082" t="s">
        <v>15</v>
      </c>
      <c r="E1082" t="s">
        <v>6</v>
      </c>
      <c r="F1082" s="2">
        <v>45719</v>
      </c>
      <c r="G1082">
        <v>835.6</v>
      </c>
      <c r="H1082" s="1">
        <f>AVERAGEIF(Table1[Customer_ID], Table1[[#This Row],[Customer_ID]], Table1[Transaction_Amount])</f>
        <v>4578.333623188405</v>
      </c>
      <c r="I1082" t="s">
        <v>664</v>
      </c>
      <c r="J1082" t="s">
        <v>46</v>
      </c>
      <c r="K1082" t="s">
        <v>12</v>
      </c>
      <c r="L1082">
        <v>1</v>
      </c>
      <c r="M1082" t="s">
        <v>42</v>
      </c>
      <c r="N1082" t="s">
        <v>412</v>
      </c>
      <c r="O1082" t="s">
        <v>393</v>
      </c>
      <c r="P1082" s="6" t="str">
        <f>IF(Table1[[#This Row],[Transaction_Amount]]&lt;=Table1[[#This Row],[avg_transaction_amount]], "usual transaction", "unusual transaction")</f>
        <v>usual transaction</v>
      </c>
      <c r="Q1082" s="6" t="str">
        <f>IF(AND(Table1[[#This Row],[Country_of_Residence]]&lt;&gt;Table1[[#This Row],[Country_of_Transaction]], OR(Table1[[#This Row],[Authentication_Type]]="Biometric", Table1[[#This Row],[Authentication_Type]]="OTP")), "safe location transaction", "unsafe location transaction")</f>
        <v>unsafe location transaction</v>
      </c>
      <c r="R1082" s="6" t="str">
        <f>IF(AND(Table1[[#This Row],[Country_of_Residence]]&lt;&gt;Table1[[#This Row],[Country_of_Transaction]], OR(Table1[[#This Row],[Merchant_Category]]="Electronics", Table1[[#This Row],[Merchant_Category]]="Travel")), "unsafe merchant transaction", "safe merchant transaction")</f>
        <v>safe merchant transaction</v>
      </c>
    </row>
    <row r="1083" spans="1:18">
      <c r="A1083" t="s">
        <v>3022</v>
      </c>
      <c r="B1083" t="s">
        <v>184</v>
      </c>
      <c r="C1083">
        <v>1</v>
      </c>
      <c r="D1083" t="s">
        <v>9</v>
      </c>
      <c r="E1083" t="s">
        <v>5</v>
      </c>
      <c r="F1083" s="2">
        <v>45871</v>
      </c>
      <c r="G1083">
        <v>9743.48</v>
      </c>
      <c r="H1083" s="1">
        <f>AVERAGEIF(Table1[Customer_ID], Table1[[#This Row],[Customer_ID]], Table1[Transaction_Amount])</f>
        <v>4578.333623188405</v>
      </c>
      <c r="I1083" t="s">
        <v>669</v>
      </c>
      <c r="J1083" t="s">
        <v>46</v>
      </c>
      <c r="K1083" t="s">
        <v>8</v>
      </c>
      <c r="L1083">
        <v>1</v>
      </c>
      <c r="M1083" t="s">
        <v>56</v>
      </c>
      <c r="N1083" t="s">
        <v>47</v>
      </c>
      <c r="O1083" t="s">
        <v>393</v>
      </c>
      <c r="P1083" s="6" t="str">
        <f>IF(Table1[[#This Row],[Transaction_Amount]]&lt;=Table1[[#This Row],[avg_transaction_amount]], "usual transaction", "unusual transaction")</f>
        <v>unusual transaction</v>
      </c>
      <c r="Q1083" s="6" t="str">
        <f>IF(AND(Table1[[#This Row],[Country_of_Residence]]&lt;&gt;Table1[[#This Row],[Country_of_Transaction]], OR(Table1[[#This Row],[Authentication_Type]]="Biometric", Table1[[#This Row],[Authentication_Type]]="OTP")), "safe location transaction", "unsafe location transaction")</f>
        <v>safe location transaction</v>
      </c>
      <c r="R1083" s="6" t="str">
        <f>IF(AND(Table1[[#This Row],[Country_of_Residence]]&lt;&gt;Table1[[#This Row],[Country_of_Transaction]], OR(Table1[[#This Row],[Merchant_Category]]="Electronics", Table1[[#This Row],[Merchant_Category]]="Travel")), "unsafe merchant transaction", "safe merchant transaction")</f>
        <v>safe merchant transaction</v>
      </c>
    </row>
    <row r="1084" spans="1:18">
      <c r="A1084" t="s">
        <v>3140</v>
      </c>
      <c r="B1084" t="s">
        <v>184</v>
      </c>
      <c r="C1084">
        <v>1</v>
      </c>
      <c r="D1084" t="s">
        <v>15</v>
      </c>
      <c r="E1084" t="s">
        <v>5</v>
      </c>
      <c r="F1084" s="2">
        <v>45669</v>
      </c>
      <c r="G1084">
        <v>115.36</v>
      </c>
      <c r="H1084" s="1">
        <f>AVERAGEIF(Table1[Customer_ID], Table1[[#This Row],[Customer_ID]], Table1[Transaction_Amount])</f>
        <v>4578.333623188405</v>
      </c>
      <c r="I1084" t="s">
        <v>780</v>
      </c>
      <c r="J1084" t="s">
        <v>41</v>
      </c>
      <c r="K1084" t="s">
        <v>12</v>
      </c>
      <c r="L1084">
        <v>0</v>
      </c>
      <c r="M1084" t="s">
        <v>412</v>
      </c>
      <c r="N1084" t="s">
        <v>47</v>
      </c>
      <c r="O1084" t="s">
        <v>393</v>
      </c>
      <c r="P1084" s="6" t="str">
        <f>IF(Table1[[#This Row],[Transaction_Amount]]&lt;=Table1[[#This Row],[avg_transaction_amount]], "usual transaction", "unusual transaction")</f>
        <v>usual transaction</v>
      </c>
      <c r="Q1084" s="6" t="str">
        <f>IF(AND(Table1[[#This Row],[Country_of_Residence]]&lt;&gt;Table1[[#This Row],[Country_of_Transaction]], OR(Table1[[#This Row],[Authentication_Type]]="Biometric", Table1[[#This Row],[Authentication_Type]]="OTP")), "safe location transaction", "unsafe location transaction")</f>
        <v>unsafe location transaction</v>
      </c>
      <c r="R1084" s="6" t="str">
        <f>IF(AND(Table1[[#This Row],[Country_of_Residence]]&lt;&gt;Table1[[#This Row],[Country_of_Transaction]], OR(Table1[[#This Row],[Merchant_Category]]="Electronics", Table1[[#This Row],[Merchant_Category]]="Travel")), "unsafe merchant transaction", "safe merchant transaction")</f>
        <v>safe merchant transaction</v>
      </c>
    </row>
    <row r="1085" spans="1:18">
      <c r="A1085" t="s">
        <v>3166</v>
      </c>
      <c r="B1085" t="s">
        <v>184</v>
      </c>
      <c r="C1085">
        <v>1</v>
      </c>
      <c r="D1085" t="s">
        <v>9</v>
      </c>
      <c r="E1085" t="s">
        <v>6</v>
      </c>
      <c r="F1085" s="2">
        <v>45718</v>
      </c>
      <c r="G1085">
        <v>7315.11</v>
      </c>
      <c r="H1085" s="1">
        <f>AVERAGEIF(Table1[Customer_ID], Table1[[#This Row],[Customer_ID]], Table1[Transaction_Amount])</f>
        <v>4578.333623188405</v>
      </c>
      <c r="I1085" t="s">
        <v>150</v>
      </c>
      <c r="J1085" t="s">
        <v>31</v>
      </c>
      <c r="K1085" t="s">
        <v>14</v>
      </c>
      <c r="L1085">
        <v>0</v>
      </c>
      <c r="M1085" t="s">
        <v>47</v>
      </c>
      <c r="N1085" t="s">
        <v>47</v>
      </c>
      <c r="O1085" t="s">
        <v>393</v>
      </c>
      <c r="P1085" s="6" t="str">
        <f>IF(Table1[[#This Row],[Transaction_Amount]]&lt;=Table1[[#This Row],[avg_transaction_amount]], "usual transaction", "unusual transaction")</f>
        <v>unusual transaction</v>
      </c>
      <c r="Q1085" s="6" t="str">
        <f>IF(AND(Table1[[#This Row],[Country_of_Residence]]&lt;&gt;Table1[[#This Row],[Country_of_Transaction]], OR(Table1[[#This Row],[Authentication_Type]]="Biometric", Table1[[#This Row],[Authentication_Type]]="OTP")), "safe location transaction", "unsafe location transaction")</f>
        <v>unsafe location transaction</v>
      </c>
      <c r="R1085" s="6" t="str">
        <f>IF(AND(Table1[[#This Row],[Country_of_Residence]]&lt;&gt;Table1[[#This Row],[Country_of_Transaction]], OR(Table1[[#This Row],[Merchant_Category]]="Electronics", Table1[[#This Row],[Merchant_Category]]="Travel")), "unsafe merchant transaction", "safe merchant transaction")</f>
        <v>safe merchant transaction</v>
      </c>
    </row>
    <row r="1086" spans="1:18">
      <c r="A1086" t="s">
        <v>3203</v>
      </c>
      <c r="B1086" t="s">
        <v>184</v>
      </c>
      <c r="C1086">
        <v>1</v>
      </c>
      <c r="D1086" t="s">
        <v>15</v>
      </c>
      <c r="E1086" t="s">
        <v>420</v>
      </c>
      <c r="F1086" s="2">
        <v>46007</v>
      </c>
      <c r="G1086">
        <v>4788.8500000000004</v>
      </c>
      <c r="H1086" s="1">
        <f>AVERAGEIF(Table1[Customer_ID], Table1[[#This Row],[Customer_ID]], Table1[Transaction_Amount])</f>
        <v>4578.333623188405</v>
      </c>
      <c r="I1086" t="s">
        <v>837</v>
      </c>
      <c r="J1086" t="s">
        <v>36</v>
      </c>
      <c r="K1086" t="s">
        <v>14</v>
      </c>
      <c r="L1086">
        <v>1</v>
      </c>
      <c r="M1086" t="s">
        <v>33</v>
      </c>
      <c r="N1086" t="s">
        <v>56</v>
      </c>
      <c r="O1086" t="s">
        <v>392</v>
      </c>
      <c r="P1086" s="6" t="str">
        <f>IF(Table1[[#This Row],[Transaction_Amount]]&lt;=Table1[[#This Row],[avg_transaction_amount]], "usual transaction", "unusual transaction")</f>
        <v>unusual transaction</v>
      </c>
      <c r="Q1086" s="6" t="str">
        <f>IF(AND(Table1[[#This Row],[Country_of_Residence]]&lt;&gt;Table1[[#This Row],[Country_of_Transaction]], OR(Table1[[#This Row],[Authentication_Type]]="Biometric", Table1[[#This Row],[Authentication_Type]]="OTP")), "safe location transaction", "unsafe location transaction")</f>
        <v>unsafe location transaction</v>
      </c>
      <c r="R1086" s="6" t="str">
        <f>IF(AND(Table1[[#This Row],[Country_of_Residence]]&lt;&gt;Table1[[#This Row],[Country_of_Transaction]], OR(Table1[[#This Row],[Merchant_Category]]="Electronics", Table1[[#This Row],[Merchant_Category]]="Travel")), "unsafe merchant transaction", "safe merchant transaction")</f>
        <v>safe merchant transaction</v>
      </c>
    </row>
    <row r="1087" spans="1:18">
      <c r="A1087" t="s">
        <v>3214</v>
      </c>
      <c r="B1087" t="s">
        <v>184</v>
      </c>
      <c r="C1087">
        <v>1</v>
      </c>
      <c r="D1087" t="s">
        <v>9</v>
      </c>
      <c r="E1087" t="s">
        <v>420</v>
      </c>
      <c r="F1087" s="2">
        <v>45701</v>
      </c>
      <c r="G1087">
        <v>6974.03</v>
      </c>
      <c r="H1087" s="1">
        <f>AVERAGEIF(Table1[Customer_ID], Table1[[#This Row],[Customer_ID]], Table1[Transaction_Amount])</f>
        <v>4578.333623188405</v>
      </c>
      <c r="I1087" t="s">
        <v>847</v>
      </c>
      <c r="J1087" t="s">
        <v>46</v>
      </c>
      <c r="K1087" t="s">
        <v>12</v>
      </c>
      <c r="L1087">
        <v>0</v>
      </c>
      <c r="M1087" t="s">
        <v>55</v>
      </c>
      <c r="N1087" t="s">
        <v>412</v>
      </c>
      <c r="O1087" t="s">
        <v>392</v>
      </c>
      <c r="P1087" s="6" t="str">
        <f>IF(Table1[[#This Row],[Transaction_Amount]]&lt;=Table1[[#This Row],[avg_transaction_amount]], "usual transaction", "unusual transaction")</f>
        <v>unusual transaction</v>
      </c>
      <c r="Q1087" s="6" t="str">
        <f>IF(AND(Table1[[#This Row],[Country_of_Residence]]&lt;&gt;Table1[[#This Row],[Country_of_Transaction]], OR(Table1[[#This Row],[Authentication_Type]]="Biometric", Table1[[#This Row],[Authentication_Type]]="OTP")), "safe location transaction", "unsafe location transaction")</f>
        <v>unsafe location transaction</v>
      </c>
      <c r="R1087" s="6" t="str">
        <f>IF(AND(Table1[[#This Row],[Country_of_Residence]]&lt;&gt;Table1[[#This Row],[Country_of_Transaction]], OR(Table1[[#This Row],[Merchant_Category]]="Electronics", Table1[[#This Row],[Merchant_Category]]="Travel")), "unsafe merchant transaction", "safe merchant transaction")</f>
        <v>safe merchant transaction</v>
      </c>
    </row>
    <row r="1088" spans="1:18">
      <c r="A1088" t="s">
        <v>3250</v>
      </c>
      <c r="B1088" t="s">
        <v>184</v>
      </c>
      <c r="C1088">
        <v>1</v>
      </c>
      <c r="D1088" t="s">
        <v>9</v>
      </c>
      <c r="E1088" t="s">
        <v>3</v>
      </c>
      <c r="F1088" s="2">
        <v>45960</v>
      </c>
      <c r="G1088">
        <v>4772.3999999999996</v>
      </c>
      <c r="H1088" s="1">
        <f>AVERAGEIF(Table1[Customer_ID], Table1[[#This Row],[Customer_ID]], Table1[Transaction_Amount])</f>
        <v>4578.333623188405</v>
      </c>
      <c r="I1088" t="s">
        <v>881</v>
      </c>
      <c r="J1088" t="s">
        <v>31</v>
      </c>
      <c r="K1088" t="s">
        <v>8</v>
      </c>
      <c r="L1088">
        <v>5</v>
      </c>
      <c r="M1088" t="s">
        <v>37</v>
      </c>
      <c r="N1088" t="s">
        <v>56</v>
      </c>
      <c r="O1088" t="s">
        <v>392</v>
      </c>
      <c r="P1088" s="6" t="str">
        <f>IF(Table1[[#This Row],[Transaction_Amount]]&lt;=Table1[[#This Row],[avg_transaction_amount]], "usual transaction", "unusual transaction")</f>
        <v>unusual transaction</v>
      </c>
      <c r="Q1088" s="6" t="str">
        <f>IF(AND(Table1[[#This Row],[Country_of_Residence]]&lt;&gt;Table1[[#This Row],[Country_of_Transaction]], OR(Table1[[#This Row],[Authentication_Type]]="Biometric", Table1[[#This Row],[Authentication_Type]]="OTP")), "safe location transaction", "unsafe location transaction")</f>
        <v>safe location transaction</v>
      </c>
      <c r="R1088" s="6" t="str">
        <f>IF(AND(Table1[[#This Row],[Country_of_Residence]]&lt;&gt;Table1[[#This Row],[Country_of_Transaction]], OR(Table1[[#This Row],[Merchant_Category]]="Electronics", Table1[[#This Row],[Merchant_Category]]="Travel")), "unsafe merchant transaction", "safe merchant transaction")</f>
        <v>safe merchant transaction</v>
      </c>
    </row>
    <row r="1089" spans="1:18">
      <c r="A1089" t="s">
        <v>3312</v>
      </c>
      <c r="B1089" t="s">
        <v>184</v>
      </c>
      <c r="C1089">
        <v>1</v>
      </c>
      <c r="D1089" t="s">
        <v>9</v>
      </c>
      <c r="E1089" t="s">
        <v>6</v>
      </c>
      <c r="F1089" s="2">
        <v>45925</v>
      </c>
      <c r="G1089">
        <v>1528.64</v>
      </c>
      <c r="H1089" s="1">
        <f>AVERAGEIF(Table1[Customer_ID], Table1[[#This Row],[Customer_ID]], Table1[Transaction_Amount])</f>
        <v>4578.333623188405</v>
      </c>
      <c r="I1089" t="s">
        <v>939</v>
      </c>
      <c r="J1089" t="s">
        <v>41</v>
      </c>
      <c r="K1089" t="s">
        <v>10</v>
      </c>
      <c r="L1089">
        <v>4</v>
      </c>
      <c r="M1089" t="s">
        <v>32</v>
      </c>
      <c r="N1089" t="s">
        <v>412</v>
      </c>
      <c r="O1089" t="s">
        <v>392</v>
      </c>
      <c r="P1089" s="6" t="str">
        <f>IF(Table1[[#This Row],[Transaction_Amount]]&lt;=Table1[[#This Row],[avg_transaction_amount]], "usual transaction", "unusual transaction")</f>
        <v>usual transaction</v>
      </c>
      <c r="Q1089" s="6" t="str">
        <f>IF(AND(Table1[[#This Row],[Country_of_Residence]]&lt;&gt;Table1[[#This Row],[Country_of_Transaction]], OR(Table1[[#This Row],[Authentication_Type]]="Biometric", Table1[[#This Row],[Authentication_Type]]="OTP")), "safe location transaction", "unsafe location transaction")</f>
        <v>safe location transaction</v>
      </c>
      <c r="R1089" s="6" t="str">
        <f>IF(AND(Table1[[#This Row],[Country_of_Residence]]&lt;&gt;Table1[[#This Row],[Country_of_Transaction]], OR(Table1[[#This Row],[Merchant_Category]]="Electronics", Table1[[#This Row],[Merchant_Category]]="Travel")), "unsafe merchant transaction", "safe merchant transaction")</f>
        <v>safe merchant transaction</v>
      </c>
    </row>
    <row r="1090" spans="1:18">
      <c r="A1090" t="s">
        <v>3318</v>
      </c>
      <c r="B1090" t="s">
        <v>184</v>
      </c>
      <c r="C1090">
        <v>1</v>
      </c>
      <c r="D1090" t="s">
        <v>9</v>
      </c>
      <c r="E1090" t="s">
        <v>3</v>
      </c>
      <c r="F1090" s="2">
        <v>45717</v>
      </c>
      <c r="G1090">
        <v>7708.73</v>
      </c>
      <c r="H1090" s="1">
        <f>AVERAGEIF(Table1[Customer_ID], Table1[[#This Row],[Customer_ID]], Table1[Transaction_Amount])</f>
        <v>4578.333623188405</v>
      </c>
      <c r="I1090" t="s">
        <v>944</v>
      </c>
      <c r="J1090" t="s">
        <v>36</v>
      </c>
      <c r="K1090" t="s">
        <v>8</v>
      </c>
      <c r="L1090">
        <v>3</v>
      </c>
      <c r="M1090" t="s">
        <v>412</v>
      </c>
      <c r="N1090" t="s">
        <v>47</v>
      </c>
      <c r="O1090" t="s">
        <v>392</v>
      </c>
      <c r="P1090" s="6" t="str">
        <f>IF(Table1[[#This Row],[Transaction_Amount]]&lt;=Table1[[#This Row],[avg_transaction_amount]], "usual transaction", "unusual transaction")</f>
        <v>unusual transaction</v>
      </c>
      <c r="Q1090" s="6" t="str">
        <f>IF(AND(Table1[[#This Row],[Country_of_Residence]]&lt;&gt;Table1[[#This Row],[Country_of_Transaction]], OR(Table1[[#This Row],[Authentication_Type]]="Biometric", Table1[[#This Row],[Authentication_Type]]="OTP")), "safe location transaction", "unsafe location transaction")</f>
        <v>safe location transaction</v>
      </c>
      <c r="R1090" s="6" t="str">
        <f>IF(AND(Table1[[#This Row],[Country_of_Residence]]&lt;&gt;Table1[[#This Row],[Country_of_Transaction]], OR(Table1[[#This Row],[Merchant_Category]]="Electronics", Table1[[#This Row],[Merchant_Category]]="Travel")), "unsafe merchant transaction", "safe merchant transaction")</f>
        <v>safe merchant transaction</v>
      </c>
    </row>
    <row r="1091" spans="1:18">
      <c r="A1091" t="s">
        <v>3333</v>
      </c>
      <c r="B1091" t="s">
        <v>184</v>
      </c>
      <c r="C1091">
        <v>1</v>
      </c>
      <c r="D1091" t="s">
        <v>9</v>
      </c>
      <c r="E1091" t="s">
        <v>6</v>
      </c>
      <c r="F1091" s="2">
        <v>45924</v>
      </c>
      <c r="G1091">
        <v>888.6</v>
      </c>
      <c r="H1091" s="1">
        <f>AVERAGEIF(Table1[Customer_ID], Table1[[#This Row],[Customer_ID]], Table1[Transaction_Amount])</f>
        <v>4578.333623188405</v>
      </c>
      <c r="I1091" t="s">
        <v>957</v>
      </c>
      <c r="J1091" t="s">
        <v>46</v>
      </c>
      <c r="K1091" t="s">
        <v>10</v>
      </c>
      <c r="L1091">
        <v>4</v>
      </c>
      <c r="M1091" t="s">
        <v>33</v>
      </c>
      <c r="N1091" t="s">
        <v>37</v>
      </c>
      <c r="O1091" t="s">
        <v>393</v>
      </c>
      <c r="P1091" s="6" t="str">
        <f>IF(Table1[[#This Row],[Transaction_Amount]]&lt;=Table1[[#This Row],[avg_transaction_amount]], "usual transaction", "unusual transaction")</f>
        <v>usual transaction</v>
      </c>
      <c r="Q1091" s="6" t="str">
        <f>IF(AND(Table1[[#This Row],[Country_of_Residence]]&lt;&gt;Table1[[#This Row],[Country_of_Transaction]], OR(Table1[[#This Row],[Authentication_Type]]="Biometric", Table1[[#This Row],[Authentication_Type]]="OTP")), "safe location transaction", "unsafe location transaction")</f>
        <v>safe location transaction</v>
      </c>
      <c r="R1091" s="6" t="str">
        <f>IF(AND(Table1[[#This Row],[Country_of_Residence]]&lt;&gt;Table1[[#This Row],[Country_of_Transaction]], OR(Table1[[#This Row],[Merchant_Category]]="Electronics", Table1[[#This Row],[Merchant_Category]]="Travel")), "unsafe merchant transaction", "safe merchant transaction")</f>
        <v>safe merchant transaction</v>
      </c>
    </row>
    <row r="1092" spans="1:18">
      <c r="A1092" t="s">
        <v>3336</v>
      </c>
      <c r="B1092" t="s">
        <v>184</v>
      </c>
      <c r="C1092">
        <v>1</v>
      </c>
      <c r="D1092" t="s">
        <v>15</v>
      </c>
      <c r="E1092" t="s">
        <v>420</v>
      </c>
      <c r="F1092" s="2">
        <v>45924</v>
      </c>
      <c r="G1092">
        <v>2881.13</v>
      </c>
      <c r="H1092" s="1">
        <f>AVERAGEIF(Table1[Customer_ID], Table1[[#This Row],[Customer_ID]], Table1[Transaction_Amount])</f>
        <v>4578.333623188405</v>
      </c>
      <c r="I1092" t="s">
        <v>960</v>
      </c>
      <c r="J1092" t="s">
        <v>31</v>
      </c>
      <c r="K1092" t="s">
        <v>14</v>
      </c>
      <c r="L1092">
        <v>4</v>
      </c>
      <c r="M1092" t="s">
        <v>55</v>
      </c>
      <c r="N1092" t="s">
        <v>51</v>
      </c>
      <c r="O1092" t="s">
        <v>393</v>
      </c>
      <c r="P1092" s="6" t="str">
        <f>IF(Table1[[#This Row],[Transaction_Amount]]&lt;=Table1[[#This Row],[avg_transaction_amount]], "usual transaction", "unusual transaction")</f>
        <v>usual transaction</v>
      </c>
      <c r="Q1092" s="6" t="str">
        <f>IF(AND(Table1[[#This Row],[Country_of_Residence]]&lt;&gt;Table1[[#This Row],[Country_of_Transaction]], OR(Table1[[#This Row],[Authentication_Type]]="Biometric", Table1[[#This Row],[Authentication_Type]]="OTP")), "safe location transaction", "unsafe location transaction")</f>
        <v>unsafe location transaction</v>
      </c>
      <c r="R1092" s="6" t="str">
        <f>IF(AND(Table1[[#This Row],[Country_of_Residence]]&lt;&gt;Table1[[#This Row],[Country_of_Transaction]], OR(Table1[[#This Row],[Merchant_Category]]="Electronics", Table1[[#This Row],[Merchant_Category]]="Travel")), "unsafe merchant transaction", "safe merchant transaction")</f>
        <v>safe merchant transaction</v>
      </c>
    </row>
    <row r="1093" spans="1:18">
      <c r="A1093" t="s">
        <v>3341</v>
      </c>
      <c r="B1093" t="s">
        <v>184</v>
      </c>
      <c r="C1093">
        <v>1</v>
      </c>
      <c r="D1093" t="s">
        <v>15</v>
      </c>
      <c r="E1093" t="s">
        <v>6</v>
      </c>
      <c r="F1093" s="2">
        <v>45959</v>
      </c>
      <c r="G1093">
        <v>2975.11</v>
      </c>
      <c r="H1093" s="1">
        <f>AVERAGEIF(Table1[Customer_ID], Table1[[#This Row],[Customer_ID]], Table1[Transaction_Amount])</f>
        <v>4578.333623188405</v>
      </c>
      <c r="I1093" t="s">
        <v>965</v>
      </c>
      <c r="J1093" t="s">
        <v>50</v>
      </c>
      <c r="K1093" t="s">
        <v>14</v>
      </c>
      <c r="L1093">
        <v>1</v>
      </c>
      <c r="M1093" t="s">
        <v>42</v>
      </c>
      <c r="N1093" t="s">
        <v>47</v>
      </c>
      <c r="O1093" t="s">
        <v>392</v>
      </c>
      <c r="P1093" s="6" t="str">
        <f>IF(Table1[[#This Row],[Transaction_Amount]]&lt;=Table1[[#This Row],[avg_transaction_amount]], "usual transaction", "unusual transaction")</f>
        <v>usual transaction</v>
      </c>
      <c r="Q1093" s="6" t="str">
        <f>IF(AND(Table1[[#This Row],[Country_of_Residence]]&lt;&gt;Table1[[#This Row],[Country_of_Transaction]], OR(Table1[[#This Row],[Authentication_Type]]="Biometric", Table1[[#This Row],[Authentication_Type]]="OTP")), "safe location transaction", "unsafe location transaction")</f>
        <v>unsafe location transaction</v>
      </c>
      <c r="R1093" s="6" t="str">
        <f>IF(AND(Table1[[#This Row],[Country_of_Residence]]&lt;&gt;Table1[[#This Row],[Country_of_Transaction]], OR(Table1[[#This Row],[Merchant_Category]]="Electronics", Table1[[#This Row],[Merchant_Category]]="Travel")), "unsafe merchant transaction", "safe merchant transaction")</f>
        <v>unsafe merchant transaction</v>
      </c>
    </row>
    <row r="1094" spans="1:18">
      <c r="A1094" t="s">
        <v>3369</v>
      </c>
      <c r="B1094" t="s">
        <v>184</v>
      </c>
      <c r="C1094">
        <v>1</v>
      </c>
      <c r="D1094" t="s">
        <v>15</v>
      </c>
      <c r="E1094" t="s">
        <v>6</v>
      </c>
      <c r="F1094" s="2">
        <v>45898</v>
      </c>
      <c r="G1094">
        <v>5857.48</v>
      </c>
      <c r="H1094" s="1">
        <f>AVERAGEIF(Table1[Customer_ID], Table1[[#This Row],[Customer_ID]], Table1[Transaction_Amount])</f>
        <v>4578.333623188405</v>
      </c>
      <c r="I1094" t="s">
        <v>993</v>
      </c>
      <c r="J1094" t="s">
        <v>50</v>
      </c>
      <c r="K1094" t="s">
        <v>14</v>
      </c>
      <c r="L1094">
        <v>0</v>
      </c>
      <c r="M1094" t="s">
        <v>33</v>
      </c>
      <c r="N1094" t="s">
        <v>42</v>
      </c>
      <c r="O1094" t="s">
        <v>392</v>
      </c>
      <c r="P1094" s="6" t="str">
        <f>IF(Table1[[#This Row],[Transaction_Amount]]&lt;=Table1[[#This Row],[avg_transaction_amount]], "usual transaction", "unusual transaction")</f>
        <v>unusual transaction</v>
      </c>
      <c r="Q1094" s="6" t="str">
        <f>IF(AND(Table1[[#This Row],[Country_of_Residence]]&lt;&gt;Table1[[#This Row],[Country_of_Transaction]], OR(Table1[[#This Row],[Authentication_Type]]="Biometric", Table1[[#This Row],[Authentication_Type]]="OTP")), "safe location transaction", "unsafe location transaction")</f>
        <v>unsafe location transaction</v>
      </c>
      <c r="R1094" s="6" t="str">
        <f>IF(AND(Table1[[#This Row],[Country_of_Residence]]&lt;&gt;Table1[[#This Row],[Country_of_Transaction]], OR(Table1[[#This Row],[Merchant_Category]]="Electronics", Table1[[#This Row],[Merchant_Category]]="Travel")), "unsafe merchant transaction", "safe merchant transaction")</f>
        <v>unsafe merchant transaction</v>
      </c>
    </row>
    <row r="1095" spans="1:18">
      <c r="A1095" t="s">
        <v>3462</v>
      </c>
      <c r="B1095" t="s">
        <v>184</v>
      </c>
      <c r="C1095">
        <v>1</v>
      </c>
      <c r="D1095" t="s">
        <v>9</v>
      </c>
      <c r="E1095" t="s">
        <v>3</v>
      </c>
      <c r="F1095" s="2">
        <v>45882</v>
      </c>
      <c r="G1095">
        <v>3676.73</v>
      </c>
      <c r="H1095" s="1">
        <f>AVERAGEIF(Table1[Customer_ID], Table1[[#This Row],[Customer_ID]], Table1[Transaction_Amount])</f>
        <v>4578.333623188405</v>
      </c>
      <c r="I1095" t="s">
        <v>1080</v>
      </c>
      <c r="J1095" t="s">
        <v>46</v>
      </c>
      <c r="K1095" t="s">
        <v>12</v>
      </c>
      <c r="L1095">
        <v>2</v>
      </c>
      <c r="M1095" t="s">
        <v>56</v>
      </c>
      <c r="N1095" t="s">
        <v>412</v>
      </c>
      <c r="O1095" t="s">
        <v>393</v>
      </c>
      <c r="P1095" s="6" t="str">
        <f>IF(Table1[[#This Row],[Transaction_Amount]]&lt;=Table1[[#This Row],[avg_transaction_amount]], "usual transaction", "unusual transaction")</f>
        <v>usual transaction</v>
      </c>
      <c r="Q1095" s="6" t="str">
        <f>IF(AND(Table1[[#This Row],[Country_of_Residence]]&lt;&gt;Table1[[#This Row],[Country_of_Transaction]], OR(Table1[[#This Row],[Authentication_Type]]="Biometric", Table1[[#This Row],[Authentication_Type]]="OTP")), "safe location transaction", "unsafe location transaction")</f>
        <v>unsafe location transaction</v>
      </c>
      <c r="R1095" s="6" t="str">
        <f>IF(AND(Table1[[#This Row],[Country_of_Residence]]&lt;&gt;Table1[[#This Row],[Country_of_Transaction]], OR(Table1[[#This Row],[Merchant_Category]]="Electronics", Table1[[#This Row],[Merchant_Category]]="Travel")), "unsafe merchant transaction", "safe merchant transaction")</f>
        <v>safe merchant transaction</v>
      </c>
    </row>
    <row r="1096" spans="1:18">
      <c r="A1096" t="s">
        <v>3473</v>
      </c>
      <c r="B1096" t="s">
        <v>184</v>
      </c>
      <c r="C1096">
        <v>1</v>
      </c>
      <c r="D1096" t="s">
        <v>15</v>
      </c>
      <c r="E1096" t="s">
        <v>6</v>
      </c>
      <c r="F1096" s="2">
        <v>45680</v>
      </c>
      <c r="G1096">
        <v>7267.24</v>
      </c>
      <c r="H1096" s="1">
        <f>AVERAGEIF(Table1[Customer_ID], Table1[[#This Row],[Customer_ID]], Table1[Transaction_Amount])</f>
        <v>4578.333623188405</v>
      </c>
      <c r="I1096" t="s">
        <v>1091</v>
      </c>
      <c r="J1096" t="s">
        <v>36</v>
      </c>
      <c r="K1096" t="s">
        <v>14</v>
      </c>
      <c r="L1096">
        <v>4</v>
      </c>
      <c r="M1096" t="s">
        <v>51</v>
      </c>
      <c r="N1096" t="s">
        <v>51</v>
      </c>
      <c r="O1096" t="s">
        <v>393</v>
      </c>
      <c r="P1096" s="6" t="str">
        <f>IF(Table1[[#This Row],[Transaction_Amount]]&lt;=Table1[[#This Row],[avg_transaction_amount]], "usual transaction", "unusual transaction")</f>
        <v>unusual transaction</v>
      </c>
      <c r="Q1096" s="6" t="str">
        <f>IF(AND(Table1[[#This Row],[Country_of_Residence]]&lt;&gt;Table1[[#This Row],[Country_of_Transaction]], OR(Table1[[#This Row],[Authentication_Type]]="Biometric", Table1[[#This Row],[Authentication_Type]]="OTP")), "safe location transaction", "unsafe location transaction")</f>
        <v>unsafe location transaction</v>
      </c>
      <c r="R1096" s="6" t="str">
        <f>IF(AND(Table1[[#This Row],[Country_of_Residence]]&lt;&gt;Table1[[#This Row],[Country_of_Transaction]], OR(Table1[[#This Row],[Merchant_Category]]="Electronics", Table1[[#This Row],[Merchant_Category]]="Travel")), "unsafe merchant transaction", "safe merchant transaction")</f>
        <v>safe merchant transaction</v>
      </c>
    </row>
    <row r="1097" spans="1:18">
      <c r="A1097" t="s">
        <v>3502</v>
      </c>
      <c r="B1097" t="s">
        <v>184</v>
      </c>
      <c r="C1097">
        <v>1</v>
      </c>
      <c r="D1097" t="s">
        <v>9</v>
      </c>
      <c r="E1097" t="s">
        <v>420</v>
      </c>
      <c r="F1097" s="2">
        <v>45914</v>
      </c>
      <c r="G1097">
        <v>134.36000000000001</v>
      </c>
      <c r="H1097" s="1">
        <f>AVERAGEIF(Table1[Customer_ID], Table1[[#This Row],[Customer_ID]], Table1[Transaction_Amount])</f>
        <v>4578.333623188405</v>
      </c>
      <c r="I1097" t="s">
        <v>1117</v>
      </c>
      <c r="J1097" t="s">
        <v>36</v>
      </c>
      <c r="K1097" t="s">
        <v>14</v>
      </c>
      <c r="L1097">
        <v>1</v>
      </c>
      <c r="M1097" t="s">
        <v>32</v>
      </c>
      <c r="N1097" t="s">
        <v>51</v>
      </c>
      <c r="O1097" t="s">
        <v>393</v>
      </c>
      <c r="P1097" s="6" t="str">
        <f>IF(Table1[[#This Row],[Transaction_Amount]]&lt;=Table1[[#This Row],[avg_transaction_amount]], "usual transaction", "unusual transaction")</f>
        <v>usual transaction</v>
      </c>
      <c r="Q1097" s="6" t="str">
        <f>IF(AND(Table1[[#This Row],[Country_of_Residence]]&lt;&gt;Table1[[#This Row],[Country_of_Transaction]], OR(Table1[[#This Row],[Authentication_Type]]="Biometric", Table1[[#This Row],[Authentication_Type]]="OTP")), "safe location transaction", "unsafe location transaction")</f>
        <v>unsafe location transaction</v>
      </c>
      <c r="R1097" s="6" t="str">
        <f>IF(AND(Table1[[#This Row],[Country_of_Residence]]&lt;&gt;Table1[[#This Row],[Country_of_Transaction]], OR(Table1[[#This Row],[Merchant_Category]]="Electronics", Table1[[#This Row],[Merchant_Category]]="Travel")), "unsafe merchant transaction", "safe merchant transaction")</f>
        <v>safe merchant transaction</v>
      </c>
    </row>
    <row r="1098" spans="1:18">
      <c r="A1098" t="s">
        <v>3514</v>
      </c>
      <c r="B1098" t="s">
        <v>184</v>
      </c>
      <c r="C1098">
        <v>1</v>
      </c>
      <c r="D1098" t="s">
        <v>9</v>
      </c>
      <c r="E1098" t="s">
        <v>6</v>
      </c>
      <c r="F1098" s="2">
        <v>46000</v>
      </c>
      <c r="G1098">
        <v>8744.07</v>
      </c>
      <c r="H1098" s="1">
        <f>AVERAGEIF(Table1[Customer_ID], Table1[[#This Row],[Customer_ID]], Table1[Transaction_Amount])</f>
        <v>4578.333623188405</v>
      </c>
      <c r="I1098" t="s">
        <v>1129</v>
      </c>
      <c r="J1098" t="s">
        <v>31</v>
      </c>
      <c r="K1098" t="s">
        <v>10</v>
      </c>
      <c r="L1098">
        <v>3</v>
      </c>
      <c r="M1098" t="s">
        <v>51</v>
      </c>
      <c r="N1098" t="s">
        <v>37</v>
      </c>
      <c r="O1098" t="s">
        <v>392</v>
      </c>
      <c r="P1098" s="6" t="str">
        <f>IF(Table1[[#This Row],[Transaction_Amount]]&lt;=Table1[[#This Row],[avg_transaction_amount]], "usual transaction", "unusual transaction")</f>
        <v>unusual transaction</v>
      </c>
      <c r="Q1098" s="6" t="str">
        <f>IF(AND(Table1[[#This Row],[Country_of_Residence]]&lt;&gt;Table1[[#This Row],[Country_of_Transaction]], OR(Table1[[#This Row],[Authentication_Type]]="Biometric", Table1[[#This Row],[Authentication_Type]]="OTP")), "safe location transaction", "unsafe location transaction")</f>
        <v>safe location transaction</v>
      </c>
      <c r="R1098" s="6" t="str">
        <f>IF(AND(Table1[[#This Row],[Country_of_Residence]]&lt;&gt;Table1[[#This Row],[Country_of_Transaction]], OR(Table1[[#This Row],[Merchant_Category]]="Electronics", Table1[[#This Row],[Merchant_Category]]="Travel")), "unsafe merchant transaction", "safe merchant transaction")</f>
        <v>safe merchant transaction</v>
      </c>
    </row>
    <row r="1099" spans="1:18">
      <c r="A1099" t="s">
        <v>3595</v>
      </c>
      <c r="B1099" t="s">
        <v>184</v>
      </c>
      <c r="C1099">
        <v>1</v>
      </c>
      <c r="D1099" t="s">
        <v>9</v>
      </c>
      <c r="E1099" t="s">
        <v>6</v>
      </c>
      <c r="F1099" s="2">
        <v>45676</v>
      </c>
      <c r="G1099">
        <v>7431.99</v>
      </c>
      <c r="H1099" s="1">
        <f>AVERAGEIF(Table1[Customer_ID], Table1[[#This Row],[Customer_ID]], Table1[Transaction_Amount])</f>
        <v>4578.333623188405</v>
      </c>
      <c r="I1099" t="s">
        <v>1204</v>
      </c>
      <c r="J1099" t="s">
        <v>36</v>
      </c>
      <c r="K1099" t="s">
        <v>10</v>
      </c>
      <c r="L1099">
        <v>0</v>
      </c>
      <c r="M1099" t="s">
        <v>47</v>
      </c>
      <c r="N1099" t="s">
        <v>412</v>
      </c>
      <c r="O1099" t="s">
        <v>393</v>
      </c>
      <c r="P1099" s="6" t="str">
        <f>IF(Table1[[#This Row],[Transaction_Amount]]&lt;=Table1[[#This Row],[avg_transaction_amount]], "usual transaction", "unusual transaction")</f>
        <v>unusual transaction</v>
      </c>
      <c r="Q1099" s="6" t="str">
        <f>IF(AND(Table1[[#This Row],[Country_of_Residence]]&lt;&gt;Table1[[#This Row],[Country_of_Transaction]], OR(Table1[[#This Row],[Authentication_Type]]="Biometric", Table1[[#This Row],[Authentication_Type]]="OTP")), "safe location transaction", "unsafe location transaction")</f>
        <v>safe location transaction</v>
      </c>
      <c r="R1099" s="6" t="str">
        <f>IF(AND(Table1[[#This Row],[Country_of_Residence]]&lt;&gt;Table1[[#This Row],[Country_of_Transaction]], OR(Table1[[#This Row],[Merchant_Category]]="Electronics", Table1[[#This Row],[Merchant_Category]]="Travel")), "unsafe merchant transaction", "safe merchant transaction")</f>
        <v>safe merchant transaction</v>
      </c>
    </row>
    <row r="1100" spans="1:18">
      <c r="A1100" t="s">
        <v>3667</v>
      </c>
      <c r="B1100" t="s">
        <v>184</v>
      </c>
      <c r="C1100">
        <v>1</v>
      </c>
      <c r="D1100" t="s">
        <v>15</v>
      </c>
      <c r="E1100" t="s">
        <v>420</v>
      </c>
      <c r="F1100" s="2">
        <v>45704</v>
      </c>
      <c r="G1100">
        <v>3109.89</v>
      </c>
      <c r="H1100" s="1">
        <f>AVERAGEIF(Table1[Customer_ID], Table1[[#This Row],[Customer_ID]], Table1[Transaction_Amount])</f>
        <v>4578.333623188405</v>
      </c>
      <c r="I1100" t="s">
        <v>1269</v>
      </c>
      <c r="J1100" t="s">
        <v>46</v>
      </c>
      <c r="K1100" t="s">
        <v>14</v>
      </c>
      <c r="L1100">
        <v>0</v>
      </c>
      <c r="M1100" t="s">
        <v>47</v>
      </c>
      <c r="N1100" t="s">
        <v>42</v>
      </c>
      <c r="O1100" t="s">
        <v>393</v>
      </c>
      <c r="P1100" s="6" t="str">
        <f>IF(Table1[[#This Row],[Transaction_Amount]]&lt;=Table1[[#This Row],[avg_transaction_amount]], "usual transaction", "unusual transaction")</f>
        <v>usual transaction</v>
      </c>
      <c r="Q1100" s="6" t="str">
        <f>IF(AND(Table1[[#This Row],[Country_of_Residence]]&lt;&gt;Table1[[#This Row],[Country_of_Transaction]], OR(Table1[[#This Row],[Authentication_Type]]="Biometric", Table1[[#This Row],[Authentication_Type]]="OTP")), "safe location transaction", "unsafe location transaction")</f>
        <v>unsafe location transaction</v>
      </c>
      <c r="R1100" s="6" t="str">
        <f>IF(AND(Table1[[#This Row],[Country_of_Residence]]&lt;&gt;Table1[[#This Row],[Country_of_Transaction]], OR(Table1[[#This Row],[Merchant_Category]]="Electronics", Table1[[#This Row],[Merchant_Category]]="Travel")), "unsafe merchant transaction", "safe merchant transaction")</f>
        <v>safe merchant transaction</v>
      </c>
    </row>
    <row r="1101" spans="1:18">
      <c r="A1101" t="s">
        <v>3732</v>
      </c>
      <c r="B1101" t="s">
        <v>184</v>
      </c>
      <c r="C1101">
        <v>1</v>
      </c>
      <c r="D1101" t="s">
        <v>9</v>
      </c>
      <c r="E1101" t="s">
        <v>5</v>
      </c>
      <c r="F1101" s="2">
        <v>45672</v>
      </c>
      <c r="G1101">
        <v>4066.36</v>
      </c>
      <c r="H1101" s="1">
        <f>AVERAGEIF(Table1[Customer_ID], Table1[[#This Row],[Customer_ID]], Table1[Transaction_Amount])</f>
        <v>4578.333623188405</v>
      </c>
      <c r="I1101" t="s">
        <v>1327</v>
      </c>
      <c r="J1101" t="s">
        <v>31</v>
      </c>
      <c r="K1101" t="s">
        <v>8</v>
      </c>
      <c r="L1101">
        <v>0</v>
      </c>
      <c r="M1101" t="s">
        <v>42</v>
      </c>
      <c r="N1101" t="s">
        <v>56</v>
      </c>
      <c r="O1101" t="s">
        <v>392</v>
      </c>
      <c r="P1101" s="6" t="str">
        <f>IF(Table1[[#This Row],[Transaction_Amount]]&lt;=Table1[[#This Row],[avg_transaction_amount]], "usual transaction", "unusual transaction")</f>
        <v>usual transaction</v>
      </c>
      <c r="Q1101" s="6" t="str">
        <f>IF(AND(Table1[[#This Row],[Country_of_Residence]]&lt;&gt;Table1[[#This Row],[Country_of_Transaction]], OR(Table1[[#This Row],[Authentication_Type]]="Biometric", Table1[[#This Row],[Authentication_Type]]="OTP")), "safe location transaction", "unsafe location transaction")</f>
        <v>safe location transaction</v>
      </c>
      <c r="R1101" s="6" t="str">
        <f>IF(AND(Table1[[#This Row],[Country_of_Residence]]&lt;&gt;Table1[[#This Row],[Country_of_Transaction]], OR(Table1[[#This Row],[Merchant_Category]]="Electronics", Table1[[#This Row],[Merchant_Category]]="Travel")), "unsafe merchant transaction", "safe merchant transaction")</f>
        <v>safe merchant transaction</v>
      </c>
    </row>
    <row r="1102" spans="1:18">
      <c r="A1102" t="s">
        <v>3800</v>
      </c>
      <c r="B1102" t="s">
        <v>184</v>
      </c>
      <c r="C1102">
        <v>1</v>
      </c>
      <c r="D1102" t="s">
        <v>15</v>
      </c>
      <c r="E1102" t="s">
        <v>6</v>
      </c>
      <c r="F1102" s="2">
        <v>45870</v>
      </c>
      <c r="G1102">
        <v>1059.92</v>
      </c>
      <c r="H1102" s="1">
        <f>AVERAGEIF(Table1[Customer_ID], Table1[[#This Row],[Customer_ID]], Table1[Transaction_Amount])</f>
        <v>4578.333623188405</v>
      </c>
      <c r="I1102" t="s">
        <v>555</v>
      </c>
      <c r="J1102" t="s">
        <v>41</v>
      </c>
      <c r="K1102" t="s">
        <v>8</v>
      </c>
      <c r="L1102">
        <v>1</v>
      </c>
      <c r="M1102" t="s">
        <v>33</v>
      </c>
      <c r="N1102" t="s">
        <v>33</v>
      </c>
      <c r="O1102" t="s">
        <v>393</v>
      </c>
      <c r="P1102" s="6" t="str">
        <f>IF(Table1[[#This Row],[Transaction_Amount]]&lt;=Table1[[#This Row],[avg_transaction_amount]], "usual transaction", "unusual transaction")</f>
        <v>usual transaction</v>
      </c>
      <c r="Q1102" s="6" t="str">
        <f>IF(AND(Table1[[#This Row],[Country_of_Residence]]&lt;&gt;Table1[[#This Row],[Country_of_Transaction]], OR(Table1[[#This Row],[Authentication_Type]]="Biometric", Table1[[#This Row],[Authentication_Type]]="OTP")), "safe location transaction", "unsafe location transaction")</f>
        <v>unsafe location transaction</v>
      </c>
      <c r="R1102" s="6" t="str">
        <f>IF(AND(Table1[[#This Row],[Country_of_Residence]]&lt;&gt;Table1[[#This Row],[Country_of_Transaction]], OR(Table1[[#This Row],[Merchant_Category]]="Electronics", Table1[[#This Row],[Merchant_Category]]="Travel")), "unsafe merchant transaction", "safe merchant transaction")</f>
        <v>safe merchant transaction</v>
      </c>
    </row>
    <row r="1103" spans="1:18">
      <c r="A1103" t="s">
        <v>3828</v>
      </c>
      <c r="B1103" t="s">
        <v>184</v>
      </c>
      <c r="C1103">
        <v>1</v>
      </c>
      <c r="D1103" t="s">
        <v>15</v>
      </c>
      <c r="E1103" t="s">
        <v>3</v>
      </c>
      <c r="F1103" s="2">
        <v>45991</v>
      </c>
      <c r="G1103">
        <v>2646.83</v>
      </c>
      <c r="H1103" s="1">
        <f>AVERAGEIF(Table1[Customer_ID], Table1[[#This Row],[Customer_ID]], Table1[Transaction_Amount])</f>
        <v>4578.333623188405</v>
      </c>
      <c r="I1103" t="s">
        <v>1408</v>
      </c>
      <c r="J1103" t="s">
        <v>31</v>
      </c>
      <c r="K1103" t="s">
        <v>14</v>
      </c>
      <c r="L1103">
        <v>3</v>
      </c>
      <c r="M1103" t="s">
        <v>42</v>
      </c>
      <c r="N1103" t="s">
        <v>47</v>
      </c>
      <c r="O1103" t="s">
        <v>393</v>
      </c>
      <c r="P1103" s="6" t="str">
        <f>IF(Table1[[#This Row],[Transaction_Amount]]&lt;=Table1[[#This Row],[avg_transaction_amount]], "usual transaction", "unusual transaction")</f>
        <v>usual transaction</v>
      </c>
      <c r="Q1103" s="6" t="str">
        <f>IF(AND(Table1[[#This Row],[Country_of_Residence]]&lt;&gt;Table1[[#This Row],[Country_of_Transaction]], OR(Table1[[#This Row],[Authentication_Type]]="Biometric", Table1[[#This Row],[Authentication_Type]]="OTP")), "safe location transaction", "unsafe location transaction")</f>
        <v>unsafe location transaction</v>
      </c>
      <c r="R1103" s="6" t="str">
        <f>IF(AND(Table1[[#This Row],[Country_of_Residence]]&lt;&gt;Table1[[#This Row],[Country_of_Transaction]], OR(Table1[[#This Row],[Merchant_Category]]="Electronics", Table1[[#This Row],[Merchant_Category]]="Travel")), "unsafe merchant transaction", "safe merchant transaction")</f>
        <v>safe merchant transaction</v>
      </c>
    </row>
    <row r="1104" spans="1:18">
      <c r="A1104" t="s">
        <v>3867</v>
      </c>
      <c r="B1104" t="s">
        <v>184</v>
      </c>
      <c r="C1104">
        <v>1</v>
      </c>
      <c r="D1104" t="s">
        <v>15</v>
      </c>
      <c r="E1104" t="s">
        <v>420</v>
      </c>
      <c r="F1104" s="2">
        <v>45767</v>
      </c>
      <c r="G1104">
        <v>8809.83</v>
      </c>
      <c r="H1104" s="1">
        <f>AVERAGEIF(Table1[Customer_ID], Table1[[#This Row],[Customer_ID]], Table1[Transaction_Amount])</f>
        <v>4578.333623188405</v>
      </c>
      <c r="I1104" t="s">
        <v>1012</v>
      </c>
      <c r="J1104" t="s">
        <v>36</v>
      </c>
      <c r="K1104" t="s">
        <v>8</v>
      </c>
      <c r="L1104">
        <v>1</v>
      </c>
      <c r="M1104" t="s">
        <v>32</v>
      </c>
      <c r="N1104" t="s">
        <v>42</v>
      </c>
      <c r="O1104" t="s">
        <v>393</v>
      </c>
      <c r="P1104" s="6" t="str">
        <f>IF(Table1[[#This Row],[Transaction_Amount]]&lt;=Table1[[#This Row],[avg_transaction_amount]], "usual transaction", "unusual transaction")</f>
        <v>unusual transaction</v>
      </c>
      <c r="Q1104" s="6" t="str">
        <f>IF(AND(Table1[[#This Row],[Country_of_Residence]]&lt;&gt;Table1[[#This Row],[Country_of_Transaction]], OR(Table1[[#This Row],[Authentication_Type]]="Biometric", Table1[[#This Row],[Authentication_Type]]="OTP")), "safe location transaction", "unsafe location transaction")</f>
        <v>safe location transaction</v>
      </c>
      <c r="R1104" s="6" t="str">
        <f>IF(AND(Table1[[#This Row],[Country_of_Residence]]&lt;&gt;Table1[[#This Row],[Country_of_Transaction]], OR(Table1[[#This Row],[Merchant_Category]]="Electronics", Table1[[#This Row],[Merchant_Category]]="Travel")), "unsafe merchant transaction", "safe merchant transaction")</f>
        <v>safe merchant transaction</v>
      </c>
    </row>
    <row r="1105" spans="1:18">
      <c r="A1105" t="s">
        <v>3897</v>
      </c>
      <c r="B1105" t="s">
        <v>184</v>
      </c>
      <c r="C1105">
        <v>1</v>
      </c>
      <c r="D1105" t="s">
        <v>15</v>
      </c>
      <c r="E1105" t="s">
        <v>3</v>
      </c>
      <c r="F1105" s="2">
        <v>45768</v>
      </c>
      <c r="G1105">
        <v>3767.55</v>
      </c>
      <c r="H1105" s="1">
        <f>AVERAGEIF(Table1[Customer_ID], Table1[[#This Row],[Customer_ID]], Table1[Transaction_Amount])</f>
        <v>4578.333623188405</v>
      </c>
      <c r="I1105" t="s">
        <v>1464</v>
      </c>
      <c r="J1105" t="s">
        <v>36</v>
      </c>
      <c r="K1105" t="s">
        <v>12</v>
      </c>
      <c r="L1105">
        <v>5</v>
      </c>
      <c r="M1105" t="s">
        <v>37</v>
      </c>
      <c r="N1105" t="s">
        <v>56</v>
      </c>
      <c r="O1105" t="s">
        <v>392</v>
      </c>
      <c r="P1105" s="6" t="str">
        <f>IF(Table1[[#This Row],[Transaction_Amount]]&lt;=Table1[[#This Row],[avg_transaction_amount]], "usual transaction", "unusual transaction")</f>
        <v>usual transaction</v>
      </c>
      <c r="Q1105" s="6" t="str">
        <f>IF(AND(Table1[[#This Row],[Country_of_Residence]]&lt;&gt;Table1[[#This Row],[Country_of_Transaction]], OR(Table1[[#This Row],[Authentication_Type]]="Biometric", Table1[[#This Row],[Authentication_Type]]="OTP")), "safe location transaction", "unsafe location transaction")</f>
        <v>unsafe location transaction</v>
      </c>
      <c r="R1105" s="6" t="str">
        <f>IF(AND(Table1[[#This Row],[Country_of_Residence]]&lt;&gt;Table1[[#This Row],[Country_of_Transaction]], OR(Table1[[#This Row],[Merchant_Category]]="Electronics", Table1[[#This Row],[Merchant_Category]]="Travel")), "unsafe merchant transaction", "safe merchant transaction")</f>
        <v>safe merchant transaction</v>
      </c>
    </row>
    <row r="1106" spans="1:18">
      <c r="A1106" t="s">
        <v>4040</v>
      </c>
      <c r="B1106" t="s">
        <v>184</v>
      </c>
      <c r="C1106">
        <v>1</v>
      </c>
      <c r="D1106" t="s">
        <v>9</v>
      </c>
      <c r="E1106" t="s">
        <v>5</v>
      </c>
      <c r="F1106" s="2">
        <v>46000</v>
      </c>
      <c r="G1106">
        <v>8632.7999999999993</v>
      </c>
      <c r="H1106" s="1">
        <f>AVERAGEIF(Table1[Customer_ID], Table1[[#This Row],[Customer_ID]], Table1[Transaction_Amount])</f>
        <v>4578.333623188405</v>
      </c>
      <c r="I1106" t="s">
        <v>1595</v>
      </c>
      <c r="J1106" t="s">
        <v>50</v>
      </c>
      <c r="K1106" t="s">
        <v>8</v>
      </c>
      <c r="L1106">
        <v>2</v>
      </c>
      <c r="M1106" t="s">
        <v>51</v>
      </c>
      <c r="N1106" t="s">
        <v>37</v>
      </c>
      <c r="O1106" t="s">
        <v>392</v>
      </c>
      <c r="P1106" s="6" t="str">
        <f>IF(Table1[[#This Row],[Transaction_Amount]]&lt;=Table1[[#This Row],[avg_transaction_amount]], "usual transaction", "unusual transaction")</f>
        <v>unusual transaction</v>
      </c>
      <c r="Q1106" s="6" t="str">
        <f>IF(AND(Table1[[#This Row],[Country_of_Residence]]&lt;&gt;Table1[[#This Row],[Country_of_Transaction]], OR(Table1[[#This Row],[Authentication_Type]]="Biometric", Table1[[#This Row],[Authentication_Type]]="OTP")), "safe location transaction", "unsafe location transaction")</f>
        <v>safe location transaction</v>
      </c>
      <c r="R1106" s="6" t="str">
        <f>IF(AND(Table1[[#This Row],[Country_of_Residence]]&lt;&gt;Table1[[#This Row],[Country_of_Transaction]], OR(Table1[[#This Row],[Merchant_Category]]="Electronics", Table1[[#This Row],[Merchant_Category]]="Travel")), "unsafe merchant transaction", "safe merchant transaction")</f>
        <v>unsafe merchant transaction</v>
      </c>
    </row>
    <row r="1107" spans="1:18">
      <c r="A1107" t="s">
        <v>4042</v>
      </c>
      <c r="B1107" t="s">
        <v>184</v>
      </c>
      <c r="C1107">
        <v>1</v>
      </c>
      <c r="D1107" t="s">
        <v>15</v>
      </c>
      <c r="E1107" t="s">
        <v>3</v>
      </c>
      <c r="F1107" s="2">
        <v>45779</v>
      </c>
      <c r="G1107">
        <v>3756.41</v>
      </c>
      <c r="H1107" s="1">
        <f>AVERAGEIF(Table1[Customer_ID], Table1[[#This Row],[Customer_ID]], Table1[Transaction_Amount])</f>
        <v>4578.333623188405</v>
      </c>
      <c r="I1107" t="s">
        <v>1597</v>
      </c>
      <c r="J1107" t="s">
        <v>50</v>
      </c>
      <c r="K1107" t="s">
        <v>14</v>
      </c>
      <c r="L1107">
        <v>0</v>
      </c>
      <c r="M1107" t="s">
        <v>55</v>
      </c>
      <c r="N1107" t="s">
        <v>412</v>
      </c>
      <c r="O1107" t="s">
        <v>393</v>
      </c>
      <c r="P1107" s="6" t="str">
        <f>IF(Table1[[#This Row],[Transaction_Amount]]&lt;=Table1[[#This Row],[avg_transaction_amount]], "usual transaction", "unusual transaction")</f>
        <v>usual transaction</v>
      </c>
      <c r="Q1107" s="6" t="str">
        <f>IF(AND(Table1[[#This Row],[Country_of_Residence]]&lt;&gt;Table1[[#This Row],[Country_of_Transaction]], OR(Table1[[#This Row],[Authentication_Type]]="Biometric", Table1[[#This Row],[Authentication_Type]]="OTP")), "safe location transaction", "unsafe location transaction")</f>
        <v>unsafe location transaction</v>
      </c>
      <c r="R1107" s="6" t="str">
        <f>IF(AND(Table1[[#This Row],[Country_of_Residence]]&lt;&gt;Table1[[#This Row],[Country_of_Transaction]], OR(Table1[[#This Row],[Merchant_Category]]="Electronics", Table1[[#This Row],[Merchant_Category]]="Travel")), "unsafe merchant transaction", "safe merchant transaction")</f>
        <v>unsafe merchant transaction</v>
      </c>
    </row>
    <row r="1108" spans="1:18">
      <c r="A1108" t="s">
        <v>4060</v>
      </c>
      <c r="B1108" t="s">
        <v>184</v>
      </c>
      <c r="C1108">
        <v>1</v>
      </c>
      <c r="D1108" t="s">
        <v>15</v>
      </c>
      <c r="E1108" t="s">
        <v>3</v>
      </c>
      <c r="F1108" s="2">
        <v>45971</v>
      </c>
      <c r="G1108">
        <v>2028.45</v>
      </c>
      <c r="H1108" s="1">
        <f>AVERAGEIF(Table1[Customer_ID], Table1[[#This Row],[Customer_ID]], Table1[Transaction_Amount])</f>
        <v>4578.333623188405</v>
      </c>
      <c r="I1108" t="s">
        <v>1158</v>
      </c>
      <c r="J1108" t="s">
        <v>41</v>
      </c>
      <c r="K1108" t="s">
        <v>8</v>
      </c>
      <c r="L1108">
        <v>3</v>
      </c>
      <c r="M1108" t="s">
        <v>32</v>
      </c>
      <c r="N1108" t="s">
        <v>55</v>
      </c>
      <c r="O1108" t="s">
        <v>393</v>
      </c>
      <c r="P1108" s="6" t="str">
        <f>IF(Table1[[#This Row],[Transaction_Amount]]&lt;=Table1[[#This Row],[avg_transaction_amount]], "usual transaction", "unusual transaction")</f>
        <v>usual transaction</v>
      </c>
      <c r="Q1108" s="6" t="str">
        <f>IF(AND(Table1[[#This Row],[Country_of_Residence]]&lt;&gt;Table1[[#This Row],[Country_of_Transaction]], OR(Table1[[#This Row],[Authentication_Type]]="Biometric", Table1[[#This Row],[Authentication_Type]]="OTP")), "safe location transaction", "unsafe location transaction")</f>
        <v>safe location transaction</v>
      </c>
      <c r="R1108" s="6" t="str">
        <f>IF(AND(Table1[[#This Row],[Country_of_Residence]]&lt;&gt;Table1[[#This Row],[Country_of_Transaction]], OR(Table1[[#This Row],[Merchant_Category]]="Electronics", Table1[[#This Row],[Merchant_Category]]="Travel")), "unsafe merchant transaction", "safe merchant transaction")</f>
        <v>safe merchant transaction</v>
      </c>
    </row>
    <row r="1109" spans="1:18">
      <c r="A1109" t="s">
        <v>4109</v>
      </c>
      <c r="B1109" t="s">
        <v>184</v>
      </c>
      <c r="C1109">
        <v>1</v>
      </c>
      <c r="D1109" t="s">
        <v>15</v>
      </c>
      <c r="E1109" t="s">
        <v>3</v>
      </c>
      <c r="F1109" s="2">
        <v>45875</v>
      </c>
      <c r="G1109">
        <v>7691.65</v>
      </c>
      <c r="H1109" s="1">
        <f>AVERAGEIF(Table1[Customer_ID], Table1[[#This Row],[Customer_ID]], Table1[Transaction_Amount])</f>
        <v>4578.333623188405</v>
      </c>
      <c r="I1109" t="s">
        <v>1647</v>
      </c>
      <c r="J1109" t="s">
        <v>50</v>
      </c>
      <c r="K1109" t="s">
        <v>14</v>
      </c>
      <c r="L1109">
        <v>3</v>
      </c>
      <c r="M1109" t="s">
        <v>56</v>
      </c>
      <c r="N1109" t="s">
        <v>42</v>
      </c>
      <c r="O1109" t="s">
        <v>392</v>
      </c>
      <c r="P1109" s="6" t="str">
        <f>IF(Table1[[#This Row],[Transaction_Amount]]&lt;=Table1[[#This Row],[avg_transaction_amount]], "usual transaction", "unusual transaction")</f>
        <v>unusual transaction</v>
      </c>
      <c r="Q1109" s="6" t="str">
        <f>IF(AND(Table1[[#This Row],[Country_of_Residence]]&lt;&gt;Table1[[#This Row],[Country_of_Transaction]], OR(Table1[[#This Row],[Authentication_Type]]="Biometric", Table1[[#This Row],[Authentication_Type]]="OTP")), "safe location transaction", "unsafe location transaction")</f>
        <v>unsafe location transaction</v>
      </c>
      <c r="R1109" s="6" t="str">
        <f>IF(AND(Table1[[#This Row],[Country_of_Residence]]&lt;&gt;Table1[[#This Row],[Country_of_Transaction]], OR(Table1[[#This Row],[Merchant_Category]]="Electronics", Table1[[#This Row],[Merchant_Category]]="Travel")), "unsafe merchant transaction", "safe merchant transaction")</f>
        <v>unsafe merchant transaction</v>
      </c>
    </row>
    <row r="1110" spans="1:18">
      <c r="A1110" t="s">
        <v>4122</v>
      </c>
      <c r="B1110" t="s">
        <v>184</v>
      </c>
      <c r="C1110">
        <v>1</v>
      </c>
      <c r="D1110" t="s">
        <v>15</v>
      </c>
      <c r="E1110" t="s">
        <v>3</v>
      </c>
      <c r="F1110" s="2">
        <v>45860</v>
      </c>
      <c r="G1110">
        <v>167.56</v>
      </c>
      <c r="H1110" s="1">
        <f>AVERAGEIF(Table1[Customer_ID], Table1[[#This Row],[Customer_ID]], Table1[Transaction_Amount])</f>
        <v>4578.333623188405</v>
      </c>
      <c r="I1110" t="s">
        <v>1656</v>
      </c>
      <c r="J1110" t="s">
        <v>41</v>
      </c>
      <c r="K1110" t="s">
        <v>14</v>
      </c>
      <c r="L1110">
        <v>4</v>
      </c>
      <c r="M1110" t="s">
        <v>32</v>
      </c>
      <c r="N1110" t="s">
        <v>56</v>
      </c>
      <c r="O1110" t="s">
        <v>393</v>
      </c>
      <c r="P1110" s="6" t="str">
        <f>IF(Table1[[#This Row],[Transaction_Amount]]&lt;=Table1[[#This Row],[avg_transaction_amount]], "usual transaction", "unusual transaction")</f>
        <v>usual transaction</v>
      </c>
      <c r="Q1110" s="6" t="str">
        <f>IF(AND(Table1[[#This Row],[Country_of_Residence]]&lt;&gt;Table1[[#This Row],[Country_of_Transaction]], OR(Table1[[#This Row],[Authentication_Type]]="Biometric", Table1[[#This Row],[Authentication_Type]]="OTP")), "safe location transaction", "unsafe location transaction")</f>
        <v>unsafe location transaction</v>
      </c>
      <c r="R1110" s="6" t="str">
        <f>IF(AND(Table1[[#This Row],[Country_of_Residence]]&lt;&gt;Table1[[#This Row],[Country_of_Transaction]], OR(Table1[[#This Row],[Merchant_Category]]="Electronics", Table1[[#This Row],[Merchant_Category]]="Travel")), "unsafe merchant transaction", "safe merchant transaction")</f>
        <v>safe merchant transaction</v>
      </c>
    </row>
    <row r="1111" spans="1:18">
      <c r="A1111" t="s">
        <v>4199</v>
      </c>
      <c r="B1111" t="s">
        <v>184</v>
      </c>
      <c r="C1111">
        <v>1</v>
      </c>
      <c r="D1111" t="s">
        <v>15</v>
      </c>
      <c r="E1111" t="s">
        <v>3</v>
      </c>
      <c r="F1111" s="2">
        <v>45889</v>
      </c>
      <c r="G1111">
        <v>7778.68</v>
      </c>
      <c r="H1111" s="1">
        <f>AVERAGEIF(Table1[Customer_ID], Table1[[#This Row],[Customer_ID]], Table1[Transaction_Amount])</f>
        <v>4578.333623188405</v>
      </c>
      <c r="I1111" t="s">
        <v>1719</v>
      </c>
      <c r="J1111" t="s">
        <v>46</v>
      </c>
      <c r="K1111" t="s">
        <v>8</v>
      </c>
      <c r="L1111">
        <v>1</v>
      </c>
      <c r="M1111" t="s">
        <v>32</v>
      </c>
      <c r="N1111" t="s">
        <v>412</v>
      </c>
      <c r="O1111" t="s">
        <v>392</v>
      </c>
      <c r="P1111" s="6" t="str">
        <f>IF(Table1[[#This Row],[Transaction_Amount]]&lt;=Table1[[#This Row],[avg_transaction_amount]], "usual transaction", "unusual transaction")</f>
        <v>unusual transaction</v>
      </c>
      <c r="Q1111" s="6" t="str">
        <f>IF(AND(Table1[[#This Row],[Country_of_Residence]]&lt;&gt;Table1[[#This Row],[Country_of_Transaction]], OR(Table1[[#This Row],[Authentication_Type]]="Biometric", Table1[[#This Row],[Authentication_Type]]="OTP")), "safe location transaction", "unsafe location transaction")</f>
        <v>safe location transaction</v>
      </c>
      <c r="R1111" s="6" t="str">
        <f>IF(AND(Table1[[#This Row],[Country_of_Residence]]&lt;&gt;Table1[[#This Row],[Country_of_Transaction]], OR(Table1[[#This Row],[Merchant_Category]]="Electronics", Table1[[#This Row],[Merchant_Category]]="Travel")), "unsafe merchant transaction", "safe merchant transaction")</f>
        <v>safe merchant transaction</v>
      </c>
    </row>
    <row r="1112" spans="1:18">
      <c r="A1112" t="s">
        <v>4227</v>
      </c>
      <c r="B1112" t="s">
        <v>184</v>
      </c>
      <c r="C1112">
        <v>1</v>
      </c>
      <c r="D1112" t="s">
        <v>9</v>
      </c>
      <c r="E1112" t="s">
        <v>420</v>
      </c>
      <c r="F1112" s="2">
        <v>45863</v>
      </c>
      <c r="G1112">
        <v>3126.41</v>
      </c>
      <c r="H1112" s="1">
        <f>AVERAGEIF(Table1[Customer_ID], Table1[[#This Row],[Customer_ID]], Table1[Transaction_Amount])</f>
        <v>4578.333623188405</v>
      </c>
      <c r="I1112" t="s">
        <v>1746</v>
      </c>
      <c r="J1112" t="s">
        <v>41</v>
      </c>
      <c r="K1112" t="s">
        <v>8</v>
      </c>
      <c r="L1112">
        <v>2</v>
      </c>
      <c r="M1112" t="s">
        <v>32</v>
      </c>
      <c r="N1112" t="s">
        <v>56</v>
      </c>
      <c r="O1112" t="s">
        <v>392</v>
      </c>
      <c r="P1112" s="6" t="str">
        <f>IF(Table1[[#This Row],[Transaction_Amount]]&lt;=Table1[[#This Row],[avg_transaction_amount]], "usual transaction", "unusual transaction")</f>
        <v>usual transaction</v>
      </c>
      <c r="Q1112" s="6" t="str">
        <f>IF(AND(Table1[[#This Row],[Country_of_Residence]]&lt;&gt;Table1[[#This Row],[Country_of_Transaction]], OR(Table1[[#This Row],[Authentication_Type]]="Biometric", Table1[[#This Row],[Authentication_Type]]="OTP")), "safe location transaction", "unsafe location transaction")</f>
        <v>safe location transaction</v>
      </c>
      <c r="R1112" s="6" t="str">
        <f>IF(AND(Table1[[#This Row],[Country_of_Residence]]&lt;&gt;Table1[[#This Row],[Country_of_Transaction]], OR(Table1[[#This Row],[Merchant_Category]]="Electronics", Table1[[#This Row],[Merchant_Category]]="Travel")), "unsafe merchant transaction", "safe merchant transaction")</f>
        <v>safe merchant transaction</v>
      </c>
    </row>
    <row r="1113" spans="1:18">
      <c r="A1113" t="s">
        <v>4270</v>
      </c>
      <c r="B1113" t="s">
        <v>184</v>
      </c>
      <c r="C1113">
        <v>1</v>
      </c>
      <c r="D1113" t="s">
        <v>15</v>
      </c>
      <c r="E1113" t="s">
        <v>5</v>
      </c>
      <c r="F1113" s="2">
        <v>45930</v>
      </c>
      <c r="G1113">
        <v>6917.26</v>
      </c>
      <c r="H1113" s="1">
        <f>AVERAGEIF(Table1[Customer_ID], Table1[[#This Row],[Customer_ID]], Table1[Transaction_Amount])</f>
        <v>4578.333623188405</v>
      </c>
      <c r="I1113" t="s">
        <v>1783</v>
      </c>
      <c r="J1113" t="s">
        <v>50</v>
      </c>
      <c r="K1113" t="s">
        <v>8</v>
      </c>
      <c r="L1113">
        <v>4</v>
      </c>
      <c r="M1113" t="s">
        <v>32</v>
      </c>
      <c r="N1113" t="s">
        <v>32</v>
      </c>
      <c r="O1113" t="s">
        <v>393</v>
      </c>
      <c r="P1113" s="6" t="str">
        <f>IF(Table1[[#This Row],[Transaction_Amount]]&lt;=Table1[[#This Row],[avg_transaction_amount]], "usual transaction", "unusual transaction")</f>
        <v>unusual transaction</v>
      </c>
      <c r="Q1113" s="6" t="str">
        <f>IF(AND(Table1[[#This Row],[Country_of_Residence]]&lt;&gt;Table1[[#This Row],[Country_of_Transaction]], OR(Table1[[#This Row],[Authentication_Type]]="Biometric", Table1[[#This Row],[Authentication_Type]]="OTP")), "safe location transaction", "unsafe location transaction")</f>
        <v>unsafe location transaction</v>
      </c>
      <c r="R1113" s="6" t="str">
        <f>IF(AND(Table1[[#This Row],[Country_of_Residence]]&lt;&gt;Table1[[#This Row],[Country_of_Transaction]], OR(Table1[[#This Row],[Merchant_Category]]="Electronics", Table1[[#This Row],[Merchant_Category]]="Travel")), "unsafe merchant transaction", "safe merchant transaction")</f>
        <v>safe merchant transaction</v>
      </c>
    </row>
    <row r="1114" spans="1:18">
      <c r="A1114" t="s">
        <v>4338</v>
      </c>
      <c r="B1114" t="s">
        <v>184</v>
      </c>
      <c r="C1114">
        <v>1</v>
      </c>
      <c r="D1114" t="s">
        <v>15</v>
      </c>
      <c r="E1114" t="s">
        <v>5</v>
      </c>
      <c r="F1114" s="2">
        <v>46013</v>
      </c>
      <c r="G1114">
        <v>7944.84</v>
      </c>
      <c r="H1114" s="1">
        <f>AVERAGEIF(Table1[Customer_ID], Table1[[#This Row],[Customer_ID]], Table1[Transaction_Amount])</f>
        <v>4578.333623188405</v>
      </c>
      <c r="I1114" t="s">
        <v>1844</v>
      </c>
      <c r="J1114" t="s">
        <v>46</v>
      </c>
      <c r="K1114" t="s">
        <v>8</v>
      </c>
      <c r="L1114">
        <v>0</v>
      </c>
      <c r="M1114" t="s">
        <v>32</v>
      </c>
      <c r="N1114" t="s">
        <v>33</v>
      </c>
      <c r="O1114" t="s">
        <v>392</v>
      </c>
      <c r="P1114" s="6" t="str">
        <f>IF(Table1[[#This Row],[Transaction_Amount]]&lt;=Table1[[#This Row],[avg_transaction_amount]], "usual transaction", "unusual transaction")</f>
        <v>unusual transaction</v>
      </c>
      <c r="Q1114" s="6" t="str">
        <f>IF(AND(Table1[[#This Row],[Country_of_Residence]]&lt;&gt;Table1[[#This Row],[Country_of_Transaction]], OR(Table1[[#This Row],[Authentication_Type]]="Biometric", Table1[[#This Row],[Authentication_Type]]="OTP")), "safe location transaction", "unsafe location transaction")</f>
        <v>safe location transaction</v>
      </c>
      <c r="R1114" s="6" t="str">
        <f>IF(AND(Table1[[#This Row],[Country_of_Residence]]&lt;&gt;Table1[[#This Row],[Country_of_Transaction]], OR(Table1[[#This Row],[Merchant_Category]]="Electronics", Table1[[#This Row],[Merchant_Category]]="Travel")), "unsafe merchant transaction", "safe merchant transaction")</f>
        <v>safe merchant transaction</v>
      </c>
    </row>
    <row r="1115" spans="1:18">
      <c r="A1115" t="s">
        <v>4418</v>
      </c>
      <c r="B1115" t="s">
        <v>184</v>
      </c>
      <c r="C1115">
        <v>1</v>
      </c>
      <c r="D1115" t="s">
        <v>9</v>
      </c>
      <c r="E1115" t="s">
        <v>5</v>
      </c>
      <c r="F1115" s="2">
        <v>45869</v>
      </c>
      <c r="G1115">
        <v>8169.84</v>
      </c>
      <c r="H1115" s="1">
        <f>AVERAGEIF(Table1[Customer_ID], Table1[[#This Row],[Customer_ID]], Table1[Transaction_Amount])</f>
        <v>4578.333623188405</v>
      </c>
      <c r="I1115" t="s">
        <v>1917</v>
      </c>
      <c r="J1115" t="s">
        <v>31</v>
      </c>
      <c r="K1115" t="s">
        <v>10</v>
      </c>
      <c r="L1115">
        <v>5</v>
      </c>
      <c r="M1115" t="s">
        <v>32</v>
      </c>
      <c r="N1115" t="s">
        <v>42</v>
      </c>
      <c r="O1115" t="s">
        <v>392</v>
      </c>
      <c r="P1115" s="6" t="str">
        <f>IF(Table1[[#This Row],[Transaction_Amount]]&lt;=Table1[[#This Row],[avg_transaction_amount]], "usual transaction", "unusual transaction")</f>
        <v>unusual transaction</v>
      </c>
      <c r="Q1115" s="6" t="str">
        <f>IF(AND(Table1[[#This Row],[Country_of_Residence]]&lt;&gt;Table1[[#This Row],[Country_of_Transaction]], OR(Table1[[#This Row],[Authentication_Type]]="Biometric", Table1[[#This Row],[Authentication_Type]]="OTP")), "safe location transaction", "unsafe location transaction")</f>
        <v>safe location transaction</v>
      </c>
      <c r="R1115" s="6" t="str">
        <f>IF(AND(Table1[[#This Row],[Country_of_Residence]]&lt;&gt;Table1[[#This Row],[Country_of_Transaction]], OR(Table1[[#This Row],[Merchant_Category]]="Electronics", Table1[[#This Row],[Merchant_Category]]="Travel")), "unsafe merchant transaction", "safe merchant transaction")</f>
        <v>safe merchant transaction</v>
      </c>
    </row>
    <row r="1116" spans="1:18">
      <c r="A1116" t="s">
        <v>4425</v>
      </c>
      <c r="B1116" t="s">
        <v>184</v>
      </c>
      <c r="C1116">
        <v>1</v>
      </c>
      <c r="D1116" t="s">
        <v>15</v>
      </c>
      <c r="E1116" t="s">
        <v>3</v>
      </c>
      <c r="F1116" s="2">
        <v>45854</v>
      </c>
      <c r="G1116">
        <v>5900.58</v>
      </c>
      <c r="H1116" s="1">
        <f>AVERAGEIF(Table1[Customer_ID], Table1[[#This Row],[Customer_ID]], Table1[Transaction_Amount])</f>
        <v>4578.333623188405</v>
      </c>
      <c r="I1116" t="s">
        <v>1445</v>
      </c>
      <c r="J1116" t="s">
        <v>31</v>
      </c>
      <c r="K1116" t="s">
        <v>12</v>
      </c>
      <c r="L1116">
        <v>3</v>
      </c>
      <c r="M1116" t="s">
        <v>51</v>
      </c>
      <c r="N1116" t="s">
        <v>32</v>
      </c>
      <c r="O1116" t="s">
        <v>392</v>
      </c>
      <c r="P1116" s="6" t="str">
        <f>IF(Table1[[#This Row],[Transaction_Amount]]&lt;=Table1[[#This Row],[avg_transaction_amount]], "usual transaction", "unusual transaction")</f>
        <v>unusual transaction</v>
      </c>
      <c r="Q1116" s="6" t="str">
        <f>IF(AND(Table1[[#This Row],[Country_of_Residence]]&lt;&gt;Table1[[#This Row],[Country_of_Transaction]], OR(Table1[[#This Row],[Authentication_Type]]="Biometric", Table1[[#This Row],[Authentication_Type]]="OTP")), "safe location transaction", "unsafe location transaction")</f>
        <v>unsafe location transaction</v>
      </c>
      <c r="R1116" s="6" t="str">
        <f>IF(AND(Table1[[#This Row],[Country_of_Residence]]&lt;&gt;Table1[[#This Row],[Country_of_Transaction]], OR(Table1[[#This Row],[Merchant_Category]]="Electronics", Table1[[#This Row],[Merchant_Category]]="Travel")), "unsafe merchant transaction", "safe merchant transaction")</f>
        <v>safe merchant transaction</v>
      </c>
    </row>
    <row r="1117" spans="1:18">
      <c r="A1117" t="s">
        <v>4486</v>
      </c>
      <c r="B1117" t="s">
        <v>184</v>
      </c>
      <c r="C1117">
        <v>1</v>
      </c>
      <c r="D1117" t="s">
        <v>9</v>
      </c>
      <c r="E1117" t="s">
        <v>5</v>
      </c>
      <c r="F1117" s="2">
        <v>45735</v>
      </c>
      <c r="G1117">
        <v>1226.18</v>
      </c>
      <c r="H1117" s="1">
        <f>AVERAGEIF(Table1[Customer_ID], Table1[[#This Row],[Customer_ID]], Table1[Transaction_Amount])</f>
        <v>4578.333623188405</v>
      </c>
      <c r="I1117" t="s">
        <v>1975</v>
      </c>
      <c r="J1117" t="s">
        <v>36</v>
      </c>
      <c r="K1117" t="s">
        <v>12</v>
      </c>
      <c r="L1117">
        <v>0</v>
      </c>
      <c r="M1117" t="s">
        <v>33</v>
      </c>
      <c r="N1117" t="s">
        <v>56</v>
      </c>
      <c r="O1117" t="s">
        <v>393</v>
      </c>
      <c r="P1117" s="6" t="str">
        <f>IF(Table1[[#This Row],[Transaction_Amount]]&lt;=Table1[[#This Row],[avg_transaction_amount]], "usual transaction", "unusual transaction")</f>
        <v>usual transaction</v>
      </c>
      <c r="Q1117" s="6" t="str">
        <f>IF(AND(Table1[[#This Row],[Country_of_Residence]]&lt;&gt;Table1[[#This Row],[Country_of_Transaction]], OR(Table1[[#This Row],[Authentication_Type]]="Biometric", Table1[[#This Row],[Authentication_Type]]="OTP")), "safe location transaction", "unsafe location transaction")</f>
        <v>unsafe location transaction</v>
      </c>
      <c r="R1117" s="6" t="str">
        <f>IF(AND(Table1[[#This Row],[Country_of_Residence]]&lt;&gt;Table1[[#This Row],[Country_of_Transaction]], OR(Table1[[#This Row],[Merchant_Category]]="Electronics", Table1[[#This Row],[Merchant_Category]]="Travel")), "unsafe merchant transaction", "safe merchant transaction")</f>
        <v>safe merchant transaction</v>
      </c>
    </row>
    <row r="1118" spans="1:18">
      <c r="A1118" t="s">
        <v>4598</v>
      </c>
      <c r="B1118" t="s">
        <v>184</v>
      </c>
      <c r="C1118">
        <v>1</v>
      </c>
      <c r="D1118" t="s">
        <v>15</v>
      </c>
      <c r="E1118" t="s">
        <v>420</v>
      </c>
      <c r="F1118" s="2">
        <v>45986</v>
      </c>
      <c r="G1118">
        <v>1332.3</v>
      </c>
      <c r="H1118" s="1">
        <f>AVERAGEIF(Table1[Customer_ID], Table1[[#This Row],[Customer_ID]], Table1[Transaction_Amount])</f>
        <v>4578.333623188405</v>
      </c>
      <c r="I1118" t="s">
        <v>2066</v>
      </c>
      <c r="J1118" t="s">
        <v>46</v>
      </c>
      <c r="K1118" t="s">
        <v>8</v>
      </c>
      <c r="L1118">
        <v>4</v>
      </c>
      <c r="M1118" t="s">
        <v>55</v>
      </c>
      <c r="N1118" t="s">
        <v>55</v>
      </c>
      <c r="O1118" t="s">
        <v>392</v>
      </c>
      <c r="P1118" s="6" t="str">
        <f>IF(Table1[[#This Row],[Transaction_Amount]]&lt;=Table1[[#This Row],[avg_transaction_amount]], "usual transaction", "unusual transaction")</f>
        <v>usual transaction</v>
      </c>
      <c r="Q1118" s="6" t="str">
        <f>IF(AND(Table1[[#This Row],[Country_of_Residence]]&lt;&gt;Table1[[#This Row],[Country_of_Transaction]], OR(Table1[[#This Row],[Authentication_Type]]="Biometric", Table1[[#This Row],[Authentication_Type]]="OTP")), "safe location transaction", "unsafe location transaction")</f>
        <v>unsafe location transaction</v>
      </c>
      <c r="R1118" s="6" t="str">
        <f>IF(AND(Table1[[#This Row],[Country_of_Residence]]&lt;&gt;Table1[[#This Row],[Country_of_Transaction]], OR(Table1[[#This Row],[Merchant_Category]]="Electronics", Table1[[#This Row],[Merchant_Category]]="Travel")), "unsafe merchant transaction", "safe merchant transaction")</f>
        <v>safe merchant transaction</v>
      </c>
    </row>
    <row r="1119" spans="1:18">
      <c r="A1119" t="s">
        <v>4649</v>
      </c>
      <c r="B1119" t="s">
        <v>184</v>
      </c>
      <c r="C1119">
        <v>1</v>
      </c>
      <c r="D1119" t="s">
        <v>15</v>
      </c>
      <c r="E1119" t="s">
        <v>5</v>
      </c>
      <c r="F1119" s="2">
        <v>45770</v>
      </c>
      <c r="G1119">
        <v>5898.07</v>
      </c>
      <c r="H1119" s="1">
        <f>AVERAGEIF(Table1[Customer_ID], Table1[[#This Row],[Customer_ID]], Table1[Transaction_Amount])</f>
        <v>4578.333623188405</v>
      </c>
      <c r="I1119" t="s">
        <v>2109</v>
      </c>
      <c r="J1119" t="s">
        <v>41</v>
      </c>
      <c r="K1119" t="s">
        <v>14</v>
      </c>
      <c r="L1119">
        <v>1</v>
      </c>
      <c r="M1119" t="s">
        <v>47</v>
      </c>
      <c r="N1119" t="s">
        <v>56</v>
      </c>
      <c r="O1119" t="s">
        <v>392</v>
      </c>
      <c r="P1119" s="6" t="str">
        <f>IF(Table1[[#This Row],[Transaction_Amount]]&lt;=Table1[[#This Row],[avg_transaction_amount]], "usual transaction", "unusual transaction")</f>
        <v>unusual transaction</v>
      </c>
      <c r="Q1119" s="6" t="str">
        <f>IF(AND(Table1[[#This Row],[Country_of_Residence]]&lt;&gt;Table1[[#This Row],[Country_of_Transaction]], OR(Table1[[#This Row],[Authentication_Type]]="Biometric", Table1[[#This Row],[Authentication_Type]]="OTP")), "safe location transaction", "unsafe location transaction")</f>
        <v>unsafe location transaction</v>
      </c>
      <c r="R1119" s="6" t="str">
        <f>IF(AND(Table1[[#This Row],[Country_of_Residence]]&lt;&gt;Table1[[#This Row],[Country_of_Transaction]], OR(Table1[[#This Row],[Merchant_Category]]="Electronics", Table1[[#This Row],[Merchant_Category]]="Travel")), "unsafe merchant transaction", "safe merchant transaction")</f>
        <v>safe merchant transaction</v>
      </c>
    </row>
    <row r="1120" spans="1:18">
      <c r="A1120" t="s">
        <v>4656</v>
      </c>
      <c r="B1120" t="s">
        <v>184</v>
      </c>
      <c r="C1120">
        <v>1</v>
      </c>
      <c r="D1120" t="s">
        <v>15</v>
      </c>
      <c r="E1120" t="s">
        <v>3</v>
      </c>
      <c r="F1120" s="2">
        <v>45841</v>
      </c>
      <c r="G1120">
        <v>915.78</v>
      </c>
      <c r="H1120" s="1">
        <f>AVERAGEIF(Table1[Customer_ID], Table1[[#This Row],[Customer_ID]], Table1[Transaction_Amount])</f>
        <v>4578.333623188405</v>
      </c>
      <c r="I1120" t="s">
        <v>2115</v>
      </c>
      <c r="J1120" t="s">
        <v>41</v>
      </c>
      <c r="K1120" t="s">
        <v>12</v>
      </c>
      <c r="L1120">
        <v>3</v>
      </c>
      <c r="M1120" t="s">
        <v>56</v>
      </c>
      <c r="N1120" t="s">
        <v>55</v>
      </c>
      <c r="O1120" t="s">
        <v>393</v>
      </c>
      <c r="P1120" s="6" t="str">
        <f>IF(Table1[[#This Row],[Transaction_Amount]]&lt;=Table1[[#This Row],[avg_transaction_amount]], "usual transaction", "unusual transaction")</f>
        <v>usual transaction</v>
      </c>
      <c r="Q1120" s="6" t="str">
        <f>IF(AND(Table1[[#This Row],[Country_of_Residence]]&lt;&gt;Table1[[#This Row],[Country_of_Transaction]], OR(Table1[[#This Row],[Authentication_Type]]="Biometric", Table1[[#This Row],[Authentication_Type]]="OTP")), "safe location transaction", "unsafe location transaction")</f>
        <v>unsafe location transaction</v>
      </c>
      <c r="R1120" s="6" t="str">
        <f>IF(AND(Table1[[#This Row],[Country_of_Residence]]&lt;&gt;Table1[[#This Row],[Country_of_Transaction]], OR(Table1[[#This Row],[Merchant_Category]]="Electronics", Table1[[#This Row],[Merchant_Category]]="Travel")), "unsafe merchant transaction", "safe merchant transaction")</f>
        <v>safe merchant transaction</v>
      </c>
    </row>
    <row r="1121" spans="1:18">
      <c r="A1121" t="s">
        <v>4695</v>
      </c>
      <c r="B1121" t="s">
        <v>184</v>
      </c>
      <c r="C1121">
        <v>1</v>
      </c>
      <c r="D1121" t="s">
        <v>15</v>
      </c>
      <c r="E1121" t="s">
        <v>420</v>
      </c>
      <c r="F1121" s="2">
        <v>45755</v>
      </c>
      <c r="G1121">
        <v>4293.37</v>
      </c>
      <c r="H1121" s="1">
        <f>AVERAGEIF(Table1[Customer_ID], Table1[[#This Row],[Customer_ID]], Table1[Transaction_Amount])</f>
        <v>4578.333623188405</v>
      </c>
      <c r="I1121" t="s">
        <v>2144</v>
      </c>
      <c r="J1121" t="s">
        <v>41</v>
      </c>
      <c r="K1121" t="s">
        <v>8</v>
      </c>
      <c r="L1121">
        <v>1</v>
      </c>
      <c r="M1121" t="s">
        <v>412</v>
      </c>
      <c r="N1121" t="s">
        <v>47</v>
      </c>
      <c r="O1121" t="s">
        <v>392</v>
      </c>
      <c r="P1121" s="6" t="str">
        <f>IF(Table1[[#This Row],[Transaction_Amount]]&lt;=Table1[[#This Row],[avg_transaction_amount]], "usual transaction", "unusual transaction")</f>
        <v>usual transaction</v>
      </c>
      <c r="Q1121" s="6" t="str">
        <f>IF(AND(Table1[[#This Row],[Country_of_Residence]]&lt;&gt;Table1[[#This Row],[Country_of_Transaction]], OR(Table1[[#This Row],[Authentication_Type]]="Biometric", Table1[[#This Row],[Authentication_Type]]="OTP")), "safe location transaction", "unsafe location transaction")</f>
        <v>safe location transaction</v>
      </c>
      <c r="R1121" s="6" t="str">
        <f>IF(AND(Table1[[#This Row],[Country_of_Residence]]&lt;&gt;Table1[[#This Row],[Country_of_Transaction]], OR(Table1[[#This Row],[Merchant_Category]]="Electronics", Table1[[#This Row],[Merchant_Category]]="Travel")), "unsafe merchant transaction", "safe merchant transaction")</f>
        <v>safe merchant transaction</v>
      </c>
    </row>
    <row r="1122" spans="1:18">
      <c r="A1122" t="s">
        <v>4738</v>
      </c>
      <c r="B1122" t="s">
        <v>184</v>
      </c>
      <c r="C1122">
        <v>1</v>
      </c>
      <c r="D1122" t="s">
        <v>15</v>
      </c>
      <c r="E1122" t="s">
        <v>6</v>
      </c>
      <c r="F1122" s="2">
        <v>45895</v>
      </c>
      <c r="G1122">
        <v>2136.69</v>
      </c>
      <c r="H1122" s="1">
        <f>AVERAGEIF(Table1[Customer_ID], Table1[[#This Row],[Customer_ID]], Table1[Transaction_Amount])</f>
        <v>4578.333623188405</v>
      </c>
      <c r="I1122" t="s">
        <v>2175</v>
      </c>
      <c r="J1122" t="s">
        <v>46</v>
      </c>
      <c r="K1122" t="s">
        <v>12</v>
      </c>
      <c r="L1122">
        <v>3</v>
      </c>
      <c r="M1122" t="s">
        <v>51</v>
      </c>
      <c r="N1122" t="s">
        <v>55</v>
      </c>
      <c r="O1122" t="s">
        <v>392</v>
      </c>
      <c r="P1122" s="6" t="str">
        <f>IF(Table1[[#This Row],[Transaction_Amount]]&lt;=Table1[[#This Row],[avg_transaction_amount]], "usual transaction", "unusual transaction")</f>
        <v>usual transaction</v>
      </c>
      <c r="Q1122" s="6" t="str">
        <f>IF(AND(Table1[[#This Row],[Country_of_Residence]]&lt;&gt;Table1[[#This Row],[Country_of_Transaction]], OR(Table1[[#This Row],[Authentication_Type]]="Biometric", Table1[[#This Row],[Authentication_Type]]="OTP")), "safe location transaction", "unsafe location transaction")</f>
        <v>unsafe location transaction</v>
      </c>
      <c r="R1122" s="6" t="str">
        <f>IF(AND(Table1[[#This Row],[Country_of_Residence]]&lt;&gt;Table1[[#This Row],[Country_of_Transaction]], OR(Table1[[#This Row],[Merchant_Category]]="Electronics", Table1[[#This Row],[Merchant_Category]]="Travel")), "unsafe merchant transaction", "safe merchant transaction")</f>
        <v>safe merchant transaction</v>
      </c>
    </row>
    <row r="1123" spans="1:18">
      <c r="A1123" t="s">
        <v>4748</v>
      </c>
      <c r="B1123" t="s">
        <v>184</v>
      </c>
      <c r="C1123">
        <v>1</v>
      </c>
      <c r="D1123" t="s">
        <v>15</v>
      </c>
      <c r="E1123" t="s">
        <v>5</v>
      </c>
      <c r="F1123" s="2">
        <v>45990</v>
      </c>
      <c r="G1123">
        <v>5045.71</v>
      </c>
      <c r="H1123" s="1">
        <f>AVERAGEIF(Table1[Customer_ID], Table1[[#This Row],[Customer_ID]], Table1[Transaction_Amount])</f>
        <v>4578.333623188405</v>
      </c>
      <c r="I1123" t="s">
        <v>2183</v>
      </c>
      <c r="J1123" t="s">
        <v>46</v>
      </c>
      <c r="K1123" t="s">
        <v>14</v>
      </c>
      <c r="L1123">
        <v>4</v>
      </c>
      <c r="M1123" t="s">
        <v>55</v>
      </c>
      <c r="N1123" t="s">
        <v>56</v>
      </c>
      <c r="O1123" t="s">
        <v>393</v>
      </c>
      <c r="P1123" s="6" t="str">
        <f>IF(Table1[[#This Row],[Transaction_Amount]]&lt;=Table1[[#This Row],[avg_transaction_amount]], "usual transaction", "unusual transaction")</f>
        <v>unusual transaction</v>
      </c>
      <c r="Q1123" s="6" t="str">
        <f>IF(AND(Table1[[#This Row],[Country_of_Residence]]&lt;&gt;Table1[[#This Row],[Country_of_Transaction]], OR(Table1[[#This Row],[Authentication_Type]]="Biometric", Table1[[#This Row],[Authentication_Type]]="OTP")), "safe location transaction", "unsafe location transaction")</f>
        <v>unsafe location transaction</v>
      </c>
      <c r="R1123" s="6" t="str">
        <f>IF(AND(Table1[[#This Row],[Country_of_Residence]]&lt;&gt;Table1[[#This Row],[Country_of_Transaction]], OR(Table1[[#This Row],[Merchant_Category]]="Electronics", Table1[[#This Row],[Merchant_Category]]="Travel")), "unsafe merchant transaction", "safe merchant transaction")</f>
        <v>safe merchant transaction</v>
      </c>
    </row>
    <row r="1124" spans="1:18">
      <c r="A1124" t="s">
        <v>4769</v>
      </c>
      <c r="B1124" t="s">
        <v>184</v>
      </c>
      <c r="C1124">
        <v>1</v>
      </c>
      <c r="D1124" t="s">
        <v>9</v>
      </c>
      <c r="E1124" t="s">
        <v>6</v>
      </c>
      <c r="F1124" s="2">
        <v>45911</v>
      </c>
      <c r="G1124">
        <v>3006.34</v>
      </c>
      <c r="H1124" s="1">
        <f>AVERAGEIF(Table1[Customer_ID], Table1[[#This Row],[Customer_ID]], Table1[Transaction_Amount])</f>
        <v>4578.333623188405</v>
      </c>
      <c r="I1124" t="s">
        <v>2198</v>
      </c>
      <c r="J1124" t="s">
        <v>46</v>
      </c>
      <c r="K1124" t="s">
        <v>10</v>
      </c>
      <c r="L1124">
        <v>2</v>
      </c>
      <c r="M1124" t="s">
        <v>32</v>
      </c>
      <c r="N1124" t="s">
        <v>32</v>
      </c>
      <c r="O1124" t="s">
        <v>393</v>
      </c>
      <c r="P1124" s="6" t="str">
        <f>IF(Table1[[#This Row],[Transaction_Amount]]&lt;=Table1[[#This Row],[avg_transaction_amount]], "usual transaction", "unusual transaction")</f>
        <v>usual transaction</v>
      </c>
      <c r="Q1124" s="6" t="str">
        <f>IF(AND(Table1[[#This Row],[Country_of_Residence]]&lt;&gt;Table1[[#This Row],[Country_of_Transaction]], OR(Table1[[#This Row],[Authentication_Type]]="Biometric", Table1[[#This Row],[Authentication_Type]]="OTP")), "safe location transaction", "unsafe location transaction")</f>
        <v>unsafe location transaction</v>
      </c>
      <c r="R1124" s="6" t="str">
        <f>IF(AND(Table1[[#This Row],[Country_of_Residence]]&lt;&gt;Table1[[#This Row],[Country_of_Transaction]], OR(Table1[[#This Row],[Merchant_Category]]="Electronics", Table1[[#This Row],[Merchant_Category]]="Travel")), "unsafe merchant transaction", "safe merchant transaction")</f>
        <v>safe merchant transaction</v>
      </c>
    </row>
    <row r="1125" spans="1:18">
      <c r="A1125" t="s">
        <v>4795</v>
      </c>
      <c r="B1125" t="s">
        <v>184</v>
      </c>
      <c r="C1125">
        <v>1</v>
      </c>
      <c r="D1125" t="s">
        <v>9</v>
      </c>
      <c r="E1125" t="s">
        <v>3</v>
      </c>
      <c r="F1125" s="2">
        <v>46008</v>
      </c>
      <c r="G1125">
        <v>8316.64</v>
      </c>
      <c r="H1125" s="1">
        <f>AVERAGEIF(Table1[Customer_ID], Table1[[#This Row],[Customer_ID]], Table1[Transaction_Amount])</f>
        <v>4578.333623188405</v>
      </c>
      <c r="I1125" t="s">
        <v>2218</v>
      </c>
      <c r="J1125" t="s">
        <v>41</v>
      </c>
      <c r="K1125" t="s">
        <v>12</v>
      </c>
      <c r="L1125">
        <v>3</v>
      </c>
      <c r="M1125" t="s">
        <v>32</v>
      </c>
      <c r="N1125" t="s">
        <v>32</v>
      </c>
      <c r="O1125" t="s">
        <v>392</v>
      </c>
      <c r="P1125" s="6" t="str">
        <f>IF(Table1[[#This Row],[Transaction_Amount]]&lt;=Table1[[#This Row],[avg_transaction_amount]], "usual transaction", "unusual transaction")</f>
        <v>unusual transaction</v>
      </c>
      <c r="Q1125" s="6" t="str">
        <f>IF(AND(Table1[[#This Row],[Country_of_Residence]]&lt;&gt;Table1[[#This Row],[Country_of_Transaction]], OR(Table1[[#This Row],[Authentication_Type]]="Biometric", Table1[[#This Row],[Authentication_Type]]="OTP")), "safe location transaction", "unsafe location transaction")</f>
        <v>unsafe location transaction</v>
      </c>
      <c r="R1125" s="6" t="str">
        <f>IF(AND(Table1[[#This Row],[Country_of_Residence]]&lt;&gt;Table1[[#This Row],[Country_of_Transaction]], OR(Table1[[#This Row],[Merchant_Category]]="Electronics", Table1[[#This Row],[Merchant_Category]]="Travel")), "unsafe merchant transaction", "safe merchant transaction")</f>
        <v>safe merchant transaction</v>
      </c>
    </row>
    <row r="1126" spans="1:18">
      <c r="A1126" t="s">
        <v>4830</v>
      </c>
      <c r="B1126" t="s">
        <v>184</v>
      </c>
      <c r="C1126">
        <v>1</v>
      </c>
      <c r="D1126" t="s">
        <v>15</v>
      </c>
      <c r="E1126" t="s">
        <v>5</v>
      </c>
      <c r="F1126" s="2">
        <v>45890</v>
      </c>
      <c r="G1126">
        <v>4538.12</v>
      </c>
      <c r="H1126" s="1">
        <f>AVERAGEIF(Table1[Customer_ID], Table1[[#This Row],[Customer_ID]], Table1[Transaction_Amount])</f>
        <v>4578.333623188405</v>
      </c>
      <c r="I1126" t="s">
        <v>2247</v>
      </c>
      <c r="J1126" t="s">
        <v>50</v>
      </c>
      <c r="K1126" t="s">
        <v>12</v>
      </c>
      <c r="L1126">
        <v>2</v>
      </c>
      <c r="M1126" t="s">
        <v>47</v>
      </c>
      <c r="N1126" t="s">
        <v>37</v>
      </c>
      <c r="O1126" t="s">
        <v>393</v>
      </c>
      <c r="P1126" s="6" t="str">
        <f>IF(Table1[[#This Row],[Transaction_Amount]]&lt;=Table1[[#This Row],[avg_transaction_amount]], "usual transaction", "unusual transaction")</f>
        <v>usual transaction</v>
      </c>
      <c r="Q1126" s="6" t="str">
        <f>IF(AND(Table1[[#This Row],[Country_of_Residence]]&lt;&gt;Table1[[#This Row],[Country_of_Transaction]], OR(Table1[[#This Row],[Authentication_Type]]="Biometric", Table1[[#This Row],[Authentication_Type]]="OTP")), "safe location transaction", "unsafe location transaction")</f>
        <v>unsafe location transaction</v>
      </c>
      <c r="R1126" s="6" t="str">
        <f>IF(AND(Table1[[#This Row],[Country_of_Residence]]&lt;&gt;Table1[[#This Row],[Country_of_Transaction]], OR(Table1[[#This Row],[Merchant_Category]]="Electronics", Table1[[#This Row],[Merchant_Category]]="Travel")), "unsafe merchant transaction", "safe merchant transaction")</f>
        <v>unsafe merchant transaction</v>
      </c>
    </row>
    <row r="1127" spans="1:18">
      <c r="A1127" t="s">
        <v>4855</v>
      </c>
      <c r="B1127" t="s">
        <v>184</v>
      </c>
      <c r="C1127">
        <v>1</v>
      </c>
      <c r="D1127" t="s">
        <v>9</v>
      </c>
      <c r="E1127" t="s">
        <v>3</v>
      </c>
      <c r="F1127" s="2">
        <v>45867</v>
      </c>
      <c r="G1127">
        <v>4432.97</v>
      </c>
      <c r="H1127" s="1">
        <f>AVERAGEIF(Table1[Customer_ID], Table1[[#This Row],[Customer_ID]], Table1[Transaction_Amount])</f>
        <v>4578.333623188405</v>
      </c>
      <c r="I1127" t="s">
        <v>2266</v>
      </c>
      <c r="J1127" t="s">
        <v>31</v>
      </c>
      <c r="K1127" t="s">
        <v>14</v>
      </c>
      <c r="L1127">
        <v>5</v>
      </c>
      <c r="M1127" t="s">
        <v>55</v>
      </c>
      <c r="N1127" t="s">
        <v>42</v>
      </c>
      <c r="O1127" t="s">
        <v>393</v>
      </c>
      <c r="P1127" s="6" t="str">
        <f>IF(Table1[[#This Row],[Transaction_Amount]]&lt;=Table1[[#This Row],[avg_transaction_amount]], "usual transaction", "unusual transaction")</f>
        <v>usual transaction</v>
      </c>
      <c r="Q1127" s="6" t="str">
        <f>IF(AND(Table1[[#This Row],[Country_of_Residence]]&lt;&gt;Table1[[#This Row],[Country_of_Transaction]], OR(Table1[[#This Row],[Authentication_Type]]="Biometric", Table1[[#This Row],[Authentication_Type]]="OTP")), "safe location transaction", "unsafe location transaction")</f>
        <v>unsafe location transaction</v>
      </c>
      <c r="R1127" s="6" t="str">
        <f>IF(AND(Table1[[#This Row],[Country_of_Residence]]&lt;&gt;Table1[[#This Row],[Country_of_Transaction]], OR(Table1[[#This Row],[Merchant_Category]]="Electronics", Table1[[#This Row],[Merchant_Category]]="Travel")), "unsafe merchant transaction", "safe merchant transaction")</f>
        <v>safe merchant transaction</v>
      </c>
    </row>
    <row r="1128" spans="1:18">
      <c r="A1128" t="s">
        <v>4866</v>
      </c>
      <c r="B1128" t="s">
        <v>184</v>
      </c>
      <c r="C1128">
        <v>1</v>
      </c>
      <c r="D1128" t="s">
        <v>9</v>
      </c>
      <c r="E1128" t="s">
        <v>6</v>
      </c>
      <c r="F1128" s="2">
        <v>45882</v>
      </c>
      <c r="G1128">
        <v>5557.81</v>
      </c>
      <c r="H1128" s="1">
        <f>AVERAGEIF(Table1[Customer_ID], Table1[[#This Row],[Customer_ID]], Table1[Transaction_Amount])</f>
        <v>4578.333623188405</v>
      </c>
      <c r="I1128" t="s">
        <v>2272</v>
      </c>
      <c r="J1128" t="s">
        <v>50</v>
      </c>
      <c r="K1128" t="s">
        <v>8</v>
      </c>
      <c r="L1128">
        <v>3</v>
      </c>
      <c r="M1128" t="s">
        <v>47</v>
      </c>
      <c r="N1128" t="s">
        <v>32</v>
      </c>
      <c r="O1128" t="s">
        <v>393</v>
      </c>
      <c r="P1128" s="6" t="str">
        <f>IF(Table1[[#This Row],[Transaction_Amount]]&lt;=Table1[[#This Row],[avg_transaction_amount]], "usual transaction", "unusual transaction")</f>
        <v>unusual transaction</v>
      </c>
      <c r="Q1128" s="6" t="str">
        <f>IF(AND(Table1[[#This Row],[Country_of_Residence]]&lt;&gt;Table1[[#This Row],[Country_of_Transaction]], OR(Table1[[#This Row],[Authentication_Type]]="Biometric", Table1[[#This Row],[Authentication_Type]]="OTP")), "safe location transaction", "unsafe location transaction")</f>
        <v>safe location transaction</v>
      </c>
      <c r="R1128" s="6" t="str">
        <f>IF(AND(Table1[[#This Row],[Country_of_Residence]]&lt;&gt;Table1[[#This Row],[Country_of_Transaction]], OR(Table1[[#This Row],[Merchant_Category]]="Electronics", Table1[[#This Row],[Merchant_Category]]="Travel")), "unsafe merchant transaction", "safe merchant transaction")</f>
        <v>unsafe merchant transaction</v>
      </c>
    </row>
    <row r="1129" spans="1:18">
      <c r="A1129" t="s">
        <v>4883</v>
      </c>
      <c r="B1129" t="s">
        <v>184</v>
      </c>
      <c r="C1129">
        <v>1</v>
      </c>
      <c r="D1129" t="s">
        <v>9</v>
      </c>
      <c r="E1129" t="s">
        <v>420</v>
      </c>
      <c r="F1129" s="2">
        <v>45982</v>
      </c>
      <c r="G1129">
        <v>231.52</v>
      </c>
      <c r="H1129" s="1">
        <f>AVERAGEIF(Table1[Customer_ID], Table1[[#This Row],[Customer_ID]], Table1[Transaction_Amount])</f>
        <v>4578.333623188405</v>
      </c>
      <c r="I1129" t="s">
        <v>2287</v>
      </c>
      <c r="J1129" t="s">
        <v>50</v>
      </c>
      <c r="K1129" t="s">
        <v>8</v>
      </c>
      <c r="L1129">
        <v>5</v>
      </c>
      <c r="M1129" t="s">
        <v>47</v>
      </c>
      <c r="N1129" t="s">
        <v>55</v>
      </c>
      <c r="O1129" t="s">
        <v>393</v>
      </c>
      <c r="P1129" s="6" t="str">
        <f>IF(Table1[[#This Row],[Transaction_Amount]]&lt;=Table1[[#This Row],[avg_transaction_amount]], "usual transaction", "unusual transaction")</f>
        <v>usual transaction</v>
      </c>
      <c r="Q1129" s="6" t="str">
        <f>IF(AND(Table1[[#This Row],[Country_of_Residence]]&lt;&gt;Table1[[#This Row],[Country_of_Transaction]], OR(Table1[[#This Row],[Authentication_Type]]="Biometric", Table1[[#This Row],[Authentication_Type]]="OTP")), "safe location transaction", "unsafe location transaction")</f>
        <v>safe location transaction</v>
      </c>
      <c r="R1129" s="6" t="str">
        <f>IF(AND(Table1[[#This Row],[Country_of_Residence]]&lt;&gt;Table1[[#This Row],[Country_of_Transaction]], OR(Table1[[#This Row],[Merchant_Category]]="Electronics", Table1[[#This Row],[Merchant_Category]]="Travel")), "unsafe merchant transaction", "safe merchant transaction")</f>
        <v>unsafe merchant transaction</v>
      </c>
    </row>
    <row r="1130" spans="1:18">
      <c r="A1130" t="s">
        <v>4927</v>
      </c>
      <c r="B1130" t="s">
        <v>184</v>
      </c>
      <c r="C1130">
        <v>1</v>
      </c>
      <c r="D1130" t="s">
        <v>15</v>
      </c>
      <c r="E1130" t="s">
        <v>5</v>
      </c>
      <c r="F1130" s="2">
        <v>45784</v>
      </c>
      <c r="G1130">
        <v>9049.92</v>
      </c>
      <c r="H1130" s="1">
        <f>AVERAGEIF(Table1[Customer_ID], Table1[[#This Row],[Customer_ID]], Table1[Transaction_Amount])</f>
        <v>4578.333623188405</v>
      </c>
      <c r="I1130" t="s">
        <v>2322</v>
      </c>
      <c r="J1130" t="s">
        <v>50</v>
      </c>
      <c r="K1130" t="s">
        <v>12</v>
      </c>
      <c r="L1130">
        <v>2</v>
      </c>
      <c r="M1130" t="s">
        <v>51</v>
      </c>
      <c r="N1130" t="s">
        <v>412</v>
      </c>
      <c r="O1130" t="s">
        <v>393</v>
      </c>
      <c r="P1130" s="6" t="str">
        <f>IF(Table1[[#This Row],[Transaction_Amount]]&lt;=Table1[[#This Row],[avg_transaction_amount]], "usual transaction", "unusual transaction")</f>
        <v>unusual transaction</v>
      </c>
      <c r="Q1130" s="6" t="str">
        <f>IF(AND(Table1[[#This Row],[Country_of_Residence]]&lt;&gt;Table1[[#This Row],[Country_of_Transaction]], OR(Table1[[#This Row],[Authentication_Type]]="Biometric", Table1[[#This Row],[Authentication_Type]]="OTP")), "safe location transaction", "unsafe location transaction")</f>
        <v>unsafe location transaction</v>
      </c>
      <c r="R1130" s="6" t="str">
        <f>IF(AND(Table1[[#This Row],[Country_of_Residence]]&lt;&gt;Table1[[#This Row],[Country_of_Transaction]], OR(Table1[[#This Row],[Merchant_Category]]="Electronics", Table1[[#This Row],[Merchant_Category]]="Travel")), "unsafe merchant transaction", "safe merchant transaction")</f>
        <v>unsafe merchant transaction</v>
      </c>
    </row>
    <row r="1131" spans="1:18">
      <c r="A1131" t="s">
        <v>4959</v>
      </c>
      <c r="B1131" t="s">
        <v>184</v>
      </c>
      <c r="C1131">
        <v>1</v>
      </c>
      <c r="D1131" t="s">
        <v>9</v>
      </c>
      <c r="E1131" t="s">
        <v>420</v>
      </c>
      <c r="F1131" s="2">
        <v>45787</v>
      </c>
      <c r="G1131">
        <v>1059.6400000000001</v>
      </c>
      <c r="H1131" s="1">
        <f>AVERAGEIF(Table1[Customer_ID], Table1[[#This Row],[Customer_ID]], Table1[Transaction_Amount])</f>
        <v>4578.333623188405</v>
      </c>
      <c r="I1131" t="s">
        <v>2346</v>
      </c>
      <c r="J1131" t="s">
        <v>50</v>
      </c>
      <c r="K1131" t="s">
        <v>12</v>
      </c>
      <c r="L1131">
        <v>5</v>
      </c>
      <c r="M1131" t="s">
        <v>47</v>
      </c>
      <c r="N1131" t="s">
        <v>42</v>
      </c>
      <c r="O1131" t="s">
        <v>392</v>
      </c>
      <c r="P1131" s="6" t="str">
        <f>IF(Table1[[#This Row],[Transaction_Amount]]&lt;=Table1[[#This Row],[avg_transaction_amount]], "usual transaction", "unusual transaction")</f>
        <v>usual transaction</v>
      </c>
      <c r="Q1131" s="6" t="str">
        <f>IF(AND(Table1[[#This Row],[Country_of_Residence]]&lt;&gt;Table1[[#This Row],[Country_of_Transaction]], OR(Table1[[#This Row],[Authentication_Type]]="Biometric", Table1[[#This Row],[Authentication_Type]]="OTP")), "safe location transaction", "unsafe location transaction")</f>
        <v>unsafe location transaction</v>
      </c>
      <c r="R1131" s="6" t="str">
        <f>IF(AND(Table1[[#This Row],[Country_of_Residence]]&lt;&gt;Table1[[#This Row],[Country_of_Transaction]], OR(Table1[[#This Row],[Merchant_Category]]="Electronics", Table1[[#This Row],[Merchant_Category]]="Travel")), "unsafe merchant transaction", "safe merchant transaction")</f>
        <v>unsafe merchant transaction</v>
      </c>
    </row>
    <row r="1132" spans="1:18">
      <c r="A1132" t="s">
        <v>4962</v>
      </c>
      <c r="B1132" t="s">
        <v>184</v>
      </c>
      <c r="C1132">
        <v>1</v>
      </c>
      <c r="D1132" t="s">
        <v>15</v>
      </c>
      <c r="E1132" t="s">
        <v>5</v>
      </c>
      <c r="F1132" s="2">
        <v>45848</v>
      </c>
      <c r="G1132">
        <v>758.5</v>
      </c>
      <c r="H1132" s="1">
        <f>AVERAGEIF(Table1[Customer_ID], Table1[[#This Row],[Customer_ID]], Table1[Transaction_Amount])</f>
        <v>4578.333623188405</v>
      </c>
      <c r="I1132" t="s">
        <v>2348</v>
      </c>
      <c r="J1132" t="s">
        <v>50</v>
      </c>
      <c r="K1132" t="s">
        <v>12</v>
      </c>
      <c r="L1132">
        <v>4</v>
      </c>
      <c r="M1132" t="s">
        <v>412</v>
      </c>
      <c r="N1132" t="s">
        <v>47</v>
      </c>
      <c r="O1132" t="s">
        <v>392</v>
      </c>
      <c r="P1132" s="6" t="str">
        <f>IF(Table1[[#This Row],[Transaction_Amount]]&lt;=Table1[[#This Row],[avg_transaction_amount]], "usual transaction", "unusual transaction")</f>
        <v>usual transaction</v>
      </c>
      <c r="Q1132" s="6" t="str">
        <f>IF(AND(Table1[[#This Row],[Country_of_Residence]]&lt;&gt;Table1[[#This Row],[Country_of_Transaction]], OR(Table1[[#This Row],[Authentication_Type]]="Biometric", Table1[[#This Row],[Authentication_Type]]="OTP")), "safe location transaction", "unsafe location transaction")</f>
        <v>unsafe location transaction</v>
      </c>
      <c r="R1132" s="6" t="str">
        <f>IF(AND(Table1[[#This Row],[Country_of_Residence]]&lt;&gt;Table1[[#This Row],[Country_of_Transaction]], OR(Table1[[#This Row],[Merchant_Category]]="Electronics", Table1[[#This Row],[Merchant_Category]]="Travel")), "unsafe merchant transaction", "safe merchant transaction")</f>
        <v>unsafe merchant transaction</v>
      </c>
    </row>
    <row r="1133" spans="1:18">
      <c r="A1133" t="s">
        <v>4994</v>
      </c>
      <c r="B1133" t="s">
        <v>184</v>
      </c>
      <c r="C1133">
        <v>1</v>
      </c>
      <c r="D1133" t="s">
        <v>9</v>
      </c>
      <c r="E1133" t="s">
        <v>420</v>
      </c>
      <c r="F1133" s="2">
        <v>45658</v>
      </c>
      <c r="G1133">
        <v>3152.6</v>
      </c>
      <c r="H1133" s="1">
        <f>AVERAGEIF(Table1[Customer_ID], Table1[[#This Row],[Customer_ID]], Table1[Transaction_Amount])</f>
        <v>4578.333623188405</v>
      </c>
      <c r="I1133" t="s">
        <v>2376</v>
      </c>
      <c r="J1133" t="s">
        <v>31</v>
      </c>
      <c r="K1133" t="s">
        <v>8</v>
      </c>
      <c r="L1133">
        <v>3</v>
      </c>
      <c r="M1133" t="s">
        <v>32</v>
      </c>
      <c r="N1133" t="s">
        <v>37</v>
      </c>
      <c r="O1133" t="s">
        <v>393</v>
      </c>
      <c r="P1133" s="6" t="str">
        <f>IF(Table1[[#This Row],[Transaction_Amount]]&lt;=Table1[[#This Row],[avg_transaction_amount]], "usual transaction", "unusual transaction")</f>
        <v>usual transaction</v>
      </c>
      <c r="Q1133" s="6" t="str">
        <f>IF(AND(Table1[[#This Row],[Country_of_Residence]]&lt;&gt;Table1[[#This Row],[Country_of_Transaction]], OR(Table1[[#This Row],[Authentication_Type]]="Biometric", Table1[[#This Row],[Authentication_Type]]="OTP")), "safe location transaction", "unsafe location transaction")</f>
        <v>safe location transaction</v>
      </c>
      <c r="R1133" s="6" t="str">
        <f>IF(AND(Table1[[#This Row],[Country_of_Residence]]&lt;&gt;Table1[[#This Row],[Country_of_Transaction]], OR(Table1[[#This Row],[Merchant_Category]]="Electronics", Table1[[#This Row],[Merchant_Category]]="Travel")), "unsafe merchant transaction", "safe merchant transaction")</f>
        <v>safe merchant transaction</v>
      </c>
    </row>
    <row r="1134" spans="1:18">
      <c r="A1134" t="s">
        <v>5065</v>
      </c>
      <c r="B1134" t="s">
        <v>184</v>
      </c>
      <c r="C1134">
        <v>1</v>
      </c>
      <c r="D1134" t="s">
        <v>9</v>
      </c>
      <c r="E1134" t="s">
        <v>5</v>
      </c>
      <c r="F1134" s="2">
        <v>45898</v>
      </c>
      <c r="G1134">
        <v>2691.42</v>
      </c>
      <c r="H1134" s="1">
        <f>AVERAGEIF(Table1[Customer_ID], Table1[[#This Row],[Customer_ID]], Table1[Transaction_Amount])</f>
        <v>4578.333623188405</v>
      </c>
      <c r="I1134" t="s">
        <v>2092</v>
      </c>
      <c r="J1134" t="s">
        <v>46</v>
      </c>
      <c r="K1134" t="s">
        <v>10</v>
      </c>
      <c r="L1134">
        <v>4</v>
      </c>
      <c r="M1134" t="s">
        <v>55</v>
      </c>
      <c r="N1134" t="s">
        <v>32</v>
      </c>
      <c r="O1134" t="s">
        <v>392</v>
      </c>
      <c r="P1134" s="6" t="str">
        <f>IF(Table1[[#This Row],[Transaction_Amount]]&lt;=Table1[[#This Row],[avg_transaction_amount]], "usual transaction", "unusual transaction")</f>
        <v>usual transaction</v>
      </c>
      <c r="Q1134" s="6" t="str">
        <f>IF(AND(Table1[[#This Row],[Country_of_Residence]]&lt;&gt;Table1[[#This Row],[Country_of_Transaction]], OR(Table1[[#This Row],[Authentication_Type]]="Biometric", Table1[[#This Row],[Authentication_Type]]="OTP")), "safe location transaction", "unsafe location transaction")</f>
        <v>safe location transaction</v>
      </c>
      <c r="R1134" s="6" t="str">
        <f>IF(AND(Table1[[#This Row],[Country_of_Residence]]&lt;&gt;Table1[[#This Row],[Country_of_Transaction]], OR(Table1[[#This Row],[Merchant_Category]]="Electronics", Table1[[#This Row],[Merchant_Category]]="Travel")), "unsafe merchant transaction", "safe merchant transaction")</f>
        <v>safe merchant transaction</v>
      </c>
    </row>
    <row r="1135" spans="1:18">
      <c r="A1135" t="s">
        <v>5131</v>
      </c>
      <c r="B1135" t="s">
        <v>184</v>
      </c>
      <c r="C1135">
        <v>1</v>
      </c>
      <c r="D1135" t="s">
        <v>9</v>
      </c>
      <c r="E1135" t="s">
        <v>6</v>
      </c>
      <c r="F1135" s="2">
        <v>45746</v>
      </c>
      <c r="G1135">
        <v>9513.16</v>
      </c>
      <c r="H1135" s="1">
        <f>AVERAGEIF(Table1[Customer_ID], Table1[[#This Row],[Customer_ID]], Table1[Transaction_Amount])</f>
        <v>4578.333623188405</v>
      </c>
      <c r="I1135" t="s">
        <v>1393</v>
      </c>
      <c r="J1135" t="s">
        <v>46</v>
      </c>
      <c r="K1135" t="s">
        <v>14</v>
      </c>
      <c r="L1135">
        <v>2</v>
      </c>
      <c r="M1135" t="s">
        <v>412</v>
      </c>
      <c r="N1135" t="s">
        <v>42</v>
      </c>
      <c r="O1135" t="s">
        <v>392</v>
      </c>
      <c r="P1135" s="6" t="str">
        <f>IF(Table1[[#This Row],[Transaction_Amount]]&lt;=Table1[[#This Row],[avg_transaction_amount]], "usual transaction", "unusual transaction")</f>
        <v>unusual transaction</v>
      </c>
      <c r="Q1135" s="6" t="str">
        <f>IF(AND(Table1[[#This Row],[Country_of_Residence]]&lt;&gt;Table1[[#This Row],[Country_of_Transaction]], OR(Table1[[#This Row],[Authentication_Type]]="Biometric", Table1[[#This Row],[Authentication_Type]]="OTP")), "safe location transaction", "unsafe location transaction")</f>
        <v>unsafe location transaction</v>
      </c>
      <c r="R1135" s="6" t="str">
        <f>IF(AND(Table1[[#This Row],[Country_of_Residence]]&lt;&gt;Table1[[#This Row],[Country_of_Transaction]], OR(Table1[[#This Row],[Merchant_Category]]="Electronics", Table1[[#This Row],[Merchant_Category]]="Travel")), "unsafe merchant transaction", "safe merchant transaction")</f>
        <v>safe merchant transaction</v>
      </c>
    </row>
    <row r="1136" spans="1:18">
      <c r="A1136" t="s">
        <v>5134</v>
      </c>
      <c r="B1136" t="s">
        <v>184</v>
      </c>
      <c r="C1136">
        <v>1</v>
      </c>
      <c r="D1136" t="s">
        <v>15</v>
      </c>
      <c r="E1136" t="s">
        <v>3</v>
      </c>
      <c r="F1136" s="2">
        <v>45762</v>
      </c>
      <c r="G1136">
        <v>4096.03</v>
      </c>
      <c r="H1136" s="1">
        <f>AVERAGEIF(Table1[Customer_ID], Table1[[#This Row],[Customer_ID]], Table1[Transaction_Amount])</f>
        <v>4578.333623188405</v>
      </c>
      <c r="I1136" t="s">
        <v>2476</v>
      </c>
      <c r="J1136" t="s">
        <v>50</v>
      </c>
      <c r="K1136" t="s">
        <v>14</v>
      </c>
      <c r="L1136">
        <v>3</v>
      </c>
      <c r="M1136" t="s">
        <v>32</v>
      </c>
      <c r="N1136" t="s">
        <v>55</v>
      </c>
      <c r="O1136" t="s">
        <v>392</v>
      </c>
      <c r="P1136" s="6" t="str">
        <f>IF(Table1[[#This Row],[Transaction_Amount]]&lt;=Table1[[#This Row],[avg_transaction_amount]], "usual transaction", "unusual transaction")</f>
        <v>usual transaction</v>
      </c>
      <c r="Q1136" s="6" t="str">
        <f>IF(AND(Table1[[#This Row],[Country_of_Residence]]&lt;&gt;Table1[[#This Row],[Country_of_Transaction]], OR(Table1[[#This Row],[Authentication_Type]]="Biometric", Table1[[#This Row],[Authentication_Type]]="OTP")), "safe location transaction", "unsafe location transaction")</f>
        <v>unsafe location transaction</v>
      </c>
      <c r="R1136" s="6" t="str">
        <f>IF(AND(Table1[[#This Row],[Country_of_Residence]]&lt;&gt;Table1[[#This Row],[Country_of_Transaction]], OR(Table1[[#This Row],[Merchant_Category]]="Electronics", Table1[[#This Row],[Merchant_Category]]="Travel")), "unsafe merchant transaction", "safe merchant transaction")</f>
        <v>unsafe merchant transaction</v>
      </c>
    </row>
    <row r="1137" spans="1:18">
      <c r="A1137" t="s">
        <v>5162</v>
      </c>
      <c r="B1137" t="s">
        <v>184</v>
      </c>
      <c r="C1137">
        <v>1</v>
      </c>
      <c r="D1137" t="s">
        <v>9</v>
      </c>
      <c r="E1137" t="s">
        <v>5</v>
      </c>
      <c r="F1137" s="2">
        <v>45803</v>
      </c>
      <c r="G1137">
        <v>8122.45</v>
      </c>
      <c r="H1137" s="1">
        <f>AVERAGEIF(Table1[Customer_ID], Table1[[#This Row],[Customer_ID]], Table1[Transaction_Amount])</f>
        <v>4578.333623188405</v>
      </c>
      <c r="I1137" t="s">
        <v>2498</v>
      </c>
      <c r="J1137" t="s">
        <v>36</v>
      </c>
      <c r="K1137" t="s">
        <v>14</v>
      </c>
      <c r="L1137">
        <v>2</v>
      </c>
      <c r="M1137" t="s">
        <v>42</v>
      </c>
      <c r="N1137" t="s">
        <v>32</v>
      </c>
      <c r="O1137" t="s">
        <v>393</v>
      </c>
      <c r="P1137" s="6" t="str">
        <f>IF(Table1[[#This Row],[Transaction_Amount]]&lt;=Table1[[#This Row],[avg_transaction_amount]], "usual transaction", "unusual transaction")</f>
        <v>unusual transaction</v>
      </c>
      <c r="Q1137" s="6" t="str">
        <f>IF(AND(Table1[[#This Row],[Country_of_Residence]]&lt;&gt;Table1[[#This Row],[Country_of_Transaction]], OR(Table1[[#This Row],[Authentication_Type]]="Biometric", Table1[[#This Row],[Authentication_Type]]="OTP")), "safe location transaction", "unsafe location transaction")</f>
        <v>unsafe location transaction</v>
      </c>
      <c r="R1137" s="6" t="str">
        <f>IF(AND(Table1[[#This Row],[Country_of_Residence]]&lt;&gt;Table1[[#This Row],[Country_of_Transaction]], OR(Table1[[#This Row],[Merchant_Category]]="Electronics", Table1[[#This Row],[Merchant_Category]]="Travel")), "unsafe merchant transaction", "safe merchant transaction")</f>
        <v>safe merchant transaction</v>
      </c>
    </row>
    <row r="1138" spans="1:18">
      <c r="A1138" t="s">
        <v>5195</v>
      </c>
      <c r="B1138" t="s">
        <v>184</v>
      </c>
      <c r="C1138">
        <v>1</v>
      </c>
      <c r="D1138" t="s">
        <v>9</v>
      </c>
      <c r="E1138" t="s">
        <v>6</v>
      </c>
      <c r="F1138" s="2">
        <v>45730</v>
      </c>
      <c r="G1138">
        <v>8296.94</v>
      </c>
      <c r="H1138" s="1">
        <f>AVERAGEIF(Table1[Customer_ID], Table1[[#This Row],[Customer_ID]], Table1[Transaction_Amount])</f>
        <v>4578.333623188405</v>
      </c>
      <c r="I1138" t="s">
        <v>2526</v>
      </c>
      <c r="J1138" t="s">
        <v>41</v>
      </c>
      <c r="K1138" t="s">
        <v>10</v>
      </c>
      <c r="L1138">
        <v>5</v>
      </c>
      <c r="M1138" t="s">
        <v>412</v>
      </c>
      <c r="N1138" t="s">
        <v>55</v>
      </c>
      <c r="O1138" t="s">
        <v>393</v>
      </c>
      <c r="P1138" s="6" t="str">
        <f>IF(Table1[[#This Row],[Transaction_Amount]]&lt;=Table1[[#This Row],[avg_transaction_amount]], "usual transaction", "unusual transaction")</f>
        <v>unusual transaction</v>
      </c>
      <c r="Q1138" s="6" t="str">
        <f>IF(AND(Table1[[#This Row],[Country_of_Residence]]&lt;&gt;Table1[[#This Row],[Country_of_Transaction]], OR(Table1[[#This Row],[Authentication_Type]]="Biometric", Table1[[#This Row],[Authentication_Type]]="OTP")), "safe location transaction", "unsafe location transaction")</f>
        <v>safe location transaction</v>
      </c>
      <c r="R1138" s="6" t="str">
        <f>IF(AND(Table1[[#This Row],[Country_of_Residence]]&lt;&gt;Table1[[#This Row],[Country_of_Transaction]], OR(Table1[[#This Row],[Merchant_Category]]="Electronics", Table1[[#This Row],[Merchant_Category]]="Travel")), "unsafe merchant transaction", "safe merchant transaction")</f>
        <v>safe merchant transaction</v>
      </c>
    </row>
    <row r="1139" spans="1:18">
      <c r="A1139" t="s">
        <v>5243</v>
      </c>
      <c r="B1139" t="s">
        <v>184</v>
      </c>
      <c r="C1139">
        <v>1</v>
      </c>
      <c r="D1139" t="s">
        <v>9</v>
      </c>
      <c r="E1139" t="s">
        <v>6</v>
      </c>
      <c r="F1139" s="2">
        <v>45825</v>
      </c>
      <c r="G1139">
        <v>2989.51</v>
      </c>
      <c r="H1139" s="1">
        <f>AVERAGEIF(Table1[Customer_ID], Table1[[#This Row],[Customer_ID]], Table1[Transaction_Amount])</f>
        <v>4578.333623188405</v>
      </c>
      <c r="I1139" t="s">
        <v>2565</v>
      </c>
      <c r="J1139" t="s">
        <v>36</v>
      </c>
      <c r="K1139" t="s">
        <v>12</v>
      </c>
      <c r="L1139">
        <v>4</v>
      </c>
      <c r="M1139" t="s">
        <v>412</v>
      </c>
      <c r="N1139" t="s">
        <v>51</v>
      </c>
      <c r="O1139" t="s">
        <v>392</v>
      </c>
      <c r="P1139" s="6" t="str">
        <f>IF(Table1[[#This Row],[Transaction_Amount]]&lt;=Table1[[#This Row],[avg_transaction_amount]], "usual transaction", "unusual transaction")</f>
        <v>usual transaction</v>
      </c>
      <c r="Q1139" s="6" t="str">
        <f>IF(AND(Table1[[#This Row],[Country_of_Residence]]&lt;&gt;Table1[[#This Row],[Country_of_Transaction]], OR(Table1[[#This Row],[Authentication_Type]]="Biometric", Table1[[#This Row],[Authentication_Type]]="OTP")), "safe location transaction", "unsafe location transaction")</f>
        <v>unsafe location transaction</v>
      </c>
      <c r="R1139" s="6" t="str">
        <f>IF(AND(Table1[[#This Row],[Country_of_Residence]]&lt;&gt;Table1[[#This Row],[Country_of_Transaction]], OR(Table1[[#This Row],[Merchant_Category]]="Electronics", Table1[[#This Row],[Merchant_Category]]="Travel")), "unsafe merchant transaction", "safe merchant transaction")</f>
        <v>safe merchant transaction</v>
      </c>
    </row>
    <row r="1140" spans="1:18">
      <c r="A1140" t="s">
        <v>5386</v>
      </c>
      <c r="B1140" t="s">
        <v>184</v>
      </c>
      <c r="C1140">
        <v>1</v>
      </c>
      <c r="D1140" t="s">
        <v>9</v>
      </c>
      <c r="E1140" t="s">
        <v>5</v>
      </c>
      <c r="F1140" s="2">
        <v>45881</v>
      </c>
      <c r="G1140">
        <v>8905.7900000000009</v>
      </c>
      <c r="H1140" s="1">
        <f>AVERAGEIF(Table1[Customer_ID], Table1[[#This Row],[Customer_ID]], Table1[Transaction_Amount])</f>
        <v>4578.333623188405</v>
      </c>
      <c r="I1140" t="s">
        <v>2669</v>
      </c>
      <c r="J1140" t="s">
        <v>41</v>
      </c>
      <c r="K1140" t="s">
        <v>8</v>
      </c>
      <c r="L1140">
        <v>3</v>
      </c>
      <c r="M1140" t="s">
        <v>51</v>
      </c>
      <c r="N1140" t="s">
        <v>37</v>
      </c>
      <c r="O1140" t="s">
        <v>392</v>
      </c>
      <c r="P1140" s="6" t="str">
        <f>IF(Table1[[#This Row],[Transaction_Amount]]&lt;=Table1[[#This Row],[avg_transaction_amount]], "usual transaction", "unusual transaction")</f>
        <v>unusual transaction</v>
      </c>
      <c r="Q1140" s="6" t="str">
        <f>IF(AND(Table1[[#This Row],[Country_of_Residence]]&lt;&gt;Table1[[#This Row],[Country_of_Transaction]], OR(Table1[[#This Row],[Authentication_Type]]="Biometric", Table1[[#This Row],[Authentication_Type]]="OTP")), "safe location transaction", "unsafe location transaction")</f>
        <v>safe location transaction</v>
      </c>
      <c r="R1140" s="6" t="str">
        <f>IF(AND(Table1[[#This Row],[Country_of_Residence]]&lt;&gt;Table1[[#This Row],[Country_of_Transaction]], OR(Table1[[#This Row],[Merchant_Category]]="Electronics", Table1[[#This Row],[Merchant_Category]]="Travel")), "unsafe merchant transaction", "safe merchant transaction")</f>
        <v>safe merchant transaction</v>
      </c>
    </row>
    <row r="1141" spans="1:18">
      <c r="A1141" t="s">
        <v>5409</v>
      </c>
      <c r="B1141" t="s">
        <v>184</v>
      </c>
      <c r="C1141">
        <v>1</v>
      </c>
      <c r="D1141" t="s">
        <v>15</v>
      </c>
      <c r="E1141" t="s">
        <v>420</v>
      </c>
      <c r="F1141" s="2">
        <v>45681</v>
      </c>
      <c r="G1141">
        <v>804.24</v>
      </c>
      <c r="H1141" s="1">
        <f>AVERAGEIF(Table1[Customer_ID], Table1[[#This Row],[Customer_ID]], Table1[Transaction_Amount])</f>
        <v>4578.333623188405</v>
      </c>
      <c r="I1141" t="s">
        <v>2687</v>
      </c>
      <c r="J1141" t="s">
        <v>50</v>
      </c>
      <c r="K1141" t="s">
        <v>8</v>
      </c>
      <c r="L1141">
        <v>0</v>
      </c>
      <c r="M1141" t="s">
        <v>56</v>
      </c>
      <c r="N1141" t="s">
        <v>33</v>
      </c>
      <c r="O1141" t="s">
        <v>393</v>
      </c>
      <c r="P1141" s="6" t="str">
        <f>IF(Table1[[#This Row],[Transaction_Amount]]&lt;=Table1[[#This Row],[avg_transaction_amount]], "usual transaction", "unusual transaction")</f>
        <v>usual transaction</v>
      </c>
      <c r="Q1141" s="6" t="str">
        <f>IF(AND(Table1[[#This Row],[Country_of_Residence]]&lt;&gt;Table1[[#This Row],[Country_of_Transaction]], OR(Table1[[#This Row],[Authentication_Type]]="Biometric", Table1[[#This Row],[Authentication_Type]]="OTP")), "safe location transaction", "unsafe location transaction")</f>
        <v>safe location transaction</v>
      </c>
      <c r="R1141" s="6" t="str">
        <f>IF(AND(Table1[[#This Row],[Country_of_Residence]]&lt;&gt;Table1[[#This Row],[Country_of_Transaction]], OR(Table1[[#This Row],[Merchant_Category]]="Electronics", Table1[[#This Row],[Merchant_Category]]="Travel")), "unsafe merchant transaction", "safe merchant transaction")</f>
        <v>unsafe merchant transaction</v>
      </c>
    </row>
    <row r="1142" spans="1:18">
      <c r="A1142" t="s">
        <v>5478</v>
      </c>
      <c r="B1142" t="s">
        <v>184</v>
      </c>
      <c r="C1142">
        <v>1</v>
      </c>
      <c r="D1142" t="s">
        <v>9</v>
      </c>
      <c r="E1142" t="s">
        <v>5</v>
      </c>
      <c r="F1142" s="2">
        <v>45914</v>
      </c>
      <c r="G1142">
        <v>8332.8700000000008</v>
      </c>
      <c r="H1142" s="1">
        <f>AVERAGEIF(Table1[Customer_ID], Table1[[#This Row],[Customer_ID]], Table1[Transaction_Amount])</f>
        <v>4578.333623188405</v>
      </c>
      <c r="I1142" t="s">
        <v>2737</v>
      </c>
      <c r="J1142" t="s">
        <v>31</v>
      </c>
      <c r="K1142" t="s">
        <v>12</v>
      </c>
      <c r="L1142">
        <v>2</v>
      </c>
      <c r="M1142" t="s">
        <v>33</v>
      </c>
      <c r="N1142" t="s">
        <v>47</v>
      </c>
      <c r="O1142" t="s">
        <v>393</v>
      </c>
      <c r="P1142" s="6" t="str">
        <f>IF(Table1[[#This Row],[Transaction_Amount]]&lt;=Table1[[#This Row],[avg_transaction_amount]], "usual transaction", "unusual transaction")</f>
        <v>unusual transaction</v>
      </c>
      <c r="Q1142" s="6" t="str">
        <f>IF(AND(Table1[[#This Row],[Country_of_Residence]]&lt;&gt;Table1[[#This Row],[Country_of_Transaction]], OR(Table1[[#This Row],[Authentication_Type]]="Biometric", Table1[[#This Row],[Authentication_Type]]="OTP")), "safe location transaction", "unsafe location transaction")</f>
        <v>unsafe location transaction</v>
      </c>
      <c r="R1142" s="6" t="str">
        <f>IF(AND(Table1[[#This Row],[Country_of_Residence]]&lt;&gt;Table1[[#This Row],[Country_of_Transaction]], OR(Table1[[#This Row],[Merchant_Category]]="Electronics", Table1[[#This Row],[Merchant_Category]]="Travel")), "unsafe merchant transaction", "safe merchant transaction")</f>
        <v>safe merchant transaction</v>
      </c>
    </row>
    <row r="1143" spans="1:18">
      <c r="A1143" t="s">
        <v>198</v>
      </c>
      <c r="B1143" t="s">
        <v>195</v>
      </c>
      <c r="C1143">
        <v>1</v>
      </c>
      <c r="D1143" t="s">
        <v>11</v>
      </c>
      <c r="E1143" t="s">
        <v>5</v>
      </c>
      <c r="F1143" s="2">
        <v>45862.212500000001</v>
      </c>
      <c r="G1143">
        <v>4524.95</v>
      </c>
      <c r="H1143" s="1">
        <f>AVERAGEIF(Table1[Customer_ID], Table1[[#This Row],[Customer_ID]], Table1[Transaction_Amount])</f>
        <v>5639.4775438596498</v>
      </c>
      <c r="I1143" t="s">
        <v>199</v>
      </c>
      <c r="J1143" t="s">
        <v>59</v>
      </c>
      <c r="K1143" t="s">
        <v>8</v>
      </c>
      <c r="L1143">
        <v>4</v>
      </c>
      <c r="M1143" t="s">
        <v>143</v>
      </c>
      <c r="N1143" t="s">
        <v>200</v>
      </c>
      <c r="O1143" t="s">
        <v>393</v>
      </c>
      <c r="P1143" t="str">
        <f>IF(Table1[[#This Row],[Transaction_Amount]]&lt;=Table1[[#This Row],[avg_transaction_amount]], "usual transaction", "unusual transaction")</f>
        <v>usual transaction</v>
      </c>
      <c r="Q1143" t="str">
        <f>IF(AND(Table1[[#This Row],[Country_of_Residence]]&lt;&gt;Table1[[#This Row],[Country_of_Transaction]], OR(Table1[[#This Row],[Authentication_Type]]="Biometric", Table1[[#This Row],[Authentication_Type]]="OTP")), "safe location transaction", "unsafe location transaction")</f>
        <v>safe location transaction</v>
      </c>
      <c r="R1143" t="str">
        <f>IF(AND(Table1[[#This Row],[Country_of_Residence]]&lt;&gt;Table1[[#This Row],[Country_of_Transaction]], OR(Table1[[#This Row],[Merchant_Category]]="Electronics", Table1[[#This Row],[Merchant_Category]]="Travel")), "unsafe merchant transaction", "safe merchant transaction")</f>
        <v>unsafe merchant transaction</v>
      </c>
    </row>
    <row r="1144" spans="1:18">
      <c r="A1144" t="s">
        <v>194</v>
      </c>
      <c r="B1144" t="s">
        <v>195</v>
      </c>
      <c r="C1144">
        <v>1</v>
      </c>
      <c r="D1144" t="s">
        <v>11</v>
      </c>
      <c r="E1144" t="s">
        <v>3</v>
      </c>
      <c r="F1144" s="2">
        <v>45669.908333333296</v>
      </c>
      <c r="G1144">
        <v>7268.02</v>
      </c>
      <c r="H1144" s="1">
        <f>AVERAGEIF(Table1[Customer_ID], Table1[[#This Row],[Customer_ID]], Table1[Transaction_Amount])</f>
        <v>5639.4775438596498</v>
      </c>
      <c r="I1144" t="s">
        <v>196</v>
      </c>
      <c r="J1144" t="s">
        <v>41</v>
      </c>
      <c r="K1144" t="s">
        <v>10</v>
      </c>
      <c r="L1144">
        <v>1</v>
      </c>
      <c r="M1144" t="s">
        <v>143</v>
      </c>
      <c r="N1144" t="s">
        <v>197</v>
      </c>
      <c r="O1144" t="s">
        <v>393</v>
      </c>
      <c r="P1144" t="str">
        <f>IF(Table1[[#This Row],[Transaction_Amount]]&lt;=Table1[[#This Row],[avg_transaction_amount]], "usual transaction", "unusual transaction")</f>
        <v>unusual transaction</v>
      </c>
      <c r="Q1144" t="str">
        <f>IF(AND(Table1[[#This Row],[Country_of_Residence]]&lt;&gt;Table1[[#This Row],[Country_of_Transaction]], OR(Table1[[#This Row],[Authentication_Type]]="Biometric", Table1[[#This Row],[Authentication_Type]]="OTP")), "safe location transaction", "unsafe location transaction")</f>
        <v>safe location transaction</v>
      </c>
      <c r="R1144" t="str">
        <f>IF(AND(Table1[[#This Row],[Country_of_Residence]]&lt;&gt;Table1[[#This Row],[Country_of_Transaction]], OR(Table1[[#This Row],[Merchant_Category]]="Electronics", Table1[[#This Row],[Merchant_Category]]="Travel")), "unsafe merchant transaction", "safe merchant transaction")</f>
        <v>safe merchant transaction</v>
      </c>
    </row>
    <row r="1145" spans="1:18">
      <c r="A1145" t="s">
        <v>2886</v>
      </c>
      <c r="B1145" t="s">
        <v>195</v>
      </c>
      <c r="C1145">
        <v>1</v>
      </c>
      <c r="D1145" t="s">
        <v>9</v>
      </c>
      <c r="E1145" t="s">
        <v>5</v>
      </c>
      <c r="F1145" s="2">
        <v>45886</v>
      </c>
      <c r="G1145">
        <v>1070.8499999999999</v>
      </c>
      <c r="H1145" s="1">
        <f>AVERAGEIF(Table1[Customer_ID], Table1[[#This Row],[Customer_ID]], Table1[Transaction_Amount])</f>
        <v>5639.4775438596498</v>
      </c>
      <c r="I1145" t="s">
        <v>536</v>
      </c>
      <c r="J1145" t="s">
        <v>46</v>
      </c>
      <c r="K1145" t="s">
        <v>8</v>
      </c>
      <c r="L1145">
        <v>2</v>
      </c>
      <c r="M1145" t="s">
        <v>47</v>
      </c>
      <c r="N1145" t="s">
        <v>412</v>
      </c>
      <c r="O1145" t="s">
        <v>393</v>
      </c>
      <c r="P1145" s="6" t="str">
        <f>IF(Table1[[#This Row],[Transaction_Amount]]&lt;=Table1[[#This Row],[avg_transaction_amount]], "usual transaction", "unusual transaction")</f>
        <v>usual transaction</v>
      </c>
      <c r="Q1145" s="6" t="str">
        <f>IF(AND(Table1[[#This Row],[Country_of_Residence]]&lt;&gt;Table1[[#This Row],[Country_of_Transaction]], OR(Table1[[#This Row],[Authentication_Type]]="Biometric", Table1[[#This Row],[Authentication_Type]]="OTP")), "safe location transaction", "unsafe location transaction")</f>
        <v>safe location transaction</v>
      </c>
      <c r="R1145" s="6" t="str">
        <f>IF(AND(Table1[[#This Row],[Country_of_Residence]]&lt;&gt;Table1[[#This Row],[Country_of_Transaction]], OR(Table1[[#This Row],[Merchant_Category]]="Electronics", Table1[[#This Row],[Merchant_Category]]="Travel")), "unsafe merchant transaction", "safe merchant transaction")</f>
        <v>safe merchant transaction</v>
      </c>
    </row>
    <row r="1146" spans="1:18">
      <c r="A1146" t="s">
        <v>2899</v>
      </c>
      <c r="B1146" t="s">
        <v>195</v>
      </c>
      <c r="C1146">
        <v>1</v>
      </c>
      <c r="D1146" t="s">
        <v>9</v>
      </c>
      <c r="E1146" t="s">
        <v>6</v>
      </c>
      <c r="F1146" s="2">
        <v>45730</v>
      </c>
      <c r="G1146">
        <v>2455.29</v>
      </c>
      <c r="H1146" s="1">
        <f>AVERAGEIF(Table1[Customer_ID], Table1[[#This Row],[Customer_ID]], Table1[Transaction_Amount])</f>
        <v>5639.4775438596498</v>
      </c>
      <c r="I1146" t="s">
        <v>549</v>
      </c>
      <c r="J1146" t="s">
        <v>50</v>
      </c>
      <c r="K1146" t="s">
        <v>8</v>
      </c>
      <c r="L1146">
        <v>4</v>
      </c>
      <c r="M1146" t="s">
        <v>56</v>
      </c>
      <c r="N1146" t="s">
        <v>55</v>
      </c>
      <c r="O1146" t="s">
        <v>392</v>
      </c>
      <c r="P1146" s="6" t="str">
        <f>IF(Table1[[#This Row],[Transaction_Amount]]&lt;=Table1[[#This Row],[avg_transaction_amount]], "usual transaction", "unusual transaction")</f>
        <v>usual transaction</v>
      </c>
      <c r="Q1146" s="6" t="str">
        <f>IF(AND(Table1[[#This Row],[Country_of_Residence]]&lt;&gt;Table1[[#This Row],[Country_of_Transaction]], OR(Table1[[#This Row],[Authentication_Type]]="Biometric", Table1[[#This Row],[Authentication_Type]]="OTP")), "safe location transaction", "unsafe location transaction")</f>
        <v>safe location transaction</v>
      </c>
      <c r="R1146" s="6" t="str">
        <f>IF(AND(Table1[[#This Row],[Country_of_Residence]]&lt;&gt;Table1[[#This Row],[Country_of_Transaction]], OR(Table1[[#This Row],[Merchant_Category]]="Electronics", Table1[[#This Row],[Merchant_Category]]="Travel")), "unsafe merchant transaction", "safe merchant transaction")</f>
        <v>unsafe merchant transaction</v>
      </c>
    </row>
    <row r="1147" spans="1:18">
      <c r="A1147" t="s">
        <v>2900</v>
      </c>
      <c r="B1147" t="s">
        <v>195</v>
      </c>
      <c r="C1147">
        <v>1</v>
      </c>
      <c r="D1147" t="s">
        <v>15</v>
      </c>
      <c r="E1147" t="s">
        <v>6</v>
      </c>
      <c r="F1147" s="2">
        <v>45913</v>
      </c>
      <c r="G1147">
        <v>9340.83</v>
      </c>
      <c r="H1147" s="1">
        <f>AVERAGEIF(Table1[Customer_ID], Table1[[#This Row],[Customer_ID]], Table1[Transaction_Amount])</f>
        <v>5639.4775438596498</v>
      </c>
      <c r="I1147" t="s">
        <v>550</v>
      </c>
      <c r="J1147" t="s">
        <v>36</v>
      </c>
      <c r="K1147" t="s">
        <v>14</v>
      </c>
      <c r="L1147">
        <v>3</v>
      </c>
      <c r="M1147" t="s">
        <v>412</v>
      </c>
      <c r="N1147" t="s">
        <v>32</v>
      </c>
      <c r="O1147" t="s">
        <v>393</v>
      </c>
      <c r="P1147" s="6" t="str">
        <f>IF(Table1[[#This Row],[Transaction_Amount]]&lt;=Table1[[#This Row],[avg_transaction_amount]], "usual transaction", "unusual transaction")</f>
        <v>unusual transaction</v>
      </c>
      <c r="Q1147" s="6" t="str">
        <f>IF(AND(Table1[[#This Row],[Country_of_Residence]]&lt;&gt;Table1[[#This Row],[Country_of_Transaction]], OR(Table1[[#This Row],[Authentication_Type]]="Biometric", Table1[[#This Row],[Authentication_Type]]="OTP")), "safe location transaction", "unsafe location transaction")</f>
        <v>unsafe location transaction</v>
      </c>
      <c r="R1147" s="6" t="str">
        <f>IF(AND(Table1[[#This Row],[Country_of_Residence]]&lt;&gt;Table1[[#This Row],[Country_of_Transaction]], OR(Table1[[#This Row],[Merchant_Category]]="Electronics", Table1[[#This Row],[Merchant_Category]]="Travel")), "unsafe merchant transaction", "safe merchant transaction")</f>
        <v>safe merchant transaction</v>
      </c>
    </row>
    <row r="1148" spans="1:18">
      <c r="A1148" t="s">
        <v>2909</v>
      </c>
      <c r="B1148" t="s">
        <v>195</v>
      </c>
      <c r="C1148">
        <v>1</v>
      </c>
      <c r="D1148" t="s">
        <v>9</v>
      </c>
      <c r="E1148" t="s">
        <v>5</v>
      </c>
      <c r="F1148" s="2">
        <v>46004</v>
      </c>
      <c r="G1148">
        <v>9569.02</v>
      </c>
      <c r="H1148" s="1">
        <f>AVERAGEIF(Table1[Customer_ID], Table1[[#This Row],[Customer_ID]], Table1[Transaction_Amount])</f>
        <v>5639.4775438596498</v>
      </c>
      <c r="I1148" t="s">
        <v>559</v>
      </c>
      <c r="J1148" t="s">
        <v>41</v>
      </c>
      <c r="K1148" t="s">
        <v>8</v>
      </c>
      <c r="L1148">
        <v>1</v>
      </c>
      <c r="M1148" t="s">
        <v>55</v>
      </c>
      <c r="N1148" t="s">
        <v>37</v>
      </c>
      <c r="O1148" t="s">
        <v>393</v>
      </c>
      <c r="P1148" s="6" t="str">
        <f>IF(Table1[[#This Row],[Transaction_Amount]]&lt;=Table1[[#This Row],[avg_transaction_amount]], "usual transaction", "unusual transaction")</f>
        <v>unusual transaction</v>
      </c>
      <c r="Q1148" s="6" t="str">
        <f>IF(AND(Table1[[#This Row],[Country_of_Residence]]&lt;&gt;Table1[[#This Row],[Country_of_Transaction]], OR(Table1[[#This Row],[Authentication_Type]]="Biometric", Table1[[#This Row],[Authentication_Type]]="OTP")), "safe location transaction", "unsafe location transaction")</f>
        <v>safe location transaction</v>
      </c>
      <c r="R1148" s="6" t="str">
        <f>IF(AND(Table1[[#This Row],[Country_of_Residence]]&lt;&gt;Table1[[#This Row],[Country_of_Transaction]], OR(Table1[[#This Row],[Merchant_Category]]="Electronics", Table1[[#This Row],[Merchant_Category]]="Travel")), "unsafe merchant transaction", "safe merchant transaction")</f>
        <v>safe merchant transaction</v>
      </c>
    </row>
    <row r="1149" spans="1:18">
      <c r="A1149" t="s">
        <v>2964</v>
      </c>
      <c r="B1149" t="s">
        <v>195</v>
      </c>
      <c r="C1149">
        <v>1</v>
      </c>
      <c r="D1149" t="s">
        <v>9</v>
      </c>
      <c r="E1149" t="s">
        <v>3</v>
      </c>
      <c r="F1149" s="2">
        <v>45906</v>
      </c>
      <c r="G1149">
        <v>8427.75</v>
      </c>
      <c r="H1149" s="1">
        <f>AVERAGEIF(Table1[Customer_ID], Table1[[#This Row],[Customer_ID]], Table1[Transaction_Amount])</f>
        <v>5639.4775438596498</v>
      </c>
      <c r="I1149" t="s">
        <v>612</v>
      </c>
      <c r="J1149" t="s">
        <v>36</v>
      </c>
      <c r="K1149" t="s">
        <v>8</v>
      </c>
      <c r="L1149">
        <v>3</v>
      </c>
      <c r="M1149" t="s">
        <v>47</v>
      </c>
      <c r="N1149" t="s">
        <v>56</v>
      </c>
      <c r="O1149" t="s">
        <v>393</v>
      </c>
      <c r="P1149" s="6" t="str">
        <f>IF(Table1[[#This Row],[Transaction_Amount]]&lt;=Table1[[#This Row],[avg_transaction_amount]], "usual transaction", "unusual transaction")</f>
        <v>unusual transaction</v>
      </c>
      <c r="Q1149" s="6" t="str">
        <f>IF(AND(Table1[[#This Row],[Country_of_Residence]]&lt;&gt;Table1[[#This Row],[Country_of_Transaction]], OR(Table1[[#This Row],[Authentication_Type]]="Biometric", Table1[[#This Row],[Authentication_Type]]="OTP")), "safe location transaction", "unsafe location transaction")</f>
        <v>safe location transaction</v>
      </c>
      <c r="R1149" s="6" t="str">
        <f>IF(AND(Table1[[#This Row],[Country_of_Residence]]&lt;&gt;Table1[[#This Row],[Country_of_Transaction]], OR(Table1[[#This Row],[Merchant_Category]]="Electronics", Table1[[#This Row],[Merchant_Category]]="Travel")), "unsafe merchant transaction", "safe merchant transaction")</f>
        <v>safe merchant transaction</v>
      </c>
    </row>
    <row r="1150" spans="1:18">
      <c r="A1150" t="s">
        <v>2971</v>
      </c>
      <c r="B1150" t="s">
        <v>195</v>
      </c>
      <c r="C1150">
        <v>1</v>
      </c>
      <c r="D1150" t="s">
        <v>15</v>
      </c>
      <c r="E1150" t="s">
        <v>420</v>
      </c>
      <c r="F1150" s="2">
        <v>45983</v>
      </c>
      <c r="G1150">
        <v>5840.46</v>
      </c>
      <c r="H1150" s="1">
        <f>AVERAGEIF(Table1[Customer_ID], Table1[[#This Row],[Customer_ID]], Table1[Transaction_Amount])</f>
        <v>5639.4775438596498</v>
      </c>
      <c r="I1150" t="s">
        <v>619</v>
      </c>
      <c r="J1150" t="s">
        <v>31</v>
      </c>
      <c r="K1150" t="s">
        <v>8</v>
      </c>
      <c r="L1150">
        <v>1</v>
      </c>
      <c r="M1150" t="s">
        <v>56</v>
      </c>
      <c r="N1150" t="s">
        <v>55</v>
      </c>
      <c r="O1150" t="s">
        <v>393</v>
      </c>
      <c r="P1150" s="6" t="str">
        <f>IF(Table1[[#This Row],[Transaction_Amount]]&lt;=Table1[[#This Row],[avg_transaction_amount]], "usual transaction", "unusual transaction")</f>
        <v>unusual transaction</v>
      </c>
      <c r="Q1150" s="6" t="str">
        <f>IF(AND(Table1[[#This Row],[Country_of_Residence]]&lt;&gt;Table1[[#This Row],[Country_of_Transaction]], OR(Table1[[#This Row],[Authentication_Type]]="Biometric", Table1[[#This Row],[Authentication_Type]]="OTP")), "safe location transaction", "unsafe location transaction")</f>
        <v>safe location transaction</v>
      </c>
      <c r="R1150" s="6" t="str">
        <f>IF(AND(Table1[[#This Row],[Country_of_Residence]]&lt;&gt;Table1[[#This Row],[Country_of_Transaction]], OR(Table1[[#This Row],[Merchant_Category]]="Electronics", Table1[[#This Row],[Merchant_Category]]="Travel")), "unsafe merchant transaction", "safe merchant transaction")</f>
        <v>safe merchant transaction</v>
      </c>
    </row>
    <row r="1151" spans="1:18">
      <c r="A1151" t="s">
        <v>3065</v>
      </c>
      <c r="B1151" t="s">
        <v>195</v>
      </c>
      <c r="C1151">
        <v>1</v>
      </c>
      <c r="D1151" t="s">
        <v>9</v>
      </c>
      <c r="E1151" t="s">
        <v>420</v>
      </c>
      <c r="F1151" s="2">
        <v>45951</v>
      </c>
      <c r="G1151">
        <v>5988.96</v>
      </c>
      <c r="H1151" s="1">
        <f>AVERAGEIF(Table1[Customer_ID], Table1[[#This Row],[Customer_ID]], Table1[Transaction_Amount])</f>
        <v>5639.4775438596498</v>
      </c>
      <c r="I1151" t="s">
        <v>710</v>
      </c>
      <c r="J1151" t="s">
        <v>31</v>
      </c>
      <c r="K1151" t="s">
        <v>14</v>
      </c>
      <c r="L1151">
        <v>4</v>
      </c>
      <c r="M1151" t="s">
        <v>55</v>
      </c>
      <c r="N1151" t="s">
        <v>42</v>
      </c>
      <c r="O1151" t="s">
        <v>392</v>
      </c>
      <c r="P1151" s="6" t="str">
        <f>IF(Table1[[#This Row],[Transaction_Amount]]&lt;=Table1[[#This Row],[avg_transaction_amount]], "usual transaction", "unusual transaction")</f>
        <v>unusual transaction</v>
      </c>
      <c r="Q1151" s="6" t="str">
        <f>IF(AND(Table1[[#This Row],[Country_of_Residence]]&lt;&gt;Table1[[#This Row],[Country_of_Transaction]], OR(Table1[[#This Row],[Authentication_Type]]="Biometric", Table1[[#This Row],[Authentication_Type]]="OTP")), "safe location transaction", "unsafe location transaction")</f>
        <v>unsafe location transaction</v>
      </c>
      <c r="R1151" s="6" t="str">
        <f>IF(AND(Table1[[#This Row],[Country_of_Residence]]&lt;&gt;Table1[[#This Row],[Country_of_Transaction]], OR(Table1[[#This Row],[Merchant_Category]]="Electronics", Table1[[#This Row],[Merchant_Category]]="Travel")), "unsafe merchant transaction", "safe merchant transaction")</f>
        <v>safe merchant transaction</v>
      </c>
    </row>
    <row r="1152" spans="1:18">
      <c r="A1152" t="s">
        <v>3131</v>
      </c>
      <c r="B1152" t="s">
        <v>195</v>
      </c>
      <c r="C1152">
        <v>1</v>
      </c>
      <c r="D1152" t="s">
        <v>15</v>
      </c>
      <c r="E1152" t="s">
        <v>3</v>
      </c>
      <c r="F1152" s="2">
        <v>45929</v>
      </c>
      <c r="G1152">
        <v>7337.4</v>
      </c>
      <c r="H1152" s="1">
        <f>AVERAGEIF(Table1[Customer_ID], Table1[[#This Row],[Customer_ID]], Table1[Transaction_Amount])</f>
        <v>5639.4775438596498</v>
      </c>
      <c r="I1152" t="s">
        <v>772</v>
      </c>
      <c r="J1152" t="s">
        <v>50</v>
      </c>
      <c r="K1152" t="s">
        <v>14</v>
      </c>
      <c r="L1152">
        <v>4</v>
      </c>
      <c r="M1152" t="s">
        <v>51</v>
      </c>
      <c r="N1152" t="s">
        <v>47</v>
      </c>
      <c r="O1152" t="s">
        <v>392</v>
      </c>
      <c r="P1152" s="6" t="str">
        <f>IF(Table1[[#This Row],[Transaction_Amount]]&lt;=Table1[[#This Row],[avg_transaction_amount]], "usual transaction", "unusual transaction")</f>
        <v>unusual transaction</v>
      </c>
      <c r="Q1152" s="6" t="str">
        <f>IF(AND(Table1[[#This Row],[Country_of_Residence]]&lt;&gt;Table1[[#This Row],[Country_of_Transaction]], OR(Table1[[#This Row],[Authentication_Type]]="Biometric", Table1[[#This Row],[Authentication_Type]]="OTP")), "safe location transaction", "unsafe location transaction")</f>
        <v>unsafe location transaction</v>
      </c>
      <c r="R1152" s="6" t="str">
        <f>IF(AND(Table1[[#This Row],[Country_of_Residence]]&lt;&gt;Table1[[#This Row],[Country_of_Transaction]], OR(Table1[[#This Row],[Merchant_Category]]="Electronics", Table1[[#This Row],[Merchant_Category]]="Travel")), "unsafe merchant transaction", "safe merchant transaction")</f>
        <v>unsafe merchant transaction</v>
      </c>
    </row>
    <row r="1153" spans="1:18">
      <c r="A1153" t="s">
        <v>3186</v>
      </c>
      <c r="B1153" t="s">
        <v>195</v>
      </c>
      <c r="C1153">
        <v>1</v>
      </c>
      <c r="D1153" t="s">
        <v>9</v>
      </c>
      <c r="E1153" t="s">
        <v>3</v>
      </c>
      <c r="F1153" s="2">
        <v>45837</v>
      </c>
      <c r="G1153">
        <v>4560.17</v>
      </c>
      <c r="H1153" s="1">
        <f>AVERAGEIF(Table1[Customer_ID], Table1[[#This Row],[Customer_ID]], Table1[Transaction_Amount])</f>
        <v>5639.4775438596498</v>
      </c>
      <c r="I1153" t="s">
        <v>821</v>
      </c>
      <c r="J1153" t="s">
        <v>46</v>
      </c>
      <c r="K1153" t="s">
        <v>14</v>
      </c>
      <c r="L1153">
        <v>2</v>
      </c>
      <c r="M1153" t="s">
        <v>42</v>
      </c>
      <c r="N1153" t="s">
        <v>33</v>
      </c>
      <c r="O1153" t="s">
        <v>392</v>
      </c>
      <c r="P1153" s="6" t="str">
        <f>IF(Table1[[#This Row],[Transaction_Amount]]&lt;=Table1[[#This Row],[avg_transaction_amount]], "usual transaction", "unusual transaction")</f>
        <v>usual transaction</v>
      </c>
      <c r="Q1153" s="6" t="str">
        <f>IF(AND(Table1[[#This Row],[Country_of_Residence]]&lt;&gt;Table1[[#This Row],[Country_of_Transaction]], OR(Table1[[#This Row],[Authentication_Type]]="Biometric", Table1[[#This Row],[Authentication_Type]]="OTP")), "safe location transaction", "unsafe location transaction")</f>
        <v>unsafe location transaction</v>
      </c>
      <c r="R1153" s="6" t="str">
        <f>IF(AND(Table1[[#This Row],[Country_of_Residence]]&lt;&gt;Table1[[#This Row],[Country_of_Transaction]], OR(Table1[[#This Row],[Merchant_Category]]="Electronics", Table1[[#This Row],[Merchant_Category]]="Travel")), "unsafe merchant transaction", "safe merchant transaction")</f>
        <v>safe merchant transaction</v>
      </c>
    </row>
    <row r="1154" spans="1:18">
      <c r="A1154" t="s">
        <v>3302</v>
      </c>
      <c r="B1154" t="s">
        <v>195</v>
      </c>
      <c r="C1154">
        <v>1</v>
      </c>
      <c r="D1154" t="s">
        <v>15</v>
      </c>
      <c r="E1154" t="s">
        <v>420</v>
      </c>
      <c r="F1154" s="2">
        <v>45685</v>
      </c>
      <c r="G1154">
        <v>7381.85</v>
      </c>
      <c r="H1154" s="1">
        <f>AVERAGEIF(Table1[Customer_ID], Table1[[#This Row],[Customer_ID]], Table1[Transaction_Amount])</f>
        <v>5639.4775438596498</v>
      </c>
      <c r="I1154" t="s">
        <v>929</v>
      </c>
      <c r="J1154" t="s">
        <v>31</v>
      </c>
      <c r="K1154" t="s">
        <v>12</v>
      </c>
      <c r="L1154">
        <v>1</v>
      </c>
      <c r="M1154" t="s">
        <v>412</v>
      </c>
      <c r="N1154" t="s">
        <v>47</v>
      </c>
      <c r="O1154" t="s">
        <v>393</v>
      </c>
      <c r="P1154" s="6" t="str">
        <f>IF(Table1[[#This Row],[Transaction_Amount]]&lt;=Table1[[#This Row],[avg_transaction_amount]], "usual transaction", "unusual transaction")</f>
        <v>unusual transaction</v>
      </c>
      <c r="Q1154" s="6" t="str">
        <f>IF(AND(Table1[[#This Row],[Country_of_Residence]]&lt;&gt;Table1[[#This Row],[Country_of_Transaction]], OR(Table1[[#This Row],[Authentication_Type]]="Biometric", Table1[[#This Row],[Authentication_Type]]="OTP")), "safe location transaction", "unsafe location transaction")</f>
        <v>unsafe location transaction</v>
      </c>
      <c r="R1154" s="6" t="str">
        <f>IF(AND(Table1[[#This Row],[Country_of_Residence]]&lt;&gt;Table1[[#This Row],[Country_of_Transaction]], OR(Table1[[#This Row],[Merchant_Category]]="Electronics", Table1[[#This Row],[Merchant_Category]]="Travel")), "unsafe merchant transaction", "safe merchant transaction")</f>
        <v>safe merchant transaction</v>
      </c>
    </row>
    <row r="1155" spans="1:18">
      <c r="A1155" t="s">
        <v>3408</v>
      </c>
      <c r="B1155" t="s">
        <v>195</v>
      </c>
      <c r="C1155">
        <v>1</v>
      </c>
      <c r="D1155" t="s">
        <v>9</v>
      </c>
      <c r="E1155" t="s">
        <v>5</v>
      </c>
      <c r="F1155" s="2">
        <v>45670</v>
      </c>
      <c r="G1155">
        <v>6453.84</v>
      </c>
      <c r="H1155" s="1">
        <f>AVERAGEIF(Table1[Customer_ID], Table1[[#This Row],[Customer_ID]], Table1[Transaction_Amount])</f>
        <v>5639.4775438596498</v>
      </c>
      <c r="I1155" t="s">
        <v>1028</v>
      </c>
      <c r="J1155" t="s">
        <v>50</v>
      </c>
      <c r="K1155" t="s">
        <v>12</v>
      </c>
      <c r="L1155">
        <v>1</v>
      </c>
      <c r="M1155" t="s">
        <v>33</v>
      </c>
      <c r="N1155" t="s">
        <v>412</v>
      </c>
      <c r="O1155" t="s">
        <v>392</v>
      </c>
      <c r="P1155" s="6" t="str">
        <f>IF(Table1[[#This Row],[Transaction_Amount]]&lt;=Table1[[#This Row],[avg_transaction_amount]], "usual transaction", "unusual transaction")</f>
        <v>unusual transaction</v>
      </c>
      <c r="Q1155" s="6" t="str">
        <f>IF(AND(Table1[[#This Row],[Country_of_Residence]]&lt;&gt;Table1[[#This Row],[Country_of_Transaction]], OR(Table1[[#This Row],[Authentication_Type]]="Biometric", Table1[[#This Row],[Authentication_Type]]="OTP")), "safe location transaction", "unsafe location transaction")</f>
        <v>unsafe location transaction</v>
      </c>
      <c r="R1155" s="6" t="str">
        <f>IF(AND(Table1[[#This Row],[Country_of_Residence]]&lt;&gt;Table1[[#This Row],[Country_of_Transaction]], OR(Table1[[#This Row],[Merchant_Category]]="Electronics", Table1[[#This Row],[Merchant_Category]]="Travel")), "unsafe merchant transaction", "safe merchant transaction")</f>
        <v>unsafe merchant transaction</v>
      </c>
    </row>
    <row r="1156" spans="1:18">
      <c r="A1156" t="s">
        <v>3491</v>
      </c>
      <c r="B1156" t="s">
        <v>195</v>
      </c>
      <c r="C1156">
        <v>1</v>
      </c>
      <c r="D1156" t="s">
        <v>9</v>
      </c>
      <c r="E1156" t="s">
        <v>5</v>
      </c>
      <c r="F1156" s="2">
        <v>45821</v>
      </c>
      <c r="G1156">
        <v>9947.98</v>
      </c>
      <c r="H1156" s="1">
        <f>AVERAGEIF(Table1[Customer_ID], Table1[[#This Row],[Customer_ID]], Table1[Transaction_Amount])</f>
        <v>5639.4775438596498</v>
      </c>
      <c r="I1156" t="s">
        <v>880</v>
      </c>
      <c r="J1156" t="s">
        <v>36</v>
      </c>
      <c r="K1156" t="s">
        <v>8</v>
      </c>
      <c r="L1156">
        <v>4</v>
      </c>
      <c r="M1156" t="s">
        <v>51</v>
      </c>
      <c r="N1156" t="s">
        <v>42</v>
      </c>
      <c r="O1156" t="s">
        <v>392</v>
      </c>
      <c r="P1156" s="6" t="str">
        <f>IF(Table1[[#This Row],[Transaction_Amount]]&lt;=Table1[[#This Row],[avg_transaction_amount]], "usual transaction", "unusual transaction")</f>
        <v>unusual transaction</v>
      </c>
      <c r="Q1156" s="6" t="str">
        <f>IF(AND(Table1[[#This Row],[Country_of_Residence]]&lt;&gt;Table1[[#This Row],[Country_of_Transaction]], OR(Table1[[#This Row],[Authentication_Type]]="Biometric", Table1[[#This Row],[Authentication_Type]]="OTP")), "safe location transaction", "unsafe location transaction")</f>
        <v>safe location transaction</v>
      </c>
      <c r="R1156" s="6" t="str">
        <f>IF(AND(Table1[[#This Row],[Country_of_Residence]]&lt;&gt;Table1[[#This Row],[Country_of_Transaction]], OR(Table1[[#This Row],[Merchant_Category]]="Electronics", Table1[[#This Row],[Merchant_Category]]="Travel")), "unsafe merchant transaction", "safe merchant transaction")</f>
        <v>safe merchant transaction</v>
      </c>
    </row>
    <row r="1157" spans="1:18">
      <c r="A1157" t="s">
        <v>3526</v>
      </c>
      <c r="B1157" t="s">
        <v>195</v>
      </c>
      <c r="C1157">
        <v>1</v>
      </c>
      <c r="D1157" t="s">
        <v>9</v>
      </c>
      <c r="E1157" t="s">
        <v>3</v>
      </c>
      <c r="F1157" s="2">
        <v>45979</v>
      </c>
      <c r="G1157">
        <v>2077.44</v>
      </c>
      <c r="H1157" s="1">
        <f>AVERAGEIF(Table1[Customer_ID], Table1[[#This Row],[Customer_ID]], Table1[Transaction_Amount])</f>
        <v>5639.4775438596498</v>
      </c>
      <c r="I1157" t="s">
        <v>1141</v>
      </c>
      <c r="J1157" t="s">
        <v>31</v>
      </c>
      <c r="K1157" t="s">
        <v>10</v>
      </c>
      <c r="L1157">
        <v>4</v>
      </c>
      <c r="M1157" t="s">
        <v>56</v>
      </c>
      <c r="N1157" t="s">
        <v>412</v>
      </c>
      <c r="O1157" t="s">
        <v>392</v>
      </c>
      <c r="P1157" s="6" t="str">
        <f>IF(Table1[[#This Row],[Transaction_Amount]]&lt;=Table1[[#This Row],[avg_transaction_amount]], "usual transaction", "unusual transaction")</f>
        <v>usual transaction</v>
      </c>
      <c r="Q1157" s="6" t="str">
        <f>IF(AND(Table1[[#This Row],[Country_of_Residence]]&lt;&gt;Table1[[#This Row],[Country_of_Transaction]], OR(Table1[[#This Row],[Authentication_Type]]="Biometric", Table1[[#This Row],[Authentication_Type]]="OTP")), "safe location transaction", "unsafe location transaction")</f>
        <v>safe location transaction</v>
      </c>
      <c r="R1157" s="6" t="str">
        <f>IF(AND(Table1[[#This Row],[Country_of_Residence]]&lt;&gt;Table1[[#This Row],[Country_of_Transaction]], OR(Table1[[#This Row],[Merchant_Category]]="Electronics", Table1[[#This Row],[Merchant_Category]]="Travel")), "unsafe merchant transaction", "safe merchant transaction")</f>
        <v>safe merchant transaction</v>
      </c>
    </row>
    <row r="1158" spans="1:18">
      <c r="A1158" t="s">
        <v>3546</v>
      </c>
      <c r="B1158" t="s">
        <v>195</v>
      </c>
      <c r="C1158">
        <v>1</v>
      </c>
      <c r="D1158" t="s">
        <v>15</v>
      </c>
      <c r="E1158" t="s">
        <v>5</v>
      </c>
      <c r="F1158" s="2">
        <v>45809</v>
      </c>
      <c r="G1158">
        <v>7737.81</v>
      </c>
      <c r="H1158" s="1">
        <f>AVERAGEIF(Table1[Customer_ID], Table1[[#This Row],[Customer_ID]], Table1[Transaction_Amount])</f>
        <v>5639.4775438596498</v>
      </c>
      <c r="I1158" t="s">
        <v>1160</v>
      </c>
      <c r="J1158" t="s">
        <v>50</v>
      </c>
      <c r="K1158" t="s">
        <v>12</v>
      </c>
      <c r="L1158">
        <v>5</v>
      </c>
      <c r="M1158" t="s">
        <v>55</v>
      </c>
      <c r="N1158" t="s">
        <v>32</v>
      </c>
      <c r="O1158" t="s">
        <v>392</v>
      </c>
      <c r="P1158" s="6" t="str">
        <f>IF(Table1[[#This Row],[Transaction_Amount]]&lt;=Table1[[#This Row],[avg_transaction_amount]], "usual transaction", "unusual transaction")</f>
        <v>unusual transaction</v>
      </c>
      <c r="Q1158" s="6" t="str">
        <f>IF(AND(Table1[[#This Row],[Country_of_Residence]]&lt;&gt;Table1[[#This Row],[Country_of_Transaction]], OR(Table1[[#This Row],[Authentication_Type]]="Biometric", Table1[[#This Row],[Authentication_Type]]="OTP")), "safe location transaction", "unsafe location transaction")</f>
        <v>unsafe location transaction</v>
      </c>
      <c r="R1158" s="6" t="str">
        <f>IF(AND(Table1[[#This Row],[Country_of_Residence]]&lt;&gt;Table1[[#This Row],[Country_of_Transaction]], OR(Table1[[#This Row],[Merchant_Category]]="Electronics", Table1[[#This Row],[Merchant_Category]]="Travel")), "unsafe merchant transaction", "safe merchant transaction")</f>
        <v>unsafe merchant transaction</v>
      </c>
    </row>
    <row r="1159" spans="1:18">
      <c r="A1159" t="s">
        <v>3555</v>
      </c>
      <c r="B1159" t="s">
        <v>195</v>
      </c>
      <c r="C1159">
        <v>1</v>
      </c>
      <c r="D1159" t="s">
        <v>9</v>
      </c>
      <c r="E1159" t="s">
        <v>420</v>
      </c>
      <c r="F1159" s="2">
        <v>45730</v>
      </c>
      <c r="G1159">
        <v>6830.35</v>
      </c>
      <c r="H1159" s="1">
        <f>AVERAGEIF(Table1[Customer_ID], Table1[[#This Row],[Customer_ID]], Table1[Transaction_Amount])</f>
        <v>5639.4775438596498</v>
      </c>
      <c r="I1159" t="s">
        <v>1168</v>
      </c>
      <c r="J1159" t="s">
        <v>36</v>
      </c>
      <c r="K1159" t="s">
        <v>14</v>
      </c>
      <c r="L1159">
        <v>0</v>
      </c>
      <c r="M1159" t="s">
        <v>42</v>
      </c>
      <c r="N1159" t="s">
        <v>37</v>
      </c>
      <c r="O1159" t="s">
        <v>392</v>
      </c>
      <c r="P1159" s="6" t="str">
        <f>IF(Table1[[#This Row],[Transaction_Amount]]&lt;=Table1[[#This Row],[avg_transaction_amount]], "usual transaction", "unusual transaction")</f>
        <v>unusual transaction</v>
      </c>
      <c r="Q1159" s="6" t="str">
        <f>IF(AND(Table1[[#This Row],[Country_of_Residence]]&lt;&gt;Table1[[#This Row],[Country_of_Transaction]], OR(Table1[[#This Row],[Authentication_Type]]="Biometric", Table1[[#This Row],[Authentication_Type]]="OTP")), "safe location transaction", "unsafe location transaction")</f>
        <v>unsafe location transaction</v>
      </c>
      <c r="R1159" s="6" t="str">
        <f>IF(AND(Table1[[#This Row],[Country_of_Residence]]&lt;&gt;Table1[[#This Row],[Country_of_Transaction]], OR(Table1[[#This Row],[Merchant_Category]]="Electronics", Table1[[#This Row],[Merchant_Category]]="Travel")), "unsafe merchant transaction", "safe merchant transaction")</f>
        <v>safe merchant transaction</v>
      </c>
    </row>
    <row r="1160" spans="1:18">
      <c r="A1160" t="s">
        <v>3594</v>
      </c>
      <c r="B1160" t="s">
        <v>195</v>
      </c>
      <c r="C1160">
        <v>1</v>
      </c>
      <c r="D1160" t="s">
        <v>15</v>
      </c>
      <c r="E1160" t="s">
        <v>5</v>
      </c>
      <c r="F1160" s="2">
        <v>45868</v>
      </c>
      <c r="G1160">
        <v>6992.83</v>
      </c>
      <c r="H1160" s="1">
        <f>AVERAGEIF(Table1[Customer_ID], Table1[[#This Row],[Customer_ID]], Table1[Transaction_Amount])</f>
        <v>5639.4775438596498</v>
      </c>
      <c r="I1160" t="s">
        <v>1203</v>
      </c>
      <c r="J1160" t="s">
        <v>50</v>
      </c>
      <c r="K1160" t="s">
        <v>10</v>
      </c>
      <c r="L1160">
        <v>1</v>
      </c>
      <c r="M1160" t="s">
        <v>42</v>
      </c>
      <c r="N1160" t="s">
        <v>33</v>
      </c>
      <c r="O1160" t="s">
        <v>392</v>
      </c>
      <c r="P1160" s="6" t="str">
        <f>IF(Table1[[#This Row],[Transaction_Amount]]&lt;=Table1[[#This Row],[avg_transaction_amount]], "usual transaction", "unusual transaction")</f>
        <v>unusual transaction</v>
      </c>
      <c r="Q1160" s="6" t="str">
        <f>IF(AND(Table1[[#This Row],[Country_of_Residence]]&lt;&gt;Table1[[#This Row],[Country_of_Transaction]], OR(Table1[[#This Row],[Authentication_Type]]="Biometric", Table1[[#This Row],[Authentication_Type]]="OTP")), "safe location transaction", "unsafe location transaction")</f>
        <v>safe location transaction</v>
      </c>
      <c r="R1160" s="6" t="str">
        <f>IF(AND(Table1[[#This Row],[Country_of_Residence]]&lt;&gt;Table1[[#This Row],[Country_of_Transaction]], OR(Table1[[#This Row],[Merchant_Category]]="Electronics", Table1[[#This Row],[Merchant_Category]]="Travel")), "unsafe merchant transaction", "safe merchant transaction")</f>
        <v>unsafe merchant transaction</v>
      </c>
    </row>
    <row r="1161" spans="1:18">
      <c r="A1161" t="s">
        <v>3608</v>
      </c>
      <c r="B1161" t="s">
        <v>195</v>
      </c>
      <c r="C1161">
        <v>1</v>
      </c>
      <c r="D1161" t="s">
        <v>9</v>
      </c>
      <c r="E1161" t="s">
        <v>6</v>
      </c>
      <c r="F1161" s="2">
        <v>45826</v>
      </c>
      <c r="G1161">
        <v>2728.37</v>
      </c>
      <c r="H1161" s="1">
        <f>AVERAGEIF(Table1[Customer_ID], Table1[[#This Row],[Customer_ID]], Table1[Transaction_Amount])</f>
        <v>5639.4775438596498</v>
      </c>
      <c r="I1161" t="s">
        <v>421</v>
      </c>
      <c r="J1161" t="s">
        <v>46</v>
      </c>
      <c r="K1161" t="s">
        <v>8</v>
      </c>
      <c r="L1161">
        <v>2</v>
      </c>
      <c r="M1161" t="s">
        <v>32</v>
      </c>
      <c r="N1161" t="s">
        <v>55</v>
      </c>
      <c r="O1161" t="s">
        <v>393</v>
      </c>
      <c r="P1161" s="6" t="str">
        <f>IF(Table1[[#This Row],[Transaction_Amount]]&lt;=Table1[[#This Row],[avg_transaction_amount]], "usual transaction", "unusual transaction")</f>
        <v>usual transaction</v>
      </c>
      <c r="Q1161" s="6" t="str">
        <f>IF(AND(Table1[[#This Row],[Country_of_Residence]]&lt;&gt;Table1[[#This Row],[Country_of_Transaction]], OR(Table1[[#This Row],[Authentication_Type]]="Biometric", Table1[[#This Row],[Authentication_Type]]="OTP")), "safe location transaction", "unsafe location transaction")</f>
        <v>safe location transaction</v>
      </c>
      <c r="R1161" s="6" t="str">
        <f>IF(AND(Table1[[#This Row],[Country_of_Residence]]&lt;&gt;Table1[[#This Row],[Country_of_Transaction]], OR(Table1[[#This Row],[Merchant_Category]]="Electronics", Table1[[#This Row],[Merchant_Category]]="Travel")), "unsafe merchant transaction", "safe merchant transaction")</f>
        <v>safe merchant transaction</v>
      </c>
    </row>
    <row r="1162" spans="1:18">
      <c r="A1162" t="s">
        <v>3634</v>
      </c>
      <c r="B1162" t="s">
        <v>195</v>
      </c>
      <c r="C1162">
        <v>1</v>
      </c>
      <c r="D1162" t="s">
        <v>9</v>
      </c>
      <c r="E1162" t="s">
        <v>5</v>
      </c>
      <c r="F1162" s="2">
        <v>45892</v>
      </c>
      <c r="G1162">
        <v>4280.2700000000004</v>
      </c>
      <c r="H1162" s="1">
        <f>AVERAGEIF(Table1[Customer_ID], Table1[[#This Row],[Customer_ID]], Table1[Transaction_Amount])</f>
        <v>5639.4775438596498</v>
      </c>
      <c r="I1162" t="s">
        <v>1239</v>
      </c>
      <c r="J1162" t="s">
        <v>50</v>
      </c>
      <c r="K1162" t="s">
        <v>8</v>
      </c>
      <c r="L1162">
        <v>3</v>
      </c>
      <c r="M1162" t="s">
        <v>37</v>
      </c>
      <c r="N1162" t="s">
        <v>56</v>
      </c>
      <c r="O1162" t="s">
        <v>392</v>
      </c>
      <c r="P1162" s="6" t="str">
        <f>IF(Table1[[#This Row],[Transaction_Amount]]&lt;=Table1[[#This Row],[avg_transaction_amount]], "usual transaction", "unusual transaction")</f>
        <v>usual transaction</v>
      </c>
      <c r="Q1162" s="6" t="str">
        <f>IF(AND(Table1[[#This Row],[Country_of_Residence]]&lt;&gt;Table1[[#This Row],[Country_of_Transaction]], OR(Table1[[#This Row],[Authentication_Type]]="Biometric", Table1[[#This Row],[Authentication_Type]]="OTP")), "safe location transaction", "unsafe location transaction")</f>
        <v>safe location transaction</v>
      </c>
      <c r="R1162" s="6" t="str">
        <f>IF(AND(Table1[[#This Row],[Country_of_Residence]]&lt;&gt;Table1[[#This Row],[Country_of_Transaction]], OR(Table1[[#This Row],[Merchant_Category]]="Electronics", Table1[[#This Row],[Merchant_Category]]="Travel")), "unsafe merchant transaction", "safe merchant transaction")</f>
        <v>unsafe merchant transaction</v>
      </c>
    </row>
    <row r="1163" spans="1:18">
      <c r="A1163" t="s">
        <v>3643</v>
      </c>
      <c r="B1163" t="s">
        <v>195</v>
      </c>
      <c r="C1163">
        <v>1</v>
      </c>
      <c r="D1163" t="s">
        <v>15</v>
      </c>
      <c r="E1163" t="s">
        <v>3</v>
      </c>
      <c r="F1163" s="2">
        <v>45817</v>
      </c>
      <c r="G1163">
        <v>4192.21</v>
      </c>
      <c r="H1163" s="1">
        <f>AVERAGEIF(Table1[Customer_ID], Table1[[#This Row],[Customer_ID]], Table1[Transaction_Amount])</f>
        <v>5639.4775438596498</v>
      </c>
      <c r="I1163" t="s">
        <v>1248</v>
      </c>
      <c r="J1163" t="s">
        <v>46</v>
      </c>
      <c r="K1163" t="s">
        <v>10</v>
      </c>
      <c r="L1163">
        <v>4</v>
      </c>
      <c r="M1163" t="s">
        <v>47</v>
      </c>
      <c r="N1163" t="s">
        <v>51</v>
      </c>
      <c r="O1163" t="s">
        <v>392</v>
      </c>
      <c r="P1163" s="6" t="str">
        <f>IF(Table1[[#This Row],[Transaction_Amount]]&lt;=Table1[[#This Row],[avg_transaction_amount]], "usual transaction", "unusual transaction")</f>
        <v>usual transaction</v>
      </c>
      <c r="Q1163" s="6" t="str">
        <f>IF(AND(Table1[[#This Row],[Country_of_Residence]]&lt;&gt;Table1[[#This Row],[Country_of_Transaction]], OR(Table1[[#This Row],[Authentication_Type]]="Biometric", Table1[[#This Row],[Authentication_Type]]="OTP")), "safe location transaction", "unsafe location transaction")</f>
        <v>safe location transaction</v>
      </c>
      <c r="R1163" s="6" t="str">
        <f>IF(AND(Table1[[#This Row],[Country_of_Residence]]&lt;&gt;Table1[[#This Row],[Country_of_Transaction]], OR(Table1[[#This Row],[Merchant_Category]]="Electronics", Table1[[#This Row],[Merchant_Category]]="Travel")), "unsafe merchant transaction", "safe merchant transaction")</f>
        <v>safe merchant transaction</v>
      </c>
    </row>
    <row r="1164" spans="1:18">
      <c r="A1164" t="s">
        <v>3677</v>
      </c>
      <c r="B1164" t="s">
        <v>195</v>
      </c>
      <c r="C1164">
        <v>1</v>
      </c>
      <c r="D1164" t="s">
        <v>15</v>
      </c>
      <c r="E1164" t="s">
        <v>5</v>
      </c>
      <c r="F1164" s="2">
        <v>45676</v>
      </c>
      <c r="G1164">
        <v>3011.95</v>
      </c>
      <c r="H1164" s="1">
        <f>AVERAGEIF(Table1[Customer_ID], Table1[[#This Row],[Customer_ID]], Table1[Transaction_Amount])</f>
        <v>5639.4775438596498</v>
      </c>
      <c r="I1164" t="s">
        <v>1278</v>
      </c>
      <c r="J1164" t="s">
        <v>46</v>
      </c>
      <c r="K1164" t="s">
        <v>12</v>
      </c>
      <c r="L1164">
        <v>0</v>
      </c>
      <c r="M1164" t="s">
        <v>33</v>
      </c>
      <c r="N1164" t="s">
        <v>32</v>
      </c>
      <c r="O1164" t="s">
        <v>392</v>
      </c>
      <c r="P1164" s="6" t="str">
        <f>IF(Table1[[#This Row],[Transaction_Amount]]&lt;=Table1[[#This Row],[avg_transaction_amount]], "usual transaction", "unusual transaction")</f>
        <v>usual transaction</v>
      </c>
      <c r="Q1164" s="6" t="str">
        <f>IF(AND(Table1[[#This Row],[Country_of_Residence]]&lt;&gt;Table1[[#This Row],[Country_of_Transaction]], OR(Table1[[#This Row],[Authentication_Type]]="Biometric", Table1[[#This Row],[Authentication_Type]]="OTP")), "safe location transaction", "unsafe location transaction")</f>
        <v>unsafe location transaction</v>
      </c>
      <c r="R1164" s="6" t="str">
        <f>IF(AND(Table1[[#This Row],[Country_of_Residence]]&lt;&gt;Table1[[#This Row],[Country_of_Transaction]], OR(Table1[[#This Row],[Merchant_Category]]="Electronics", Table1[[#This Row],[Merchant_Category]]="Travel")), "unsafe merchant transaction", "safe merchant transaction")</f>
        <v>safe merchant transaction</v>
      </c>
    </row>
    <row r="1165" spans="1:18">
      <c r="A1165" t="s">
        <v>3688</v>
      </c>
      <c r="B1165" t="s">
        <v>195</v>
      </c>
      <c r="C1165">
        <v>1</v>
      </c>
      <c r="D1165" t="s">
        <v>9</v>
      </c>
      <c r="E1165" t="s">
        <v>420</v>
      </c>
      <c r="F1165" s="2">
        <v>45773</v>
      </c>
      <c r="G1165">
        <v>7716.47</v>
      </c>
      <c r="H1165" s="1">
        <f>AVERAGEIF(Table1[Customer_ID], Table1[[#This Row],[Customer_ID]], Table1[Transaction_Amount])</f>
        <v>5639.4775438596498</v>
      </c>
      <c r="I1165" t="s">
        <v>1288</v>
      </c>
      <c r="J1165" t="s">
        <v>36</v>
      </c>
      <c r="K1165" t="s">
        <v>14</v>
      </c>
      <c r="L1165">
        <v>3</v>
      </c>
      <c r="M1165" t="s">
        <v>42</v>
      </c>
      <c r="N1165" t="s">
        <v>42</v>
      </c>
      <c r="O1165" t="s">
        <v>393</v>
      </c>
      <c r="P1165" s="6" t="str">
        <f>IF(Table1[[#This Row],[Transaction_Amount]]&lt;=Table1[[#This Row],[avg_transaction_amount]], "usual transaction", "unusual transaction")</f>
        <v>unusual transaction</v>
      </c>
      <c r="Q1165" s="6" t="str">
        <f>IF(AND(Table1[[#This Row],[Country_of_Residence]]&lt;&gt;Table1[[#This Row],[Country_of_Transaction]], OR(Table1[[#This Row],[Authentication_Type]]="Biometric", Table1[[#This Row],[Authentication_Type]]="OTP")), "safe location transaction", "unsafe location transaction")</f>
        <v>unsafe location transaction</v>
      </c>
      <c r="R1165" s="6" t="str">
        <f>IF(AND(Table1[[#This Row],[Country_of_Residence]]&lt;&gt;Table1[[#This Row],[Country_of_Transaction]], OR(Table1[[#This Row],[Merchant_Category]]="Electronics", Table1[[#This Row],[Merchant_Category]]="Travel")), "unsafe merchant transaction", "safe merchant transaction")</f>
        <v>safe merchant transaction</v>
      </c>
    </row>
    <row r="1166" spans="1:18">
      <c r="A1166" t="s">
        <v>3798</v>
      </c>
      <c r="B1166" t="s">
        <v>195</v>
      </c>
      <c r="C1166">
        <v>1</v>
      </c>
      <c r="D1166" t="s">
        <v>15</v>
      </c>
      <c r="E1166" t="s">
        <v>3</v>
      </c>
      <c r="F1166" s="2">
        <v>45691</v>
      </c>
      <c r="G1166">
        <v>6123.06</v>
      </c>
      <c r="H1166" s="1">
        <f>AVERAGEIF(Table1[Customer_ID], Table1[[#This Row],[Customer_ID]], Table1[Transaction_Amount])</f>
        <v>5639.4775438596498</v>
      </c>
      <c r="I1166" t="s">
        <v>1384</v>
      </c>
      <c r="J1166" t="s">
        <v>31</v>
      </c>
      <c r="K1166" t="s">
        <v>10</v>
      </c>
      <c r="L1166">
        <v>2</v>
      </c>
      <c r="M1166" t="s">
        <v>32</v>
      </c>
      <c r="N1166" t="s">
        <v>51</v>
      </c>
      <c r="O1166" t="s">
        <v>393</v>
      </c>
      <c r="P1166" s="6" t="str">
        <f>IF(Table1[[#This Row],[Transaction_Amount]]&lt;=Table1[[#This Row],[avg_transaction_amount]], "usual transaction", "unusual transaction")</f>
        <v>unusual transaction</v>
      </c>
      <c r="Q1166" s="6" t="str">
        <f>IF(AND(Table1[[#This Row],[Country_of_Residence]]&lt;&gt;Table1[[#This Row],[Country_of_Transaction]], OR(Table1[[#This Row],[Authentication_Type]]="Biometric", Table1[[#This Row],[Authentication_Type]]="OTP")), "safe location transaction", "unsafe location transaction")</f>
        <v>safe location transaction</v>
      </c>
      <c r="R1166" s="6" t="str">
        <f>IF(AND(Table1[[#This Row],[Country_of_Residence]]&lt;&gt;Table1[[#This Row],[Country_of_Transaction]], OR(Table1[[#This Row],[Merchant_Category]]="Electronics", Table1[[#This Row],[Merchant_Category]]="Travel")), "unsafe merchant transaction", "safe merchant transaction")</f>
        <v>safe merchant transaction</v>
      </c>
    </row>
    <row r="1167" spans="1:18">
      <c r="A1167" t="s">
        <v>3823</v>
      </c>
      <c r="B1167" t="s">
        <v>195</v>
      </c>
      <c r="C1167">
        <v>1</v>
      </c>
      <c r="D1167" t="s">
        <v>9</v>
      </c>
      <c r="E1167" t="s">
        <v>420</v>
      </c>
      <c r="F1167" s="2">
        <v>45801</v>
      </c>
      <c r="G1167">
        <v>6898.4</v>
      </c>
      <c r="H1167" s="1">
        <f>AVERAGEIF(Table1[Customer_ID], Table1[[#This Row],[Customer_ID]], Table1[Transaction_Amount])</f>
        <v>5639.4775438596498</v>
      </c>
      <c r="I1167" t="s">
        <v>1404</v>
      </c>
      <c r="J1167" t="s">
        <v>41</v>
      </c>
      <c r="K1167" t="s">
        <v>14</v>
      </c>
      <c r="L1167">
        <v>5</v>
      </c>
      <c r="M1167" t="s">
        <v>55</v>
      </c>
      <c r="N1167" t="s">
        <v>42</v>
      </c>
      <c r="O1167" t="s">
        <v>393</v>
      </c>
      <c r="P1167" s="6" t="str">
        <f>IF(Table1[[#This Row],[Transaction_Amount]]&lt;=Table1[[#This Row],[avg_transaction_amount]], "usual transaction", "unusual transaction")</f>
        <v>unusual transaction</v>
      </c>
      <c r="Q1167" s="6" t="str">
        <f>IF(AND(Table1[[#This Row],[Country_of_Residence]]&lt;&gt;Table1[[#This Row],[Country_of_Transaction]], OR(Table1[[#This Row],[Authentication_Type]]="Biometric", Table1[[#This Row],[Authentication_Type]]="OTP")), "safe location transaction", "unsafe location transaction")</f>
        <v>unsafe location transaction</v>
      </c>
      <c r="R1167" s="6" t="str">
        <f>IF(AND(Table1[[#This Row],[Country_of_Residence]]&lt;&gt;Table1[[#This Row],[Country_of_Transaction]], OR(Table1[[#This Row],[Merchant_Category]]="Electronics", Table1[[#This Row],[Merchant_Category]]="Travel")), "unsafe merchant transaction", "safe merchant transaction")</f>
        <v>safe merchant transaction</v>
      </c>
    </row>
    <row r="1168" spans="1:18">
      <c r="A1168" t="s">
        <v>3835</v>
      </c>
      <c r="B1168" t="s">
        <v>195</v>
      </c>
      <c r="C1168">
        <v>1</v>
      </c>
      <c r="D1168" t="s">
        <v>9</v>
      </c>
      <c r="E1168" t="s">
        <v>3</v>
      </c>
      <c r="F1168" s="2">
        <v>45919</v>
      </c>
      <c r="G1168">
        <v>3905.88</v>
      </c>
      <c r="H1168" s="1">
        <f>AVERAGEIF(Table1[Customer_ID], Table1[[#This Row],[Customer_ID]], Table1[Transaction_Amount])</f>
        <v>5639.4775438596498</v>
      </c>
      <c r="I1168" t="s">
        <v>898</v>
      </c>
      <c r="J1168" t="s">
        <v>31</v>
      </c>
      <c r="K1168" t="s">
        <v>8</v>
      </c>
      <c r="L1168">
        <v>4</v>
      </c>
      <c r="M1168" t="s">
        <v>32</v>
      </c>
      <c r="N1168" t="s">
        <v>412</v>
      </c>
      <c r="O1168" t="s">
        <v>392</v>
      </c>
      <c r="P1168" s="6" t="str">
        <f>IF(Table1[[#This Row],[Transaction_Amount]]&lt;=Table1[[#This Row],[avg_transaction_amount]], "usual transaction", "unusual transaction")</f>
        <v>usual transaction</v>
      </c>
      <c r="Q1168" s="6" t="str">
        <f>IF(AND(Table1[[#This Row],[Country_of_Residence]]&lt;&gt;Table1[[#This Row],[Country_of_Transaction]], OR(Table1[[#This Row],[Authentication_Type]]="Biometric", Table1[[#This Row],[Authentication_Type]]="OTP")), "safe location transaction", "unsafe location transaction")</f>
        <v>safe location transaction</v>
      </c>
      <c r="R1168" s="6" t="str">
        <f>IF(AND(Table1[[#This Row],[Country_of_Residence]]&lt;&gt;Table1[[#This Row],[Country_of_Transaction]], OR(Table1[[#This Row],[Merchant_Category]]="Electronics", Table1[[#This Row],[Merchant_Category]]="Travel")), "unsafe merchant transaction", "safe merchant transaction")</f>
        <v>safe merchant transaction</v>
      </c>
    </row>
    <row r="1169" spans="1:18">
      <c r="A1169" t="s">
        <v>3838</v>
      </c>
      <c r="B1169" t="s">
        <v>195</v>
      </c>
      <c r="C1169">
        <v>1</v>
      </c>
      <c r="D1169" t="s">
        <v>9</v>
      </c>
      <c r="E1169" t="s">
        <v>420</v>
      </c>
      <c r="F1169" s="2">
        <v>45672</v>
      </c>
      <c r="G1169">
        <v>8984.3799999999992</v>
      </c>
      <c r="H1169" s="1">
        <f>AVERAGEIF(Table1[Customer_ID], Table1[[#This Row],[Customer_ID]], Table1[Transaction_Amount])</f>
        <v>5639.4775438596498</v>
      </c>
      <c r="I1169" t="s">
        <v>1415</v>
      </c>
      <c r="J1169" t="s">
        <v>36</v>
      </c>
      <c r="K1169" t="s">
        <v>12</v>
      </c>
      <c r="L1169">
        <v>1</v>
      </c>
      <c r="M1169" t="s">
        <v>32</v>
      </c>
      <c r="N1169" t="s">
        <v>412</v>
      </c>
      <c r="O1169" t="s">
        <v>393</v>
      </c>
      <c r="P1169" s="6" t="str">
        <f>IF(Table1[[#This Row],[Transaction_Amount]]&lt;=Table1[[#This Row],[avg_transaction_amount]], "usual transaction", "unusual transaction")</f>
        <v>unusual transaction</v>
      </c>
      <c r="Q1169" s="6" t="str">
        <f>IF(AND(Table1[[#This Row],[Country_of_Residence]]&lt;&gt;Table1[[#This Row],[Country_of_Transaction]], OR(Table1[[#This Row],[Authentication_Type]]="Biometric", Table1[[#This Row],[Authentication_Type]]="OTP")), "safe location transaction", "unsafe location transaction")</f>
        <v>unsafe location transaction</v>
      </c>
      <c r="R1169" s="6" t="str">
        <f>IF(AND(Table1[[#This Row],[Country_of_Residence]]&lt;&gt;Table1[[#This Row],[Country_of_Transaction]], OR(Table1[[#This Row],[Merchant_Category]]="Electronics", Table1[[#This Row],[Merchant_Category]]="Travel")), "unsafe merchant transaction", "safe merchant transaction")</f>
        <v>safe merchant transaction</v>
      </c>
    </row>
    <row r="1170" spans="1:18">
      <c r="A1170" t="s">
        <v>3874</v>
      </c>
      <c r="B1170" t="s">
        <v>195</v>
      </c>
      <c r="C1170">
        <v>1</v>
      </c>
      <c r="D1170" t="s">
        <v>9</v>
      </c>
      <c r="E1170" t="s">
        <v>5</v>
      </c>
      <c r="F1170" s="2">
        <v>45756</v>
      </c>
      <c r="G1170">
        <v>9076.82</v>
      </c>
      <c r="H1170" s="1">
        <f>AVERAGEIF(Table1[Customer_ID], Table1[[#This Row],[Customer_ID]], Table1[Transaction_Amount])</f>
        <v>5639.4775438596498</v>
      </c>
      <c r="I1170" t="s">
        <v>1446</v>
      </c>
      <c r="J1170" t="s">
        <v>36</v>
      </c>
      <c r="K1170" t="s">
        <v>14</v>
      </c>
      <c r="L1170">
        <v>2</v>
      </c>
      <c r="M1170" t="s">
        <v>56</v>
      </c>
      <c r="N1170" t="s">
        <v>55</v>
      </c>
      <c r="O1170" t="s">
        <v>392</v>
      </c>
      <c r="P1170" s="6" t="str">
        <f>IF(Table1[[#This Row],[Transaction_Amount]]&lt;=Table1[[#This Row],[avg_transaction_amount]], "usual transaction", "unusual transaction")</f>
        <v>unusual transaction</v>
      </c>
      <c r="Q1170" s="6" t="str">
        <f>IF(AND(Table1[[#This Row],[Country_of_Residence]]&lt;&gt;Table1[[#This Row],[Country_of_Transaction]], OR(Table1[[#This Row],[Authentication_Type]]="Biometric", Table1[[#This Row],[Authentication_Type]]="OTP")), "safe location transaction", "unsafe location transaction")</f>
        <v>unsafe location transaction</v>
      </c>
      <c r="R1170" s="6" t="str">
        <f>IF(AND(Table1[[#This Row],[Country_of_Residence]]&lt;&gt;Table1[[#This Row],[Country_of_Transaction]], OR(Table1[[#This Row],[Merchant_Category]]="Electronics", Table1[[#This Row],[Merchant_Category]]="Travel")), "unsafe merchant transaction", "safe merchant transaction")</f>
        <v>safe merchant transaction</v>
      </c>
    </row>
    <row r="1171" spans="1:18">
      <c r="A1171" t="s">
        <v>3886</v>
      </c>
      <c r="B1171" t="s">
        <v>195</v>
      </c>
      <c r="C1171">
        <v>1</v>
      </c>
      <c r="D1171" t="s">
        <v>9</v>
      </c>
      <c r="E1171" t="s">
        <v>6</v>
      </c>
      <c r="F1171" s="2">
        <v>45852</v>
      </c>
      <c r="G1171">
        <v>3564.99</v>
      </c>
      <c r="H1171" s="1">
        <f>AVERAGEIF(Table1[Customer_ID], Table1[[#This Row],[Customer_ID]], Table1[Transaction_Amount])</f>
        <v>5639.4775438596498</v>
      </c>
      <c r="I1171" t="s">
        <v>904</v>
      </c>
      <c r="J1171" t="s">
        <v>31</v>
      </c>
      <c r="K1171" t="s">
        <v>12</v>
      </c>
      <c r="L1171">
        <v>5</v>
      </c>
      <c r="M1171" t="s">
        <v>32</v>
      </c>
      <c r="N1171" t="s">
        <v>47</v>
      </c>
      <c r="O1171" t="s">
        <v>392</v>
      </c>
      <c r="P1171" s="6" t="str">
        <f>IF(Table1[[#This Row],[Transaction_Amount]]&lt;=Table1[[#This Row],[avg_transaction_amount]], "usual transaction", "unusual transaction")</f>
        <v>usual transaction</v>
      </c>
      <c r="Q1171" s="6" t="str">
        <f>IF(AND(Table1[[#This Row],[Country_of_Residence]]&lt;&gt;Table1[[#This Row],[Country_of_Transaction]], OR(Table1[[#This Row],[Authentication_Type]]="Biometric", Table1[[#This Row],[Authentication_Type]]="OTP")), "safe location transaction", "unsafe location transaction")</f>
        <v>unsafe location transaction</v>
      </c>
      <c r="R1171" s="6" t="str">
        <f>IF(AND(Table1[[#This Row],[Country_of_Residence]]&lt;&gt;Table1[[#This Row],[Country_of_Transaction]], OR(Table1[[#This Row],[Merchant_Category]]="Electronics", Table1[[#This Row],[Merchant_Category]]="Travel")), "unsafe merchant transaction", "safe merchant transaction")</f>
        <v>safe merchant transaction</v>
      </c>
    </row>
    <row r="1172" spans="1:18">
      <c r="A1172" t="s">
        <v>3974</v>
      </c>
      <c r="B1172" t="s">
        <v>195</v>
      </c>
      <c r="C1172">
        <v>1</v>
      </c>
      <c r="D1172" t="s">
        <v>9</v>
      </c>
      <c r="E1172" t="s">
        <v>6</v>
      </c>
      <c r="F1172" s="2">
        <v>45953</v>
      </c>
      <c r="G1172">
        <v>3727.18</v>
      </c>
      <c r="H1172" s="1">
        <f>AVERAGEIF(Table1[Customer_ID], Table1[[#This Row],[Customer_ID]], Table1[Transaction_Amount])</f>
        <v>5639.4775438596498</v>
      </c>
      <c r="I1172" t="s">
        <v>1431</v>
      </c>
      <c r="J1172" t="s">
        <v>41</v>
      </c>
      <c r="K1172" t="s">
        <v>10</v>
      </c>
      <c r="L1172">
        <v>5</v>
      </c>
      <c r="M1172" t="s">
        <v>47</v>
      </c>
      <c r="N1172" t="s">
        <v>412</v>
      </c>
      <c r="O1172" t="s">
        <v>393</v>
      </c>
      <c r="P1172" s="6" t="str">
        <f>IF(Table1[[#This Row],[Transaction_Amount]]&lt;=Table1[[#This Row],[avg_transaction_amount]], "usual transaction", "unusual transaction")</f>
        <v>usual transaction</v>
      </c>
      <c r="Q1172" s="6" t="str">
        <f>IF(AND(Table1[[#This Row],[Country_of_Residence]]&lt;&gt;Table1[[#This Row],[Country_of_Transaction]], OR(Table1[[#This Row],[Authentication_Type]]="Biometric", Table1[[#This Row],[Authentication_Type]]="OTP")), "safe location transaction", "unsafe location transaction")</f>
        <v>safe location transaction</v>
      </c>
      <c r="R1172" s="6" t="str">
        <f>IF(AND(Table1[[#This Row],[Country_of_Residence]]&lt;&gt;Table1[[#This Row],[Country_of_Transaction]], OR(Table1[[#This Row],[Merchant_Category]]="Electronics", Table1[[#This Row],[Merchant_Category]]="Travel")), "unsafe merchant transaction", "safe merchant transaction")</f>
        <v>safe merchant transaction</v>
      </c>
    </row>
    <row r="1173" spans="1:18">
      <c r="A1173" t="s">
        <v>4100</v>
      </c>
      <c r="B1173" t="s">
        <v>195</v>
      </c>
      <c r="C1173">
        <v>1</v>
      </c>
      <c r="D1173" t="s">
        <v>9</v>
      </c>
      <c r="E1173" t="s">
        <v>5</v>
      </c>
      <c r="F1173" s="2">
        <v>45672</v>
      </c>
      <c r="G1173">
        <v>6520.34</v>
      </c>
      <c r="H1173" s="1">
        <f>AVERAGEIF(Table1[Customer_ID], Table1[[#This Row],[Customer_ID]], Table1[Transaction_Amount])</f>
        <v>5639.4775438596498</v>
      </c>
      <c r="I1173" t="s">
        <v>1640</v>
      </c>
      <c r="J1173" t="s">
        <v>36</v>
      </c>
      <c r="K1173" t="s">
        <v>10</v>
      </c>
      <c r="L1173">
        <v>3</v>
      </c>
      <c r="M1173" t="s">
        <v>47</v>
      </c>
      <c r="N1173" t="s">
        <v>32</v>
      </c>
      <c r="O1173" t="s">
        <v>392</v>
      </c>
      <c r="P1173" s="6" t="str">
        <f>IF(Table1[[#This Row],[Transaction_Amount]]&lt;=Table1[[#This Row],[avg_transaction_amount]], "usual transaction", "unusual transaction")</f>
        <v>unusual transaction</v>
      </c>
      <c r="Q1173" s="6" t="str">
        <f>IF(AND(Table1[[#This Row],[Country_of_Residence]]&lt;&gt;Table1[[#This Row],[Country_of_Transaction]], OR(Table1[[#This Row],[Authentication_Type]]="Biometric", Table1[[#This Row],[Authentication_Type]]="OTP")), "safe location transaction", "unsafe location transaction")</f>
        <v>safe location transaction</v>
      </c>
      <c r="R1173" s="6" t="str">
        <f>IF(AND(Table1[[#This Row],[Country_of_Residence]]&lt;&gt;Table1[[#This Row],[Country_of_Transaction]], OR(Table1[[#This Row],[Merchant_Category]]="Electronics", Table1[[#This Row],[Merchant_Category]]="Travel")), "unsafe merchant transaction", "safe merchant transaction")</f>
        <v>safe merchant transaction</v>
      </c>
    </row>
    <row r="1174" spans="1:18">
      <c r="A1174" t="s">
        <v>4108</v>
      </c>
      <c r="B1174" t="s">
        <v>195</v>
      </c>
      <c r="C1174">
        <v>1</v>
      </c>
      <c r="D1174" t="s">
        <v>15</v>
      </c>
      <c r="E1174" t="s">
        <v>5</v>
      </c>
      <c r="F1174" s="2">
        <v>45819</v>
      </c>
      <c r="G1174">
        <v>7902.32</v>
      </c>
      <c r="H1174" s="1">
        <f>AVERAGEIF(Table1[Customer_ID], Table1[[#This Row],[Customer_ID]], Table1[Transaction_Amount])</f>
        <v>5639.4775438596498</v>
      </c>
      <c r="I1174" t="s">
        <v>1646</v>
      </c>
      <c r="J1174" t="s">
        <v>36</v>
      </c>
      <c r="K1174" t="s">
        <v>8</v>
      </c>
      <c r="L1174">
        <v>2</v>
      </c>
      <c r="M1174" t="s">
        <v>33</v>
      </c>
      <c r="N1174" t="s">
        <v>412</v>
      </c>
      <c r="O1174" t="s">
        <v>393</v>
      </c>
      <c r="P1174" s="6" t="str">
        <f>IF(Table1[[#This Row],[Transaction_Amount]]&lt;=Table1[[#This Row],[avg_transaction_amount]], "usual transaction", "unusual transaction")</f>
        <v>unusual transaction</v>
      </c>
      <c r="Q1174" s="6" t="str">
        <f>IF(AND(Table1[[#This Row],[Country_of_Residence]]&lt;&gt;Table1[[#This Row],[Country_of_Transaction]], OR(Table1[[#This Row],[Authentication_Type]]="Biometric", Table1[[#This Row],[Authentication_Type]]="OTP")), "safe location transaction", "unsafe location transaction")</f>
        <v>safe location transaction</v>
      </c>
      <c r="R1174" s="6" t="str">
        <f>IF(AND(Table1[[#This Row],[Country_of_Residence]]&lt;&gt;Table1[[#This Row],[Country_of_Transaction]], OR(Table1[[#This Row],[Merchant_Category]]="Electronics", Table1[[#This Row],[Merchant_Category]]="Travel")), "unsafe merchant transaction", "safe merchant transaction")</f>
        <v>safe merchant transaction</v>
      </c>
    </row>
    <row r="1175" spans="1:18">
      <c r="A1175" t="s">
        <v>4218</v>
      </c>
      <c r="B1175" t="s">
        <v>195</v>
      </c>
      <c r="C1175">
        <v>1</v>
      </c>
      <c r="D1175" t="s">
        <v>15</v>
      </c>
      <c r="E1175" t="s">
        <v>5</v>
      </c>
      <c r="F1175" s="2">
        <v>45821</v>
      </c>
      <c r="G1175">
        <v>7318.45</v>
      </c>
      <c r="H1175" s="1">
        <f>AVERAGEIF(Table1[Customer_ID], Table1[[#This Row],[Customer_ID]], Table1[Transaction_Amount])</f>
        <v>5639.4775438596498</v>
      </c>
      <c r="I1175" t="s">
        <v>1738</v>
      </c>
      <c r="J1175" t="s">
        <v>46</v>
      </c>
      <c r="K1175" t="s">
        <v>10</v>
      </c>
      <c r="L1175">
        <v>2</v>
      </c>
      <c r="M1175" t="s">
        <v>32</v>
      </c>
      <c r="N1175" t="s">
        <v>56</v>
      </c>
      <c r="O1175" t="s">
        <v>393</v>
      </c>
      <c r="P1175" s="6" t="str">
        <f>IF(Table1[[#This Row],[Transaction_Amount]]&lt;=Table1[[#This Row],[avg_transaction_amount]], "usual transaction", "unusual transaction")</f>
        <v>unusual transaction</v>
      </c>
      <c r="Q1175" s="6" t="str">
        <f>IF(AND(Table1[[#This Row],[Country_of_Residence]]&lt;&gt;Table1[[#This Row],[Country_of_Transaction]], OR(Table1[[#This Row],[Authentication_Type]]="Biometric", Table1[[#This Row],[Authentication_Type]]="OTP")), "safe location transaction", "unsafe location transaction")</f>
        <v>safe location transaction</v>
      </c>
      <c r="R1175" s="6" t="str">
        <f>IF(AND(Table1[[#This Row],[Country_of_Residence]]&lt;&gt;Table1[[#This Row],[Country_of_Transaction]], OR(Table1[[#This Row],[Merchant_Category]]="Electronics", Table1[[#This Row],[Merchant_Category]]="Travel")), "unsafe merchant transaction", "safe merchant transaction")</f>
        <v>safe merchant transaction</v>
      </c>
    </row>
    <row r="1176" spans="1:18">
      <c r="A1176" t="s">
        <v>4252</v>
      </c>
      <c r="B1176" t="s">
        <v>195</v>
      </c>
      <c r="C1176">
        <v>1</v>
      </c>
      <c r="D1176" t="s">
        <v>9</v>
      </c>
      <c r="E1176" t="s">
        <v>420</v>
      </c>
      <c r="F1176" s="2">
        <v>45859</v>
      </c>
      <c r="G1176">
        <v>6008.03</v>
      </c>
      <c r="H1176" s="1">
        <f>AVERAGEIF(Table1[Customer_ID], Table1[[#This Row],[Customer_ID]], Table1[Transaction_Amount])</f>
        <v>5639.4775438596498</v>
      </c>
      <c r="I1176" t="s">
        <v>1767</v>
      </c>
      <c r="J1176" t="s">
        <v>50</v>
      </c>
      <c r="K1176" t="s">
        <v>12</v>
      </c>
      <c r="L1176">
        <v>1</v>
      </c>
      <c r="M1176" t="s">
        <v>47</v>
      </c>
      <c r="N1176" t="s">
        <v>55</v>
      </c>
      <c r="O1176" t="s">
        <v>392</v>
      </c>
      <c r="P1176" s="6" t="str">
        <f>IF(Table1[[#This Row],[Transaction_Amount]]&lt;=Table1[[#This Row],[avg_transaction_amount]], "usual transaction", "unusual transaction")</f>
        <v>unusual transaction</v>
      </c>
      <c r="Q1176" s="6" t="str">
        <f>IF(AND(Table1[[#This Row],[Country_of_Residence]]&lt;&gt;Table1[[#This Row],[Country_of_Transaction]], OR(Table1[[#This Row],[Authentication_Type]]="Biometric", Table1[[#This Row],[Authentication_Type]]="OTP")), "safe location transaction", "unsafe location transaction")</f>
        <v>unsafe location transaction</v>
      </c>
      <c r="R1176" s="6" t="str">
        <f>IF(AND(Table1[[#This Row],[Country_of_Residence]]&lt;&gt;Table1[[#This Row],[Country_of_Transaction]], OR(Table1[[#This Row],[Merchant_Category]]="Electronics", Table1[[#This Row],[Merchant_Category]]="Travel")), "unsafe merchant transaction", "safe merchant transaction")</f>
        <v>unsafe merchant transaction</v>
      </c>
    </row>
    <row r="1177" spans="1:18">
      <c r="A1177" t="s">
        <v>4282</v>
      </c>
      <c r="B1177" t="s">
        <v>195</v>
      </c>
      <c r="C1177">
        <v>1</v>
      </c>
      <c r="D1177" t="s">
        <v>15</v>
      </c>
      <c r="E1177" t="s">
        <v>5</v>
      </c>
      <c r="F1177" s="2">
        <v>45824</v>
      </c>
      <c r="G1177">
        <v>4509.76</v>
      </c>
      <c r="H1177" s="1">
        <f>AVERAGEIF(Table1[Customer_ID], Table1[[#This Row],[Customer_ID]], Table1[Transaction_Amount])</f>
        <v>5639.4775438596498</v>
      </c>
      <c r="I1177" t="s">
        <v>1388</v>
      </c>
      <c r="J1177" t="s">
        <v>36</v>
      </c>
      <c r="K1177" t="s">
        <v>10</v>
      </c>
      <c r="L1177">
        <v>3</v>
      </c>
      <c r="M1177" t="s">
        <v>37</v>
      </c>
      <c r="N1177" t="s">
        <v>42</v>
      </c>
      <c r="O1177" t="s">
        <v>392</v>
      </c>
      <c r="P1177" s="6" t="str">
        <f>IF(Table1[[#This Row],[Transaction_Amount]]&lt;=Table1[[#This Row],[avg_transaction_amount]], "usual transaction", "unusual transaction")</f>
        <v>usual transaction</v>
      </c>
      <c r="Q1177" s="6" t="str">
        <f>IF(AND(Table1[[#This Row],[Country_of_Residence]]&lt;&gt;Table1[[#This Row],[Country_of_Transaction]], OR(Table1[[#This Row],[Authentication_Type]]="Biometric", Table1[[#This Row],[Authentication_Type]]="OTP")), "safe location transaction", "unsafe location transaction")</f>
        <v>safe location transaction</v>
      </c>
      <c r="R1177" s="6" t="str">
        <f>IF(AND(Table1[[#This Row],[Country_of_Residence]]&lt;&gt;Table1[[#This Row],[Country_of_Transaction]], OR(Table1[[#This Row],[Merchant_Category]]="Electronics", Table1[[#This Row],[Merchant_Category]]="Travel")), "unsafe merchant transaction", "safe merchant transaction")</f>
        <v>safe merchant transaction</v>
      </c>
    </row>
    <row r="1178" spans="1:18">
      <c r="A1178" t="s">
        <v>4375</v>
      </c>
      <c r="B1178" t="s">
        <v>195</v>
      </c>
      <c r="C1178">
        <v>1</v>
      </c>
      <c r="D1178" t="s">
        <v>9</v>
      </c>
      <c r="E1178" t="s">
        <v>3</v>
      </c>
      <c r="F1178" s="2">
        <v>45815</v>
      </c>
      <c r="G1178">
        <v>8647.74</v>
      </c>
      <c r="H1178" s="1">
        <f>AVERAGEIF(Table1[Customer_ID], Table1[[#This Row],[Customer_ID]], Table1[Transaction_Amount])</f>
        <v>5639.4775438596498</v>
      </c>
      <c r="I1178" t="s">
        <v>1875</v>
      </c>
      <c r="J1178" t="s">
        <v>36</v>
      </c>
      <c r="K1178" t="s">
        <v>12</v>
      </c>
      <c r="L1178">
        <v>0</v>
      </c>
      <c r="M1178" t="s">
        <v>42</v>
      </c>
      <c r="N1178" t="s">
        <v>32</v>
      </c>
      <c r="O1178" t="s">
        <v>393</v>
      </c>
      <c r="P1178" s="6" t="str">
        <f>IF(Table1[[#This Row],[Transaction_Amount]]&lt;=Table1[[#This Row],[avg_transaction_amount]], "usual transaction", "unusual transaction")</f>
        <v>unusual transaction</v>
      </c>
      <c r="Q1178" s="6" t="str">
        <f>IF(AND(Table1[[#This Row],[Country_of_Residence]]&lt;&gt;Table1[[#This Row],[Country_of_Transaction]], OR(Table1[[#This Row],[Authentication_Type]]="Biometric", Table1[[#This Row],[Authentication_Type]]="OTP")), "safe location transaction", "unsafe location transaction")</f>
        <v>unsafe location transaction</v>
      </c>
      <c r="R1178" s="6" t="str">
        <f>IF(AND(Table1[[#This Row],[Country_of_Residence]]&lt;&gt;Table1[[#This Row],[Country_of_Transaction]], OR(Table1[[#This Row],[Merchant_Category]]="Electronics", Table1[[#This Row],[Merchant_Category]]="Travel")), "unsafe merchant transaction", "safe merchant transaction")</f>
        <v>safe merchant transaction</v>
      </c>
    </row>
    <row r="1179" spans="1:18">
      <c r="A1179" t="s">
        <v>4396</v>
      </c>
      <c r="B1179" t="s">
        <v>195</v>
      </c>
      <c r="C1179">
        <v>1</v>
      </c>
      <c r="D1179" t="s">
        <v>9</v>
      </c>
      <c r="E1179" t="s">
        <v>3</v>
      </c>
      <c r="F1179" s="2">
        <v>45728</v>
      </c>
      <c r="G1179">
        <v>4750.96</v>
      </c>
      <c r="H1179" s="1">
        <f>AVERAGEIF(Table1[Customer_ID], Table1[[#This Row],[Customer_ID]], Table1[Transaction_Amount])</f>
        <v>5639.4775438596498</v>
      </c>
      <c r="I1179" t="s">
        <v>1896</v>
      </c>
      <c r="J1179" t="s">
        <v>36</v>
      </c>
      <c r="K1179" t="s">
        <v>8</v>
      </c>
      <c r="L1179">
        <v>2</v>
      </c>
      <c r="M1179" t="s">
        <v>32</v>
      </c>
      <c r="N1179" t="s">
        <v>42</v>
      </c>
      <c r="O1179" t="s">
        <v>392</v>
      </c>
      <c r="P1179" s="6" t="str">
        <f>IF(Table1[[#This Row],[Transaction_Amount]]&lt;=Table1[[#This Row],[avg_transaction_amount]], "usual transaction", "unusual transaction")</f>
        <v>usual transaction</v>
      </c>
      <c r="Q1179" s="6" t="str">
        <f>IF(AND(Table1[[#This Row],[Country_of_Residence]]&lt;&gt;Table1[[#This Row],[Country_of_Transaction]], OR(Table1[[#This Row],[Authentication_Type]]="Biometric", Table1[[#This Row],[Authentication_Type]]="OTP")), "safe location transaction", "unsafe location transaction")</f>
        <v>safe location transaction</v>
      </c>
      <c r="R1179" s="6" t="str">
        <f>IF(AND(Table1[[#This Row],[Country_of_Residence]]&lt;&gt;Table1[[#This Row],[Country_of_Transaction]], OR(Table1[[#This Row],[Merchant_Category]]="Electronics", Table1[[#This Row],[Merchant_Category]]="Travel")), "unsafe merchant transaction", "safe merchant transaction")</f>
        <v>safe merchant transaction</v>
      </c>
    </row>
    <row r="1180" spans="1:18">
      <c r="A1180" t="s">
        <v>4484</v>
      </c>
      <c r="B1180" t="s">
        <v>195</v>
      </c>
      <c r="C1180">
        <v>1</v>
      </c>
      <c r="D1180" t="s">
        <v>15</v>
      </c>
      <c r="E1180" t="s">
        <v>3</v>
      </c>
      <c r="F1180" s="2">
        <v>45737</v>
      </c>
      <c r="G1180">
        <v>2041.41</v>
      </c>
      <c r="H1180" s="1">
        <f>AVERAGEIF(Table1[Customer_ID], Table1[[#This Row],[Customer_ID]], Table1[Transaction_Amount])</f>
        <v>5639.4775438596498</v>
      </c>
      <c r="I1180" t="s">
        <v>1973</v>
      </c>
      <c r="J1180" t="s">
        <v>31</v>
      </c>
      <c r="K1180" t="s">
        <v>10</v>
      </c>
      <c r="L1180">
        <v>0</v>
      </c>
      <c r="M1180" t="s">
        <v>32</v>
      </c>
      <c r="N1180" t="s">
        <v>37</v>
      </c>
      <c r="O1180" t="s">
        <v>393</v>
      </c>
      <c r="P1180" s="6" t="str">
        <f>IF(Table1[[#This Row],[Transaction_Amount]]&lt;=Table1[[#This Row],[avg_transaction_amount]], "usual transaction", "unusual transaction")</f>
        <v>usual transaction</v>
      </c>
      <c r="Q1180" s="6" t="str">
        <f>IF(AND(Table1[[#This Row],[Country_of_Residence]]&lt;&gt;Table1[[#This Row],[Country_of_Transaction]], OR(Table1[[#This Row],[Authentication_Type]]="Biometric", Table1[[#This Row],[Authentication_Type]]="OTP")), "safe location transaction", "unsafe location transaction")</f>
        <v>safe location transaction</v>
      </c>
      <c r="R1180" s="6" t="str">
        <f>IF(AND(Table1[[#This Row],[Country_of_Residence]]&lt;&gt;Table1[[#This Row],[Country_of_Transaction]], OR(Table1[[#This Row],[Merchant_Category]]="Electronics", Table1[[#This Row],[Merchant_Category]]="Travel")), "unsafe merchant transaction", "safe merchant transaction")</f>
        <v>safe merchant transaction</v>
      </c>
    </row>
    <row r="1181" spans="1:18">
      <c r="A1181" t="s">
        <v>4514</v>
      </c>
      <c r="B1181" t="s">
        <v>195</v>
      </c>
      <c r="C1181">
        <v>1</v>
      </c>
      <c r="D1181" t="s">
        <v>9</v>
      </c>
      <c r="E1181" t="s">
        <v>5</v>
      </c>
      <c r="F1181" s="2">
        <v>45826</v>
      </c>
      <c r="G1181">
        <v>2894.01</v>
      </c>
      <c r="H1181" s="1">
        <f>AVERAGEIF(Table1[Customer_ID], Table1[[#This Row],[Customer_ID]], Table1[Transaction_Amount])</f>
        <v>5639.4775438596498</v>
      </c>
      <c r="I1181" t="s">
        <v>1999</v>
      </c>
      <c r="J1181" t="s">
        <v>31</v>
      </c>
      <c r="K1181" t="s">
        <v>10</v>
      </c>
      <c r="L1181">
        <v>4</v>
      </c>
      <c r="M1181" t="s">
        <v>412</v>
      </c>
      <c r="N1181" t="s">
        <v>33</v>
      </c>
      <c r="O1181" t="s">
        <v>392</v>
      </c>
      <c r="P1181" s="6" t="str">
        <f>IF(Table1[[#This Row],[Transaction_Amount]]&lt;=Table1[[#This Row],[avg_transaction_amount]], "usual transaction", "unusual transaction")</f>
        <v>usual transaction</v>
      </c>
      <c r="Q1181" s="6" t="str">
        <f>IF(AND(Table1[[#This Row],[Country_of_Residence]]&lt;&gt;Table1[[#This Row],[Country_of_Transaction]], OR(Table1[[#This Row],[Authentication_Type]]="Biometric", Table1[[#This Row],[Authentication_Type]]="OTP")), "safe location transaction", "unsafe location transaction")</f>
        <v>safe location transaction</v>
      </c>
      <c r="R1181" s="6" t="str">
        <f>IF(AND(Table1[[#This Row],[Country_of_Residence]]&lt;&gt;Table1[[#This Row],[Country_of_Transaction]], OR(Table1[[#This Row],[Merchant_Category]]="Electronics", Table1[[#This Row],[Merchant_Category]]="Travel")), "unsafe merchant transaction", "safe merchant transaction")</f>
        <v>safe merchant transaction</v>
      </c>
    </row>
    <row r="1182" spans="1:18">
      <c r="A1182" t="s">
        <v>4545</v>
      </c>
      <c r="B1182" t="s">
        <v>195</v>
      </c>
      <c r="C1182">
        <v>1</v>
      </c>
      <c r="D1182" t="s">
        <v>9</v>
      </c>
      <c r="E1182" t="s">
        <v>5</v>
      </c>
      <c r="F1182" s="2">
        <v>45709</v>
      </c>
      <c r="G1182">
        <v>3311.39</v>
      </c>
      <c r="H1182" s="1">
        <f>AVERAGEIF(Table1[Customer_ID], Table1[[#This Row],[Customer_ID]], Table1[Transaction_Amount])</f>
        <v>5639.4775438596498</v>
      </c>
      <c r="I1182" t="s">
        <v>2024</v>
      </c>
      <c r="J1182" t="s">
        <v>36</v>
      </c>
      <c r="K1182" t="s">
        <v>8</v>
      </c>
      <c r="L1182">
        <v>2</v>
      </c>
      <c r="M1182" t="s">
        <v>412</v>
      </c>
      <c r="N1182" t="s">
        <v>412</v>
      </c>
      <c r="O1182" t="s">
        <v>392</v>
      </c>
      <c r="P1182" s="6" t="str">
        <f>IF(Table1[[#This Row],[Transaction_Amount]]&lt;=Table1[[#This Row],[avg_transaction_amount]], "usual transaction", "unusual transaction")</f>
        <v>usual transaction</v>
      </c>
      <c r="Q1182" s="6" t="str">
        <f>IF(AND(Table1[[#This Row],[Country_of_Residence]]&lt;&gt;Table1[[#This Row],[Country_of_Transaction]], OR(Table1[[#This Row],[Authentication_Type]]="Biometric", Table1[[#This Row],[Authentication_Type]]="OTP")), "safe location transaction", "unsafe location transaction")</f>
        <v>unsafe location transaction</v>
      </c>
      <c r="R1182" s="6" t="str">
        <f>IF(AND(Table1[[#This Row],[Country_of_Residence]]&lt;&gt;Table1[[#This Row],[Country_of_Transaction]], OR(Table1[[#This Row],[Merchant_Category]]="Electronics", Table1[[#This Row],[Merchant_Category]]="Travel")), "unsafe merchant transaction", "safe merchant transaction")</f>
        <v>safe merchant transaction</v>
      </c>
    </row>
    <row r="1183" spans="1:18">
      <c r="A1183" t="s">
        <v>4547</v>
      </c>
      <c r="B1183" t="s">
        <v>195</v>
      </c>
      <c r="C1183">
        <v>1</v>
      </c>
      <c r="D1183" t="s">
        <v>9</v>
      </c>
      <c r="E1183" t="s">
        <v>5</v>
      </c>
      <c r="F1183" s="2">
        <v>45791</v>
      </c>
      <c r="G1183">
        <v>1109.79</v>
      </c>
      <c r="H1183" s="1">
        <f>AVERAGEIF(Table1[Customer_ID], Table1[[#This Row],[Customer_ID]], Table1[Transaction_Amount])</f>
        <v>5639.4775438596498</v>
      </c>
      <c r="I1183" t="s">
        <v>2026</v>
      </c>
      <c r="J1183" t="s">
        <v>41</v>
      </c>
      <c r="K1183" t="s">
        <v>8</v>
      </c>
      <c r="L1183">
        <v>2</v>
      </c>
      <c r="M1183" t="s">
        <v>412</v>
      </c>
      <c r="N1183" t="s">
        <v>42</v>
      </c>
      <c r="O1183" t="s">
        <v>392</v>
      </c>
      <c r="P1183" s="6" t="str">
        <f>IF(Table1[[#This Row],[Transaction_Amount]]&lt;=Table1[[#This Row],[avg_transaction_amount]], "usual transaction", "unusual transaction")</f>
        <v>usual transaction</v>
      </c>
      <c r="Q1183" s="6" t="str">
        <f>IF(AND(Table1[[#This Row],[Country_of_Residence]]&lt;&gt;Table1[[#This Row],[Country_of_Transaction]], OR(Table1[[#This Row],[Authentication_Type]]="Biometric", Table1[[#This Row],[Authentication_Type]]="OTP")), "safe location transaction", "unsafe location transaction")</f>
        <v>safe location transaction</v>
      </c>
      <c r="R1183" s="6" t="str">
        <f>IF(AND(Table1[[#This Row],[Country_of_Residence]]&lt;&gt;Table1[[#This Row],[Country_of_Transaction]], OR(Table1[[#This Row],[Merchant_Category]]="Electronics", Table1[[#This Row],[Merchant_Category]]="Travel")), "unsafe merchant transaction", "safe merchant transaction")</f>
        <v>safe merchant transaction</v>
      </c>
    </row>
    <row r="1184" spans="1:18">
      <c r="A1184" t="s">
        <v>4672</v>
      </c>
      <c r="B1184" t="s">
        <v>195</v>
      </c>
      <c r="C1184">
        <v>1</v>
      </c>
      <c r="D1184" t="s">
        <v>9</v>
      </c>
      <c r="E1184" t="s">
        <v>420</v>
      </c>
      <c r="F1184" s="2">
        <v>45791</v>
      </c>
      <c r="G1184">
        <v>9307.01</v>
      </c>
      <c r="H1184" s="1">
        <f>AVERAGEIF(Table1[Customer_ID], Table1[[#This Row],[Customer_ID]], Table1[Transaction_Amount])</f>
        <v>5639.4775438596498</v>
      </c>
      <c r="I1184" t="s">
        <v>2128</v>
      </c>
      <c r="J1184" t="s">
        <v>41</v>
      </c>
      <c r="K1184" t="s">
        <v>14</v>
      </c>
      <c r="L1184">
        <v>4</v>
      </c>
      <c r="M1184" t="s">
        <v>56</v>
      </c>
      <c r="N1184" t="s">
        <v>42</v>
      </c>
      <c r="O1184" t="s">
        <v>392</v>
      </c>
      <c r="P1184" s="6" t="str">
        <f>IF(Table1[[#This Row],[Transaction_Amount]]&lt;=Table1[[#This Row],[avg_transaction_amount]], "usual transaction", "unusual transaction")</f>
        <v>unusual transaction</v>
      </c>
      <c r="Q1184" s="6" t="str">
        <f>IF(AND(Table1[[#This Row],[Country_of_Residence]]&lt;&gt;Table1[[#This Row],[Country_of_Transaction]], OR(Table1[[#This Row],[Authentication_Type]]="Biometric", Table1[[#This Row],[Authentication_Type]]="OTP")), "safe location transaction", "unsafe location transaction")</f>
        <v>unsafe location transaction</v>
      </c>
      <c r="R1184" s="6" t="str">
        <f>IF(AND(Table1[[#This Row],[Country_of_Residence]]&lt;&gt;Table1[[#This Row],[Country_of_Transaction]], OR(Table1[[#This Row],[Merchant_Category]]="Electronics", Table1[[#This Row],[Merchant_Category]]="Travel")), "unsafe merchant transaction", "safe merchant transaction")</f>
        <v>safe merchant transaction</v>
      </c>
    </row>
    <row r="1185" spans="1:18">
      <c r="A1185" t="s">
        <v>4674</v>
      </c>
      <c r="B1185" t="s">
        <v>195</v>
      </c>
      <c r="C1185">
        <v>1</v>
      </c>
      <c r="D1185" t="s">
        <v>15</v>
      </c>
      <c r="E1185" t="s">
        <v>6</v>
      </c>
      <c r="F1185" s="2">
        <v>46002</v>
      </c>
      <c r="G1185">
        <v>3861.62</v>
      </c>
      <c r="H1185" s="1">
        <f>AVERAGEIF(Table1[Customer_ID], Table1[[#This Row],[Customer_ID]], Table1[Transaction_Amount])</f>
        <v>5639.4775438596498</v>
      </c>
      <c r="I1185" t="s">
        <v>953</v>
      </c>
      <c r="J1185" t="s">
        <v>46</v>
      </c>
      <c r="K1185" t="s">
        <v>8</v>
      </c>
      <c r="L1185">
        <v>3</v>
      </c>
      <c r="M1185" t="s">
        <v>47</v>
      </c>
      <c r="N1185" t="s">
        <v>42</v>
      </c>
      <c r="O1185" t="s">
        <v>392</v>
      </c>
      <c r="P1185" s="6" t="str">
        <f>IF(Table1[[#This Row],[Transaction_Amount]]&lt;=Table1[[#This Row],[avg_transaction_amount]], "usual transaction", "unusual transaction")</f>
        <v>usual transaction</v>
      </c>
      <c r="Q1185" s="6" t="str">
        <f>IF(AND(Table1[[#This Row],[Country_of_Residence]]&lt;&gt;Table1[[#This Row],[Country_of_Transaction]], OR(Table1[[#This Row],[Authentication_Type]]="Biometric", Table1[[#This Row],[Authentication_Type]]="OTP")), "safe location transaction", "unsafe location transaction")</f>
        <v>safe location transaction</v>
      </c>
      <c r="R1185" s="6" t="str">
        <f>IF(AND(Table1[[#This Row],[Country_of_Residence]]&lt;&gt;Table1[[#This Row],[Country_of_Transaction]], OR(Table1[[#This Row],[Merchant_Category]]="Electronics", Table1[[#This Row],[Merchant_Category]]="Travel")), "unsafe merchant transaction", "safe merchant transaction")</f>
        <v>safe merchant transaction</v>
      </c>
    </row>
    <row r="1186" spans="1:18">
      <c r="A1186" t="s">
        <v>4867</v>
      </c>
      <c r="B1186" t="s">
        <v>195</v>
      </c>
      <c r="C1186">
        <v>1</v>
      </c>
      <c r="D1186" t="s">
        <v>15</v>
      </c>
      <c r="E1186" t="s">
        <v>5</v>
      </c>
      <c r="F1186" s="2">
        <v>45783</v>
      </c>
      <c r="G1186">
        <v>2649.09</v>
      </c>
      <c r="H1186" s="1">
        <f>AVERAGEIF(Table1[Customer_ID], Table1[[#This Row],[Customer_ID]], Table1[Transaction_Amount])</f>
        <v>5639.4775438596498</v>
      </c>
      <c r="I1186" t="s">
        <v>595</v>
      </c>
      <c r="J1186" t="s">
        <v>36</v>
      </c>
      <c r="K1186" t="s">
        <v>10</v>
      </c>
      <c r="L1186">
        <v>4</v>
      </c>
      <c r="M1186" t="s">
        <v>56</v>
      </c>
      <c r="N1186" t="s">
        <v>47</v>
      </c>
      <c r="O1186" t="s">
        <v>393</v>
      </c>
      <c r="P1186" s="6" t="str">
        <f>IF(Table1[[#This Row],[Transaction_Amount]]&lt;=Table1[[#This Row],[avg_transaction_amount]], "usual transaction", "unusual transaction")</f>
        <v>usual transaction</v>
      </c>
      <c r="Q1186" s="6" t="str">
        <f>IF(AND(Table1[[#This Row],[Country_of_Residence]]&lt;&gt;Table1[[#This Row],[Country_of_Transaction]], OR(Table1[[#This Row],[Authentication_Type]]="Biometric", Table1[[#This Row],[Authentication_Type]]="OTP")), "safe location transaction", "unsafe location transaction")</f>
        <v>safe location transaction</v>
      </c>
      <c r="R1186" s="6" t="str">
        <f>IF(AND(Table1[[#This Row],[Country_of_Residence]]&lt;&gt;Table1[[#This Row],[Country_of_Transaction]], OR(Table1[[#This Row],[Merchant_Category]]="Electronics", Table1[[#This Row],[Merchant_Category]]="Travel")), "unsafe merchant transaction", "safe merchant transaction")</f>
        <v>safe merchant transaction</v>
      </c>
    </row>
    <row r="1187" spans="1:18">
      <c r="A1187" t="s">
        <v>4903</v>
      </c>
      <c r="B1187" t="s">
        <v>195</v>
      </c>
      <c r="C1187">
        <v>1</v>
      </c>
      <c r="D1187" t="s">
        <v>15</v>
      </c>
      <c r="E1187" t="s">
        <v>3</v>
      </c>
      <c r="F1187" s="2">
        <v>45856</v>
      </c>
      <c r="G1187">
        <v>7193.34</v>
      </c>
      <c r="H1187" s="1">
        <f>AVERAGEIF(Table1[Customer_ID], Table1[[#This Row],[Customer_ID]], Table1[Transaction_Amount])</f>
        <v>5639.4775438596498</v>
      </c>
      <c r="I1187" t="s">
        <v>2303</v>
      </c>
      <c r="J1187" t="s">
        <v>41</v>
      </c>
      <c r="K1187" t="s">
        <v>8</v>
      </c>
      <c r="L1187">
        <v>5</v>
      </c>
      <c r="M1187" t="s">
        <v>412</v>
      </c>
      <c r="N1187" t="s">
        <v>55</v>
      </c>
      <c r="O1187" t="s">
        <v>393</v>
      </c>
      <c r="P1187" s="6" t="str">
        <f>IF(Table1[[#This Row],[Transaction_Amount]]&lt;=Table1[[#This Row],[avg_transaction_amount]], "usual transaction", "unusual transaction")</f>
        <v>unusual transaction</v>
      </c>
      <c r="Q1187" s="6" t="str">
        <f>IF(AND(Table1[[#This Row],[Country_of_Residence]]&lt;&gt;Table1[[#This Row],[Country_of_Transaction]], OR(Table1[[#This Row],[Authentication_Type]]="Biometric", Table1[[#This Row],[Authentication_Type]]="OTP")), "safe location transaction", "unsafe location transaction")</f>
        <v>safe location transaction</v>
      </c>
      <c r="R1187" s="6" t="str">
        <f>IF(AND(Table1[[#This Row],[Country_of_Residence]]&lt;&gt;Table1[[#This Row],[Country_of_Transaction]], OR(Table1[[#This Row],[Merchant_Category]]="Electronics", Table1[[#This Row],[Merchant_Category]]="Travel")), "unsafe merchant transaction", "safe merchant transaction")</f>
        <v>safe merchant transaction</v>
      </c>
    </row>
    <row r="1188" spans="1:18">
      <c r="A1188" t="s">
        <v>4925</v>
      </c>
      <c r="B1188" t="s">
        <v>195</v>
      </c>
      <c r="C1188">
        <v>1</v>
      </c>
      <c r="D1188" t="s">
        <v>15</v>
      </c>
      <c r="E1188" t="s">
        <v>6</v>
      </c>
      <c r="F1188" s="2">
        <v>45916</v>
      </c>
      <c r="G1188">
        <v>7796.35</v>
      </c>
      <c r="H1188" s="1">
        <f>AVERAGEIF(Table1[Customer_ID], Table1[[#This Row],[Customer_ID]], Table1[Transaction_Amount])</f>
        <v>5639.4775438596498</v>
      </c>
      <c r="I1188" t="s">
        <v>2320</v>
      </c>
      <c r="J1188" t="s">
        <v>36</v>
      </c>
      <c r="K1188" t="s">
        <v>10</v>
      </c>
      <c r="L1188">
        <v>0</v>
      </c>
      <c r="M1188" t="s">
        <v>56</v>
      </c>
      <c r="N1188" t="s">
        <v>37</v>
      </c>
      <c r="O1188" t="s">
        <v>393</v>
      </c>
      <c r="P1188" s="6" t="str">
        <f>IF(Table1[[#This Row],[Transaction_Amount]]&lt;=Table1[[#This Row],[avg_transaction_amount]], "usual transaction", "unusual transaction")</f>
        <v>unusual transaction</v>
      </c>
      <c r="Q1188" s="6" t="str">
        <f>IF(AND(Table1[[#This Row],[Country_of_Residence]]&lt;&gt;Table1[[#This Row],[Country_of_Transaction]], OR(Table1[[#This Row],[Authentication_Type]]="Biometric", Table1[[#This Row],[Authentication_Type]]="OTP")), "safe location transaction", "unsafe location transaction")</f>
        <v>safe location transaction</v>
      </c>
      <c r="R1188" s="6" t="str">
        <f>IF(AND(Table1[[#This Row],[Country_of_Residence]]&lt;&gt;Table1[[#This Row],[Country_of_Transaction]], OR(Table1[[#This Row],[Merchant_Category]]="Electronics", Table1[[#This Row],[Merchant_Category]]="Travel")), "unsafe merchant transaction", "safe merchant transaction")</f>
        <v>safe merchant transaction</v>
      </c>
    </row>
    <row r="1189" spans="1:18">
      <c r="A1189" t="s">
        <v>4982</v>
      </c>
      <c r="B1189" t="s">
        <v>195</v>
      </c>
      <c r="C1189">
        <v>1</v>
      </c>
      <c r="D1189" t="s">
        <v>15</v>
      </c>
      <c r="E1189" t="s">
        <v>3</v>
      </c>
      <c r="F1189" s="2">
        <v>45909</v>
      </c>
      <c r="G1189">
        <v>1616.02</v>
      </c>
      <c r="H1189" s="1">
        <f>AVERAGEIF(Table1[Customer_ID], Table1[[#This Row],[Customer_ID]], Table1[Transaction_Amount])</f>
        <v>5639.4775438596498</v>
      </c>
      <c r="I1189" t="s">
        <v>2366</v>
      </c>
      <c r="J1189" t="s">
        <v>31</v>
      </c>
      <c r="K1189" t="s">
        <v>8</v>
      </c>
      <c r="L1189">
        <v>4</v>
      </c>
      <c r="M1189" t="s">
        <v>56</v>
      </c>
      <c r="N1189" t="s">
        <v>51</v>
      </c>
      <c r="O1189" t="s">
        <v>393</v>
      </c>
      <c r="P1189" s="6" t="str">
        <f>IF(Table1[[#This Row],[Transaction_Amount]]&lt;=Table1[[#This Row],[avg_transaction_amount]], "usual transaction", "unusual transaction")</f>
        <v>usual transaction</v>
      </c>
      <c r="Q1189" s="6" t="str">
        <f>IF(AND(Table1[[#This Row],[Country_of_Residence]]&lt;&gt;Table1[[#This Row],[Country_of_Transaction]], OR(Table1[[#This Row],[Authentication_Type]]="Biometric", Table1[[#This Row],[Authentication_Type]]="OTP")), "safe location transaction", "unsafe location transaction")</f>
        <v>safe location transaction</v>
      </c>
      <c r="R1189" s="6" t="str">
        <f>IF(AND(Table1[[#This Row],[Country_of_Residence]]&lt;&gt;Table1[[#This Row],[Country_of_Transaction]], OR(Table1[[#This Row],[Merchant_Category]]="Electronics", Table1[[#This Row],[Merchant_Category]]="Travel")), "unsafe merchant transaction", "safe merchant transaction")</f>
        <v>safe merchant transaction</v>
      </c>
    </row>
    <row r="1190" spans="1:18">
      <c r="A1190" t="s">
        <v>5024</v>
      </c>
      <c r="B1190" t="s">
        <v>195</v>
      </c>
      <c r="C1190">
        <v>1</v>
      </c>
      <c r="D1190" t="s">
        <v>9</v>
      </c>
      <c r="E1190" t="s">
        <v>5</v>
      </c>
      <c r="F1190" s="2">
        <v>46017</v>
      </c>
      <c r="G1190">
        <v>5641.19</v>
      </c>
      <c r="H1190" s="1">
        <f>AVERAGEIF(Table1[Customer_ID], Table1[[#This Row],[Customer_ID]], Table1[Transaction_Amount])</f>
        <v>5639.4775438596498</v>
      </c>
      <c r="I1190" t="s">
        <v>2218</v>
      </c>
      <c r="J1190" t="s">
        <v>36</v>
      </c>
      <c r="K1190" t="s">
        <v>12</v>
      </c>
      <c r="L1190">
        <v>3</v>
      </c>
      <c r="M1190" t="s">
        <v>33</v>
      </c>
      <c r="N1190" t="s">
        <v>47</v>
      </c>
      <c r="O1190" t="s">
        <v>392</v>
      </c>
      <c r="P1190" s="6" t="str">
        <f>IF(Table1[[#This Row],[Transaction_Amount]]&lt;=Table1[[#This Row],[avg_transaction_amount]], "usual transaction", "unusual transaction")</f>
        <v>unusual transaction</v>
      </c>
      <c r="Q1190" s="6" t="str">
        <f>IF(AND(Table1[[#This Row],[Country_of_Residence]]&lt;&gt;Table1[[#This Row],[Country_of_Transaction]], OR(Table1[[#This Row],[Authentication_Type]]="Biometric", Table1[[#This Row],[Authentication_Type]]="OTP")), "safe location transaction", "unsafe location transaction")</f>
        <v>unsafe location transaction</v>
      </c>
      <c r="R1190" s="6" t="str">
        <f>IF(AND(Table1[[#This Row],[Country_of_Residence]]&lt;&gt;Table1[[#This Row],[Country_of_Transaction]], OR(Table1[[#This Row],[Merchant_Category]]="Electronics", Table1[[#This Row],[Merchant_Category]]="Travel")), "unsafe merchant transaction", "safe merchant transaction")</f>
        <v>safe merchant transaction</v>
      </c>
    </row>
    <row r="1191" spans="1:18">
      <c r="A1191" t="s">
        <v>5130</v>
      </c>
      <c r="B1191" t="s">
        <v>195</v>
      </c>
      <c r="C1191">
        <v>1</v>
      </c>
      <c r="D1191" t="s">
        <v>15</v>
      </c>
      <c r="E1191" t="s">
        <v>6</v>
      </c>
      <c r="F1191" s="2">
        <v>45900</v>
      </c>
      <c r="G1191">
        <v>1531.93</v>
      </c>
      <c r="H1191" s="1">
        <f>AVERAGEIF(Table1[Customer_ID], Table1[[#This Row],[Customer_ID]], Table1[Transaction_Amount])</f>
        <v>5639.4775438596498</v>
      </c>
      <c r="I1191" t="s">
        <v>2473</v>
      </c>
      <c r="J1191" t="s">
        <v>41</v>
      </c>
      <c r="K1191" t="s">
        <v>14</v>
      </c>
      <c r="L1191">
        <v>3</v>
      </c>
      <c r="M1191" t="s">
        <v>55</v>
      </c>
      <c r="N1191" t="s">
        <v>412</v>
      </c>
      <c r="O1191" t="s">
        <v>392</v>
      </c>
      <c r="P1191" s="6" t="str">
        <f>IF(Table1[[#This Row],[Transaction_Amount]]&lt;=Table1[[#This Row],[avg_transaction_amount]], "usual transaction", "unusual transaction")</f>
        <v>usual transaction</v>
      </c>
      <c r="Q1191" s="6" t="str">
        <f>IF(AND(Table1[[#This Row],[Country_of_Residence]]&lt;&gt;Table1[[#This Row],[Country_of_Transaction]], OR(Table1[[#This Row],[Authentication_Type]]="Biometric", Table1[[#This Row],[Authentication_Type]]="OTP")), "safe location transaction", "unsafe location transaction")</f>
        <v>unsafe location transaction</v>
      </c>
      <c r="R1191" s="6" t="str">
        <f>IF(AND(Table1[[#This Row],[Country_of_Residence]]&lt;&gt;Table1[[#This Row],[Country_of_Transaction]], OR(Table1[[#This Row],[Merchant_Category]]="Electronics", Table1[[#This Row],[Merchant_Category]]="Travel")), "unsafe merchant transaction", "safe merchant transaction")</f>
        <v>safe merchant transaction</v>
      </c>
    </row>
    <row r="1192" spans="1:18">
      <c r="A1192" t="s">
        <v>5214</v>
      </c>
      <c r="B1192" t="s">
        <v>195</v>
      </c>
      <c r="C1192">
        <v>1</v>
      </c>
      <c r="D1192" t="s">
        <v>15</v>
      </c>
      <c r="E1192" t="s">
        <v>6</v>
      </c>
      <c r="F1192" s="2">
        <v>45958</v>
      </c>
      <c r="G1192">
        <v>7504.62</v>
      </c>
      <c r="H1192" s="1">
        <f>AVERAGEIF(Table1[Customer_ID], Table1[[#This Row],[Customer_ID]], Table1[Transaction_Amount])</f>
        <v>5639.4775438596498</v>
      </c>
      <c r="I1192" t="s">
        <v>2541</v>
      </c>
      <c r="J1192" t="s">
        <v>46</v>
      </c>
      <c r="K1192" t="s">
        <v>10</v>
      </c>
      <c r="L1192">
        <v>0</v>
      </c>
      <c r="M1192" t="s">
        <v>412</v>
      </c>
      <c r="N1192" t="s">
        <v>32</v>
      </c>
      <c r="O1192" t="s">
        <v>392</v>
      </c>
      <c r="P1192" s="6" t="str">
        <f>IF(Table1[[#This Row],[Transaction_Amount]]&lt;=Table1[[#This Row],[avg_transaction_amount]], "usual transaction", "unusual transaction")</f>
        <v>unusual transaction</v>
      </c>
      <c r="Q1192" s="6" t="str">
        <f>IF(AND(Table1[[#This Row],[Country_of_Residence]]&lt;&gt;Table1[[#This Row],[Country_of_Transaction]], OR(Table1[[#This Row],[Authentication_Type]]="Biometric", Table1[[#This Row],[Authentication_Type]]="OTP")), "safe location transaction", "unsafe location transaction")</f>
        <v>safe location transaction</v>
      </c>
      <c r="R1192" s="6" t="str">
        <f>IF(AND(Table1[[#This Row],[Country_of_Residence]]&lt;&gt;Table1[[#This Row],[Country_of_Transaction]], OR(Table1[[#This Row],[Merchant_Category]]="Electronics", Table1[[#This Row],[Merchant_Category]]="Travel")), "unsafe merchant transaction", "safe merchant transaction")</f>
        <v>safe merchant transaction</v>
      </c>
    </row>
    <row r="1193" spans="1:18">
      <c r="A1193" t="s">
        <v>5246</v>
      </c>
      <c r="B1193" t="s">
        <v>195</v>
      </c>
      <c r="C1193">
        <v>1</v>
      </c>
      <c r="D1193" t="s">
        <v>15</v>
      </c>
      <c r="E1193" t="s">
        <v>420</v>
      </c>
      <c r="F1193" s="2">
        <v>45942</v>
      </c>
      <c r="G1193">
        <v>2115.69</v>
      </c>
      <c r="H1193" s="1">
        <f>AVERAGEIF(Table1[Customer_ID], Table1[[#This Row],[Customer_ID]], Table1[Transaction_Amount])</f>
        <v>5639.4775438596498</v>
      </c>
      <c r="I1193" t="s">
        <v>2568</v>
      </c>
      <c r="J1193" t="s">
        <v>31</v>
      </c>
      <c r="K1193" t="s">
        <v>14</v>
      </c>
      <c r="L1193">
        <v>5</v>
      </c>
      <c r="M1193" t="s">
        <v>42</v>
      </c>
      <c r="N1193" t="s">
        <v>56</v>
      </c>
      <c r="O1193" t="s">
        <v>392</v>
      </c>
      <c r="P1193" s="6" t="str">
        <f>IF(Table1[[#This Row],[Transaction_Amount]]&lt;=Table1[[#This Row],[avg_transaction_amount]], "usual transaction", "unusual transaction")</f>
        <v>usual transaction</v>
      </c>
      <c r="Q1193" s="6" t="str">
        <f>IF(AND(Table1[[#This Row],[Country_of_Residence]]&lt;&gt;Table1[[#This Row],[Country_of_Transaction]], OR(Table1[[#This Row],[Authentication_Type]]="Biometric", Table1[[#This Row],[Authentication_Type]]="OTP")), "safe location transaction", "unsafe location transaction")</f>
        <v>unsafe location transaction</v>
      </c>
      <c r="R1193" s="6" t="str">
        <f>IF(AND(Table1[[#This Row],[Country_of_Residence]]&lt;&gt;Table1[[#This Row],[Country_of_Transaction]], OR(Table1[[#This Row],[Merchant_Category]]="Electronics", Table1[[#This Row],[Merchant_Category]]="Travel")), "unsafe merchant transaction", "safe merchant transaction")</f>
        <v>safe merchant transaction</v>
      </c>
    </row>
    <row r="1194" spans="1:18">
      <c r="A1194" t="s">
        <v>5277</v>
      </c>
      <c r="B1194" t="s">
        <v>195</v>
      </c>
      <c r="C1194">
        <v>1</v>
      </c>
      <c r="D1194" t="s">
        <v>9</v>
      </c>
      <c r="E1194" t="s">
        <v>5</v>
      </c>
      <c r="F1194" s="2">
        <v>45671</v>
      </c>
      <c r="G1194">
        <v>8791.02</v>
      </c>
      <c r="H1194" s="1">
        <f>AVERAGEIF(Table1[Customer_ID], Table1[[#This Row],[Customer_ID]], Table1[Transaction_Amount])</f>
        <v>5639.4775438596498</v>
      </c>
      <c r="I1194" t="s">
        <v>2587</v>
      </c>
      <c r="J1194" t="s">
        <v>50</v>
      </c>
      <c r="K1194" t="s">
        <v>14</v>
      </c>
      <c r="L1194">
        <v>4</v>
      </c>
      <c r="M1194" t="s">
        <v>412</v>
      </c>
      <c r="N1194" t="s">
        <v>47</v>
      </c>
      <c r="O1194" t="s">
        <v>392</v>
      </c>
      <c r="P1194" s="6" t="str">
        <f>IF(Table1[[#This Row],[Transaction_Amount]]&lt;=Table1[[#This Row],[avg_transaction_amount]], "usual transaction", "unusual transaction")</f>
        <v>unusual transaction</v>
      </c>
      <c r="Q1194" s="6" t="str">
        <f>IF(AND(Table1[[#This Row],[Country_of_Residence]]&lt;&gt;Table1[[#This Row],[Country_of_Transaction]], OR(Table1[[#This Row],[Authentication_Type]]="Biometric", Table1[[#This Row],[Authentication_Type]]="OTP")), "safe location transaction", "unsafe location transaction")</f>
        <v>unsafe location transaction</v>
      </c>
      <c r="R1194" s="6" t="str">
        <f>IF(AND(Table1[[#This Row],[Country_of_Residence]]&lt;&gt;Table1[[#This Row],[Country_of_Transaction]], OR(Table1[[#This Row],[Merchant_Category]]="Electronics", Table1[[#This Row],[Merchant_Category]]="Travel")), "unsafe merchant transaction", "safe merchant transaction")</f>
        <v>unsafe merchant transaction</v>
      </c>
    </row>
    <row r="1195" spans="1:18">
      <c r="A1195" t="s">
        <v>5331</v>
      </c>
      <c r="B1195" t="s">
        <v>195</v>
      </c>
      <c r="C1195">
        <v>1</v>
      </c>
      <c r="D1195" t="s">
        <v>15</v>
      </c>
      <c r="E1195" t="s">
        <v>3</v>
      </c>
      <c r="F1195" s="2">
        <v>45978</v>
      </c>
      <c r="G1195">
        <v>8797.2800000000007</v>
      </c>
      <c r="H1195" s="1">
        <f>AVERAGEIF(Table1[Customer_ID], Table1[[#This Row],[Customer_ID]], Table1[Transaction_Amount])</f>
        <v>5639.4775438596498</v>
      </c>
      <c r="I1195" t="s">
        <v>2627</v>
      </c>
      <c r="J1195" t="s">
        <v>46</v>
      </c>
      <c r="K1195" t="s">
        <v>12</v>
      </c>
      <c r="L1195">
        <v>5</v>
      </c>
      <c r="M1195" t="s">
        <v>33</v>
      </c>
      <c r="N1195" t="s">
        <v>47</v>
      </c>
      <c r="O1195" t="s">
        <v>393</v>
      </c>
      <c r="P1195" s="6" t="str">
        <f>IF(Table1[[#This Row],[Transaction_Amount]]&lt;=Table1[[#This Row],[avg_transaction_amount]], "usual transaction", "unusual transaction")</f>
        <v>unusual transaction</v>
      </c>
      <c r="Q1195" s="6" t="str">
        <f>IF(AND(Table1[[#This Row],[Country_of_Residence]]&lt;&gt;Table1[[#This Row],[Country_of_Transaction]], OR(Table1[[#This Row],[Authentication_Type]]="Biometric", Table1[[#This Row],[Authentication_Type]]="OTP")), "safe location transaction", "unsafe location transaction")</f>
        <v>unsafe location transaction</v>
      </c>
      <c r="R1195" s="6" t="str">
        <f>IF(AND(Table1[[#This Row],[Country_of_Residence]]&lt;&gt;Table1[[#This Row],[Country_of_Transaction]], OR(Table1[[#This Row],[Merchant_Category]]="Electronics", Table1[[#This Row],[Merchant_Category]]="Travel")), "unsafe merchant transaction", "safe merchant transaction")</f>
        <v>safe merchant transaction</v>
      </c>
    </row>
    <row r="1196" spans="1:18">
      <c r="A1196" t="s">
        <v>5335</v>
      </c>
      <c r="B1196" t="s">
        <v>195</v>
      </c>
      <c r="C1196">
        <v>1</v>
      </c>
      <c r="D1196" t="s">
        <v>15</v>
      </c>
      <c r="E1196" t="s">
        <v>3</v>
      </c>
      <c r="F1196" s="2">
        <v>45817</v>
      </c>
      <c r="G1196">
        <v>9040.48</v>
      </c>
      <c r="H1196" s="1">
        <f>AVERAGEIF(Table1[Customer_ID], Table1[[#This Row],[Customer_ID]], Table1[Transaction_Amount])</f>
        <v>5639.4775438596498</v>
      </c>
      <c r="I1196" t="s">
        <v>2631</v>
      </c>
      <c r="J1196" t="s">
        <v>36</v>
      </c>
      <c r="K1196" t="s">
        <v>14</v>
      </c>
      <c r="L1196">
        <v>0</v>
      </c>
      <c r="M1196" t="s">
        <v>55</v>
      </c>
      <c r="N1196" t="s">
        <v>412</v>
      </c>
      <c r="O1196" t="s">
        <v>393</v>
      </c>
      <c r="P1196" s="6" t="str">
        <f>IF(Table1[[#This Row],[Transaction_Amount]]&lt;=Table1[[#This Row],[avg_transaction_amount]], "usual transaction", "unusual transaction")</f>
        <v>unusual transaction</v>
      </c>
      <c r="Q1196" s="6" t="str">
        <f>IF(AND(Table1[[#This Row],[Country_of_Residence]]&lt;&gt;Table1[[#This Row],[Country_of_Transaction]], OR(Table1[[#This Row],[Authentication_Type]]="Biometric", Table1[[#This Row],[Authentication_Type]]="OTP")), "safe location transaction", "unsafe location transaction")</f>
        <v>unsafe location transaction</v>
      </c>
      <c r="R1196" s="6" t="str">
        <f>IF(AND(Table1[[#This Row],[Country_of_Residence]]&lt;&gt;Table1[[#This Row],[Country_of_Transaction]], OR(Table1[[#This Row],[Merchant_Category]]="Electronics", Table1[[#This Row],[Merchant_Category]]="Travel")), "unsafe merchant transaction", "safe merchant transaction")</f>
        <v>safe merchant transaction</v>
      </c>
    </row>
    <row r="1197" spans="1:18">
      <c r="A1197" t="s">
        <v>5375</v>
      </c>
      <c r="B1197" t="s">
        <v>195</v>
      </c>
      <c r="C1197">
        <v>1</v>
      </c>
      <c r="D1197" t="s">
        <v>15</v>
      </c>
      <c r="E1197" t="s">
        <v>5</v>
      </c>
      <c r="F1197" s="2">
        <v>45892</v>
      </c>
      <c r="G1197">
        <v>7180.56</v>
      </c>
      <c r="H1197" s="1">
        <f>AVERAGEIF(Table1[Customer_ID], Table1[[#This Row],[Customer_ID]], Table1[Transaction_Amount])</f>
        <v>5639.4775438596498</v>
      </c>
      <c r="I1197" t="s">
        <v>652</v>
      </c>
      <c r="J1197" t="s">
        <v>31</v>
      </c>
      <c r="K1197" t="s">
        <v>10</v>
      </c>
      <c r="L1197">
        <v>3</v>
      </c>
      <c r="M1197" t="s">
        <v>37</v>
      </c>
      <c r="N1197" t="s">
        <v>42</v>
      </c>
      <c r="O1197" t="s">
        <v>393</v>
      </c>
      <c r="P1197" s="6" t="str">
        <f>IF(Table1[[#This Row],[Transaction_Amount]]&lt;=Table1[[#This Row],[avg_transaction_amount]], "usual transaction", "unusual transaction")</f>
        <v>unusual transaction</v>
      </c>
      <c r="Q1197" s="6" t="str">
        <f>IF(AND(Table1[[#This Row],[Country_of_Residence]]&lt;&gt;Table1[[#This Row],[Country_of_Transaction]], OR(Table1[[#This Row],[Authentication_Type]]="Biometric", Table1[[#This Row],[Authentication_Type]]="OTP")), "safe location transaction", "unsafe location transaction")</f>
        <v>safe location transaction</v>
      </c>
      <c r="R1197" s="6" t="str">
        <f>IF(AND(Table1[[#This Row],[Country_of_Residence]]&lt;&gt;Table1[[#This Row],[Country_of_Transaction]], OR(Table1[[#This Row],[Merchant_Category]]="Electronics", Table1[[#This Row],[Merchant_Category]]="Travel")), "unsafe merchant transaction", "safe merchant transaction")</f>
        <v>safe merchant transaction</v>
      </c>
    </row>
    <row r="1198" spans="1:18">
      <c r="A1198" t="s">
        <v>5388</v>
      </c>
      <c r="B1198" t="s">
        <v>195</v>
      </c>
      <c r="C1198">
        <v>1</v>
      </c>
      <c r="D1198" t="s">
        <v>15</v>
      </c>
      <c r="E1198" t="s">
        <v>3</v>
      </c>
      <c r="F1198" s="2">
        <v>45706</v>
      </c>
      <c r="G1198">
        <v>1954.32</v>
      </c>
      <c r="H1198" s="1">
        <f>AVERAGEIF(Table1[Customer_ID], Table1[[#This Row],[Customer_ID]], Table1[Transaction_Amount])</f>
        <v>5639.4775438596498</v>
      </c>
      <c r="I1198" t="s">
        <v>2671</v>
      </c>
      <c r="J1198" t="s">
        <v>31</v>
      </c>
      <c r="K1198" t="s">
        <v>14</v>
      </c>
      <c r="L1198">
        <v>1</v>
      </c>
      <c r="M1198" t="s">
        <v>55</v>
      </c>
      <c r="N1198" t="s">
        <v>32</v>
      </c>
      <c r="O1198" t="s">
        <v>393</v>
      </c>
      <c r="P1198" s="6" t="str">
        <f>IF(Table1[[#This Row],[Transaction_Amount]]&lt;=Table1[[#This Row],[avg_transaction_amount]], "usual transaction", "unusual transaction")</f>
        <v>usual transaction</v>
      </c>
      <c r="Q1198" s="6" t="str">
        <f>IF(AND(Table1[[#This Row],[Country_of_Residence]]&lt;&gt;Table1[[#This Row],[Country_of_Transaction]], OR(Table1[[#This Row],[Authentication_Type]]="Biometric", Table1[[#This Row],[Authentication_Type]]="OTP")), "safe location transaction", "unsafe location transaction")</f>
        <v>unsafe location transaction</v>
      </c>
      <c r="R1198" s="6" t="str">
        <f>IF(AND(Table1[[#This Row],[Country_of_Residence]]&lt;&gt;Table1[[#This Row],[Country_of_Transaction]], OR(Table1[[#This Row],[Merchant_Category]]="Electronics", Table1[[#This Row],[Merchant_Category]]="Travel")), "unsafe merchant transaction", "safe merchant transaction")</f>
        <v>safe merchant transaction</v>
      </c>
    </row>
    <row r="1199" spans="1:18">
      <c r="A1199" t="s">
        <v>5463</v>
      </c>
      <c r="B1199" t="s">
        <v>195</v>
      </c>
      <c r="C1199">
        <v>1</v>
      </c>
      <c r="D1199" t="s">
        <v>15</v>
      </c>
      <c r="E1199" t="s">
        <v>5</v>
      </c>
      <c r="F1199" s="2">
        <v>45952</v>
      </c>
      <c r="G1199">
        <v>3439.72</v>
      </c>
      <c r="H1199" s="1">
        <f>AVERAGEIF(Table1[Customer_ID], Table1[[#This Row],[Customer_ID]], Table1[Transaction_Amount])</f>
        <v>5639.4775438596498</v>
      </c>
      <c r="I1199" t="s">
        <v>2725</v>
      </c>
      <c r="J1199" t="s">
        <v>50</v>
      </c>
      <c r="K1199" t="s">
        <v>10</v>
      </c>
      <c r="L1199">
        <v>2</v>
      </c>
      <c r="M1199" t="s">
        <v>47</v>
      </c>
      <c r="N1199" t="s">
        <v>42</v>
      </c>
      <c r="O1199" t="s">
        <v>392</v>
      </c>
      <c r="P1199" s="6" t="str">
        <f>IF(Table1[[#This Row],[Transaction_Amount]]&lt;=Table1[[#This Row],[avg_transaction_amount]], "usual transaction", "unusual transaction")</f>
        <v>usual transaction</v>
      </c>
      <c r="Q1199" s="6" t="str">
        <f>IF(AND(Table1[[#This Row],[Country_of_Residence]]&lt;&gt;Table1[[#This Row],[Country_of_Transaction]], OR(Table1[[#This Row],[Authentication_Type]]="Biometric", Table1[[#This Row],[Authentication_Type]]="OTP")), "safe location transaction", "unsafe location transaction")</f>
        <v>safe location transaction</v>
      </c>
      <c r="R1199" s="6" t="str">
        <f>IF(AND(Table1[[#This Row],[Country_of_Residence]]&lt;&gt;Table1[[#This Row],[Country_of_Transaction]], OR(Table1[[#This Row],[Merchant_Category]]="Electronics", Table1[[#This Row],[Merchant_Category]]="Travel")), "unsafe merchant transaction", "safe merchant transaction")</f>
        <v>unsafe merchant transaction</v>
      </c>
    </row>
    <row r="1200" spans="1:18">
      <c r="A1200" t="s">
        <v>201</v>
      </c>
      <c r="B1200" t="s">
        <v>202</v>
      </c>
      <c r="C1200">
        <v>1</v>
      </c>
      <c r="D1200" t="s">
        <v>13</v>
      </c>
      <c r="E1200" t="s">
        <v>3</v>
      </c>
      <c r="F1200" s="2">
        <v>45892.565277777801</v>
      </c>
      <c r="G1200">
        <v>7566.66</v>
      </c>
      <c r="H1200" s="1">
        <f>AVERAGEIF(Table1[Customer_ID], Table1[[#This Row],[Customer_ID]], Table1[Transaction_Amount])</f>
        <v>5505.3981395348846</v>
      </c>
      <c r="I1200" t="s">
        <v>203</v>
      </c>
      <c r="J1200" t="s">
        <v>46</v>
      </c>
      <c r="K1200" t="s">
        <v>8</v>
      </c>
      <c r="L1200">
        <v>2</v>
      </c>
      <c r="M1200" t="s">
        <v>204</v>
      </c>
      <c r="N1200" t="s">
        <v>197</v>
      </c>
      <c r="O1200" t="s">
        <v>393</v>
      </c>
      <c r="P1200" t="str">
        <f>IF(Table1[[#This Row],[Transaction_Amount]]&lt;=Table1[[#This Row],[avg_transaction_amount]], "usual transaction", "unusual transaction")</f>
        <v>unusual transaction</v>
      </c>
      <c r="Q1200" t="str">
        <f>IF(AND(Table1[[#This Row],[Country_of_Residence]]&lt;&gt;Table1[[#This Row],[Country_of_Transaction]], OR(Table1[[#This Row],[Authentication_Type]]="Biometric", Table1[[#This Row],[Authentication_Type]]="OTP")), "safe location transaction", "unsafe location transaction")</f>
        <v>safe location transaction</v>
      </c>
      <c r="R1200" t="str">
        <f>IF(AND(Table1[[#This Row],[Country_of_Residence]]&lt;&gt;Table1[[#This Row],[Country_of_Transaction]], OR(Table1[[#This Row],[Merchant_Category]]="Electronics", Table1[[#This Row],[Merchant_Category]]="Travel")), "unsafe merchant transaction", "safe merchant transaction")</f>
        <v>safe merchant transaction</v>
      </c>
    </row>
    <row r="1201" spans="1:18">
      <c r="A1201" t="s">
        <v>205</v>
      </c>
      <c r="B1201" t="s">
        <v>202</v>
      </c>
      <c r="C1201">
        <v>1</v>
      </c>
      <c r="D1201" t="s">
        <v>11</v>
      </c>
      <c r="E1201" t="s">
        <v>5</v>
      </c>
      <c r="F1201" s="2">
        <v>45794.970833333296</v>
      </c>
      <c r="G1201">
        <v>815.47</v>
      </c>
      <c r="H1201" s="1">
        <f>AVERAGEIF(Table1[Customer_ID], Table1[[#This Row],[Customer_ID]], Table1[Transaction_Amount])</f>
        <v>5505.3981395348846</v>
      </c>
      <c r="I1201" t="s">
        <v>206</v>
      </c>
      <c r="J1201" t="s">
        <v>50</v>
      </c>
      <c r="K1201" t="s">
        <v>14</v>
      </c>
      <c r="L1201">
        <v>0</v>
      </c>
      <c r="M1201" t="s">
        <v>204</v>
      </c>
      <c r="N1201" t="s">
        <v>207</v>
      </c>
      <c r="O1201" t="s">
        <v>393</v>
      </c>
      <c r="P1201" t="str">
        <f>IF(Table1[[#This Row],[Transaction_Amount]]&lt;=Table1[[#This Row],[avg_transaction_amount]], "usual transaction", "unusual transaction")</f>
        <v>usual transaction</v>
      </c>
      <c r="Q1201" t="str">
        <f>IF(AND(Table1[[#This Row],[Country_of_Residence]]&lt;&gt;Table1[[#This Row],[Country_of_Transaction]], OR(Table1[[#This Row],[Authentication_Type]]="Biometric", Table1[[#This Row],[Authentication_Type]]="OTP")), "safe location transaction", "unsafe location transaction")</f>
        <v>unsafe location transaction</v>
      </c>
      <c r="R1201" t="str">
        <f>IF(AND(Table1[[#This Row],[Country_of_Residence]]&lt;&gt;Table1[[#This Row],[Country_of_Transaction]], OR(Table1[[#This Row],[Merchant_Category]]="Electronics", Table1[[#This Row],[Merchant_Category]]="Travel")), "unsafe merchant transaction", "safe merchant transaction")</f>
        <v>unsafe merchant transaction</v>
      </c>
    </row>
    <row r="1202" spans="1:18">
      <c r="A1202" t="s">
        <v>2834</v>
      </c>
      <c r="B1202" t="s">
        <v>202</v>
      </c>
      <c r="C1202">
        <v>1</v>
      </c>
      <c r="D1202" t="s">
        <v>9</v>
      </c>
      <c r="E1202" t="s">
        <v>5</v>
      </c>
      <c r="F1202" s="2">
        <v>45978</v>
      </c>
      <c r="G1202">
        <v>8530.7999999999993</v>
      </c>
      <c r="H1202" s="1">
        <f>AVERAGEIF(Table1[Customer_ID], Table1[[#This Row],[Customer_ID]], Table1[Transaction_Amount])</f>
        <v>5505.3981395348846</v>
      </c>
      <c r="I1202" t="s">
        <v>485</v>
      </c>
      <c r="J1202" t="s">
        <v>41</v>
      </c>
      <c r="K1202" t="s">
        <v>10</v>
      </c>
      <c r="L1202">
        <v>4</v>
      </c>
      <c r="M1202" t="s">
        <v>32</v>
      </c>
      <c r="N1202" t="s">
        <v>55</v>
      </c>
      <c r="O1202" t="s">
        <v>393</v>
      </c>
      <c r="P1202" s="6" t="str">
        <f>IF(Table1[[#This Row],[Transaction_Amount]]&lt;=Table1[[#This Row],[avg_transaction_amount]], "usual transaction", "unusual transaction")</f>
        <v>unusual transaction</v>
      </c>
      <c r="Q1202" s="6" t="str">
        <f>IF(AND(Table1[[#This Row],[Country_of_Residence]]&lt;&gt;Table1[[#This Row],[Country_of_Transaction]], OR(Table1[[#This Row],[Authentication_Type]]="Biometric", Table1[[#This Row],[Authentication_Type]]="OTP")), "safe location transaction", "unsafe location transaction")</f>
        <v>safe location transaction</v>
      </c>
      <c r="R1202" s="6" t="str">
        <f>IF(AND(Table1[[#This Row],[Country_of_Residence]]&lt;&gt;Table1[[#This Row],[Country_of_Transaction]], OR(Table1[[#This Row],[Merchant_Category]]="Electronics", Table1[[#This Row],[Merchant_Category]]="Travel")), "unsafe merchant transaction", "safe merchant transaction")</f>
        <v>safe merchant transaction</v>
      </c>
    </row>
    <row r="1203" spans="1:18">
      <c r="A1203" t="s">
        <v>3008</v>
      </c>
      <c r="B1203" t="s">
        <v>202</v>
      </c>
      <c r="C1203">
        <v>1</v>
      </c>
      <c r="D1203" t="s">
        <v>9</v>
      </c>
      <c r="E1203" t="s">
        <v>6</v>
      </c>
      <c r="F1203" s="2">
        <v>45983</v>
      </c>
      <c r="G1203">
        <v>7466.17</v>
      </c>
      <c r="H1203" s="1">
        <f>AVERAGEIF(Table1[Customer_ID], Table1[[#This Row],[Customer_ID]], Table1[Transaction_Amount])</f>
        <v>5505.3981395348846</v>
      </c>
      <c r="I1203" t="s">
        <v>655</v>
      </c>
      <c r="J1203" t="s">
        <v>36</v>
      </c>
      <c r="K1203" t="s">
        <v>10</v>
      </c>
      <c r="L1203">
        <v>2</v>
      </c>
      <c r="M1203" t="s">
        <v>55</v>
      </c>
      <c r="N1203" t="s">
        <v>55</v>
      </c>
      <c r="O1203" t="s">
        <v>392</v>
      </c>
      <c r="P1203" s="6" t="str">
        <f>IF(Table1[[#This Row],[Transaction_Amount]]&lt;=Table1[[#This Row],[avg_transaction_amount]], "usual transaction", "unusual transaction")</f>
        <v>unusual transaction</v>
      </c>
      <c r="Q1203" s="6" t="str">
        <f>IF(AND(Table1[[#This Row],[Country_of_Residence]]&lt;&gt;Table1[[#This Row],[Country_of_Transaction]], OR(Table1[[#This Row],[Authentication_Type]]="Biometric", Table1[[#This Row],[Authentication_Type]]="OTP")), "safe location transaction", "unsafe location transaction")</f>
        <v>unsafe location transaction</v>
      </c>
      <c r="R1203" s="6" t="str">
        <f>IF(AND(Table1[[#This Row],[Country_of_Residence]]&lt;&gt;Table1[[#This Row],[Country_of_Transaction]], OR(Table1[[#This Row],[Merchant_Category]]="Electronics", Table1[[#This Row],[Merchant_Category]]="Travel")), "unsafe merchant transaction", "safe merchant transaction")</f>
        <v>safe merchant transaction</v>
      </c>
    </row>
    <row r="1204" spans="1:18">
      <c r="A1204" t="s">
        <v>3011</v>
      </c>
      <c r="B1204" t="s">
        <v>202</v>
      </c>
      <c r="C1204">
        <v>1</v>
      </c>
      <c r="D1204" t="s">
        <v>15</v>
      </c>
      <c r="E1204" t="s">
        <v>3</v>
      </c>
      <c r="F1204" s="2">
        <v>45831</v>
      </c>
      <c r="G1204">
        <v>1742.55</v>
      </c>
      <c r="H1204" s="1">
        <f>AVERAGEIF(Table1[Customer_ID], Table1[[#This Row],[Customer_ID]], Table1[Transaction_Amount])</f>
        <v>5505.3981395348846</v>
      </c>
      <c r="I1204" t="s">
        <v>658</v>
      </c>
      <c r="J1204" t="s">
        <v>31</v>
      </c>
      <c r="K1204" t="s">
        <v>8</v>
      </c>
      <c r="L1204">
        <v>5</v>
      </c>
      <c r="M1204" t="s">
        <v>42</v>
      </c>
      <c r="N1204" t="s">
        <v>56</v>
      </c>
      <c r="O1204" t="s">
        <v>392</v>
      </c>
      <c r="P1204" s="6" t="str">
        <f>IF(Table1[[#This Row],[Transaction_Amount]]&lt;=Table1[[#This Row],[avg_transaction_amount]], "usual transaction", "unusual transaction")</f>
        <v>usual transaction</v>
      </c>
      <c r="Q1204" s="6" t="str">
        <f>IF(AND(Table1[[#This Row],[Country_of_Residence]]&lt;&gt;Table1[[#This Row],[Country_of_Transaction]], OR(Table1[[#This Row],[Authentication_Type]]="Biometric", Table1[[#This Row],[Authentication_Type]]="OTP")), "safe location transaction", "unsafe location transaction")</f>
        <v>safe location transaction</v>
      </c>
      <c r="R1204" s="6" t="str">
        <f>IF(AND(Table1[[#This Row],[Country_of_Residence]]&lt;&gt;Table1[[#This Row],[Country_of_Transaction]], OR(Table1[[#This Row],[Merchant_Category]]="Electronics", Table1[[#This Row],[Merchant_Category]]="Travel")), "unsafe merchant transaction", "safe merchant transaction")</f>
        <v>safe merchant transaction</v>
      </c>
    </row>
    <row r="1205" spans="1:18">
      <c r="A1205" t="s">
        <v>3029</v>
      </c>
      <c r="B1205" t="s">
        <v>202</v>
      </c>
      <c r="C1205">
        <v>1</v>
      </c>
      <c r="D1205" t="s">
        <v>9</v>
      </c>
      <c r="E1205" t="s">
        <v>5</v>
      </c>
      <c r="F1205" s="2">
        <v>45993</v>
      </c>
      <c r="G1205">
        <v>9884.19</v>
      </c>
      <c r="H1205" s="1">
        <f>AVERAGEIF(Table1[Customer_ID], Table1[[#This Row],[Customer_ID]], Table1[Transaction_Amount])</f>
        <v>5505.3981395348846</v>
      </c>
      <c r="I1205" t="s">
        <v>676</v>
      </c>
      <c r="J1205" t="s">
        <v>46</v>
      </c>
      <c r="K1205" t="s">
        <v>12</v>
      </c>
      <c r="L1205">
        <v>4</v>
      </c>
      <c r="M1205" t="s">
        <v>55</v>
      </c>
      <c r="N1205" t="s">
        <v>412</v>
      </c>
      <c r="O1205" t="s">
        <v>393</v>
      </c>
      <c r="P1205" s="6" t="str">
        <f>IF(Table1[[#This Row],[Transaction_Amount]]&lt;=Table1[[#This Row],[avg_transaction_amount]], "usual transaction", "unusual transaction")</f>
        <v>unusual transaction</v>
      </c>
      <c r="Q1205" s="6" t="str">
        <f>IF(AND(Table1[[#This Row],[Country_of_Residence]]&lt;&gt;Table1[[#This Row],[Country_of_Transaction]], OR(Table1[[#This Row],[Authentication_Type]]="Biometric", Table1[[#This Row],[Authentication_Type]]="OTP")), "safe location transaction", "unsafe location transaction")</f>
        <v>unsafe location transaction</v>
      </c>
      <c r="R1205" s="6" t="str">
        <f>IF(AND(Table1[[#This Row],[Country_of_Residence]]&lt;&gt;Table1[[#This Row],[Country_of_Transaction]], OR(Table1[[#This Row],[Merchant_Category]]="Electronics", Table1[[#This Row],[Merchant_Category]]="Travel")), "unsafe merchant transaction", "safe merchant transaction")</f>
        <v>safe merchant transaction</v>
      </c>
    </row>
    <row r="1206" spans="1:18">
      <c r="A1206" t="s">
        <v>3035</v>
      </c>
      <c r="B1206" t="s">
        <v>202</v>
      </c>
      <c r="C1206">
        <v>1</v>
      </c>
      <c r="D1206" t="s">
        <v>15</v>
      </c>
      <c r="E1206" t="s">
        <v>3</v>
      </c>
      <c r="F1206" s="2">
        <v>45889</v>
      </c>
      <c r="G1206">
        <v>6328.78</v>
      </c>
      <c r="H1206" s="1">
        <f>AVERAGEIF(Table1[Customer_ID], Table1[[#This Row],[Customer_ID]], Table1[Transaction_Amount])</f>
        <v>5505.3981395348846</v>
      </c>
      <c r="I1206" t="s">
        <v>681</v>
      </c>
      <c r="J1206" t="s">
        <v>46</v>
      </c>
      <c r="K1206" t="s">
        <v>12</v>
      </c>
      <c r="L1206">
        <v>3</v>
      </c>
      <c r="M1206" t="s">
        <v>32</v>
      </c>
      <c r="N1206" t="s">
        <v>42</v>
      </c>
      <c r="O1206" t="s">
        <v>393</v>
      </c>
      <c r="P1206" s="6" t="str">
        <f>IF(Table1[[#This Row],[Transaction_Amount]]&lt;=Table1[[#This Row],[avg_transaction_amount]], "usual transaction", "unusual transaction")</f>
        <v>unusual transaction</v>
      </c>
      <c r="Q1206" s="6" t="str">
        <f>IF(AND(Table1[[#This Row],[Country_of_Residence]]&lt;&gt;Table1[[#This Row],[Country_of_Transaction]], OR(Table1[[#This Row],[Authentication_Type]]="Biometric", Table1[[#This Row],[Authentication_Type]]="OTP")), "safe location transaction", "unsafe location transaction")</f>
        <v>unsafe location transaction</v>
      </c>
      <c r="R1206" s="6" t="str">
        <f>IF(AND(Table1[[#This Row],[Country_of_Residence]]&lt;&gt;Table1[[#This Row],[Country_of_Transaction]], OR(Table1[[#This Row],[Merchant_Category]]="Electronics", Table1[[#This Row],[Merchant_Category]]="Travel")), "unsafe merchant transaction", "safe merchant transaction")</f>
        <v>safe merchant transaction</v>
      </c>
    </row>
    <row r="1207" spans="1:18">
      <c r="A1207" t="s">
        <v>3076</v>
      </c>
      <c r="B1207" t="s">
        <v>202</v>
      </c>
      <c r="C1207">
        <v>1</v>
      </c>
      <c r="D1207" t="s">
        <v>15</v>
      </c>
      <c r="E1207" t="s">
        <v>3</v>
      </c>
      <c r="F1207" s="2">
        <v>45803</v>
      </c>
      <c r="G1207">
        <v>3603.53</v>
      </c>
      <c r="H1207" s="1">
        <f>AVERAGEIF(Table1[Customer_ID], Table1[[#This Row],[Customer_ID]], Table1[Transaction_Amount])</f>
        <v>5505.3981395348846</v>
      </c>
      <c r="I1207" t="s">
        <v>720</v>
      </c>
      <c r="J1207" t="s">
        <v>46</v>
      </c>
      <c r="K1207" t="s">
        <v>14</v>
      </c>
      <c r="L1207">
        <v>3</v>
      </c>
      <c r="M1207" t="s">
        <v>47</v>
      </c>
      <c r="N1207" t="s">
        <v>51</v>
      </c>
      <c r="O1207" t="s">
        <v>393</v>
      </c>
      <c r="P1207" s="6" t="str">
        <f>IF(Table1[[#This Row],[Transaction_Amount]]&lt;=Table1[[#This Row],[avg_transaction_amount]], "usual transaction", "unusual transaction")</f>
        <v>usual transaction</v>
      </c>
      <c r="Q1207" s="6" t="str">
        <f>IF(AND(Table1[[#This Row],[Country_of_Residence]]&lt;&gt;Table1[[#This Row],[Country_of_Transaction]], OR(Table1[[#This Row],[Authentication_Type]]="Biometric", Table1[[#This Row],[Authentication_Type]]="OTP")), "safe location transaction", "unsafe location transaction")</f>
        <v>unsafe location transaction</v>
      </c>
      <c r="R1207" s="6" t="str">
        <f>IF(AND(Table1[[#This Row],[Country_of_Residence]]&lt;&gt;Table1[[#This Row],[Country_of_Transaction]], OR(Table1[[#This Row],[Merchant_Category]]="Electronics", Table1[[#This Row],[Merchant_Category]]="Travel")), "unsafe merchant transaction", "safe merchant transaction")</f>
        <v>safe merchant transaction</v>
      </c>
    </row>
    <row r="1208" spans="1:18">
      <c r="A1208" t="s">
        <v>3175</v>
      </c>
      <c r="B1208" t="s">
        <v>202</v>
      </c>
      <c r="C1208">
        <v>1</v>
      </c>
      <c r="D1208" t="s">
        <v>9</v>
      </c>
      <c r="E1208" t="s">
        <v>420</v>
      </c>
      <c r="F1208" s="2">
        <v>45676</v>
      </c>
      <c r="G1208">
        <v>8346.56</v>
      </c>
      <c r="H1208" s="1">
        <f>AVERAGEIF(Table1[Customer_ID], Table1[[#This Row],[Customer_ID]], Table1[Transaction_Amount])</f>
        <v>5505.3981395348846</v>
      </c>
      <c r="I1208" t="s">
        <v>810</v>
      </c>
      <c r="J1208" t="s">
        <v>36</v>
      </c>
      <c r="K1208" t="s">
        <v>12</v>
      </c>
      <c r="L1208">
        <v>5</v>
      </c>
      <c r="M1208" t="s">
        <v>47</v>
      </c>
      <c r="N1208" t="s">
        <v>33</v>
      </c>
      <c r="O1208" t="s">
        <v>393</v>
      </c>
      <c r="P1208" s="6" t="str">
        <f>IF(Table1[[#This Row],[Transaction_Amount]]&lt;=Table1[[#This Row],[avg_transaction_amount]], "usual transaction", "unusual transaction")</f>
        <v>unusual transaction</v>
      </c>
      <c r="Q1208" s="6" t="str">
        <f>IF(AND(Table1[[#This Row],[Country_of_Residence]]&lt;&gt;Table1[[#This Row],[Country_of_Transaction]], OR(Table1[[#This Row],[Authentication_Type]]="Biometric", Table1[[#This Row],[Authentication_Type]]="OTP")), "safe location transaction", "unsafe location transaction")</f>
        <v>unsafe location transaction</v>
      </c>
      <c r="R1208" s="6" t="str">
        <f>IF(AND(Table1[[#This Row],[Country_of_Residence]]&lt;&gt;Table1[[#This Row],[Country_of_Transaction]], OR(Table1[[#This Row],[Merchant_Category]]="Electronics", Table1[[#This Row],[Merchant_Category]]="Travel")), "unsafe merchant transaction", "safe merchant transaction")</f>
        <v>safe merchant transaction</v>
      </c>
    </row>
    <row r="1209" spans="1:18">
      <c r="A1209" t="s">
        <v>3225</v>
      </c>
      <c r="B1209" t="s">
        <v>202</v>
      </c>
      <c r="C1209">
        <v>1</v>
      </c>
      <c r="D1209" t="s">
        <v>9</v>
      </c>
      <c r="E1209" t="s">
        <v>3</v>
      </c>
      <c r="F1209" s="2">
        <v>45711</v>
      </c>
      <c r="G1209">
        <v>6187.35</v>
      </c>
      <c r="H1209" s="1">
        <f>AVERAGEIF(Table1[Customer_ID], Table1[[#This Row],[Customer_ID]], Table1[Transaction_Amount])</f>
        <v>5505.3981395348846</v>
      </c>
      <c r="I1209" t="s">
        <v>858</v>
      </c>
      <c r="J1209" t="s">
        <v>41</v>
      </c>
      <c r="K1209" t="s">
        <v>12</v>
      </c>
      <c r="L1209">
        <v>1</v>
      </c>
      <c r="M1209" t="s">
        <v>412</v>
      </c>
      <c r="N1209" t="s">
        <v>47</v>
      </c>
      <c r="O1209" t="s">
        <v>392</v>
      </c>
      <c r="P1209" s="6" t="str">
        <f>IF(Table1[[#This Row],[Transaction_Amount]]&lt;=Table1[[#This Row],[avg_transaction_amount]], "usual transaction", "unusual transaction")</f>
        <v>unusual transaction</v>
      </c>
      <c r="Q1209" s="6" t="str">
        <f>IF(AND(Table1[[#This Row],[Country_of_Residence]]&lt;&gt;Table1[[#This Row],[Country_of_Transaction]], OR(Table1[[#This Row],[Authentication_Type]]="Biometric", Table1[[#This Row],[Authentication_Type]]="OTP")), "safe location transaction", "unsafe location transaction")</f>
        <v>unsafe location transaction</v>
      </c>
      <c r="R1209" s="6" t="str">
        <f>IF(AND(Table1[[#This Row],[Country_of_Residence]]&lt;&gt;Table1[[#This Row],[Country_of_Transaction]], OR(Table1[[#This Row],[Merchant_Category]]="Electronics", Table1[[#This Row],[Merchant_Category]]="Travel")), "unsafe merchant transaction", "safe merchant transaction")</f>
        <v>safe merchant transaction</v>
      </c>
    </row>
    <row r="1210" spans="1:18">
      <c r="A1210" t="s">
        <v>3328</v>
      </c>
      <c r="B1210" t="s">
        <v>202</v>
      </c>
      <c r="C1210">
        <v>1</v>
      </c>
      <c r="D1210" t="s">
        <v>15</v>
      </c>
      <c r="E1210" t="s">
        <v>420</v>
      </c>
      <c r="F1210" s="2">
        <v>45870</v>
      </c>
      <c r="G1210">
        <v>8200.65</v>
      </c>
      <c r="H1210" s="1">
        <f>AVERAGEIF(Table1[Customer_ID], Table1[[#This Row],[Customer_ID]], Table1[Transaction_Amount])</f>
        <v>5505.3981395348846</v>
      </c>
      <c r="I1210" t="s">
        <v>952</v>
      </c>
      <c r="J1210" t="s">
        <v>36</v>
      </c>
      <c r="K1210" t="s">
        <v>14</v>
      </c>
      <c r="L1210">
        <v>2</v>
      </c>
      <c r="M1210" t="s">
        <v>33</v>
      </c>
      <c r="N1210" t="s">
        <v>42</v>
      </c>
      <c r="O1210" t="s">
        <v>392</v>
      </c>
      <c r="P1210" s="6" t="str">
        <f>IF(Table1[[#This Row],[Transaction_Amount]]&lt;=Table1[[#This Row],[avg_transaction_amount]], "usual transaction", "unusual transaction")</f>
        <v>unusual transaction</v>
      </c>
      <c r="Q1210" s="6" t="str">
        <f>IF(AND(Table1[[#This Row],[Country_of_Residence]]&lt;&gt;Table1[[#This Row],[Country_of_Transaction]], OR(Table1[[#This Row],[Authentication_Type]]="Biometric", Table1[[#This Row],[Authentication_Type]]="OTP")), "safe location transaction", "unsafe location transaction")</f>
        <v>unsafe location transaction</v>
      </c>
      <c r="R1210" s="6" t="str">
        <f>IF(AND(Table1[[#This Row],[Country_of_Residence]]&lt;&gt;Table1[[#This Row],[Country_of_Transaction]], OR(Table1[[#This Row],[Merchant_Category]]="Electronics", Table1[[#This Row],[Merchant_Category]]="Travel")), "unsafe merchant transaction", "safe merchant transaction")</f>
        <v>safe merchant transaction</v>
      </c>
    </row>
    <row r="1211" spans="1:18">
      <c r="A1211" t="s">
        <v>3524</v>
      </c>
      <c r="B1211" t="s">
        <v>202</v>
      </c>
      <c r="C1211">
        <v>1</v>
      </c>
      <c r="D1211" t="s">
        <v>9</v>
      </c>
      <c r="E1211" t="s">
        <v>6</v>
      </c>
      <c r="F1211" s="2">
        <v>45942</v>
      </c>
      <c r="G1211">
        <v>1745.59</v>
      </c>
      <c r="H1211" s="1">
        <f>AVERAGEIF(Table1[Customer_ID], Table1[[#This Row],[Customer_ID]], Table1[Transaction_Amount])</f>
        <v>5505.3981395348846</v>
      </c>
      <c r="I1211" t="s">
        <v>1139</v>
      </c>
      <c r="J1211" t="s">
        <v>41</v>
      </c>
      <c r="K1211" t="s">
        <v>8</v>
      </c>
      <c r="L1211">
        <v>0</v>
      </c>
      <c r="M1211" t="s">
        <v>56</v>
      </c>
      <c r="N1211" t="s">
        <v>42</v>
      </c>
      <c r="O1211" t="s">
        <v>393</v>
      </c>
      <c r="P1211" s="6" t="str">
        <f>IF(Table1[[#This Row],[Transaction_Amount]]&lt;=Table1[[#This Row],[avg_transaction_amount]], "usual transaction", "unusual transaction")</f>
        <v>usual transaction</v>
      </c>
      <c r="Q1211" s="6" t="str">
        <f>IF(AND(Table1[[#This Row],[Country_of_Residence]]&lt;&gt;Table1[[#This Row],[Country_of_Transaction]], OR(Table1[[#This Row],[Authentication_Type]]="Biometric", Table1[[#This Row],[Authentication_Type]]="OTP")), "safe location transaction", "unsafe location transaction")</f>
        <v>safe location transaction</v>
      </c>
      <c r="R1211" s="6" t="str">
        <f>IF(AND(Table1[[#This Row],[Country_of_Residence]]&lt;&gt;Table1[[#This Row],[Country_of_Transaction]], OR(Table1[[#This Row],[Merchant_Category]]="Electronics", Table1[[#This Row],[Merchant_Category]]="Travel")), "unsafe merchant transaction", "safe merchant transaction")</f>
        <v>safe merchant transaction</v>
      </c>
    </row>
    <row r="1212" spans="1:18">
      <c r="A1212" t="s">
        <v>3684</v>
      </c>
      <c r="B1212" t="s">
        <v>202</v>
      </c>
      <c r="C1212">
        <v>1</v>
      </c>
      <c r="D1212" t="s">
        <v>15</v>
      </c>
      <c r="E1212" t="s">
        <v>420</v>
      </c>
      <c r="F1212" s="2">
        <v>45913</v>
      </c>
      <c r="G1212">
        <v>3230.45</v>
      </c>
      <c r="H1212" s="1">
        <f>AVERAGEIF(Table1[Customer_ID], Table1[[#This Row],[Customer_ID]], Table1[Transaction_Amount])</f>
        <v>5505.3981395348846</v>
      </c>
      <c r="I1212" t="s">
        <v>1284</v>
      </c>
      <c r="J1212" t="s">
        <v>46</v>
      </c>
      <c r="K1212" t="s">
        <v>8</v>
      </c>
      <c r="L1212">
        <v>2</v>
      </c>
      <c r="M1212" t="s">
        <v>56</v>
      </c>
      <c r="N1212" t="s">
        <v>412</v>
      </c>
      <c r="O1212" t="s">
        <v>392</v>
      </c>
      <c r="P1212" s="6" t="str">
        <f>IF(Table1[[#This Row],[Transaction_Amount]]&lt;=Table1[[#This Row],[avg_transaction_amount]], "usual transaction", "unusual transaction")</f>
        <v>usual transaction</v>
      </c>
      <c r="Q1212" s="6" t="str">
        <f>IF(AND(Table1[[#This Row],[Country_of_Residence]]&lt;&gt;Table1[[#This Row],[Country_of_Transaction]], OR(Table1[[#This Row],[Authentication_Type]]="Biometric", Table1[[#This Row],[Authentication_Type]]="OTP")), "safe location transaction", "unsafe location transaction")</f>
        <v>safe location transaction</v>
      </c>
      <c r="R1212" s="6" t="str">
        <f>IF(AND(Table1[[#This Row],[Country_of_Residence]]&lt;&gt;Table1[[#This Row],[Country_of_Transaction]], OR(Table1[[#This Row],[Merchant_Category]]="Electronics", Table1[[#This Row],[Merchant_Category]]="Travel")), "unsafe merchant transaction", "safe merchant transaction")</f>
        <v>safe merchant transaction</v>
      </c>
    </row>
    <row r="1213" spans="1:18">
      <c r="A1213" t="s">
        <v>3697</v>
      </c>
      <c r="B1213" t="s">
        <v>202</v>
      </c>
      <c r="C1213">
        <v>1</v>
      </c>
      <c r="D1213" t="s">
        <v>9</v>
      </c>
      <c r="E1213" t="s">
        <v>5</v>
      </c>
      <c r="F1213" s="2">
        <v>45948</v>
      </c>
      <c r="G1213">
        <v>2988.16</v>
      </c>
      <c r="H1213" s="1">
        <f>AVERAGEIF(Table1[Customer_ID], Table1[[#This Row],[Customer_ID]], Table1[Transaction_Amount])</f>
        <v>5505.3981395348846</v>
      </c>
      <c r="I1213" t="s">
        <v>62</v>
      </c>
      <c r="J1213" t="s">
        <v>46</v>
      </c>
      <c r="K1213" t="s">
        <v>12</v>
      </c>
      <c r="L1213">
        <v>4</v>
      </c>
      <c r="M1213" t="s">
        <v>37</v>
      </c>
      <c r="N1213" t="s">
        <v>412</v>
      </c>
      <c r="O1213" t="s">
        <v>392</v>
      </c>
      <c r="P1213" s="6" t="str">
        <f>IF(Table1[[#This Row],[Transaction_Amount]]&lt;=Table1[[#This Row],[avg_transaction_amount]], "usual transaction", "unusual transaction")</f>
        <v>usual transaction</v>
      </c>
      <c r="Q1213" s="6" t="str">
        <f>IF(AND(Table1[[#This Row],[Country_of_Residence]]&lt;&gt;Table1[[#This Row],[Country_of_Transaction]], OR(Table1[[#This Row],[Authentication_Type]]="Biometric", Table1[[#This Row],[Authentication_Type]]="OTP")), "safe location transaction", "unsafe location transaction")</f>
        <v>unsafe location transaction</v>
      </c>
      <c r="R1213" s="6" t="str">
        <f>IF(AND(Table1[[#This Row],[Country_of_Residence]]&lt;&gt;Table1[[#This Row],[Country_of_Transaction]], OR(Table1[[#This Row],[Merchant_Category]]="Electronics", Table1[[#This Row],[Merchant_Category]]="Travel")), "unsafe merchant transaction", "safe merchant transaction")</f>
        <v>safe merchant transaction</v>
      </c>
    </row>
    <row r="1214" spans="1:18">
      <c r="A1214" t="s">
        <v>3756</v>
      </c>
      <c r="B1214" t="s">
        <v>202</v>
      </c>
      <c r="C1214">
        <v>1</v>
      </c>
      <c r="D1214" t="s">
        <v>15</v>
      </c>
      <c r="E1214" t="s">
        <v>5</v>
      </c>
      <c r="F1214" s="2">
        <v>45814</v>
      </c>
      <c r="G1214">
        <v>3550.46</v>
      </c>
      <c r="H1214" s="1">
        <f>AVERAGEIF(Table1[Customer_ID], Table1[[#This Row],[Customer_ID]], Table1[Transaction_Amount])</f>
        <v>5505.3981395348846</v>
      </c>
      <c r="I1214" t="s">
        <v>1347</v>
      </c>
      <c r="J1214" t="s">
        <v>36</v>
      </c>
      <c r="K1214" t="s">
        <v>14</v>
      </c>
      <c r="L1214">
        <v>4</v>
      </c>
      <c r="M1214" t="s">
        <v>47</v>
      </c>
      <c r="N1214" t="s">
        <v>42</v>
      </c>
      <c r="O1214" t="s">
        <v>393</v>
      </c>
      <c r="P1214" s="6" t="str">
        <f>IF(Table1[[#This Row],[Transaction_Amount]]&lt;=Table1[[#This Row],[avg_transaction_amount]], "usual transaction", "unusual transaction")</f>
        <v>usual transaction</v>
      </c>
      <c r="Q1214" s="6" t="str">
        <f>IF(AND(Table1[[#This Row],[Country_of_Residence]]&lt;&gt;Table1[[#This Row],[Country_of_Transaction]], OR(Table1[[#This Row],[Authentication_Type]]="Biometric", Table1[[#This Row],[Authentication_Type]]="OTP")), "safe location transaction", "unsafe location transaction")</f>
        <v>unsafe location transaction</v>
      </c>
      <c r="R1214" s="6" t="str">
        <f>IF(AND(Table1[[#This Row],[Country_of_Residence]]&lt;&gt;Table1[[#This Row],[Country_of_Transaction]], OR(Table1[[#This Row],[Merchant_Category]]="Electronics", Table1[[#This Row],[Merchant_Category]]="Travel")), "unsafe merchant transaction", "safe merchant transaction")</f>
        <v>safe merchant transaction</v>
      </c>
    </row>
    <row r="1215" spans="1:18">
      <c r="A1215" t="s">
        <v>3856</v>
      </c>
      <c r="B1215" t="s">
        <v>202</v>
      </c>
      <c r="C1215">
        <v>1</v>
      </c>
      <c r="D1215" t="s">
        <v>9</v>
      </c>
      <c r="E1215" t="s">
        <v>420</v>
      </c>
      <c r="F1215" s="2">
        <v>45983</v>
      </c>
      <c r="G1215">
        <v>3908.09</v>
      </c>
      <c r="H1215" s="1">
        <f>AVERAGEIF(Table1[Customer_ID], Table1[[#This Row],[Customer_ID]], Table1[Transaction_Amount])</f>
        <v>5505.3981395348846</v>
      </c>
      <c r="I1215" t="s">
        <v>1431</v>
      </c>
      <c r="J1215" t="s">
        <v>36</v>
      </c>
      <c r="K1215" t="s">
        <v>10</v>
      </c>
      <c r="L1215">
        <v>3</v>
      </c>
      <c r="M1215" t="s">
        <v>51</v>
      </c>
      <c r="N1215" t="s">
        <v>51</v>
      </c>
      <c r="O1215" t="s">
        <v>392</v>
      </c>
      <c r="P1215" s="6" t="str">
        <f>IF(Table1[[#This Row],[Transaction_Amount]]&lt;=Table1[[#This Row],[avg_transaction_amount]], "usual transaction", "unusual transaction")</f>
        <v>usual transaction</v>
      </c>
      <c r="Q1215" s="6" t="str">
        <f>IF(AND(Table1[[#This Row],[Country_of_Residence]]&lt;&gt;Table1[[#This Row],[Country_of_Transaction]], OR(Table1[[#This Row],[Authentication_Type]]="Biometric", Table1[[#This Row],[Authentication_Type]]="OTP")), "safe location transaction", "unsafe location transaction")</f>
        <v>unsafe location transaction</v>
      </c>
      <c r="R1215" s="6" t="str">
        <f>IF(AND(Table1[[#This Row],[Country_of_Residence]]&lt;&gt;Table1[[#This Row],[Country_of_Transaction]], OR(Table1[[#This Row],[Merchant_Category]]="Electronics", Table1[[#This Row],[Merchant_Category]]="Travel")), "unsafe merchant transaction", "safe merchant transaction")</f>
        <v>safe merchant transaction</v>
      </c>
    </row>
    <row r="1216" spans="1:18">
      <c r="A1216" t="s">
        <v>3873</v>
      </c>
      <c r="B1216" t="s">
        <v>202</v>
      </c>
      <c r="C1216">
        <v>1</v>
      </c>
      <c r="D1216" t="s">
        <v>9</v>
      </c>
      <c r="E1216" t="s">
        <v>3</v>
      </c>
      <c r="F1216" s="2">
        <v>45786</v>
      </c>
      <c r="G1216">
        <v>955.33</v>
      </c>
      <c r="H1216" s="1">
        <f>AVERAGEIF(Table1[Customer_ID], Table1[[#This Row],[Customer_ID]], Table1[Transaction_Amount])</f>
        <v>5505.3981395348846</v>
      </c>
      <c r="I1216" t="s">
        <v>1445</v>
      </c>
      <c r="J1216" t="s">
        <v>50</v>
      </c>
      <c r="K1216" t="s">
        <v>14</v>
      </c>
      <c r="L1216">
        <v>4</v>
      </c>
      <c r="M1216" t="s">
        <v>33</v>
      </c>
      <c r="N1216" t="s">
        <v>55</v>
      </c>
      <c r="O1216" t="s">
        <v>393</v>
      </c>
      <c r="P1216" s="6" t="str">
        <f>IF(Table1[[#This Row],[Transaction_Amount]]&lt;=Table1[[#This Row],[avg_transaction_amount]], "usual transaction", "unusual transaction")</f>
        <v>usual transaction</v>
      </c>
      <c r="Q1216" s="6" t="str">
        <f>IF(AND(Table1[[#This Row],[Country_of_Residence]]&lt;&gt;Table1[[#This Row],[Country_of_Transaction]], OR(Table1[[#This Row],[Authentication_Type]]="Biometric", Table1[[#This Row],[Authentication_Type]]="OTP")), "safe location transaction", "unsafe location transaction")</f>
        <v>unsafe location transaction</v>
      </c>
      <c r="R1216" s="6" t="str">
        <f>IF(AND(Table1[[#This Row],[Country_of_Residence]]&lt;&gt;Table1[[#This Row],[Country_of_Transaction]], OR(Table1[[#This Row],[Merchant_Category]]="Electronics", Table1[[#This Row],[Merchant_Category]]="Travel")), "unsafe merchant transaction", "safe merchant transaction")</f>
        <v>unsafe merchant transaction</v>
      </c>
    </row>
    <row r="1217" spans="1:18">
      <c r="A1217" t="s">
        <v>3920</v>
      </c>
      <c r="B1217" t="s">
        <v>202</v>
      </c>
      <c r="C1217">
        <v>1</v>
      </c>
      <c r="D1217" t="s">
        <v>15</v>
      </c>
      <c r="E1217" t="s">
        <v>420</v>
      </c>
      <c r="F1217" s="2">
        <v>45800</v>
      </c>
      <c r="G1217">
        <v>1524.27</v>
      </c>
      <c r="H1217" s="1">
        <f>AVERAGEIF(Table1[Customer_ID], Table1[[#This Row],[Customer_ID]], Table1[Transaction_Amount])</f>
        <v>5505.3981395348846</v>
      </c>
      <c r="I1217" t="s">
        <v>1484</v>
      </c>
      <c r="J1217" t="s">
        <v>36</v>
      </c>
      <c r="K1217" t="s">
        <v>10</v>
      </c>
      <c r="L1217">
        <v>0</v>
      </c>
      <c r="M1217" t="s">
        <v>51</v>
      </c>
      <c r="N1217" t="s">
        <v>51</v>
      </c>
      <c r="O1217" t="s">
        <v>393</v>
      </c>
      <c r="P1217" s="6" t="str">
        <f>IF(Table1[[#This Row],[Transaction_Amount]]&lt;=Table1[[#This Row],[avg_transaction_amount]], "usual transaction", "unusual transaction")</f>
        <v>usual transaction</v>
      </c>
      <c r="Q1217" s="6" t="str">
        <f>IF(AND(Table1[[#This Row],[Country_of_Residence]]&lt;&gt;Table1[[#This Row],[Country_of_Transaction]], OR(Table1[[#This Row],[Authentication_Type]]="Biometric", Table1[[#This Row],[Authentication_Type]]="OTP")), "safe location transaction", "unsafe location transaction")</f>
        <v>unsafe location transaction</v>
      </c>
      <c r="R1217" s="6" t="str">
        <f>IF(AND(Table1[[#This Row],[Country_of_Residence]]&lt;&gt;Table1[[#This Row],[Country_of_Transaction]], OR(Table1[[#This Row],[Merchant_Category]]="Electronics", Table1[[#This Row],[Merchant_Category]]="Travel")), "unsafe merchant transaction", "safe merchant transaction")</f>
        <v>safe merchant transaction</v>
      </c>
    </row>
    <row r="1218" spans="1:18">
      <c r="A1218" t="s">
        <v>3921</v>
      </c>
      <c r="B1218" t="s">
        <v>202</v>
      </c>
      <c r="C1218">
        <v>1</v>
      </c>
      <c r="D1218" t="s">
        <v>15</v>
      </c>
      <c r="E1218" t="s">
        <v>6</v>
      </c>
      <c r="F1218" s="2">
        <v>45733</v>
      </c>
      <c r="G1218">
        <v>77.239999999999995</v>
      </c>
      <c r="H1218" s="1">
        <f>AVERAGEIF(Table1[Customer_ID], Table1[[#This Row],[Customer_ID]], Table1[Transaction_Amount])</f>
        <v>5505.3981395348846</v>
      </c>
      <c r="I1218" t="s">
        <v>1485</v>
      </c>
      <c r="J1218" t="s">
        <v>50</v>
      </c>
      <c r="K1218" t="s">
        <v>8</v>
      </c>
      <c r="L1218">
        <v>4</v>
      </c>
      <c r="M1218" t="s">
        <v>55</v>
      </c>
      <c r="N1218" t="s">
        <v>56</v>
      </c>
      <c r="O1218" t="s">
        <v>392</v>
      </c>
      <c r="P1218" s="6" t="str">
        <f>IF(Table1[[#This Row],[Transaction_Amount]]&lt;=Table1[[#This Row],[avg_transaction_amount]], "usual transaction", "unusual transaction")</f>
        <v>usual transaction</v>
      </c>
      <c r="Q1218" s="6" t="str">
        <f>IF(AND(Table1[[#This Row],[Country_of_Residence]]&lt;&gt;Table1[[#This Row],[Country_of_Transaction]], OR(Table1[[#This Row],[Authentication_Type]]="Biometric", Table1[[#This Row],[Authentication_Type]]="OTP")), "safe location transaction", "unsafe location transaction")</f>
        <v>safe location transaction</v>
      </c>
      <c r="R1218" s="6" t="str">
        <f>IF(AND(Table1[[#This Row],[Country_of_Residence]]&lt;&gt;Table1[[#This Row],[Country_of_Transaction]], OR(Table1[[#This Row],[Merchant_Category]]="Electronics", Table1[[#This Row],[Merchant_Category]]="Travel")), "unsafe merchant transaction", "safe merchant transaction")</f>
        <v>unsafe merchant transaction</v>
      </c>
    </row>
    <row r="1219" spans="1:18">
      <c r="A1219" t="s">
        <v>3999</v>
      </c>
      <c r="B1219" t="s">
        <v>202</v>
      </c>
      <c r="C1219">
        <v>1</v>
      </c>
      <c r="D1219" t="s">
        <v>9</v>
      </c>
      <c r="E1219" t="s">
        <v>6</v>
      </c>
      <c r="F1219" s="2">
        <v>45747</v>
      </c>
      <c r="G1219">
        <v>5675.13</v>
      </c>
      <c r="H1219" s="1">
        <f>AVERAGEIF(Table1[Customer_ID], Table1[[#This Row],[Customer_ID]], Table1[Transaction_Amount])</f>
        <v>5505.3981395348846</v>
      </c>
      <c r="I1219" t="s">
        <v>1558</v>
      </c>
      <c r="J1219" t="s">
        <v>46</v>
      </c>
      <c r="K1219" t="s">
        <v>12</v>
      </c>
      <c r="L1219">
        <v>2</v>
      </c>
      <c r="M1219" t="s">
        <v>42</v>
      </c>
      <c r="N1219" t="s">
        <v>56</v>
      </c>
      <c r="O1219" t="s">
        <v>393</v>
      </c>
      <c r="P1219" s="6" t="str">
        <f>IF(Table1[[#This Row],[Transaction_Amount]]&lt;=Table1[[#This Row],[avg_transaction_amount]], "usual transaction", "unusual transaction")</f>
        <v>unusual transaction</v>
      </c>
      <c r="Q1219" s="6" t="str">
        <f>IF(AND(Table1[[#This Row],[Country_of_Residence]]&lt;&gt;Table1[[#This Row],[Country_of_Transaction]], OR(Table1[[#This Row],[Authentication_Type]]="Biometric", Table1[[#This Row],[Authentication_Type]]="OTP")), "safe location transaction", "unsafe location transaction")</f>
        <v>unsafe location transaction</v>
      </c>
      <c r="R1219" s="6" t="str">
        <f>IF(AND(Table1[[#This Row],[Country_of_Residence]]&lt;&gt;Table1[[#This Row],[Country_of_Transaction]], OR(Table1[[#This Row],[Merchant_Category]]="Electronics", Table1[[#This Row],[Merchant_Category]]="Travel")), "unsafe merchant transaction", "safe merchant transaction")</f>
        <v>safe merchant transaction</v>
      </c>
    </row>
    <row r="1220" spans="1:18">
      <c r="A1220" t="s">
        <v>4031</v>
      </c>
      <c r="B1220" t="s">
        <v>202</v>
      </c>
      <c r="C1220">
        <v>1</v>
      </c>
      <c r="D1220" t="s">
        <v>9</v>
      </c>
      <c r="E1220" t="s">
        <v>6</v>
      </c>
      <c r="F1220" s="2">
        <v>45930</v>
      </c>
      <c r="G1220">
        <v>4078.77</v>
      </c>
      <c r="H1220" s="1">
        <f>AVERAGEIF(Table1[Customer_ID], Table1[[#This Row],[Customer_ID]], Table1[Transaction_Amount])</f>
        <v>5505.3981395348846</v>
      </c>
      <c r="I1220" t="s">
        <v>1587</v>
      </c>
      <c r="J1220" t="s">
        <v>46</v>
      </c>
      <c r="K1220" t="s">
        <v>14</v>
      </c>
      <c r="L1220">
        <v>3</v>
      </c>
      <c r="M1220" t="s">
        <v>42</v>
      </c>
      <c r="N1220" t="s">
        <v>42</v>
      </c>
      <c r="O1220" t="s">
        <v>393</v>
      </c>
      <c r="P1220" s="6" t="str">
        <f>IF(Table1[[#This Row],[Transaction_Amount]]&lt;=Table1[[#This Row],[avg_transaction_amount]], "usual transaction", "unusual transaction")</f>
        <v>usual transaction</v>
      </c>
      <c r="Q1220" s="6" t="str">
        <f>IF(AND(Table1[[#This Row],[Country_of_Residence]]&lt;&gt;Table1[[#This Row],[Country_of_Transaction]], OR(Table1[[#This Row],[Authentication_Type]]="Biometric", Table1[[#This Row],[Authentication_Type]]="OTP")), "safe location transaction", "unsafe location transaction")</f>
        <v>unsafe location transaction</v>
      </c>
      <c r="R1220" s="6" t="str">
        <f>IF(AND(Table1[[#This Row],[Country_of_Residence]]&lt;&gt;Table1[[#This Row],[Country_of_Transaction]], OR(Table1[[#This Row],[Merchant_Category]]="Electronics", Table1[[#This Row],[Merchant_Category]]="Travel")), "unsafe merchant transaction", "safe merchant transaction")</f>
        <v>safe merchant transaction</v>
      </c>
    </row>
    <row r="1221" spans="1:18">
      <c r="A1221" t="s">
        <v>4043</v>
      </c>
      <c r="B1221" t="s">
        <v>202</v>
      </c>
      <c r="C1221">
        <v>1</v>
      </c>
      <c r="D1221" t="s">
        <v>9</v>
      </c>
      <c r="E1221" t="s">
        <v>6</v>
      </c>
      <c r="F1221" s="2">
        <v>46007</v>
      </c>
      <c r="G1221">
        <v>4831.2700000000004</v>
      </c>
      <c r="H1221" s="1">
        <f>AVERAGEIF(Table1[Customer_ID], Table1[[#This Row],[Customer_ID]], Table1[Transaction_Amount])</f>
        <v>5505.3981395348846</v>
      </c>
      <c r="I1221" t="s">
        <v>957</v>
      </c>
      <c r="J1221" t="s">
        <v>50</v>
      </c>
      <c r="K1221" t="s">
        <v>14</v>
      </c>
      <c r="L1221">
        <v>4</v>
      </c>
      <c r="M1221" t="s">
        <v>33</v>
      </c>
      <c r="N1221" t="s">
        <v>56</v>
      </c>
      <c r="O1221" t="s">
        <v>393</v>
      </c>
      <c r="P1221" s="6" t="str">
        <f>IF(Table1[[#This Row],[Transaction_Amount]]&lt;=Table1[[#This Row],[avg_transaction_amount]], "usual transaction", "unusual transaction")</f>
        <v>usual transaction</v>
      </c>
      <c r="Q1221" s="6" t="str">
        <f>IF(AND(Table1[[#This Row],[Country_of_Residence]]&lt;&gt;Table1[[#This Row],[Country_of_Transaction]], OR(Table1[[#This Row],[Authentication_Type]]="Biometric", Table1[[#This Row],[Authentication_Type]]="OTP")), "safe location transaction", "unsafe location transaction")</f>
        <v>unsafe location transaction</v>
      </c>
      <c r="R1221" s="6" t="str">
        <f>IF(AND(Table1[[#This Row],[Country_of_Residence]]&lt;&gt;Table1[[#This Row],[Country_of_Transaction]], OR(Table1[[#This Row],[Merchant_Category]]="Electronics", Table1[[#This Row],[Merchant_Category]]="Travel")), "unsafe merchant transaction", "safe merchant transaction")</f>
        <v>unsafe merchant transaction</v>
      </c>
    </row>
    <row r="1222" spans="1:18">
      <c r="A1222" t="s">
        <v>4064</v>
      </c>
      <c r="B1222" t="s">
        <v>202</v>
      </c>
      <c r="C1222">
        <v>1</v>
      </c>
      <c r="D1222" t="s">
        <v>15</v>
      </c>
      <c r="E1222" t="s">
        <v>420</v>
      </c>
      <c r="F1222" s="2">
        <v>45991</v>
      </c>
      <c r="G1222">
        <v>2123.6</v>
      </c>
      <c r="H1222" s="1">
        <f>AVERAGEIF(Table1[Customer_ID], Table1[[#This Row],[Customer_ID]], Table1[Transaction_Amount])</f>
        <v>5505.3981395348846</v>
      </c>
      <c r="I1222" t="s">
        <v>1614</v>
      </c>
      <c r="J1222" t="s">
        <v>41</v>
      </c>
      <c r="K1222" t="s">
        <v>10</v>
      </c>
      <c r="L1222">
        <v>1</v>
      </c>
      <c r="M1222" t="s">
        <v>37</v>
      </c>
      <c r="N1222" t="s">
        <v>42</v>
      </c>
      <c r="O1222" t="s">
        <v>392</v>
      </c>
      <c r="P1222" s="6" t="str">
        <f>IF(Table1[[#This Row],[Transaction_Amount]]&lt;=Table1[[#This Row],[avg_transaction_amount]], "usual transaction", "unusual transaction")</f>
        <v>usual transaction</v>
      </c>
      <c r="Q1222" s="6" t="str">
        <f>IF(AND(Table1[[#This Row],[Country_of_Residence]]&lt;&gt;Table1[[#This Row],[Country_of_Transaction]], OR(Table1[[#This Row],[Authentication_Type]]="Biometric", Table1[[#This Row],[Authentication_Type]]="OTP")), "safe location transaction", "unsafe location transaction")</f>
        <v>safe location transaction</v>
      </c>
      <c r="R1222" s="6" t="str">
        <f>IF(AND(Table1[[#This Row],[Country_of_Residence]]&lt;&gt;Table1[[#This Row],[Country_of_Transaction]], OR(Table1[[#This Row],[Merchant_Category]]="Electronics", Table1[[#This Row],[Merchant_Category]]="Travel")), "unsafe merchant transaction", "safe merchant transaction")</f>
        <v>safe merchant transaction</v>
      </c>
    </row>
    <row r="1223" spans="1:18">
      <c r="A1223" t="s">
        <v>4093</v>
      </c>
      <c r="B1223" t="s">
        <v>202</v>
      </c>
      <c r="C1223">
        <v>1</v>
      </c>
      <c r="D1223" t="s">
        <v>9</v>
      </c>
      <c r="E1223" t="s">
        <v>420</v>
      </c>
      <c r="F1223" s="2">
        <v>45751</v>
      </c>
      <c r="G1223">
        <v>7242.51</v>
      </c>
      <c r="H1223" s="1">
        <f>AVERAGEIF(Table1[Customer_ID], Table1[[#This Row],[Customer_ID]], Table1[Transaction_Amount])</f>
        <v>5505.3981395348846</v>
      </c>
      <c r="I1223" t="s">
        <v>1636</v>
      </c>
      <c r="J1223" t="s">
        <v>41</v>
      </c>
      <c r="K1223" t="s">
        <v>8</v>
      </c>
      <c r="L1223">
        <v>5</v>
      </c>
      <c r="M1223" t="s">
        <v>37</v>
      </c>
      <c r="N1223" t="s">
        <v>56</v>
      </c>
      <c r="O1223" t="s">
        <v>393</v>
      </c>
      <c r="P1223" s="6" t="str">
        <f>IF(Table1[[#This Row],[Transaction_Amount]]&lt;=Table1[[#This Row],[avg_transaction_amount]], "usual transaction", "unusual transaction")</f>
        <v>unusual transaction</v>
      </c>
      <c r="Q1223" s="6" t="str">
        <f>IF(AND(Table1[[#This Row],[Country_of_Residence]]&lt;&gt;Table1[[#This Row],[Country_of_Transaction]], OR(Table1[[#This Row],[Authentication_Type]]="Biometric", Table1[[#This Row],[Authentication_Type]]="OTP")), "safe location transaction", "unsafe location transaction")</f>
        <v>safe location transaction</v>
      </c>
      <c r="R1223" s="6" t="str">
        <f>IF(AND(Table1[[#This Row],[Country_of_Residence]]&lt;&gt;Table1[[#This Row],[Country_of_Transaction]], OR(Table1[[#This Row],[Merchant_Category]]="Electronics", Table1[[#This Row],[Merchant_Category]]="Travel")), "unsafe merchant transaction", "safe merchant transaction")</f>
        <v>safe merchant transaction</v>
      </c>
    </row>
    <row r="1224" spans="1:18">
      <c r="A1224" t="s">
        <v>4118</v>
      </c>
      <c r="B1224" t="s">
        <v>202</v>
      </c>
      <c r="C1224">
        <v>1</v>
      </c>
      <c r="D1224" t="s">
        <v>15</v>
      </c>
      <c r="E1224" t="s">
        <v>3</v>
      </c>
      <c r="F1224" s="2">
        <v>45729</v>
      </c>
      <c r="G1224">
        <v>7410.69</v>
      </c>
      <c r="H1224" s="1">
        <f>AVERAGEIF(Table1[Customer_ID], Table1[[#This Row],[Customer_ID]], Table1[Transaction_Amount])</f>
        <v>5505.3981395348846</v>
      </c>
      <c r="I1224" t="s">
        <v>1652</v>
      </c>
      <c r="J1224" t="s">
        <v>36</v>
      </c>
      <c r="K1224" t="s">
        <v>14</v>
      </c>
      <c r="L1224">
        <v>4</v>
      </c>
      <c r="M1224" t="s">
        <v>47</v>
      </c>
      <c r="N1224" t="s">
        <v>32</v>
      </c>
      <c r="O1224" t="s">
        <v>393</v>
      </c>
      <c r="P1224" s="6" t="str">
        <f>IF(Table1[[#This Row],[Transaction_Amount]]&lt;=Table1[[#This Row],[avg_transaction_amount]], "usual transaction", "unusual transaction")</f>
        <v>unusual transaction</v>
      </c>
      <c r="Q1224" s="6" t="str">
        <f>IF(AND(Table1[[#This Row],[Country_of_Residence]]&lt;&gt;Table1[[#This Row],[Country_of_Transaction]], OR(Table1[[#This Row],[Authentication_Type]]="Biometric", Table1[[#This Row],[Authentication_Type]]="OTP")), "safe location transaction", "unsafe location transaction")</f>
        <v>unsafe location transaction</v>
      </c>
      <c r="R1224" s="6" t="str">
        <f>IF(AND(Table1[[#This Row],[Country_of_Residence]]&lt;&gt;Table1[[#This Row],[Country_of_Transaction]], OR(Table1[[#This Row],[Merchant_Category]]="Electronics", Table1[[#This Row],[Merchant_Category]]="Travel")), "unsafe merchant transaction", "safe merchant transaction")</f>
        <v>safe merchant transaction</v>
      </c>
    </row>
    <row r="1225" spans="1:18">
      <c r="A1225" t="s">
        <v>4176</v>
      </c>
      <c r="B1225" t="s">
        <v>202</v>
      </c>
      <c r="C1225">
        <v>1</v>
      </c>
      <c r="D1225" t="s">
        <v>9</v>
      </c>
      <c r="E1225" t="s">
        <v>420</v>
      </c>
      <c r="F1225" s="2">
        <v>46011</v>
      </c>
      <c r="G1225">
        <v>5524.87</v>
      </c>
      <c r="H1225" s="1">
        <f>AVERAGEIF(Table1[Customer_ID], Table1[[#This Row],[Customer_ID]], Table1[Transaction_Amount])</f>
        <v>5505.3981395348846</v>
      </c>
      <c r="I1225" t="s">
        <v>1698</v>
      </c>
      <c r="J1225" t="s">
        <v>31</v>
      </c>
      <c r="K1225" t="s">
        <v>8</v>
      </c>
      <c r="L1225">
        <v>4</v>
      </c>
      <c r="M1225" t="s">
        <v>33</v>
      </c>
      <c r="N1225" t="s">
        <v>412</v>
      </c>
      <c r="O1225" t="s">
        <v>392</v>
      </c>
      <c r="P1225" s="6" t="str">
        <f>IF(Table1[[#This Row],[Transaction_Amount]]&lt;=Table1[[#This Row],[avg_transaction_amount]], "usual transaction", "unusual transaction")</f>
        <v>unusual transaction</v>
      </c>
      <c r="Q1225" s="6" t="str">
        <f>IF(AND(Table1[[#This Row],[Country_of_Residence]]&lt;&gt;Table1[[#This Row],[Country_of_Transaction]], OR(Table1[[#This Row],[Authentication_Type]]="Biometric", Table1[[#This Row],[Authentication_Type]]="OTP")), "safe location transaction", "unsafe location transaction")</f>
        <v>safe location transaction</v>
      </c>
      <c r="R1225" s="6" t="str">
        <f>IF(AND(Table1[[#This Row],[Country_of_Residence]]&lt;&gt;Table1[[#This Row],[Country_of_Transaction]], OR(Table1[[#This Row],[Merchant_Category]]="Electronics", Table1[[#This Row],[Merchant_Category]]="Travel")), "unsafe merchant transaction", "safe merchant transaction")</f>
        <v>safe merchant transaction</v>
      </c>
    </row>
    <row r="1226" spans="1:18">
      <c r="A1226" t="s">
        <v>4194</v>
      </c>
      <c r="B1226" t="s">
        <v>202</v>
      </c>
      <c r="C1226">
        <v>1</v>
      </c>
      <c r="D1226" t="s">
        <v>9</v>
      </c>
      <c r="E1226" t="s">
        <v>5</v>
      </c>
      <c r="F1226" s="2">
        <v>45760</v>
      </c>
      <c r="G1226">
        <v>7970.86</v>
      </c>
      <c r="H1226" s="1">
        <f>AVERAGEIF(Table1[Customer_ID], Table1[[#This Row],[Customer_ID]], Table1[Transaction_Amount])</f>
        <v>5505.3981395348846</v>
      </c>
      <c r="I1226" t="s">
        <v>1714</v>
      </c>
      <c r="J1226" t="s">
        <v>36</v>
      </c>
      <c r="K1226" t="s">
        <v>14</v>
      </c>
      <c r="L1226">
        <v>4</v>
      </c>
      <c r="M1226" t="s">
        <v>47</v>
      </c>
      <c r="N1226" t="s">
        <v>37</v>
      </c>
      <c r="O1226" t="s">
        <v>393</v>
      </c>
      <c r="P1226" s="6" t="str">
        <f>IF(Table1[[#This Row],[Transaction_Amount]]&lt;=Table1[[#This Row],[avg_transaction_amount]], "usual transaction", "unusual transaction")</f>
        <v>unusual transaction</v>
      </c>
      <c r="Q1226" s="6" t="str">
        <f>IF(AND(Table1[[#This Row],[Country_of_Residence]]&lt;&gt;Table1[[#This Row],[Country_of_Transaction]], OR(Table1[[#This Row],[Authentication_Type]]="Biometric", Table1[[#This Row],[Authentication_Type]]="OTP")), "safe location transaction", "unsafe location transaction")</f>
        <v>unsafe location transaction</v>
      </c>
      <c r="R1226" s="6" t="str">
        <f>IF(AND(Table1[[#This Row],[Country_of_Residence]]&lt;&gt;Table1[[#This Row],[Country_of_Transaction]], OR(Table1[[#This Row],[Merchant_Category]]="Electronics", Table1[[#This Row],[Merchant_Category]]="Travel")), "unsafe merchant transaction", "safe merchant transaction")</f>
        <v>safe merchant transaction</v>
      </c>
    </row>
    <row r="1227" spans="1:18">
      <c r="A1227" t="s">
        <v>4474</v>
      </c>
      <c r="B1227" t="s">
        <v>202</v>
      </c>
      <c r="C1227">
        <v>1</v>
      </c>
      <c r="D1227" t="s">
        <v>9</v>
      </c>
      <c r="E1227" t="s">
        <v>3</v>
      </c>
      <c r="F1227" s="2">
        <v>45699</v>
      </c>
      <c r="G1227">
        <v>9983.2800000000007</v>
      </c>
      <c r="H1227" s="1">
        <f>AVERAGEIF(Table1[Customer_ID], Table1[[#This Row],[Customer_ID]], Table1[Transaction_Amount])</f>
        <v>5505.3981395348846</v>
      </c>
      <c r="I1227" t="s">
        <v>1965</v>
      </c>
      <c r="J1227" t="s">
        <v>50</v>
      </c>
      <c r="K1227" t="s">
        <v>12</v>
      </c>
      <c r="L1227">
        <v>2</v>
      </c>
      <c r="M1227" t="s">
        <v>42</v>
      </c>
      <c r="N1227" t="s">
        <v>51</v>
      </c>
      <c r="O1227" t="s">
        <v>392</v>
      </c>
      <c r="P1227" s="6" t="str">
        <f>IF(Table1[[#This Row],[Transaction_Amount]]&lt;=Table1[[#This Row],[avg_transaction_amount]], "usual transaction", "unusual transaction")</f>
        <v>unusual transaction</v>
      </c>
      <c r="Q1227" s="6" t="str">
        <f>IF(AND(Table1[[#This Row],[Country_of_Residence]]&lt;&gt;Table1[[#This Row],[Country_of_Transaction]], OR(Table1[[#This Row],[Authentication_Type]]="Biometric", Table1[[#This Row],[Authentication_Type]]="OTP")), "safe location transaction", "unsafe location transaction")</f>
        <v>unsafe location transaction</v>
      </c>
      <c r="R1227" s="6" t="str">
        <f>IF(AND(Table1[[#This Row],[Country_of_Residence]]&lt;&gt;Table1[[#This Row],[Country_of_Transaction]], OR(Table1[[#This Row],[Merchant_Category]]="Electronics", Table1[[#This Row],[Merchant_Category]]="Travel")), "unsafe merchant transaction", "safe merchant transaction")</f>
        <v>unsafe merchant transaction</v>
      </c>
    </row>
    <row r="1228" spans="1:18">
      <c r="A1228" t="s">
        <v>4512</v>
      </c>
      <c r="B1228" t="s">
        <v>202</v>
      </c>
      <c r="C1228">
        <v>1</v>
      </c>
      <c r="D1228" t="s">
        <v>9</v>
      </c>
      <c r="E1228" t="s">
        <v>5</v>
      </c>
      <c r="F1228" s="2">
        <v>45949</v>
      </c>
      <c r="G1228">
        <v>1622.89</v>
      </c>
      <c r="H1228" s="1">
        <f>AVERAGEIF(Table1[Customer_ID], Table1[[#This Row],[Customer_ID]], Table1[Transaction_Amount])</f>
        <v>5505.3981395348846</v>
      </c>
      <c r="I1228" t="s">
        <v>1997</v>
      </c>
      <c r="J1228" t="s">
        <v>46</v>
      </c>
      <c r="K1228" t="s">
        <v>10</v>
      </c>
      <c r="L1228">
        <v>4</v>
      </c>
      <c r="M1228" t="s">
        <v>42</v>
      </c>
      <c r="N1228" t="s">
        <v>56</v>
      </c>
      <c r="O1228" t="s">
        <v>392</v>
      </c>
      <c r="P1228" s="6" t="str">
        <f>IF(Table1[[#This Row],[Transaction_Amount]]&lt;=Table1[[#This Row],[avg_transaction_amount]], "usual transaction", "unusual transaction")</f>
        <v>usual transaction</v>
      </c>
      <c r="Q1228" s="6" t="str">
        <f>IF(AND(Table1[[#This Row],[Country_of_Residence]]&lt;&gt;Table1[[#This Row],[Country_of_Transaction]], OR(Table1[[#This Row],[Authentication_Type]]="Biometric", Table1[[#This Row],[Authentication_Type]]="OTP")), "safe location transaction", "unsafe location transaction")</f>
        <v>safe location transaction</v>
      </c>
      <c r="R1228" s="6" t="str">
        <f>IF(AND(Table1[[#This Row],[Country_of_Residence]]&lt;&gt;Table1[[#This Row],[Country_of_Transaction]], OR(Table1[[#This Row],[Merchant_Category]]="Electronics", Table1[[#This Row],[Merchant_Category]]="Travel")), "unsafe merchant transaction", "safe merchant transaction")</f>
        <v>safe merchant transaction</v>
      </c>
    </row>
    <row r="1229" spans="1:18">
      <c r="A1229" t="s">
        <v>4600</v>
      </c>
      <c r="B1229" t="s">
        <v>202</v>
      </c>
      <c r="C1229">
        <v>1</v>
      </c>
      <c r="D1229" t="s">
        <v>9</v>
      </c>
      <c r="E1229" t="s">
        <v>3</v>
      </c>
      <c r="F1229" s="2">
        <v>46003</v>
      </c>
      <c r="G1229">
        <v>9769.23</v>
      </c>
      <c r="H1229" s="1">
        <f>AVERAGEIF(Table1[Customer_ID], Table1[[#This Row],[Customer_ID]], Table1[Transaction_Amount])</f>
        <v>5505.3981395348846</v>
      </c>
      <c r="I1229" t="s">
        <v>558</v>
      </c>
      <c r="J1229" t="s">
        <v>46</v>
      </c>
      <c r="K1229" t="s">
        <v>14</v>
      </c>
      <c r="L1229">
        <v>5</v>
      </c>
      <c r="M1229" t="s">
        <v>32</v>
      </c>
      <c r="N1229" t="s">
        <v>32</v>
      </c>
      <c r="O1229" t="s">
        <v>393</v>
      </c>
      <c r="P1229" s="6" t="str">
        <f>IF(Table1[[#This Row],[Transaction_Amount]]&lt;=Table1[[#This Row],[avg_transaction_amount]], "usual transaction", "unusual transaction")</f>
        <v>unusual transaction</v>
      </c>
      <c r="Q1229" s="6" t="str">
        <f>IF(AND(Table1[[#This Row],[Country_of_Residence]]&lt;&gt;Table1[[#This Row],[Country_of_Transaction]], OR(Table1[[#This Row],[Authentication_Type]]="Biometric", Table1[[#This Row],[Authentication_Type]]="OTP")), "safe location transaction", "unsafe location transaction")</f>
        <v>unsafe location transaction</v>
      </c>
      <c r="R1229" s="6" t="str">
        <f>IF(AND(Table1[[#This Row],[Country_of_Residence]]&lt;&gt;Table1[[#This Row],[Country_of_Transaction]], OR(Table1[[#This Row],[Merchant_Category]]="Electronics", Table1[[#This Row],[Merchant_Category]]="Travel")), "unsafe merchant transaction", "safe merchant transaction")</f>
        <v>safe merchant transaction</v>
      </c>
    </row>
    <row r="1230" spans="1:18">
      <c r="A1230" t="s">
        <v>4605</v>
      </c>
      <c r="B1230" t="s">
        <v>202</v>
      </c>
      <c r="C1230">
        <v>1</v>
      </c>
      <c r="D1230" t="s">
        <v>9</v>
      </c>
      <c r="E1230" t="s">
        <v>5</v>
      </c>
      <c r="F1230" s="2">
        <v>45722</v>
      </c>
      <c r="G1230">
        <v>8332.42</v>
      </c>
      <c r="H1230" s="1">
        <f>AVERAGEIF(Table1[Customer_ID], Table1[[#This Row],[Customer_ID]], Table1[Transaction_Amount])</f>
        <v>5505.3981395348846</v>
      </c>
      <c r="I1230" t="s">
        <v>2048</v>
      </c>
      <c r="J1230" t="s">
        <v>46</v>
      </c>
      <c r="K1230" t="s">
        <v>8</v>
      </c>
      <c r="L1230">
        <v>2</v>
      </c>
      <c r="M1230" t="s">
        <v>37</v>
      </c>
      <c r="N1230" t="s">
        <v>47</v>
      </c>
      <c r="O1230" t="s">
        <v>393</v>
      </c>
      <c r="P1230" s="6" t="str">
        <f>IF(Table1[[#This Row],[Transaction_Amount]]&lt;=Table1[[#This Row],[avg_transaction_amount]], "usual transaction", "unusual transaction")</f>
        <v>unusual transaction</v>
      </c>
      <c r="Q1230" s="6" t="str">
        <f>IF(AND(Table1[[#This Row],[Country_of_Residence]]&lt;&gt;Table1[[#This Row],[Country_of_Transaction]], OR(Table1[[#This Row],[Authentication_Type]]="Biometric", Table1[[#This Row],[Authentication_Type]]="OTP")), "safe location transaction", "unsafe location transaction")</f>
        <v>safe location transaction</v>
      </c>
      <c r="R1230" s="6" t="str">
        <f>IF(AND(Table1[[#This Row],[Country_of_Residence]]&lt;&gt;Table1[[#This Row],[Country_of_Transaction]], OR(Table1[[#This Row],[Merchant_Category]]="Electronics", Table1[[#This Row],[Merchant_Category]]="Travel")), "unsafe merchant transaction", "safe merchant transaction")</f>
        <v>safe merchant transaction</v>
      </c>
    </row>
    <row r="1231" spans="1:18">
      <c r="A1231" t="s">
        <v>4918</v>
      </c>
      <c r="B1231" t="s">
        <v>202</v>
      </c>
      <c r="C1231">
        <v>1</v>
      </c>
      <c r="D1231" t="s">
        <v>9</v>
      </c>
      <c r="E1231" t="s">
        <v>6</v>
      </c>
      <c r="F1231" s="2">
        <v>45743</v>
      </c>
      <c r="G1231">
        <v>4640.28</v>
      </c>
      <c r="H1231" s="1">
        <f>AVERAGEIF(Table1[Customer_ID], Table1[[#This Row],[Customer_ID]], Table1[Transaction_Amount])</f>
        <v>5505.3981395348846</v>
      </c>
      <c r="I1231" t="s">
        <v>2313</v>
      </c>
      <c r="J1231" t="s">
        <v>50</v>
      </c>
      <c r="K1231" t="s">
        <v>14</v>
      </c>
      <c r="L1231">
        <v>2</v>
      </c>
      <c r="M1231" t="s">
        <v>412</v>
      </c>
      <c r="N1231" t="s">
        <v>55</v>
      </c>
      <c r="O1231" t="s">
        <v>392</v>
      </c>
      <c r="P1231" s="6" t="str">
        <f>IF(Table1[[#This Row],[Transaction_Amount]]&lt;=Table1[[#This Row],[avg_transaction_amount]], "usual transaction", "unusual transaction")</f>
        <v>usual transaction</v>
      </c>
      <c r="Q1231" s="6" t="str">
        <f>IF(AND(Table1[[#This Row],[Country_of_Residence]]&lt;&gt;Table1[[#This Row],[Country_of_Transaction]], OR(Table1[[#This Row],[Authentication_Type]]="Biometric", Table1[[#This Row],[Authentication_Type]]="OTP")), "safe location transaction", "unsafe location transaction")</f>
        <v>unsafe location transaction</v>
      </c>
      <c r="R1231" s="6" t="str">
        <f>IF(AND(Table1[[#This Row],[Country_of_Residence]]&lt;&gt;Table1[[#This Row],[Country_of_Transaction]], OR(Table1[[#This Row],[Merchant_Category]]="Electronics", Table1[[#This Row],[Merchant_Category]]="Travel")), "unsafe merchant transaction", "safe merchant transaction")</f>
        <v>unsafe merchant transaction</v>
      </c>
    </row>
    <row r="1232" spans="1:18">
      <c r="A1232" t="s">
        <v>5068</v>
      </c>
      <c r="B1232" t="s">
        <v>202</v>
      </c>
      <c r="C1232">
        <v>1</v>
      </c>
      <c r="D1232" t="s">
        <v>9</v>
      </c>
      <c r="E1232" t="s">
        <v>6</v>
      </c>
      <c r="F1232" s="2">
        <v>46019</v>
      </c>
      <c r="G1232">
        <v>5827.29</v>
      </c>
      <c r="H1232" s="1">
        <f>AVERAGEIF(Table1[Customer_ID], Table1[[#This Row],[Customer_ID]], Table1[Transaction_Amount])</f>
        <v>5505.3981395348846</v>
      </c>
      <c r="I1232" t="s">
        <v>358</v>
      </c>
      <c r="J1232" t="s">
        <v>31</v>
      </c>
      <c r="K1232" t="s">
        <v>8</v>
      </c>
      <c r="L1232">
        <v>3</v>
      </c>
      <c r="M1232" t="s">
        <v>47</v>
      </c>
      <c r="N1232" t="s">
        <v>33</v>
      </c>
      <c r="O1232" t="s">
        <v>393</v>
      </c>
      <c r="P1232" s="6" t="str">
        <f>IF(Table1[[#This Row],[Transaction_Amount]]&lt;=Table1[[#This Row],[avg_transaction_amount]], "usual transaction", "unusual transaction")</f>
        <v>unusual transaction</v>
      </c>
      <c r="Q1232" s="6" t="str">
        <f>IF(AND(Table1[[#This Row],[Country_of_Residence]]&lt;&gt;Table1[[#This Row],[Country_of_Transaction]], OR(Table1[[#This Row],[Authentication_Type]]="Biometric", Table1[[#This Row],[Authentication_Type]]="OTP")), "safe location transaction", "unsafe location transaction")</f>
        <v>safe location transaction</v>
      </c>
      <c r="R1232" s="6" t="str">
        <f>IF(AND(Table1[[#This Row],[Country_of_Residence]]&lt;&gt;Table1[[#This Row],[Country_of_Transaction]], OR(Table1[[#This Row],[Merchant_Category]]="Electronics", Table1[[#This Row],[Merchant_Category]]="Travel")), "unsafe merchant transaction", "safe merchant transaction")</f>
        <v>safe merchant transaction</v>
      </c>
    </row>
    <row r="1233" spans="1:18">
      <c r="A1233" t="s">
        <v>5071</v>
      </c>
      <c r="B1233" t="s">
        <v>202</v>
      </c>
      <c r="C1233">
        <v>1</v>
      </c>
      <c r="D1233" t="s">
        <v>9</v>
      </c>
      <c r="E1233" t="s">
        <v>3</v>
      </c>
      <c r="F1233" s="2">
        <v>45879</v>
      </c>
      <c r="G1233">
        <v>6781.52</v>
      </c>
      <c r="H1233" s="1">
        <f>AVERAGEIF(Table1[Customer_ID], Table1[[#This Row],[Customer_ID]], Table1[Transaction_Amount])</f>
        <v>5505.3981395348846</v>
      </c>
      <c r="I1233" t="s">
        <v>2428</v>
      </c>
      <c r="J1233" t="s">
        <v>31</v>
      </c>
      <c r="K1233" t="s">
        <v>10</v>
      </c>
      <c r="L1233">
        <v>2</v>
      </c>
      <c r="M1233" t="s">
        <v>32</v>
      </c>
      <c r="N1233" t="s">
        <v>42</v>
      </c>
      <c r="O1233" t="s">
        <v>392</v>
      </c>
      <c r="P1233" s="6" t="str">
        <f>IF(Table1[[#This Row],[Transaction_Amount]]&lt;=Table1[[#This Row],[avg_transaction_amount]], "usual transaction", "unusual transaction")</f>
        <v>unusual transaction</v>
      </c>
      <c r="Q1233" s="6" t="str">
        <f>IF(AND(Table1[[#This Row],[Country_of_Residence]]&lt;&gt;Table1[[#This Row],[Country_of_Transaction]], OR(Table1[[#This Row],[Authentication_Type]]="Biometric", Table1[[#This Row],[Authentication_Type]]="OTP")), "safe location transaction", "unsafe location transaction")</f>
        <v>safe location transaction</v>
      </c>
      <c r="R1233" s="6" t="str">
        <f>IF(AND(Table1[[#This Row],[Country_of_Residence]]&lt;&gt;Table1[[#This Row],[Country_of_Transaction]], OR(Table1[[#This Row],[Merchant_Category]]="Electronics", Table1[[#This Row],[Merchant_Category]]="Travel")), "unsafe merchant transaction", "safe merchant transaction")</f>
        <v>safe merchant transaction</v>
      </c>
    </row>
    <row r="1234" spans="1:18">
      <c r="A1234" t="s">
        <v>5157</v>
      </c>
      <c r="B1234" t="s">
        <v>202</v>
      </c>
      <c r="C1234">
        <v>1</v>
      </c>
      <c r="D1234" t="s">
        <v>9</v>
      </c>
      <c r="E1234" t="s">
        <v>420</v>
      </c>
      <c r="F1234" s="2">
        <v>45672</v>
      </c>
      <c r="G1234">
        <v>8483.6200000000008</v>
      </c>
      <c r="H1234" s="1">
        <f>AVERAGEIF(Table1[Customer_ID], Table1[[#This Row],[Customer_ID]], Table1[Transaction_Amount])</f>
        <v>5505.3981395348846</v>
      </c>
      <c r="I1234" t="s">
        <v>2494</v>
      </c>
      <c r="J1234" t="s">
        <v>31</v>
      </c>
      <c r="K1234" t="s">
        <v>10</v>
      </c>
      <c r="L1234">
        <v>0</v>
      </c>
      <c r="M1234" t="s">
        <v>56</v>
      </c>
      <c r="N1234" t="s">
        <v>42</v>
      </c>
      <c r="O1234" t="s">
        <v>392</v>
      </c>
      <c r="P1234" s="6" t="str">
        <f>IF(Table1[[#This Row],[Transaction_Amount]]&lt;=Table1[[#This Row],[avg_transaction_amount]], "usual transaction", "unusual transaction")</f>
        <v>unusual transaction</v>
      </c>
      <c r="Q1234" s="6" t="str">
        <f>IF(AND(Table1[[#This Row],[Country_of_Residence]]&lt;&gt;Table1[[#This Row],[Country_of_Transaction]], OR(Table1[[#This Row],[Authentication_Type]]="Biometric", Table1[[#This Row],[Authentication_Type]]="OTP")), "safe location transaction", "unsafe location transaction")</f>
        <v>safe location transaction</v>
      </c>
      <c r="R1234" s="6" t="str">
        <f>IF(AND(Table1[[#This Row],[Country_of_Residence]]&lt;&gt;Table1[[#This Row],[Country_of_Transaction]], OR(Table1[[#This Row],[Merchant_Category]]="Electronics", Table1[[#This Row],[Merchant_Category]]="Travel")), "unsafe merchant transaction", "safe merchant transaction")</f>
        <v>safe merchant transaction</v>
      </c>
    </row>
    <row r="1235" spans="1:18">
      <c r="A1235" t="s">
        <v>5228</v>
      </c>
      <c r="B1235" t="s">
        <v>202</v>
      </c>
      <c r="C1235">
        <v>1</v>
      </c>
      <c r="D1235" t="s">
        <v>15</v>
      </c>
      <c r="E1235" t="s">
        <v>5</v>
      </c>
      <c r="F1235" s="2">
        <v>45950</v>
      </c>
      <c r="G1235">
        <v>4013.83</v>
      </c>
      <c r="H1235" s="1">
        <f>AVERAGEIF(Table1[Customer_ID], Table1[[#This Row],[Customer_ID]], Table1[Transaction_Amount])</f>
        <v>5505.3981395348846</v>
      </c>
      <c r="I1235" t="s">
        <v>2550</v>
      </c>
      <c r="J1235" t="s">
        <v>36</v>
      </c>
      <c r="K1235" t="s">
        <v>14</v>
      </c>
      <c r="L1235">
        <v>1</v>
      </c>
      <c r="M1235" t="s">
        <v>37</v>
      </c>
      <c r="N1235" t="s">
        <v>32</v>
      </c>
      <c r="O1235" t="s">
        <v>393</v>
      </c>
      <c r="P1235" s="6" t="str">
        <f>IF(Table1[[#This Row],[Transaction_Amount]]&lt;=Table1[[#This Row],[avg_transaction_amount]], "usual transaction", "unusual transaction")</f>
        <v>usual transaction</v>
      </c>
      <c r="Q1235" s="6" t="str">
        <f>IF(AND(Table1[[#This Row],[Country_of_Residence]]&lt;&gt;Table1[[#This Row],[Country_of_Transaction]], OR(Table1[[#This Row],[Authentication_Type]]="Biometric", Table1[[#This Row],[Authentication_Type]]="OTP")), "safe location transaction", "unsafe location transaction")</f>
        <v>unsafe location transaction</v>
      </c>
      <c r="R1235" s="6" t="str">
        <f>IF(AND(Table1[[#This Row],[Country_of_Residence]]&lt;&gt;Table1[[#This Row],[Country_of_Transaction]], OR(Table1[[#This Row],[Merchant_Category]]="Electronics", Table1[[#This Row],[Merchant_Category]]="Travel")), "unsafe merchant transaction", "safe merchant transaction")</f>
        <v>safe merchant transaction</v>
      </c>
    </row>
    <row r="1236" spans="1:18">
      <c r="A1236" t="s">
        <v>5301</v>
      </c>
      <c r="B1236" t="s">
        <v>202</v>
      </c>
      <c r="C1236">
        <v>1</v>
      </c>
      <c r="D1236" t="s">
        <v>15</v>
      </c>
      <c r="E1236" t="s">
        <v>3</v>
      </c>
      <c r="F1236" s="2">
        <v>45920</v>
      </c>
      <c r="G1236">
        <v>9057.3700000000008</v>
      </c>
      <c r="H1236" s="1">
        <f>AVERAGEIF(Table1[Customer_ID], Table1[[#This Row],[Customer_ID]], Table1[Transaction_Amount])</f>
        <v>5505.3981395348846</v>
      </c>
      <c r="I1236" t="s">
        <v>2467</v>
      </c>
      <c r="J1236" t="s">
        <v>41</v>
      </c>
      <c r="K1236" t="s">
        <v>14</v>
      </c>
      <c r="L1236">
        <v>2</v>
      </c>
      <c r="M1236" t="s">
        <v>37</v>
      </c>
      <c r="N1236" t="s">
        <v>33</v>
      </c>
      <c r="O1236" t="s">
        <v>393</v>
      </c>
      <c r="P1236" s="6" t="str">
        <f>IF(Table1[[#This Row],[Transaction_Amount]]&lt;=Table1[[#This Row],[avg_transaction_amount]], "usual transaction", "unusual transaction")</f>
        <v>unusual transaction</v>
      </c>
      <c r="Q1236" s="6" t="str">
        <f>IF(AND(Table1[[#This Row],[Country_of_Residence]]&lt;&gt;Table1[[#This Row],[Country_of_Transaction]], OR(Table1[[#This Row],[Authentication_Type]]="Biometric", Table1[[#This Row],[Authentication_Type]]="OTP")), "safe location transaction", "unsafe location transaction")</f>
        <v>unsafe location transaction</v>
      </c>
      <c r="R1236" s="6" t="str">
        <f>IF(AND(Table1[[#This Row],[Country_of_Residence]]&lt;&gt;Table1[[#This Row],[Country_of_Transaction]], OR(Table1[[#This Row],[Merchant_Category]]="Electronics", Table1[[#This Row],[Merchant_Category]]="Travel")), "unsafe merchant transaction", "safe merchant transaction")</f>
        <v>safe merchant transaction</v>
      </c>
    </row>
    <row r="1237" spans="1:18">
      <c r="A1237" t="s">
        <v>5307</v>
      </c>
      <c r="B1237" t="s">
        <v>202</v>
      </c>
      <c r="C1237">
        <v>1</v>
      </c>
      <c r="D1237" t="s">
        <v>9</v>
      </c>
      <c r="E1237" t="s">
        <v>5</v>
      </c>
      <c r="F1237" s="2">
        <v>45949</v>
      </c>
      <c r="G1237">
        <v>8932.44</v>
      </c>
      <c r="H1237" s="1">
        <f>AVERAGEIF(Table1[Customer_ID], Table1[[#This Row],[Customer_ID]], Table1[Transaction_Amount])</f>
        <v>5505.3981395348846</v>
      </c>
      <c r="I1237" t="s">
        <v>2610</v>
      </c>
      <c r="J1237" t="s">
        <v>36</v>
      </c>
      <c r="K1237" t="s">
        <v>14</v>
      </c>
      <c r="L1237">
        <v>5</v>
      </c>
      <c r="M1237" t="s">
        <v>32</v>
      </c>
      <c r="N1237" t="s">
        <v>56</v>
      </c>
      <c r="O1237" t="s">
        <v>393</v>
      </c>
      <c r="P1237" s="6" t="str">
        <f>IF(Table1[[#This Row],[Transaction_Amount]]&lt;=Table1[[#This Row],[avg_transaction_amount]], "usual transaction", "unusual transaction")</f>
        <v>unusual transaction</v>
      </c>
      <c r="Q1237" s="6" t="str">
        <f>IF(AND(Table1[[#This Row],[Country_of_Residence]]&lt;&gt;Table1[[#This Row],[Country_of_Transaction]], OR(Table1[[#This Row],[Authentication_Type]]="Biometric", Table1[[#This Row],[Authentication_Type]]="OTP")), "safe location transaction", "unsafe location transaction")</f>
        <v>unsafe location transaction</v>
      </c>
      <c r="R1237" s="6" t="str">
        <f>IF(AND(Table1[[#This Row],[Country_of_Residence]]&lt;&gt;Table1[[#This Row],[Country_of_Transaction]], OR(Table1[[#This Row],[Merchant_Category]]="Electronics", Table1[[#This Row],[Merchant_Category]]="Travel")), "unsafe merchant transaction", "safe merchant transaction")</f>
        <v>safe merchant transaction</v>
      </c>
    </row>
    <row r="1238" spans="1:18">
      <c r="A1238" t="s">
        <v>5343</v>
      </c>
      <c r="B1238" t="s">
        <v>202</v>
      </c>
      <c r="C1238">
        <v>1</v>
      </c>
      <c r="D1238" t="s">
        <v>9</v>
      </c>
      <c r="E1238" t="s">
        <v>5</v>
      </c>
      <c r="F1238" s="2">
        <v>45754</v>
      </c>
      <c r="G1238">
        <v>4757.1499999999996</v>
      </c>
      <c r="H1238" s="1">
        <f>AVERAGEIF(Table1[Customer_ID], Table1[[#This Row],[Customer_ID]], Table1[Transaction_Amount])</f>
        <v>5505.3981395348846</v>
      </c>
      <c r="I1238" t="s">
        <v>2637</v>
      </c>
      <c r="J1238" t="s">
        <v>41</v>
      </c>
      <c r="K1238" t="s">
        <v>12</v>
      </c>
      <c r="L1238">
        <v>0</v>
      </c>
      <c r="M1238" t="s">
        <v>42</v>
      </c>
      <c r="N1238" t="s">
        <v>37</v>
      </c>
      <c r="O1238" t="s">
        <v>392</v>
      </c>
      <c r="P1238" s="6" t="str">
        <f>IF(Table1[[#This Row],[Transaction_Amount]]&lt;=Table1[[#This Row],[avg_transaction_amount]], "usual transaction", "unusual transaction")</f>
        <v>usual transaction</v>
      </c>
      <c r="Q1238" s="6" t="str">
        <f>IF(AND(Table1[[#This Row],[Country_of_Residence]]&lt;&gt;Table1[[#This Row],[Country_of_Transaction]], OR(Table1[[#This Row],[Authentication_Type]]="Biometric", Table1[[#This Row],[Authentication_Type]]="OTP")), "safe location transaction", "unsafe location transaction")</f>
        <v>unsafe location transaction</v>
      </c>
      <c r="R1238" s="6" t="str">
        <f>IF(AND(Table1[[#This Row],[Country_of_Residence]]&lt;&gt;Table1[[#This Row],[Country_of_Transaction]], OR(Table1[[#This Row],[Merchant_Category]]="Electronics", Table1[[#This Row],[Merchant_Category]]="Travel")), "unsafe merchant transaction", "safe merchant transaction")</f>
        <v>safe merchant transaction</v>
      </c>
    </row>
    <row r="1239" spans="1:18">
      <c r="A1239" t="s">
        <v>5413</v>
      </c>
      <c r="B1239" t="s">
        <v>202</v>
      </c>
      <c r="C1239">
        <v>1</v>
      </c>
      <c r="D1239" t="s">
        <v>9</v>
      </c>
      <c r="E1239" t="s">
        <v>6</v>
      </c>
      <c r="F1239" s="2">
        <v>45682</v>
      </c>
      <c r="G1239">
        <v>9602.43</v>
      </c>
      <c r="H1239" s="1">
        <f>AVERAGEIF(Table1[Customer_ID], Table1[[#This Row],[Customer_ID]], Table1[Transaction_Amount])</f>
        <v>5505.3981395348846</v>
      </c>
      <c r="I1239" t="s">
        <v>113</v>
      </c>
      <c r="J1239" t="s">
        <v>46</v>
      </c>
      <c r="K1239" t="s">
        <v>12</v>
      </c>
      <c r="L1239">
        <v>5</v>
      </c>
      <c r="M1239" t="s">
        <v>55</v>
      </c>
      <c r="N1239" t="s">
        <v>51</v>
      </c>
      <c r="O1239" t="s">
        <v>393</v>
      </c>
      <c r="P1239" s="6" t="str">
        <f>IF(Table1[[#This Row],[Transaction_Amount]]&lt;=Table1[[#This Row],[avg_transaction_amount]], "usual transaction", "unusual transaction")</f>
        <v>unusual transaction</v>
      </c>
      <c r="Q1239" s="6" t="str">
        <f>IF(AND(Table1[[#This Row],[Country_of_Residence]]&lt;&gt;Table1[[#This Row],[Country_of_Transaction]], OR(Table1[[#This Row],[Authentication_Type]]="Biometric", Table1[[#This Row],[Authentication_Type]]="OTP")), "safe location transaction", "unsafe location transaction")</f>
        <v>unsafe location transaction</v>
      </c>
      <c r="R1239" s="6" t="str">
        <f>IF(AND(Table1[[#This Row],[Country_of_Residence]]&lt;&gt;Table1[[#This Row],[Country_of_Transaction]], OR(Table1[[#This Row],[Merchant_Category]]="Electronics", Table1[[#This Row],[Merchant_Category]]="Travel")), "unsafe merchant transaction", "safe merchant transaction")</f>
        <v>safe merchant transaction</v>
      </c>
    </row>
    <row r="1240" spans="1:18">
      <c r="A1240" t="s">
        <v>5439</v>
      </c>
      <c r="B1240" t="s">
        <v>202</v>
      </c>
      <c r="C1240">
        <v>1</v>
      </c>
      <c r="D1240" t="s">
        <v>9</v>
      </c>
      <c r="E1240" t="s">
        <v>3</v>
      </c>
      <c r="F1240" s="2">
        <v>45912</v>
      </c>
      <c r="G1240">
        <v>328.78</v>
      </c>
      <c r="H1240" s="1">
        <f>AVERAGEIF(Table1[Customer_ID], Table1[[#This Row],[Customer_ID]], Table1[Transaction_Amount])</f>
        <v>5505.3981395348846</v>
      </c>
      <c r="I1240" t="s">
        <v>2708</v>
      </c>
      <c r="J1240" t="s">
        <v>31</v>
      </c>
      <c r="K1240" t="s">
        <v>8</v>
      </c>
      <c r="L1240">
        <v>1</v>
      </c>
      <c r="M1240" t="s">
        <v>51</v>
      </c>
      <c r="N1240" t="s">
        <v>37</v>
      </c>
      <c r="O1240" t="s">
        <v>393</v>
      </c>
      <c r="P1240" s="6" t="str">
        <f>IF(Table1[[#This Row],[Transaction_Amount]]&lt;=Table1[[#This Row],[avg_transaction_amount]], "usual transaction", "unusual transaction")</f>
        <v>usual transaction</v>
      </c>
      <c r="Q1240" s="6" t="str">
        <f>IF(AND(Table1[[#This Row],[Country_of_Residence]]&lt;&gt;Table1[[#This Row],[Country_of_Transaction]], OR(Table1[[#This Row],[Authentication_Type]]="Biometric", Table1[[#This Row],[Authentication_Type]]="OTP")), "safe location transaction", "unsafe location transaction")</f>
        <v>safe location transaction</v>
      </c>
      <c r="R1240" s="6" t="str">
        <f>IF(AND(Table1[[#This Row],[Country_of_Residence]]&lt;&gt;Table1[[#This Row],[Country_of_Transaction]], OR(Table1[[#This Row],[Merchant_Category]]="Electronics", Table1[[#This Row],[Merchant_Category]]="Travel")), "unsafe merchant transaction", "safe merchant transaction")</f>
        <v>safe merchant transaction</v>
      </c>
    </row>
    <row r="1241" spans="1:18">
      <c r="A1241" t="s">
        <v>5485</v>
      </c>
      <c r="B1241" t="s">
        <v>202</v>
      </c>
      <c r="C1241">
        <v>1</v>
      </c>
      <c r="D1241" t="s">
        <v>15</v>
      </c>
      <c r="E1241" t="s">
        <v>420</v>
      </c>
      <c r="F1241" s="2">
        <v>45844</v>
      </c>
      <c r="G1241">
        <v>8810.61</v>
      </c>
      <c r="H1241" s="1">
        <f>AVERAGEIF(Table1[Customer_ID], Table1[[#This Row],[Customer_ID]], Table1[Transaction_Amount])</f>
        <v>5505.3981395348846</v>
      </c>
      <c r="I1241" t="s">
        <v>2742</v>
      </c>
      <c r="J1241" t="s">
        <v>41</v>
      </c>
      <c r="K1241" t="s">
        <v>8</v>
      </c>
      <c r="L1241">
        <v>4</v>
      </c>
      <c r="M1241" t="s">
        <v>42</v>
      </c>
      <c r="N1241" t="s">
        <v>33</v>
      </c>
      <c r="O1241" t="s">
        <v>393</v>
      </c>
      <c r="P1241" s="6" t="str">
        <f>IF(Table1[[#This Row],[Transaction_Amount]]&lt;=Table1[[#This Row],[avg_transaction_amount]], "usual transaction", "unusual transaction")</f>
        <v>unusual transaction</v>
      </c>
      <c r="Q1241" s="6" t="str">
        <f>IF(AND(Table1[[#This Row],[Country_of_Residence]]&lt;&gt;Table1[[#This Row],[Country_of_Transaction]], OR(Table1[[#This Row],[Authentication_Type]]="Biometric", Table1[[#This Row],[Authentication_Type]]="OTP")), "safe location transaction", "unsafe location transaction")</f>
        <v>safe location transaction</v>
      </c>
      <c r="R1241" s="6" t="str">
        <f>IF(AND(Table1[[#This Row],[Country_of_Residence]]&lt;&gt;Table1[[#This Row],[Country_of_Transaction]], OR(Table1[[#This Row],[Merchant_Category]]="Electronics", Table1[[#This Row],[Merchant_Category]]="Travel")), "unsafe merchant transaction", "safe merchant transaction")</f>
        <v>safe merchant transaction</v>
      </c>
    </row>
    <row r="1242" spans="1:18">
      <c r="A1242" t="s">
        <v>5498</v>
      </c>
      <c r="B1242" t="s">
        <v>202</v>
      </c>
      <c r="C1242">
        <v>1</v>
      </c>
      <c r="D1242" t="s">
        <v>15</v>
      </c>
      <c r="E1242" t="s">
        <v>6</v>
      </c>
      <c r="F1242" s="2">
        <v>46005</v>
      </c>
      <c r="G1242">
        <v>4278.9799999999996</v>
      </c>
      <c r="H1242" s="1">
        <f>AVERAGEIF(Table1[Customer_ID], Table1[[#This Row],[Customer_ID]], Table1[Transaction_Amount])</f>
        <v>5505.3981395348846</v>
      </c>
      <c r="I1242" t="s">
        <v>2754</v>
      </c>
      <c r="J1242" t="s">
        <v>41</v>
      </c>
      <c r="K1242" t="s">
        <v>12</v>
      </c>
      <c r="L1242">
        <v>2</v>
      </c>
      <c r="M1242" t="s">
        <v>55</v>
      </c>
      <c r="N1242" t="s">
        <v>42</v>
      </c>
      <c r="O1242" t="s">
        <v>393</v>
      </c>
      <c r="P1242" s="6" t="str">
        <f>IF(Table1[[#This Row],[Transaction_Amount]]&lt;=Table1[[#This Row],[avg_transaction_amount]], "usual transaction", "unusual transaction")</f>
        <v>usual transaction</v>
      </c>
      <c r="Q1242" s="6" t="str">
        <f>IF(AND(Table1[[#This Row],[Country_of_Residence]]&lt;&gt;Table1[[#This Row],[Country_of_Transaction]], OR(Table1[[#This Row],[Authentication_Type]]="Biometric", Table1[[#This Row],[Authentication_Type]]="OTP")), "safe location transaction", "unsafe location transaction")</f>
        <v>unsafe location transaction</v>
      </c>
      <c r="R1242" s="6" t="str">
        <f>IF(AND(Table1[[#This Row],[Country_of_Residence]]&lt;&gt;Table1[[#This Row],[Country_of_Transaction]], OR(Table1[[#This Row],[Merchant_Category]]="Electronics", Table1[[#This Row],[Merchant_Category]]="Travel")), "unsafe merchant transaction", "safe merchant transaction")</f>
        <v>safe merchant transaction</v>
      </c>
    </row>
    <row r="1243" spans="1:18">
      <c r="A1243" t="s">
        <v>2849</v>
      </c>
      <c r="B1243" t="s">
        <v>500</v>
      </c>
      <c r="C1243">
        <v>1</v>
      </c>
      <c r="D1243" t="s">
        <v>9</v>
      </c>
      <c r="E1243" t="s">
        <v>3</v>
      </c>
      <c r="F1243" s="2">
        <v>45747</v>
      </c>
      <c r="G1243">
        <v>7910.35</v>
      </c>
      <c r="H1243" s="1">
        <f>AVERAGEIF(Table1[Customer_ID], Table1[[#This Row],[Customer_ID]], Table1[Transaction_Amount])</f>
        <v>5525.9379999999983</v>
      </c>
      <c r="I1243" t="s">
        <v>501</v>
      </c>
      <c r="J1243" t="s">
        <v>46</v>
      </c>
      <c r="K1243" t="s">
        <v>8</v>
      </c>
      <c r="L1243">
        <v>4</v>
      </c>
      <c r="M1243" t="s">
        <v>32</v>
      </c>
      <c r="N1243" t="s">
        <v>32</v>
      </c>
      <c r="O1243" t="s">
        <v>393</v>
      </c>
      <c r="P1243" s="6" t="str">
        <f>IF(Table1[[#This Row],[Transaction_Amount]]&lt;=Table1[[#This Row],[avg_transaction_amount]], "usual transaction", "unusual transaction")</f>
        <v>unusual transaction</v>
      </c>
      <c r="Q1243" s="6" t="str">
        <f>IF(AND(Table1[[#This Row],[Country_of_Residence]]&lt;&gt;Table1[[#This Row],[Country_of_Transaction]], OR(Table1[[#This Row],[Authentication_Type]]="Biometric", Table1[[#This Row],[Authentication_Type]]="OTP")), "safe location transaction", "unsafe location transaction")</f>
        <v>unsafe location transaction</v>
      </c>
      <c r="R1243" s="6" t="str">
        <f>IF(AND(Table1[[#This Row],[Country_of_Residence]]&lt;&gt;Table1[[#This Row],[Country_of_Transaction]], OR(Table1[[#This Row],[Merchant_Category]]="Electronics", Table1[[#This Row],[Merchant_Category]]="Travel")), "unsafe merchant transaction", "safe merchant transaction")</f>
        <v>safe merchant transaction</v>
      </c>
    </row>
    <row r="1244" spans="1:18">
      <c r="A1244" t="s">
        <v>2877</v>
      </c>
      <c r="B1244" t="s">
        <v>500</v>
      </c>
      <c r="C1244">
        <v>1</v>
      </c>
      <c r="D1244" t="s">
        <v>9</v>
      </c>
      <c r="E1244" t="s">
        <v>5</v>
      </c>
      <c r="F1244" s="2">
        <v>45778</v>
      </c>
      <c r="G1244">
        <v>9308.2000000000007</v>
      </c>
      <c r="H1244" s="1">
        <f>AVERAGEIF(Table1[Customer_ID], Table1[[#This Row],[Customer_ID]], Table1[Transaction_Amount])</f>
        <v>5525.9379999999983</v>
      </c>
      <c r="I1244" t="s">
        <v>528</v>
      </c>
      <c r="J1244" t="s">
        <v>50</v>
      </c>
      <c r="K1244" t="s">
        <v>12</v>
      </c>
      <c r="L1244">
        <v>0</v>
      </c>
      <c r="M1244" t="s">
        <v>51</v>
      </c>
      <c r="N1244" t="s">
        <v>32</v>
      </c>
      <c r="O1244" t="s">
        <v>393</v>
      </c>
      <c r="P1244" s="6" t="str">
        <f>IF(Table1[[#This Row],[Transaction_Amount]]&lt;=Table1[[#This Row],[avg_transaction_amount]], "usual transaction", "unusual transaction")</f>
        <v>unusual transaction</v>
      </c>
      <c r="Q1244" s="6" t="str">
        <f>IF(AND(Table1[[#This Row],[Country_of_Residence]]&lt;&gt;Table1[[#This Row],[Country_of_Transaction]], OR(Table1[[#This Row],[Authentication_Type]]="Biometric", Table1[[#This Row],[Authentication_Type]]="OTP")), "safe location transaction", "unsafe location transaction")</f>
        <v>unsafe location transaction</v>
      </c>
      <c r="R1244" s="6" t="str">
        <f>IF(AND(Table1[[#This Row],[Country_of_Residence]]&lt;&gt;Table1[[#This Row],[Country_of_Transaction]], OR(Table1[[#This Row],[Merchant_Category]]="Electronics", Table1[[#This Row],[Merchant_Category]]="Travel")), "unsafe merchant transaction", "safe merchant transaction")</f>
        <v>unsafe merchant transaction</v>
      </c>
    </row>
    <row r="1245" spans="1:18">
      <c r="A1245" t="s">
        <v>2882</v>
      </c>
      <c r="B1245" t="s">
        <v>500</v>
      </c>
      <c r="C1245">
        <v>1</v>
      </c>
      <c r="D1245" t="s">
        <v>15</v>
      </c>
      <c r="E1245" t="s">
        <v>5</v>
      </c>
      <c r="F1245" s="2">
        <v>45726</v>
      </c>
      <c r="G1245">
        <v>2449.1999999999998</v>
      </c>
      <c r="H1245" s="1">
        <f>AVERAGEIF(Table1[Customer_ID], Table1[[#This Row],[Customer_ID]], Table1[Transaction_Amount])</f>
        <v>5525.9379999999983</v>
      </c>
      <c r="I1245" t="s">
        <v>490</v>
      </c>
      <c r="J1245" t="s">
        <v>41</v>
      </c>
      <c r="K1245" t="s">
        <v>14</v>
      </c>
      <c r="L1245">
        <v>5</v>
      </c>
      <c r="M1245" t="s">
        <v>42</v>
      </c>
      <c r="N1245" t="s">
        <v>47</v>
      </c>
      <c r="O1245" t="s">
        <v>393</v>
      </c>
      <c r="P1245" s="6" t="str">
        <f>IF(Table1[[#This Row],[Transaction_Amount]]&lt;=Table1[[#This Row],[avg_transaction_amount]], "usual transaction", "unusual transaction")</f>
        <v>usual transaction</v>
      </c>
      <c r="Q1245" s="6" t="str">
        <f>IF(AND(Table1[[#This Row],[Country_of_Residence]]&lt;&gt;Table1[[#This Row],[Country_of_Transaction]], OR(Table1[[#This Row],[Authentication_Type]]="Biometric", Table1[[#This Row],[Authentication_Type]]="OTP")), "safe location transaction", "unsafe location transaction")</f>
        <v>unsafe location transaction</v>
      </c>
      <c r="R1245" s="6" t="str">
        <f>IF(AND(Table1[[#This Row],[Country_of_Residence]]&lt;&gt;Table1[[#This Row],[Country_of_Transaction]], OR(Table1[[#This Row],[Merchant_Category]]="Electronics", Table1[[#This Row],[Merchant_Category]]="Travel")), "unsafe merchant transaction", "safe merchant transaction")</f>
        <v>safe merchant transaction</v>
      </c>
    </row>
    <row r="1246" spans="1:18">
      <c r="A1246" t="s">
        <v>2978</v>
      </c>
      <c r="B1246" t="s">
        <v>500</v>
      </c>
      <c r="C1246">
        <v>1</v>
      </c>
      <c r="D1246" t="s">
        <v>15</v>
      </c>
      <c r="E1246" t="s">
        <v>6</v>
      </c>
      <c r="F1246" s="2">
        <v>45799</v>
      </c>
      <c r="G1246">
        <v>9634.32</v>
      </c>
      <c r="H1246" s="1">
        <f>AVERAGEIF(Table1[Customer_ID], Table1[[#This Row],[Customer_ID]], Table1[Transaction_Amount])</f>
        <v>5525.9379999999983</v>
      </c>
      <c r="I1246" t="s">
        <v>626</v>
      </c>
      <c r="J1246" t="s">
        <v>46</v>
      </c>
      <c r="K1246" t="s">
        <v>14</v>
      </c>
      <c r="L1246">
        <v>5</v>
      </c>
      <c r="M1246" t="s">
        <v>412</v>
      </c>
      <c r="N1246" t="s">
        <v>37</v>
      </c>
      <c r="O1246" t="s">
        <v>392</v>
      </c>
      <c r="P1246" s="6" t="str">
        <f>IF(Table1[[#This Row],[Transaction_Amount]]&lt;=Table1[[#This Row],[avg_transaction_amount]], "usual transaction", "unusual transaction")</f>
        <v>unusual transaction</v>
      </c>
      <c r="Q1246" s="6" t="str">
        <f>IF(AND(Table1[[#This Row],[Country_of_Residence]]&lt;&gt;Table1[[#This Row],[Country_of_Transaction]], OR(Table1[[#This Row],[Authentication_Type]]="Biometric", Table1[[#This Row],[Authentication_Type]]="OTP")), "safe location transaction", "unsafe location transaction")</f>
        <v>unsafe location transaction</v>
      </c>
      <c r="R1246" s="6" t="str">
        <f>IF(AND(Table1[[#This Row],[Country_of_Residence]]&lt;&gt;Table1[[#This Row],[Country_of_Transaction]], OR(Table1[[#This Row],[Merchant_Category]]="Electronics", Table1[[#This Row],[Merchant_Category]]="Travel")), "unsafe merchant transaction", "safe merchant transaction")</f>
        <v>safe merchant transaction</v>
      </c>
    </row>
    <row r="1247" spans="1:18">
      <c r="A1247" t="s">
        <v>3009</v>
      </c>
      <c r="B1247" t="s">
        <v>500</v>
      </c>
      <c r="C1247">
        <v>1</v>
      </c>
      <c r="D1247" t="s">
        <v>15</v>
      </c>
      <c r="E1247" t="s">
        <v>3</v>
      </c>
      <c r="F1247" s="2">
        <v>45855</v>
      </c>
      <c r="G1247">
        <v>2603.75</v>
      </c>
      <c r="H1247" s="1">
        <f>AVERAGEIF(Table1[Customer_ID], Table1[[#This Row],[Customer_ID]], Table1[Transaction_Amount])</f>
        <v>5525.9379999999983</v>
      </c>
      <c r="I1247" t="s">
        <v>656</v>
      </c>
      <c r="J1247" t="s">
        <v>46</v>
      </c>
      <c r="K1247" t="s">
        <v>8</v>
      </c>
      <c r="L1247">
        <v>3</v>
      </c>
      <c r="M1247" t="s">
        <v>56</v>
      </c>
      <c r="N1247" t="s">
        <v>51</v>
      </c>
      <c r="O1247" t="s">
        <v>393</v>
      </c>
      <c r="P1247" s="6" t="str">
        <f>IF(Table1[[#This Row],[Transaction_Amount]]&lt;=Table1[[#This Row],[avg_transaction_amount]], "usual transaction", "unusual transaction")</f>
        <v>usual transaction</v>
      </c>
      <c r="Q1247" s="6" t="str">
        <f>IF(AND(Table1[[#This Row],[Country_of_Residence]]&lt;&gt;Table1[[#This Row],[Country_of_Transaction]], OR(Table1[[#This Row],[Authentication_Type]]="Biometric", Table1[[#This Row],[Authentication_Type]]="OTP")), "safe location transaction", "unsafe location transaction")</f>
        <v>safe location transaction</v>
      </c>
      <c r="R1247" s="6" t="str">
        <f>IF(AND(Table1[[#This Row],[Country_of_Residence]]&lt;&gt;Table1[[#This Row],[Country_of_Transaction]], OR(Table1[[#This Row],[Merchant_Category]]="Electronics", Table1[[#This Row],[Merchant_Category]]="Travel")), "unsafe merchant transaction", "safe merchant transaction")</f>
        <v>safe merchant transaction</v>
      </c>
    </row>
    <row r="1248" spans="1:18">
      <c r="A1248" t="s">
        <v>3039</v>
      </c>
      <c r="B1248" t="s">
        <v>500</v>
      </c>
      <c r="C1248">
        <v>1</v>
      </c>
      <c r="D1248" t="s">
        <v>9</v>
      </c>
      <c r="E1248" t="s">
        <v>3</v>
      </c>
      <c r="F1248" s="2">
        <v>45774</v>
      </c>
      <c r="G1248">
        <v>7513.65</v>
      </c>
      <c r="H1248" s="1">
        <f>AVERAGEIF(Table1[Customer_ID], Table1[[#This Row],[Customer_ID]], Table1[Transaction_Amount])</f>
        <v>5525.9379999999983</v>
      </c>
      <c r="I1248" t="s">
        <v>155</v>
      </c>
      <c r="J1248" t="s">
        <v>46</v>
      </c>
      <c r="K1248" t="s">
        <v>10</v>
      </c>
      <c r="L1248">
        <v>4</v>
      </c>
      <c r="M1248" t="s">
        <v>33</v>
      </c>
      <c r="N1248" t="s">
        <v>42</v>
      </c>
      <c r="O1248" t="s">
        <v>392</v>
      </c>
      <c r="P1248" s="6" t="str">
        <f>IF(Table1[[#This Row],[Transaction_Amount]]&lt;=Table1[[#This Row],[avg_transaction_amount]], "usual transaction", "unusual transaction")</f>
        <v>unusual transaction</v>
      </c>
      <c r="Q1248" s="6" t="str">
        <f>IF(AND(Table1[[#This Row],[Country_of_Residence]]&lt;&gt;Table1[[#This Row],[Country_of_Transaction]], OR(Table1[[#This Row],[Authentication_Type]]="Biometric", Table1[[#This Row],[Authentication_Type]]="OTP")), "safe location transaction", "unsafe location transaction")</f>
        <v>safe location transaction</v>
      </c>
      <c r="R1248" s="6" t="str">
        <f>IF(AND(Table1[[#This Row],[Country_of_Residence]]&lt;&gt;Table1[[#This Row],[Country_of_Transaction]], OR(Table1[[#This Row],[Merchant_Category]]="Electronics", Table1[[#This Row],[Merchant_Category]]="Travel")), "unsafe merchant transaction", "safe merchant transaction")</f>
        <v>safe merchant transaction</v>
      </c>
    </row>
    <row r="1249" spans="1:18">
      <c r="A1249" t="s">
        <v>3043</v>
      </c>
      <c r="B1249" t="s">
        <v>500</v>
      </c>
      <c r="C1249">
        <v>1</v>
      </c>
      <c r="D1249" t="s">
        <v>15</v>
      </c>
      <c r="E1249" t="s">
        <v>420</v>
      </c>
      <c r="F1249" s="2">
        <v>45764</v>
      </c>
      <c r="G1249">
        <v>7049.2</v>
      </c>
      <c r="H1249" s="1">
        <f>AVERAGEIF(Table1[Customer_ID], Table1[[#This Row],[Customer_ID]], Table1[Transaction_Amount])</f>
        <v>5525.9379999999983</v>
      </c>
      <c r="I1249" t="s">
        <v>688</v>
      </c>
      <c r="J1249" t="s">
        <v>50</v>
      </c>
      <c r="K1249" t="s">
        <v>12</v>
      </c>
      <c r="L1249">
        <v>0</v>
      </c>
      <c r="M1249" t="s">
        <v>412</v>
      </c>
      <c r="N1249" t="s">
        <v>32</v>
      </c>
      <c r="O1249" t="s">
        <v>392</v>
      </c>
      <c r="P1249" s="6" t="str">
        <f>IF(Table1[[#This Row],[Transaction_Amount]]&lt;=Table1[[#This Row],[avg_transaction_amount]], "usual transaction", "unusual transaction")</f>
        <v>unusual transaction</v>
      </c>
      <c r="Q1249" s="6" t="str">
        <f>IF(AND(Table1[[#This Row],[Country_of_Residence]]&lt;&gt;Table1[[#This Row],[Country_of_Transaction]], OR(Table1[[#This Row],[Authentication_Type]]="Biometric", Table1[[#This Row],[Authentication_Type]]="OTP")), "safe location transaction", "unsafe location transaction")</f>
        <v>unsafe location transaction</v>
      </c>
      <c r="R1249" s="6" t="str">
        <f>IF(AND(Table1[[#This Row],[Country_of_Residence]]&lt;&gt;Table1[[#This Row],[Country_of_Transaction]], OR(Table1[[#This Row],[Merchant_Category]]="Electronics", Table1[[#This Row],[Merchant_Category]]="Travel")), "unsafe merchant transaction", "safe merchant transaction")</f>
        <v>unsafe merchant transaction</v>
      </c>
    </row>
    <row r="1250" spans="1:18">
      <c r="A1250" t="s">
        <v>3046</v>
      </c>
      <c r="B1250" t="s">
        <v>500</v>
      </c>
      <c r="C1250">
        <v>1</v>
      </c>
      <c r="D1250" t="s">
        <v>9</v>
      </c>
      <c r="E1250" t="s">
        <v>3</v>
      </c>
      <c r="F1250" s="2">
        <v>45848</v>
      </c>
      <c r="G1250">
        <v>8950.5499999999993</v>
      </c>
      <c r="H1250" s="1">
        <f>AVERAGEIF(Table1[Customer_ID], Table1[[#This Row],[Customer_ID]], Table1[Transaction_Amount])</f>
        <v>5525.9379999999983</v>
      </c>
      <c r="I1250" t="s">
        <v>691</v>
      </c>
      <c r="J1250" t="s">
        <v>31</v>
      </c>
      <c r="K1250" t="s">
        <v>8</v>
      </c>
      <c r="L1250">
        <v>3</v>
      </c>
      <c r="M1250" t="s">
        <v>47</v>
      </c>
      <c r="N1250" t="s">
        <v>37</v>
      </c>
      <c r="O1250" t="s">
        <v>393</v>
      </c>
      <c r="P1250" s="6" t="str">
        <f>IF(Table1[[#This Row],[Transaction_Amount]]&lt;=Table1[[#This Row],[avg_transaction_amount]], "usual transaction", "unusual transaction")</f>
        <v>unusual transaction</v>
      </c>
      <c r="Q1250" s="6" t="str">
        <f>IF(AND(Table1[[#This Row],[Country_of_Residence]]&lt;&gt;Table1[[#This Row],[Country_of_Transaction]], OR(Table1[[#This Row],[Authentication_Type]]="Biometric", Table1[[#This Row],[Authentication_Type]]="OTP")), "safe location transaction", "unsafe location transaction")</f>
        <v>safe location transaction</v>
      </c>
      <c r="R1250" s="6" t="str">
        <f>IF(AND(Table1[[#This Row],[Country_of_Residence]]&lt;&gt;Table1[[#This Row],[Country_of_Transaction]], OR(Table1[[#This Row],[Merchant_Category]]="Electronics", Table1[[#This Row],[Merchant_Category]]="Travel")), "unsafe merchant transaction", "safe merchant transaction")</f>
        <v>safe merchant transaction</v>
      </c>
    </row>
    <row r="1251" spans="1:18">
      <c r="A1251" t="s">
        <v>3072</v>
      </c>
      <c r="B1251" t="s">
        <v>500</v>
      </c>
      <c r="C1251">
        <v>1</v>
      </c>
      <c r="D1251" t="s">
        <v>9</v>
      </c>
      <c r="E1251" t="s">
        <v>3</v>
      </c>
      <c r="F1251" s="2">
        <v>45802</v>
      </c>
      <c r="G1251">
        <v>9284.08</v>
      </c>
      <c r="H1251" s="1">
        <f>AVERAGEIF(Table1[Customer_ID], Table1[[#This Row],[Customer_ID]], Table1[Transaction_Amount])</f>
        <v>5525.9379999999983</v>
      </c>
      <c r="I1251" t="s">
        <v>716</v>
      </c>
      <c r="J1251" t="s">
        <v>36</v>
      </c>
      <c r="K1251" t="s">
        <v>10</v>
      </c>
      <c r="L1251">
        <v>3</v>
      </c>
      <c r="M1251" t="s">
        <v>42</v>
      </c>
      <c r="N1251" t="s">
        <v>33</v>
      </c>
      <c r="O1251" t="s">
        <v>392</v>
      </c>
      <c r="P1251" s="6" t="str">
        <f>IF(Table1[[#This Row],[Transaction_Amount]]&lt;=Table1[[#This Row],[avg_transaction_amount]], "usual transaction", "unusual transaction")</f>
        <v>unusual transaction</v>
      </c>
      <c r="Q1251" s="6" t="str">
        <f>IF(AND(Table1[[#This Row],[Country_of_Residence]]&lt;&gt;Table1[[#This Row],[Country_of_Transaction]], OR(Table1[[#This Row],[Authentication_Type]]="Biometric", Table1[[#This Row],[Authentication_Type]]="OTP")), "safe location transaction", "unsafe location transaction")</f>
        <v>safe location transaction</v>
      </c>
      <c r="R1251" s="6" t="str">
        <f>IF(AND(Table1[[#This Row],[Country_of_Residence]]&lt;&gt;Table1[[#This Row],[Country_of_Transaction]], OR(Table1[[#This Row],[Merchant_Category]]="Electronics", Table1[[#This Row],[Merchant_Category]]="Travel")), "unsafe merchant transaction", "safe merchant transaction")</f>
        <v>safe merchant transaction</v>
      </c>
    </row>
    <row r="1252" spans="1:18">
      <c r="A1252" t="s">
        <v>3112</v>
      </c>
      <c r="B1252" t="s">
        <v>500</v>
      </c>
      <c r="C1252">
        <v>1</v>
      </c>
      <c r="D1252" t="s">
        <v>9</v>
      </c>
      <c r="E1252" t="s">
        <v>3</v>
      </c>
      <c r="F1252" s="2">
        <v>45853</v>
      </c>
      <c r="G1252">
        <v>3284.65</v>
      </c>
      <c r="H1252" s="1">
        <f>AVERAGEIF(Table1[Customer_ID], Table1[[#This Row],[Customer_ID]], Table1[Transaction_Amount])</f>
        <v>5525.9379999999983</v>
      </c>
      <c r="I1252" t="s">
        <v>754</v>
      </c>
      <c r="J1252" t="s">
        <v>36</v>
      </c>
      <c r="K1252" t="s">
        <v>12</v>
      </c>
      <c r="L1252">
        <v>1</v>
      </c>
      <c r="M1252" t="s">
        <v>51</v>
      </c>
      <c r="N1252" t="s">
        <v>56</v>
      </c>
      <c r="O1252" t="s">
        <v>393</v>
      </c>
      <c r="P1252" s="6" t="str">
        <f>IF(Table1[[#This Row],[Transaction_Amount]]&lt;=Table1[[#This Row],[avg_transaction_amount]], "usual transaction", "unusual transaction")</f>
        <v>usual transaction</v>
      </c>
      <c r="Q1252" s="6" t="str">
        <f>IF(AND(Table1[[#This Row],[Country_of_Residence]]&lt;&gt;Table1[[#This Row],[Country_of_Transaction]], OR(Table1[[#This Row],[Authentication_Type]]="Biometric", Table1[[#This Row],[Authentication_Type]]="OTP")), "safe location transaction", "unsafe location transaction")</f>
        <v>unsafe location transaction</v>
      </c>
      <c r="R1252" s="6" t="str">
        <f>IF(AND(Table1[[#This Row],[Country_of_Residence]]&lt;&gt;Table1[[#This Row],[Country_of_Transaction]], OR(Table1[[#This Row],[Merchant_Category]]="Electronics", Table1[[#This Row],[Merchant_Category]]="Travel")), "unsafe merchant transaction", "safe merchant transaction")</f>
        <v>safe merchant transaction</v>
      </c>
    </row>
    <row r="1253" spans="1:18">
      <c r="A1253" t="s">
        <v>3129</v>
      </c>
      <c r="B1253" t="s">
        <v>500</v>
      </c>
      <c r="C1253">
        <v>1</v>
      </c>
      <c r="D1253" t="s">
        <v>15</v>
      </c>
      <c r="E1253" t="s">
        <v>6</v>
      </c>
      <c r="F1253" s="2">
        <v>45907</v>
      </c>
      <c r="G1253">
        <v>6463.52</v>
      </c>
      <c r="H1253" s="1">
        <f>AVERAGEIF(Table1[Customer_ID], Table1[[#This Row],[Customer_ID]], Table1[Transaction_Amount])</f>
        <v>5525.9379999999983</v>
      </c>
      <c r="I1253" t="s">
        <v>770</v>
      </c>
      <c r="J1253" t="s">
        <v>41</v>
      </c>
      <c r="K1253" t="s">
        <v>14</v>
      </c>
      <c r="L1253">
        <v>3</v>
      </c>
      <c r="M1253" t="s">
        <v>55</v>
      </c>
      <c r="N1253" t="s">
        <v>412</v>
      </c>
      <c r="O1253" t="s">
        <v>393</v>
      </c>
      <c r="P1253" s="6" t="str">
        <f>IF(Table1[[#This Row],[Transaction_Amount]]&lt;=Table1[[#This Row],[avg_transaction_amount]], "usual transaction", "unusual transaction")</f>
        <v>unusual transaction</v>
      </c>
      <c r="Q1253" s="6" t="str">
        <f>IF(AND(Table1[[#This Row],[Country_of_Residence]]&lt;&gt;Table1[[#This Row],[Country_of_Transaction]], OR(Table1[[#This Row],[Authentication_Type]]="Biometric", Table1[[#This Row],[Authentication_Type]]="OTP")), "safe location transaction", "unsafe location transaction")</f>
        <v>unsafe location transaction</v>
      </c>
      <c r="R1253" s="6" t="str">
        <f>IF(AND(Table1[[#This Row],[Country_of_Residence]]&lt;&gt;Table1[[#This Row],[Country_of_Transaction]], OR(Table1[[#This Row],[Merchant_Category]]="Electronics", Table1[[#This Row],[Merchant_Category]]="Travel")), "unsafe merchant transaction", "safe merchant transaction")</f>
        <v>safe merchant transaction</v>
      </c>
    </row>
    <row r="1254" spans="1:18">
      <c r="A1254" t="s">
        <v>3130</v>
      </c>
      <c r="B1254" t="s">
        <v>500</v>
      </c>
      <c r="C1254">
        <v>1</v>
      </c>
      <c r="D1254" t="s">
        <v>15</v>
      </c>
      <c r="E1254" t="s">
        <v>420</v>
      </c>
      <c r="F1254" s="2">
        <v>46019</v>
      </c>
      <c r="G1254">
        <v>7257.77</v>
      </c>
      <c r="H1254" s="1">
        <f>AVERAGEIF(Table1[Customer_ID], Table1[[#This Row],[Customer_ID]], Table1[Transaction_Amount])</f>
        <v>5525.9379999999983</v>
      </c>
      <c r="I1254" t="s">
        <v>771</v>
      </c>
      <c r="J1254" t="s">
        <v>41</v>
      </c>
      <c r="K1254" t="s">
        <v>8</v>
      </c>
      <c r="L1254">
        <v>1</v>
      </c>
      <c r="M1254" t="s">
        <v>42</v>
      </c>
      <c r="N1254" t="s">
        <v>33</v>
      </c>
      <c r="O1254" t="s">
        <v>393</v>
      </c>
      <c r="P1254" s="6" t="str">
        <f>IF(Table1[[#This Row],[Transaction_Amount]]&lt;=Table1[[#This Row],[avg_transaction_amount]], "usual transaction", "unusual transaction")</f>
        <v>unusual transaction</v>
      </c>
      <c r="Q1254" s="6" t="str">
        <f>IF(AND(Table1[[#This Row],[Country_of_Residence]]&lt;&gt;Table1[[#This Row],[Country_of_Transaction]], OR(Table1[[#This Row],[Authentication_Type]]="Biometric", Table1[[#This Row],[Authentication_Type]]="OTP")), "safe location transaction", "unsafe location transaction")</f>
        <v>safe location transaction</v>
      </c>
      <c r="R1254" s="6" t="str">
        <f>IF(AND(Table1[[#This Row],[Country_of_Residence]]&lt;&gt;Table1[[#This Row],[Country_of_Transaction]], OR(Table1[[#This Row],[Merchant_Category]]="Electronics", Table1[[#This Row],[Merchant_Category]]="Travel")), "unsafe merchant transaction", "safe merchant transaction")</f>
        <v>safe merchant transaction</v>
      </c>
    </row>
    <row r="1255" spans="1:18">
      <c r="A1255" t="s">
        <v>3153</v>
      </c>
      <c r="B1255" t="s">
        <v>500</v>
      </c>
      <c r="C1255">
        <v>1</v>
      </c>
      <c r="D1255" t="s">
        <v>9</v>
      </c>
      <c r="E1255" t="s">
        <v>6</v>
      </c>
      <c r="F1255" s="2">
        <v>45914</v>
      </c>
      <c r="G1255">
        <v>6858.9</v>
      </c>
      <c r="H1255" s="1">
        <f>AVERAGEIF(Table1[Customer_ID], Table1[[#This Row],[Customer_ID]], Table1[Transaction_Amount])</f>
        <v>5525.9379999999983</v>
      </c>
      <c r="I1255" t="s">
        <v>791</v>
      </c>
      <c r="J1255" t="s">
        <v>50</v>
      </c>
      <c r="K1255" t="s">
        <v>8</v>
      </c>
      <c r="L1255">
        <v>0</v>
      </c>
      <c r="M1255" t="s">
        <v>33</v>
      </c>
      <c r="N1255" t="s">
        <v>37</v>
      </c>
      <c r="O1255" t="s">
        <v>392</v>
      </c>
      <c r="P1255" s="6" t="str">
        <f>IF(Table1[[#This Row],[Transaction_Amount]]&lt;=Table1[[#This Row],[avg_transaction_amount]], "usual transaction", "unusual transaction")</f>
        <v>unusual transaction</v>
      </c>
      <c r="Q1255" s="6" t="str">
        <f>IF(AND(Table1[[#This Row],[Country_of_Residence]]&lt;&gt;Table1[[#This Row],[Country_of_Transaction]], OR(Table1[[#This Row],[Authentication_Type]]="Biometric", Table1[[#This Row],[Authentication_Type]]="OTP")), "safe location transaction", "unsafe location transaction")</f>
        <v>safe location transaction</v>
      </c>
      <c r="R1255" s="6" t="str">
        <f>IF(AND(Table1[[#This Row],[Country_of_Residence]]&lt;&gt;Table1[[#This Row],[Country_of_Transaction]], OR(Table1[[#This Row],[Merchant_Category]]="Electronics", Table1[[#This Row],[Merchant_Category]]="Travel")), "unsafe merchant transaction", "safe merchant transaction")</f>
        <v>unsafe merchant transaction</v>
      </c>
    </row>
    <row r="1256" spans="1:18">
      <c r="A1256" t="s">
        <v>3240</v>
      </c>
      <c r="B1256" t="s">
        <v>500</v>
      </c>
      <c r="C1256">
        <v>1</v>
      </c>
      <c r="D1256" t="s">
        <v>15</v>
      </c>
      <c r="E1256" t="s">
        <v>5</v>
      </c>
      <c r="F1256" s="2">
        <v>45754</v>
      </c>
      <c r="G1256">
        <v>4230.29</v>
      </c>
      <c r="H1256" s="1">
        <f>AVERAGEIF(Table1[Customer_ID], Table1[[#This Row],[Customer_ID]], Table1[Transaction_Amount])</f>
        <v>5525.9379999999983</v>
      </c>
      <c r="I1256" t="s">
        <v>872</v>
      </c>
      <c r="J1256" t="s">
        <v>46</v>
      </c>
      <c r="K1256" t="s">
        <v>14</v>
      </c>
      <c r="L1256">
        <v>3</v>
      </c>
      <c r="M1256" t="s">
        <v>51</v>
      </c>
      <c r="N1256" t="s">
        <v>51</v>
      </c>
      <c r="O1256" t="s">
        <v>393</v>
      </c>
      <c r="P1256" s="6" t="str">
        <f>IF(Table1[[#This Row],[Transaction_Amount]]&lt;=Table1[[#This Row],[avg_transaction_amount]], "usual transaction", "unusual transaction")</f>
        <v>usual transaction</v>
      </c>
      <c r="Q1256" s="6" t="str">
        <f>IF(AND(Table1[[#This Row],[Country_of_Residence]]&lt;&gt;Table1[[#This Row],[Country_of_Transaction]], OR(Table1[[#This Row],[Authentication_Type]]="Biometric", Table1[[#This Row],[Authentication_Type]]="OTP")), "safe location transaction", "unsafe location transaction")</f>
        <v>unsafe location transaction</v>
      </c>
      <c r="R1256" s="6" t="str">
        <f>IF(AND(Table1[[#This Row],[Country_of_Residence]]&lt;&gt;Table1[[#This Row],[Country_of_Transaction]], OR(Table1[[#This Row],[Merchant_Category]]="Electronics", Table1[[#This Row],[Merchant_Category]]="Travel")), "unsafe merchant transaction", "safe merchant transaction")</f>
        <v>safe merchant transaction</v>
      </c>
    </row>
    <row r="1257" spans="1:18">
      <c r="A1257" t="s">
        <v>3291</v>
      </c>
      <c r="B1257" t="s">
        <v>500</v>
      </c>
      <c r="C1257">
        <v>1</v>
      </c>
      <c r="D1257" t="s">
        <v>9</v>
      </c>
      <c r="E1257" t="s">
        <v>420</v>
      </c>
      <c r="F1257" s="2">
        <v>46013</v>
      </c>
      <c r="G1257">
        <v>4237.66</v>
      </c>
      <c r="H1257" s="1">
        <f>AVERAGEIF(Table1[Customer_ID], Table1[[#This Row],[Customer_ID]], Table1[Transaction_Amount])</f>
        <v>5525.9379999999983</v>
      </c>
      <c r="I1257" t="s">
        <v>919</v>
      </c>
      <c r="J1257" t="s">
        <v>46</v>
      </c>
      <c r="K1257" t="s">
        <v>8</v>
      </c>
      <c r="L1257">
        <v>5</v>
      </c>
      <c r="M1257" t="s">
        <v>42</v>
      </c>
      <c r="N1257" t="s">
        <v>412</v>
      </c>
      <c r="O1257" t="s">
        <v>393</v>
      </c>
      <c r="P1257" s="6" t="str">
        <f>IF(Table1[[#This Row],[Transaction_Amount]]&lt;=Table1[[#This Row],[avg_transaction_amount]], "usual transaction", "unusual transaction")</f>
        <v>usual transaction</v>
      </c>
      <c r="Q1257" s="6" t="str">
        <f>IF(AND(Table1[[#This Row],[Country_of_Residence]]&lt;&gt;Table1[[#This Row],[Country_of_Transaction]], OR(Table1[[#This Row],[Authentication_Type]]="Biometric", Table1[[#This Row],[Authentication_Type]]="OTP")), "safe location transaction", "unsafe location transaction")</f>
        <v>safe location transaction</v>
      </c>
      <c r="R1257" s="6" t="str">
        <f>IF(AND(Table1[[#This Row],[Country_of_Residence]]&lt;&gt;Table1[[#This Row],[Country_of_Transaction]], OR(Table1[[#This Row],[Merchant_Category]]="Electronics", Table1[[#This Row],[Merchant_Category]]="Travel")), "unsafe merchant transaction", "safe merchant transaction")</f>
        <v>safe merchant transaction</v>
      </c>
    </row>
    <row r="1258" spans="1:18">
      <c r="A1258" t="s">
        <v>3332</v>
      </c>
      <c r="B1258" t="s">
        <v>500</v>
      </c>
      <c r="C1258">
        <v>1</v>
      </c>
      <c r="D1258" t="s">
        <v>15</v>
      </c>
      <c r="E1258" t="s">
        <v>420</v>
      </c>
      <c r="F1258" s="2">
        <v>45886</v>
      </c>
      <c r="G1258">
        <v>128.63</v>
      </c>
      <c r="H1258" s="1">
        <f>AVERAGEIF(Table1[Customer_ID], Table1[[#This Row],[Customer_ID]], Table1[Transaction_Amount])</f>
        <v>5525.9379999999983</v>
      </c>
      <c r="I1258" t="s">
        <v>956</v>
      </c>
      <c r="J1258" t="s">
        <v>41</v>
      </c>
      <c r="K1258" t="s">
        <v>8</v>
      </c>
      <c r="L1258">
        <v>5</v>
      </c>
      <c r="M1258" t="s">
        <v>51</v>
      </c>
      <c r="N1258" t="s">
        <v>56</v>
      </c>
      <c r="O1258" t="s">
        <v>392</v>
      </c>
      <c r="P1258" s="6" t="str">
        <f>IF(Table1[[#This Row],[Transaction_Amount]]&lt;=Table1[[#This Row],[avg_transaction_amount]], "usual transaction", "unusual transaction")</f>
        <v>usual transaction</v>
      </c>
      <c r="Q1258" s="6" t="str">
        <f>IF(AND(Table1[[#This Row],[Country_of_Residence]]&lt;&gt;Table1[[#This Row],[Country_of_Transaction]], OR(Table1[[#This Row],[Authentication_Type]]="Biometric", Table1[[#This Row],[Authentication_Type]]="OTP")), "safe location transaction", "unsafe location transaction")</f>
        <v>safe location transaction</v>
      </c>
      <c r="R1258" s="6" t="str">
        <f>IF(AND(Table1[[#This Row],[Country_of_Residence]]&lt;&gt;Table1[[#This Row],[Country_of_Transaction]], OR(Table1[[#This Row],[Merchant_Category]]="Electronics", Table1[[#This Row],[Merchant_Category]]="Travel")), "unsafe merchant transaction", "safe merchant transaction")</f>
        <v>safe merchant transaction</v>
      </c>
    </row>
    <row r="1259" spans="1:18">
      <c r="A1259" t="s">
        <v>3454</v>
      </c>
      <c r="B1259" t="s">
        <v>500</v>
      </c>
      <c r="C1259">
        <v>1</v>
      </c>
      <c r="D1259" t="s">
        <v>9</v>
      </c>
      <c r="E1259" t="s">
        <v>420</v>
      </c>
      <c r="F1259" s="2">
        <v>45924</v>
      </c>
      <c r="G1259">
        <v>7994.77</v>
      </c>
      <c r="H1259" s="1">
        <f>AVERAGEIF(Table1[Customer_ID], Table1[[#This Row],[Customer_ID]], Table1[Transaction_Amount])</f>
        <v>5525.9379999999983</v>
      </c>
      <c r="I1259" t="s">
        <v>1072</v>
      </c>
      <c r="J1259" t="s">
        <v>50</v>
      </c>
      <c r="K1259" t="s">
        <v>10</v>
      </c>
      <c r="L1259">
        <v>2</v>
      </c>
      <c r="M1259" t="s">
        <v>56</v>
      </c>
      <c r="N1259" t="s">
        <v>51</v>
      </c>
      <c r="O1259" t="s">
        <v>392</v>
      </c>
      <c r="P1259" s="6" t="str">
        <f>IF(Table1[[#This Row],[Transaction_Amount]]&lt;=Table1[[#This Row],[avg_transaction_amount]], "usual transaction", "unusual transaction")</f>
        <v>unusual transaction</v>
      </c>
      <c r="Q1259" s="6" t="str">
        <f>IF(AND(Table1[[#This Row],[Country_of_Residence]]&lt;&gt;Table1[[#This Row],[Country_of_Transaction]], OR(Table1[[#This Row],[Authentication_Type]]="Biometric", Table1[[#This Row],[Authentication_Type]]="OTP")), "safe location transaction", "unsafe location transaction")</f>
        <v>safe location transaction</v>
      </c>
      <c r="R1259" s="6" t="str">
        <f>IF(AND(Table1[[#This Row],[Country_of_Residence]]&lt;&gt;Table1[[#This Row],[Country_of_Transaction]], OR(Table1[[#This Row],[Merchant_Category]]="Electronics", Table1[[#This Row],[Merchant_Category]]="Travel")), "unsafe merchant transaction", "safe merchant transaction")</f>
        <v>unsafe merchant transaction</v>
      </c>
    </row>
    <row r="1260" spans="1:18">
      <c r="A1260" t="s">
        <v>3465</v>
      </c>
      <c r="B1260" t="s">
        <v>500</v>
      </c>
      <c r="C1260">
        <v>1</v>
      </c>
      <c r="D1260" t="s">
        <v>15</v>
      </c>
      <c r="E1260" t="s">
        <v>3</v>
      </c>
      <c r="F1260" s="2">
        <v>46005</v>
      </c>
      <c r="G1260">
        <v>5025.01</v>
      </c>
      <c r="H1260" s="1">
        <f>AVERAGEIF(Table1[Customer_ID], Table1[[#This Row],[Customer_ID]], Table1[Transaction_Amount])</f>
        <v>5525.9379999999983</v>
      </c>
      <c r="I1260" t="s">
        <v>1083</v>
      </c>
      <c r="J1260" t="s">
        <v>41</v>
      </c>
      <c r="K1260" t="s">
        <v>10</v>
      </c>
      <c r="L1260">
        <v>3</v>
      </c>
      <c r="M1260" t="s">
        <v>47</v>
      </c>
      <c r="N1260" t="s">
        <v>37</v>
      </c>
      <c r="O1260" t="s">
        <v>393</v>
      </c>
      <c r="P1260" s="6" t="str">
        <f>IF(Table1[[#This Row],[Transaction_Amount]]&lt;=Table1[[#This Row],[avg_transaction_amount]], "usual transaction", "unusual transaction")</f>
        <v>usual transaction</v>
      </c>
      <c r="Q1260" s="6" t="str">
        <f>IF(AND(Table1[[#This Row],[Country_of_Residence]]&lt;&gt;Table1[[#This Row],[Country_of_Transaction]], OR(Table1[[#This Row],[Authentication_Type]]="Biometric", Table1[[#This Row],[Authentication_Type]]="OTP")), "safe location transaction", "unsafe location transaction")</f>
        <v>safe location transaction</v>
      </c>
      <c r="R1260" s="6" t="str">
        <f>IF(AND(Table1[[#This Row],[Country_of_Residence]]&lt;&gt;Table1[[#This Row],[Country_of_Transaction]], OR(Table1[[#This Row],[Merchant_Category]]="Electronics", Table1[[#This Row],[Merchant_Category]]="Travel")), "unsafe merchant transaction", "safe merchant transaction")</f>
        <v>safe merchant transaction</v>
      </c>
    </row>
    <row r="1261" spans="1:18">
      <c r="A1261" t="s">
        <v>3507</v>
      </c>
      <c r="B1261" t="s">
        <v>500</v>
      </c>
      <c r="C1261">
        <v>1</v>
      </c>
      <c r="D1261" t="s">
        <v>9</v>
      </c>
      <c r="E1261" t="s">
        <v>5</v>
      </c>
      <c r="F1261" s="2">
        <v>45900</v>
      </c>
      <c r="G1261">
        <v>937.83</v>
      </c>
      <c r="H1261" s="1">
        <f>AVERAGEIF(Table1[Customer_ID], Table1[[#This Row],[Customer_ID]], Table1[Transaction_Amount])</f>
        <v>5525.9379999999983</v>
      </c>
      <c r="I1261" t="s">
        <v>1122</v>
      </c>
      <c r="J1261" t="s">
        <v>46</v>
      </c>
      <c r="K1261" t="s">
        <v>10</v>
      </c>
      <c r="L1261">
        <v>4</v>
      </c>
      <c r="M1261" t="s">
        <v>47</v>
      </c>
      <c r="N1261" t="s">
        <v>412</v>
      </c>
      <c r="O1261" t="s">
        <v>393</v>
      </c>
      <c r="P1261" s="6" t="str">
        <f>IF(Table1[[#This Row],[Transaction_Amount]]&lt;=Table1[[#This Row],[avg_transaction_amount]], "usual transaction", "unusual transaction")</f>
        <v>usual transaction</v>
      </c>
      <c r="Q1261" s="6" t="str">
        <f>IF(AND(Table1[[#This Row],[Country_of_Residence]]&lt;&gt;Table1[[#This Row],[Country_of_Transaction]], OR(Table1[[#This Row],[Authentication_Type]]="Biometric", Table1[[#This Row],[Authentication_Type]]="OTP")), "safe location transaction", "unsafe location transaction")</f>
        <v>safe location transaction</v>
      </c>
      <c r="R1261" s="6" t="str">
        <f>IF(AND(Table1[[#This Row],[Country_of_Residence]]&lt;&gt;Table1[[#This Row],[Country_of_Transaction]], OR(Table1[[#This Row],[Merchant_Category]]="Electronics", Table1[[#This Row],[Merchant_Category]]="Travel")), "unsafe merchant transaction", "safe merchant transaction")</f>
        <v>safe merchant transaction</v>
      </c>
    </row>
    <row r="1262" spans="1:18">
      <c r="A1262" t="s">
        <v>3554</v>
      </c>
      <c r="B1262" t="s">
        <v>500</v>
      </c>
      <c r="C1262">
        <v>1</v>
      </c>
      <c r="D1262" t="s">
        <v>9</v>
      </c>
      <c r="E1262" t="s">
        <v>3</v>
      </c>
      <c r="F1262" s="2">
        <v>45706</v>
      </c>
      <c r="G1262">
        <v>6387.15</v>
      </c>
      <c r="H1262" s="1">
        <f>AVERAGEIF(Table1[Customer_ID], Table1[[#This Row],[Customer_ID]], Table1[Transaction_Amount])</f>
        <v>5525.9379999999983</v>
      </c>
      <c r="I1262" t="s">
        <v>1167</v>
      </c>
      <c r="J1262" t="s">
        <v>41</v>
      </c>
      <c r="K1262" t="s">
        <v>8</v>
      </c>
      <c r="L1262">
        <v>5</v>
      </c>
      <c r="M1262" t="s">
        <v>37</v>
      </c>
      <c r="N1262" t="s">
        <v>55</v>
      </c>
      <c r="O1262" t="s">
        <v>392</v>
      </c>
      <c r="P1262" s="6" t="str">
        <f>IF(Table1[[#This Row],[Transaction_Amount]]&lt;=Table1[[#This Row],[avg_transaction_amount]], "usual transaction", "unusual transaction")</f>
        <v>unusual transaction</v>
      </c>
      <c r="Q1262" s="6" t="str">
        <f>IF(AND(Table1[[#This Row],[Country_of_Residence]]&lt;&gt;Table1[[#This Row],[Country_of_Transaction]], OR(Table1[[#This Row],[Authentication_Type]]="Biometric", Table1[[#This Row],[Authentication_Type]]="OTP")), "safe location transaction", "unsafe location transaction")</f>
        <v>safe location transaction</v>
      </c>
      <c r="R1262" s="6" t="str">
        <f>IF(AND(Table1[[#This Row],[Country_of_Residence]]&lt;&gt;Table1[[#This Row],[Country_of_Transaction]], OR(Table1[[#This Row],[Merchant_Category]]="Electronics", Table1[[#This Row],[Merchant_Category]]="Travel")), "unsafe merchant transaction", "safe merchant transaction")</f>
        <v>safe merchant transaction</v>
      </c>
    </row>
    <row r="1263" spans="1:18">
      <c r="A1263" t="s">
        <v>3577</v>
      </c>
      <c r="B1263" t="s">
        <v>500</v>
      </c>
      <c r="C1263">
        <v>1</v>
      </c>
      <c r="D1263" t="s">
        <v>9</v>
      </c>
      <c r="E1263" t="s">
        <v>6</v>
      </c>
      <c r="F1263" s="2">
        <v>45800</v>
      </c>
      <c r="G1263">
        <v>6576.54</v>
      </c>
      <c r="H1263" s="1">
        <f>AVERAGEIF(Table1[Customer_ID], Table1[[#This Row],[Customer_ID]], Table1[Transaction_Amount])</f>
        <v>5525.9379999999983</v>
      </c>
      <c r="I1263" t="s">
        <v>1188</v>
      </c>
      <c r="J1263" t="s">
        <v>36</v>
      </c>
      <c r="K1263" t="s">
        <v>10</v>
      </c>
      <c r="L1263">
        <v>5</v>
      </c>
      <c r="M1263" t="s">
        <v>47</v>
      </c>
      <c r="N1263" t="s">
        <v>56</v>
      </c>
      <c r="O1263" t="s">
        <v>393</v>
      </c>
      <c r="P1263" s="6" t="str">
        <f>IF(Table1[[#This Row],[Transaction_Amount]]&lt;=Table1[[#This Row],[avg_transaction_amount]], "usual transaction", "unusual transaction")</f>
        <v>unusual transaction</v>
      </c>
      <c r="Q1263" s="6" t="str">
        <f>IF(AND(Table1[[#This Row],[Country_of_Residence]]&lt;&gt;Table1[[#This Row],[Country_of_Transaction]], OR(Table1[[#This Row],[Authentication_Type]]="Biometric", Table1[[#This Row],[Authentication_Type]]="OTP")), "safe location transaction", "unsafe location transaction")</f>
        <v>safe location transaction</v>
      </c>
      <c r="R1263" s="6" t="str">
        <f>IF(AND(Table1[[#This Row],[Country_of_Residence]]&lt;&gt;Table1[[#This Row],[Country_of_Transaction]], OR(Table1[[#This Row],[Merchant_Category]]="Electronics", Table1[[#This Row],[Merchant_Category]]="Travel")), "unsafe merchant transaction", "safe merchant transaction")</f>
        <v>safe merchant transaction</v>
      </c>
    </row>
    <row r="1264" spans="1:18">
      <c r="A1264" t="s">
        <v>3816</v>
      </c>
      <c r="B1264" t="s">
        <v>500</v>
      </c>
      <c r="C1264">
        <v>1</v>
      </c>
      <c r="D1264" t="s">
        <v>9</v>
      </c>
      <c r="E1264" t="s">
        <v>5</v>
      </c>
      <c r="F1264" s="2">
        <v>45908</v>
      </c>
      <c r="G1264">
        <v>7434.82</v>
      </c>
      <c r="H1264" s="1">
        <f>AVERAGEIF(Table1[Customer_ID], Table1[[#This Row],[Customer_ID]], Table1[Transaction_Amount])</f>
        <v>5525.9379999999983</v>
      </c>
      <c r="I1264" t="s">
        <v>1398</v>
      </c>
      <c r="J1264" t="s">
        <v>46</v>
      </c>
      <c r="K1264" t="s">
        <v>12</v>
      </c>
      <c r="L1264">
        <v>4</v>
      </c>
      <c r="M1264" t="s">
        <v>42</v>
      </c>
      <c r="N1264" t="s">
        <v>412</v>
      </c>
      <c r="O1264" t="s">
        <v>393</v>
      </c>
      <c r="P1264" s="6" t="str">
        <f>IF(Table1[[#This Row],[Transaction_Amount]]&lt;=Table1[[#This Row],[avg_transaction_amount]], "usual transaction", "unusual transaction")</f>
        <v>unusual transaction</v>
      </c>
      <c r="Q1264" s="6" t="str">
        <f>IF(AND(Table1[[#This Row],[Country_of_Residence]]&lt;&gt;Table1[[#This Row],[Country_of_Transaction]], OR(Table1[[#This Row],[Authentication_Type]]="Biometric", Table1[[#This Row],[Authentication_Type]]="OTP")), "safe location transaction", "unsafe location transaction")</f>
        <v>unsafe location transaction</v>
      </c>
      <c r="R1264" s="6" t="str">
        <f>IF(AND(Table1[[#This Row],[Country_of_Residence]]&lt;&gt;Table1[[#This Row],[Country_of_Transaction]], OR(Table1[[#This Row],[Merchant_Category]]="Electronics", Table1[[#This Row],[Merchant_Category]]="Travel")), "unsafe merchant transaction", "safe merchant transaction")</f>
        <v>safe merchant transaction</v>
      </c>
    </row>
    <row r="1265" spans="1:18">
      <c r="A1265" t="s">
        <v>3900</v>
      </c>
      <c r="B1265" t="s">
        <v>500</v>
      </c>
      <c r="C1265">
        <v>1</v>
      </c>
      <c r="D1265" t="s">
        <v>15</v>
      </c>
      <c r="E1265" t="s">
        <v>420</v>
      </c>
      <c r="F1265" s="2">
        <v>45692</v>
      </c>
      <c r="G1265">
        <v>8219.89</v>
      </c>
      <c r="H1265" s="1">
        <f>AVERAGEIF(Table1[Customer_ID], Table1[[#This Row],[Customer_ID]], Table1[Transaction_Amount])</f>
        <v>5525.9379999999983</v>
      </c>
      <c r="I1265" t="s">
        <v>1467</v>
      </c>
      <c r="J1265" t="s">
        <v>46</v>
      </c>
      <c r="K1265" t="s">
        <v>14</v>
      </c>
      <c r="L1265">
        <v>4</v>
      </c>
      <c r="M1265" t="s">
        <v>42</v>
      </c>
      <c r="N1265" t="s">
        <v>412</v>
      </c>
      <c r="O1265" t="s">
        <v>392</v>
      </c>
      <c r="P1265" s="6" t="str">
        <f>IF(Table1[[#This Row],[Transaction_Amount]]&lt;=Table1[[#This Row],[avg_transaction_amount]], "usual transaction", "unusual transaction")</f>
        <v>unusual transaction</v>
      </c>
      <c r="Q1265" s="6" t="str">
        <f>IF(AND(Table1[[#This Row],[Country_of_Residence]]&lt;&gt;Table1[[#This Row],[Country_of_Transaction]], OR(Table1[[#This Row],[Authentication_Type]]="Biometric", Table1[[#This Row],[Authentication_Type]]="OTP")), "safe location transaction", "unsafe location transaction")</f>
        <v>unsafe location transaction</v>
      </c>
      <c r="R1265" s="6" t="str">
        <f>IF(AND(Table1[[#This Row],[Country_of_Residence]]&lt;&gt;Table1[[#This Row],[Country_of_Transaction]], OR(Table1[[#This Row],[Merchant_Category]]="Electronics", Table1[[#This Row],[Merchant_Category]]="Travel")), "unsafe merchant transaction", "safe merchant transaction")</f>
        <v>safe merchant transaction</v>
      </c>
    </row>
    <row r="1266" spans="1:18">
      <c r="A1266" t="s">
        <v>3902</v>
      </c>
      <c r="B1266" t="s">
        <v>500</v>
      </c>
      <c r="C1266">
        <v>1</v>
      </c>
      <c r="D1266" t="s">
        <v>15</v>
      </c>
      <c r="E1266" t="s">
        <v>3</v>
      </c>
      <c r="F1266" s="2">
        <v>45882</v>
      </c>
      <c r="G1266">
        <v>6236.64</v>
      </c>
      <c r="H1266" s="1">
        <f>AVERAGEIF(Table1[Customer_ID], Table1[[#This Row],[Customer_ID]], Table1[Transaction_Amount])</f>
        <v>5525.9379999999983</v>
      </c>
      <c r="I1266" t="s">
        <v>1469</v>
      </c>
      <c r="J1266" t="s">
        <v>41</v>
      </c>
      <c r="K1266" t="s">
        <v>10</v>
      </c>
      <c r="L1266">
        <v>5</v>
      </c>
      <c r="M1266" t="s">
        <v>33</v>
      </c>
      <c r="N1266" t="s">
        <v>33</v>
      </c>
      <c r="O1266" t="s">
        <v>392</v>
      </c>
      <c r="P1266" s="6" t="str">
        <f>IF(Table1[[#This Row],[Transaction_Amount]]&lt;=Table1[[#This Row],[avg_transaction_amount]], "usual transaction", "unusual transaction")</f>
        <v>unusual transaction</v>
      </c>
      <c r="Q1266" s="6" t="str">
        <f>IF(AND(Table1[[#This Row],[Country_of_Residence]]&lt;&gt;Table1[[#This Row],[Country_of_Transaction]], OR(Table1[[#This Row],[Authentication_Type]]="Biometric", Table1[[#This Row],[Authentication_Type]]="OTP")), "safe location transaction", "unsafe location transaction")</f>
        <v>unsafe location transaction</v>
      </c>
      <c r="R1266" s="6" t="str">
        <f>IF(AND(Table1[[#This Row],[Country_of_Residence]]&lt;&gt;Table1[[#This Row],[Country_of_Transaction]], OR(Table1[[#This Row],[Merchant_Category]]="Electronics", Table1[[#This Row],[Merchant_Category]]="Travel")), "unsafe merchant transaction", "safe merchant transaction")</f>
        <v>safe merchant transaction</v>
      </c>
    </row>
    <row r="1267" spans="1:18">
      <c r="A1267" t="s">
        <v>4164</v>
      </c>
      <c r="B1267" t="s">
        <v>500</v>
      </c>
      <c r="C1267">
        <v>1</v>
      </c>
      <c r="D1267" t="s">
        <v>9</v>
      </c>
      <c r="E1267" t="s">
        <v>5</v>
      </c>
      <c r="F1267" s="2">
        <v>45733</v>
      </c>
      <c r="G1267">
        <v>7611.65</v>
      </c>
      <c r="H1267" s="1">
        <f>AVERAGEIF(Table1[Customer_ID], Table1[[#This Row],[Customer_ID]], Table1[Transaction_Amount])</f>
        <v>5525.9379999999983</v>
      </c>
      <c r="I1267" t="s">
        <v>1089</v>
      </c>
      <c r="J1267" t="s">
        <v>36</v>
      </c>
      <c r="K1267" t="s">
        <v>10</v>
      </c>
      <c r="L1267">
        <v>0</v>
      </c>
      <c r="M1267" t="s">
        <v>412</v>
      </c>
      <c r="N1267" t="s">
        <v>56</v>
      </c>
      <c r="O1267" t="s">
        <v>393</v>
      </c>
      <c r="P1267" s="6" t="str">
        <f>IF(Table1[[#This Row],[Transaction_Amount]]&lt;=Table1[[#This Row],[avg_transaction_amount]], "usual transaction", "unusual transaction")</f>
        <v>unusual transaction</v>
      </c>
      <c r="Q1267" s="6" t="str">
        <f>IF(AND(Table1[[#This Row],[Country_of_Residence]]&lt;&gt;Table1[[#This Row],[Country_of_Transaction]], OR(Table1[[#This Row],[Authentication_Type]]="Biometric", Table1[[#This Row],[Authentication_Type]]="OTP")), "safe location transaction", "unsafe location transaction")</f>
        <v>safe location transaction</v>
      </c>
      <c r="R1267" s="6" t="str">
        <f>IF(AND(Table1[[#This Row],[Country_of_Residence]]&lt;&gt;Table1[[#This Row],[Country_of_Transaction]], OR(Table1[[#This Row],[Merchant_Category]]="Electronics", Table1[[#This Row],[Merchant_Category]]="Travel")), "unsafe merchant transaction", "safe merchant transaction")</f>
        <v>safe merchant transaction</v>
      </c>
    </row>
    <row r="1268" spans="1:18">
      <c r="A1268" t="s">
        <v>4174</v>
      </c>
      <c r="B1268" t="s">
        <v>500</v>
      </c>
      <c r="C1268">
        <v>1</v>
      </c>
      <c r="D1268" t="s">
        <v>15</v>
      </c>
      <c r="E1268" t="s">
        <v>6</v>
      </c>
      <c r="F1268" s="2">
        <v>45754</v>
      </c>
      <c r="G1268">
        <v>8426.44</v>
      </c>
      <c r="H1268" s="1">
        <f>AVERAGEIF(Table1[Customer_ID], Table1[[#This Row],[Customer_ID]], Table1[Transaction_Amount])</f>
        <v>5525.9379999999983</v>
      </c>
      <c r="I1268" t="s">
        <v>1696</v>
      </c>
      <c r="J1268" t="s">
        <v>31</v>
      </c>
      <c r="K1268" t="s">
        <v>12</v>
      </c>
      <c r="L1268">
        <v>0</v>
      </c>
      <c r="M1268" t="s">
        <v>51</v>
      </c>
      <c r="N1268" t="s">
        <v>33</v>
      </c>
      <c r="O1268" t="s">
        <v>392</v>
      </c>
      <c r="P1268" s="6" t="str">
        <f>IF(Table1[[#This Row],[Transaction_Amount]]&lt;=Table1[[#This Row],[avg_transaction_amount]], "usual transaction", "unusual transaction")</f>
        <v>unusual transaction</v>
      </c>
      <c r="Q1268" s="6" t="str">
        <f>IF(AND(Table1[[#This Row],[Country_of_Residence]]&lt;&gt;Table1[[#This Row],[Country_of_Transaction]], OR(Table1[[#This Row],[Authentication_Type]]="Biometric", Table1[[#This Row],[Authentication_Type]]="OTP")), "safe location transaction", "unsafe location transaction")</f>
        <v>unsafe location transaction</v>
      </c>
      <c r="R1268" s="6" t="str">
        <f>IF(AND(Table1[[#This Row],[Country_of_Residence]]&lt;&gt;Table1[[#This Row],[Country_of_Transaction]], OR(Table1[[#This Row],[Merchant_Category]]="Electronics", Table1[[#This Row],[Merchant_Category]]="Travel")), "unsafe merchant transaction", "safe merchant transaction")</f>
        <v>safe merchant transaction</v>
      </c>
    </row>
    <row r="1269" spans="1:18">
      <c r="A1269" t="s">
        <v>4214</v>
      </c>
      <c r="B1269" t="s">
        <v>500</v>
      </c>
      <c r="C1269">
        <v>1</v>
      </c>
      <c r="D1269" t="s">
        <v>15</v>
      </c>
      <c r="E1269" t="s">
        <v>6</v>
      </c>
      <c r="F1269" s="2">
        <v>45749</v>
      </c>
      <c r="G1269">
        <v>5624.12</v>
      </c>
      <c r="H1269" s="1">
        <f>AVERAGEIF(Table1[Customer_ID], Table1[[#This Row],[Customer_ID]], Table1[Transaction_Amount])</f>
        <v>5525.9379999999983</v>
      </c>
      <c r="I1269" t="s">
        <v>1734</v>
      </c>
      <c r="J1269" t="s">
        <v>36</v>
      </c>
      <c r="K1269" t="s">
        <v>10</v>
      </c>
      <c r="L1269">
        <v>3</v>
      </c>
      <c r="M1269" t="s">
        <v>42</v>
      </c>
      <c r="N1269" t="s">
        <v>51</v>
      </c>
      <c r="O1269" t="s">
        <v>392</v>
      </c>
      <c r="P1269" s="6" t="str">
        <f>IF(Table1[[#This Row],[Transaction_Amount]]&lt;=Table1[[#This Row],[avg_transaction_amount]], "usual transaction", "unusual transaction")</f>
        <v>unusual transaction</v>
      </c>
      <c r="Q1269" s="6" t="str">
        <f>IF(AND(Table1[[#This Row],[Country_of_Residence]]&lt;&gt;Table1[[#This Row],[Country_of_Transaction]], OR(Table1[[#This Row],[Authentication_Type]]="Biometric", Table1[[#This Row],[Authentication_Type]]="OTP")), "safe location transaction", "unsafe location transaction")</f>
        <v>safe location transaction</v>
      </c>
      <c r="R1269" s="6" t="str">
        <f>IF(AND(Table1[[#This Row],[Country_of_Residence]]&lt;&gt;Table1[[#This Row],[Country_of_Transaction]], OR(Table1[[#This Row],[Merchant_Category]]="Electronics", Table1[[#This Row],[Merchant_Category]]="Travel")), "unsafe merchant transaction", "safe merchant transaction")</f>
        <v>safe merchant transaction</v>
      </c>
    </row>
    <row r="1270" spans="1:18">
      <c r="A1270" t="s">
        <v>4255</v>
      </c>
      <c r="B1270" t="s">
        <v>500</v>
      </c>
      <c r="C1270">
        <v>1</v>
      </c>
      <c r="D1270" t="s">
        <v>9</v>
      </c>
      <c r="E1270" t="s">
        <v>5</v>
      </c>
      <c r="F1270" s="2">
        <v>45749</v>
      </c>
      <c r="G1270">
        <v>1080.51</v>
      </c>
      <c r="H1270" s="1">
        <f>AVERAGEIF(Table1[Customer_ID], Table1[[#This Row],[Customer_ID]], Table1[Transaction_Amount])</f>
        <v>5525.9379999999983</v>
      </c>
      <c r="I1270" t="s">
        <v>978</v>
      </c>
      <c r="J1270" t="s">
        <v>31</v>
      </c>
      <c r="K1270" t="s">
        <v>8</v>
      </c>
      <c r="L1270">
        <v>0</v>
      </c>
      <c r="M1270" t="s">
        <v>42</v>
      </c>
      <c r="N1270" t="s">
        <v>42</v>
      </c>
      <c r="O1270" t="s">
        <v>392</v>
      </c>
      <c r="P1270" s="6" t="str">
        <f>IF(Table1[[#This Row],[Transaction_Amount]]&lt;=Table1[[#This Row],[avg_transaction_amount]], "usual transaction", "unusual transaction")</f>
        <v>usual transaction</v>
      </c>
      <c r="Q1270" s="6" t="str">
        <f>IF(AND(Table1[[#This Row],[Country_of_Residence]]&lt;&gt;Table1[[#This Row],[Country_of_Transaction]], OR(Table1[[#This Row],[Authentication_Type]]="Biometric", Table1[[#This Row],[Authentication_Type]]="OTP")), "safe location transaction", "unsafe location transaction")</f>
        <v>unsafe location transaction</v>
      </c>
      <c r="R1270" s="6" t="str">
        <f>IF(AND(Table1[[#This Row],[Country_of_Residence]]&lt;&gt;Table1[[#This Row],[Country_of_Transaction]], OR(Table1[[#This Row],[Merchant_Category]]="Electronics", Table1[[#This Row],[Merchant_Category]]="Travel")), "unsafe merchant transaction", "safe merchant transaction")</f>
        <v>safe merchant transaction</v>
      </c>
    </row>
    <row r="1271" spans="1:18">
      <c r="A1271" t="s">
        <v>4261</v>
      </c>
      <c r="B1271" t="s">
        <v>500</v>
      </c>
      <c r="C1271">
        <v>1</v>
      </c>
      <c r="D1271" t="s">
        <v>15</v>
      </c>
      <c r="E1271" t="s">
        <v>420</v>
      </c>
      <c r="F1271" s="2">
        <v>45836</v>
      </c>
      <c r="G1271">
        <v>5694.03</v>
      </c>
      <c r="H1271" s="1">
        <f>AVERAGEIF(Table1[Customer_ID], Table1[[#This Row],[Customer_ID]], Table1[Transaction_Amount])</f>
        <v>5525.9379999999983</v>
      </c>
      <c r="I1271" t="s">
        <v>1775</v>
      </c>
      <c r="J1271" t="s">
        <v>46</v>
      </c>
      <c r="K1271" t="s">
        <v>12</v>
      </c>
      <c r="L1271">
        <v>0</v>
      </c>
      <c r="M1271" t="s">
        <v>51</v>
      </c>
      <c r="N1271" t="s">
        <v>42</v>
      </c>
      <c r="O1271" t="s">
        <v>392</v>
      </c>
      <c r="P1271" s="6" t="str">
        <f>IF(Table1[[#This Row],[Transaction_Amount]]&lt;=Table1[[#This Row],[avg_transaction_amount]], "usual transaction", "unusual transaction")</f>
        <v>unusual transaction</v>
      </c>
      <c r="Q1271" s="6" t="str">
        <f>IF(AND(Table1[[#This Row],[Country_of_Residence]]&lt;&gt;Table1[[#This Row],[Country_of_Transaction]], OR(Table1[[#This Row],[Authentication_Type]]="Biometric", Table1[[#This Row],[Authentication_Type]]="OTP")), "safe location transaction", "unsafe location transaction")</f>
        <v>unsafe location transaction</v>
      </c>
      <c r="R1271" s="6" t="str">
        <f>IF(AND(Table1[[#This Row],[Country_of_Residence]]&lt;&gt;Table1[[#This Row],[Country_of_Transaction]], OR(Table1[[#This Row],[Merchant_Category]]="Electronics", Table1[[#This Row],[Merchant_Category]]="Travel")), "unsafe merchant transaction", "safe merchant transaction")</f>
        <v>safe merchant transaction</v>
      </c>
    </row>
    <row r="1272" spans="1:18">
      <c r="A1272" t="s">
        <v>4278</v>
      </c>
      <c r="B1272" t="s">
        <v>500</v>
      </c>
      <c r="C1272">
        <v>1</v>
      </c>
      <c r="D1272" t="s">
        <v>15</v>
      </c>
      <c r="E1272" t="s">
        <v>420</v>
      </c>
      <c r="F1272" s="2">
        <v>45824</v>
      </c>
      <c r="G1272">
        <v>8982.23</v>
      </c>
      <c r="H1272" s="1">
        <f>AVERAGEIF(Table1[Customer_ID], Table1[[#This Row],[Customer_ID]], Table1[Transaction_Amount])</f>
        <v>5525.9379999999983</v>
      </c>
      <c r="I1272" t="s">
        <v>1791</v>
      </c>
      <c r="J1272" t="s">
        <v>36</v>
      </c>
      <c r="K1272" t="s">
        <v>8</v>
      </c>
      <c r="L1272">
        <v>3</v>
      </c>
      <c r="M1272" t="s">
        <v>56</v>
      </c>
      <c r="N1272" t="s">
        <v>32</v>
      </c>
      <c r="O1272" t="s">
        <v>392</v>
      </c>
      <c r="P1272" s="6" t="str">
        <f>IF(Table1[[#This Row],[Transaction_Amount]]&lt;=Table1[[#This Row],[avg_transaction_amount]], "usual transaction", "unusual transaction")</f>
        <v>unusual transaction</v>
      </c>
      <c r="Q1272" s="6" t="str">
        <f>IF(AND(Table1[[#This Row],[Country_of_Residence]]&lt;&gt;Table1[[#This Row],[Country_of_Transaction]], OR(Table1[[#This Row],[Authentication_Type]]="Biometric", Table1[[#This Row],[Authentication_Type]]="OTP")), "safe location transaction", "unsafe location transaction")</f>
        <v>safe location transaction</v>
      </c>
      <c r="R1272" s="6" t="str">
        <f>IF(AND(Table1[[#This Row],[Country_of_Residence]]&lt;&gt;Table1[[#This Row],[Country_of_Transaction]], OR(Table1[[#This Row],[Merchant_Category]]="Electronics", Table1[[#This Row],[Merchant_Category]]="Travel")), "unsafe merchant transaction", "safe merchant transaction")</f>
        <v>safe merchant transaction</v>
      </c>
    </row>
    <row r="1273" spans="1:18">
      <c r="A1273" t="s">
        <v>4388</v>
      </c>
      <c r="B1273" t="s">
        <v>500</v>
      </c>
      <c r="C1273">
        <v>1</v>
      </c>
      <c r="D1273" t="s">
        <v>15</v>
      </c>
      <c r="E1273" t="s">
        <v>3</v>
      </c>
      <c r="F1273" s="2">
        <v>45744</v>
      </c>
      <c r="G1273">
        <v>4681.9399999999996</v>
      </c>
      <c r="H1273" s="1">
        <f>AVERAGEIF(Table1[Customer_ID], Table1[[#This Row],[Customer_ID]], Table1[Transaction_Amount])</f>
        <v>5525.9379999999983</v>
      </c>
      <c r="I1273" t="s">
        <v>1888</v>
      </c>
      <c r="J1273" t="s">
        <v>50</v>
      </c>
      <c r="K1273" t="s">
        <v>12</v>
      </c>
      <c r="L1273">
        <v>1</v>
      </c>
      <c r="M1273" t="s">
        <v>55</v>
      </c>
      <c r="N1273" t="s">
        <v>56</v>
      </c>
      <c r="O1273" t="s">
        <v>392</v>
      </c>
      <c r="P1273" s="6" t="str">
        <f>IF(Table1[[#This Row],[Transaction_Amount]]&lt;=Table1[[#This Row],[avg_transaction_amount]], "usual transaction", "unusual transaction")</f>
        <v>usual transaction</v>
      </c>
      <c r="Q1273" s="6" t="str">
        <f>IF(AND(Table1[[#This Row],[Country_of_Residence]]&lt;&gt;Table1[[#This Row],[Country_of_Transaction]], OR(Table1[[#This Row],[Authentication_Type]]="Biometric", Table1[[#This Row],[Authentication_Type]]="OTP")), "safe location transaction", "unsafe location transaction")</f>
        <v>unsafe location transaction</v>
      </c>
      <c r="R1273" s="6" t="str">
        <f>IF(AND(Table1[[#This Row],[Country_of_Residence]]&lt;&gt;Table1[[#This Row],[Country_of_Transaction]], OR(Table1[[#This Row],[Merchant_Category]]="Electronics", Table1[[#This Row],[Merchant_Category]]="Travel")), "unsafe merchant transaction", "safe merchant transaction")</f>
        <v>unsafe merchant transaction</v>
      </c>
    </row>
    <row r="1274" spans="1:18">
      <c r="A1274" t="s">
        <v>4421</v>
      </c>
      <c r="B1274" t="s">
        <v>500</v>
      </c>
      <c r="C1274">
        <v>1</v>
      </c>
      <c r="D1274" t="s">
        <v>15</v>
      </c>
      <c r="E1274" t="s">
        <v>5</v>
      </c>
      <c r="F1274" s="2">
        <v>45803</v>
      </c>
      <c r="G1274">
        <v>8542.39</v>
      </c>
      <c r="H1274" s="1">
        <f>AVERAGEIF(Table1[Customer_ID], Table1[[#This Row],[Customer_ID]], Table1[Transaction_Amount])</f>
        <v>5525.9379999999983</v>
      </c>
      <c r="I1274" t="s">
        <v>657</v>
      </c>
      <c r="J1274" t="s">
        <v>46</v>
      </c>
      <c r="K1274" t="s">
        <v>8</v>
      </c>
      <c r="L1274">
        <v>4</v>
      </c>
      <c r="M1274" t="s">
        <v>33</v>
      </c>
      <c r="N1274" t="s">
        <v>33</v>
      </c>
      <c r="O1274" t="s">
        <v>393</v>
      </c>
      <c r="P1274" s="6" t="str">
        <f>IF(Table1[[#This Row],[Transaction_Amount]]&lt;=Table1[[#This Row],[avg_transaction_amount]], "usual transaction", "unusual transaction")</f>
        <v>unusual transaction</v>
      </c>
      <c r="Q1274" s="6" t="str">
        <f>IF(AND(Table1[[#This Row],[Country_of_Residence]]&lt;&gt;Table1[[#This Row],[Country_of_Transaction]], OR(Table1[[#This Row],[Authentication_Type]]="Biometric", Table1[[#This Row],[Authentication_Type]]="OTP")), "safe location transaction", "unsafe location transaction")</f>
        <v>unsafe location transaction</v>
      </c>
      <c r="R1274" s="6" t="str">
        <f>IF(AND(Table1[[#This Row],[Country_of_Residence]]&lt;&gt;Table1[[#This Row],[Country_of_Transaction]], OR(Table1[[#This Row],[Merchant_Category]]="Electronics", Table1[[#This Row],[Merchant_Category]]="Travel")), "unsafe merchant transaction", "safe merchant transaction")</f>
        <v>safe merchant transaction</v>
      </c>
    </row>
    <row r="1275" spans="1:18">
      <c r="A1275" t="s">
        <v>4477</v>
      </c>
      <c r="B1275" t="s">
        <v>500</v>
      </c>
      <c r="C1275">
        <v>1</v>
      </c>
      <c r="D1275" t="s">
        <v>9</v>
      </c>
      <c r="E1275" t="s">
        <v>3</v>
      </c>
      <c r="F1275" s="2">
        <v>46016</v>
      </c>
      <c r="G1275">
        <v>2261.94</v>
      </c>
      <c r="H1275" s="1">
        <f>AVERAGEIF(Table1[Customer_ID], Table1[[#This Row],[Customer_ID]], Table1[Transaction_Amount])</f>
        <v>5525.9379999999983</v>
      </c>
      <c r="I1275" t="s">
        <v>1262</v>
      </c>
      <c r="J1275" t="s">
        <v>50</v>
      </c>
      <c r="K1275" t="s">
        <v>14</v>
      </c>
      <c r="L1275">
        <v>5</v>
      </c>
      <c r="M1275" t="s">
        <v>412</v>
      </c>
      <c r="N1275" t="s">
        <v>55</v>
      </c>
      <c r="O1275" t="s">
        <v>393</v>
      </c>
      <c r="P1275" s="6" t="str">
        <f>IF(Table1[[#This Row],[Transaction_Amount]]&lt;=Table1[[#This Row],[avg_transaction_amount]], "usual transaction", "unusual transaction")</f>
        <v>usual transaction</v>
      </c>
      <c r="Q1275" s="6" t="str">
        <f>IF(AND(Table1[[#This Row],[Country_of_Residence]]&lt;&gt;Table1[[#This Row],[Country_of_Transaction]], OR(Table1[[#This Row],[Authentication_Type]]="Biometric", Table1[[#This Row],[Authentication_Type]]="OTP")), "safe location transaction", "unsafe location transaction")</f>
        <v>unsafe location transaction</v>
      </c>
      <c r="R1275" s="6" t="str">
        <f>IF(AND(Table1[[#This Row],[Country_of_Residence]]&lt;&gt;Table1[[#This Row],[Country_of_Transaction]], OR(Table1[[#This Row],[Merchant_Category]]="Electronics", Table1[[#This Row],[Merchant_Category]]="Travel")), "unsafe merchant transaction", "safe merchant transaction")</f>
        <v>unsafe merchant transaction</v>
      </c>
    </row>
    <row r="1276" spans="1:18">
      <c r="A1276" t="s">
        <v>4482</v>
      </c>
      <c r="B1276" t="s">
        <v>500</v>
      </c>
      <c r="C1276">
        <v>1</v>
      </c>
      <c r="D1276" t="s">
        <v>15</v>
      </c>
      <c r="E1276" t="s">
        <v>6</v>
      </c>
      <c r="F1276" s="2">
        <v>45768</v>
      </c>
      <c r="G1276">
        <v>3800.71</v>
      </c>
      <c r="H1276" s="1">
        <f>AVERAGEIF(Table1[Customer_ID], Table1[[#This Row],[Customer_ID]], Table1[Transaction_Amount])</f>
        <v>5525.9379999999983</v>
      </c>
      <c r="I1276" t="s">
        <v>1971</v>
      </c>
      <c r="J1276" t="s">
        <v>36</v>
      </c>
      <c r="K1276" t="s">
        <v>8</v>
      </c>
      <c r="L1276">
        <v>5</v>
      </c>
      <c r="M1276" t="s">
        <v>47</v>
      </c>
      <c r="N1276" t="s">
        <v>47</v>
      </c>
      <c r="O1276" t="s">
        <v>392</v>
      </c>
      <c r="P1276" s="6" t="str">
        <f>IF(Table1[[#This Row],[Transaction_Amount]]&lt;=Table1[[#This Row],[avg_transaction_amount]], "usual transaction", "unusual transaction")</f>
        <v>usual transaction</v>
      </c>
      <c r="Q1276" s="6" t="str">
        <f>IF(AND(Table1[[#This Row],[Country_of_Residence]]&lt;&gt;Table1[[#This Row],[Country_of_Transaction]], OR(Table1[[#This Row],[Authentication_Type]]="Biometric", Table1[[#This Row],[Authentication_Type]]="OTP")), "safe location transaction", "unsafe location transaction")</f>
        <v>unsafe location transaction</v>
      </c>
      <c r="R1276" s="6" t="str">
        <f>IF(AND(Table1[[#This Row],[Country_of_Residence]]&lt;&gt;Table1[[#This Row],[Country_of_Transaction]], OR(Table1[[#This Row],[Merchant_Category]]="Electronics", Table1[[#This Row],[Merchant_Category]]="Travel")), "unsafe merchant transaction", "safe merchant transaction")</f>
        <v>safe merchant transaction</v>
      </c>
    </row>
    <row r="1277" spans="1:18">
      <c r="A1277" t="s">
        <v>4519</v>
      </c>
      <c r="B1277" t="s">
        <v>500</v>
      </c>
      <c r="C1277">
        <v>1</v>
      </c>
      <c r="D1277" t="s">
        <v>9</v>
      </c>
      <c r="E1277" t="s">
        <v>6</v>
      </c>
      <c r="F1277" s="2">
        <v>45749</v>
      </c>
      <c r="G1277">
        <v>5289.27</v>
      </c>
      <c r="H1277" s="1">
        <f>AVERAGEIF(Table1[Customer_ID], Table1[[#This Row],[Customer_ID]], Table1[Transaction_Amount])</f>
        <v>5525.9379999999983</v>
      </c>
      <c r="I1277" t="s">
        <v>2003</v>
      </c>
      <c r="J1277" t="s">
        <v>31</v>
      </c>
      <c r="K1277" t="s">
        <v>12</v>
      </c>
      <c r="L1277">
        <v>1</v>
      </c>
      <c r="M1277" t="s">
        <v>51</v>
      </c>
      <c r="N1277" t="s">
        <v>37</v>
      </c>
      <c r="O1277" t="s">
        <v>393</v>
      </c>
      <c r="P1277" s="6" t="str">
        <f>IF(Table1[[#This Row],[Transaction_Amount]]&lt;=Table1[[#This Row],[avg_transaction_amount]], "usual transaction", "unusual transaction")</f>
        <v>usual transaction</v>
      </c>
      <c r="Q1277" s="6" t="str">
        <f>IF(AND(Table1[[#This Row],[Country_of_Residence]]&lt;&gt;Table1[[#This Row],[Country_of_Transaction]], OR(Table1[[#This Row],[Authentication_Type]]="Biometric", Table1[[#This Row],[Authentication_Type]]="OTP")), "safe location transaction", "unsafe location transaction")</f>
        <v>unsafe location transaction</v>
      </c>
      <c r="R1277" s="6" t="str">
        <f>IF(AND(Table1[[#This Row],[Country_of_Residence]]&lt;&gt;Table1[[#This Row],[Country_of_Transaction]], OR(Table1[[#This Row],[Merchant_Category]]="Electronics", Table1[[#This Row],[Merchant_Category]]="Travel")), "unsafe merchant transaction", "safe merchant transaction")</f>
        <v>safe merchant transaction</v>
      </c>
    </row>
    <row r="1278" spans="1:18">
      <c r="A1278" t="s">
        <v>4617</v>
      </c>
      <c r="B1278" t="s">
        <v>500</v>
      </c>
      <c r="C1278">
        <v>1</v>
      </c>
      <c r="D1278" t="s">
        <v>15</v>
      </c>
      <c r="E1278" t="s">
        <v>3</v>
      </c>
      <c r="F1278" s="2">
        <v>45893</v>
      </c>
      <c r="G1278">
        <v>7518.99</v>
      </c>
      <c r="H1278" s="1">
        <f>AVERAGEIF(Table1[Customer_ID], Table1[[#This Row],[Customer_ID]], Table1[Transaction_Amount])</f>
        <v>5525.9379999999983</v>
      </c>
      <c r="I1278" t="s">
        <v>2081</v>
      </c>
      <c r="J1278" t="s">
        <v>31</v>
      </c>
      <c r="K1278" t="s">
        <v>12</v>
      </c>
      <c r="L1278">
        <v>3</v>
      </c>
      <c r="M1278" t="s">
        <v>37</v>
      </c>
      <c r="N1278" t="s">
        <v>33</v>
      </c>
      <c r="O1278" t="s">
        <v>392</v>
      </c>
      <c r="P1278" s="6" t="str">
        <f>IF(Table1[[#This Row],[Transaction_Amount]]&lt;=Table1[[#This Row],[avg_transaction_amount]], "usual transaction", "unusual transaction")</f>
        <v>unusual transaction</v>
      </c>
      <c r="Q1278" s="6" t="str">
        <f>IF(AND(Table1[[#This Row],[Country_of_Residence]]&lt;&gt;Table1[[#This Row],[Country_of_Transaction]], OR(Table1[[#This Row],[Authentication_Type]]="Biometric", Table1[[#This Row],[Authentication_Type]]="OTP")), "safe location transaction", "unsafe location transaction")</f>
        <v>unsafe location transaction</v>
      </c>
      <c r="R1278" s="6" t="str">
        <f>IF(AND(Table1[[#This Row],[Country_of_Residence]]&lt;&gt;Table1[[#This Row],[Country_of_Transaction]], OR(Table1[[#This Row],[Merchant_Category]]="Electronics", Table1[[#This Row],[Merchant_Category]]="Travel")), "unsafe merchant transaction", "safe merchant transaction")</f>
        <v>safe merchant transaction</v>
      </c>
    </row>
    <row r="1279" spans="1:18">
      <c r="A1279" t="s">
        <v>4646</v>
      </c>
      <c r="B1279" t="s">
        <v>500</v>
      </c>
      <c r="C1279">
        <v>1</v>
      </c>
      <c r="D1279" t="s">
        <v>9</v>
      </c>
      <c r="E1279" t="s">
        <v>3</v>
      </c>
      <c r="F1279" s="2">
        <v>45936</v>
      </c>
      <c r="G1279">
        <v>9153.92</v>
      </c>
      <c r="H1279" s="1">
        <f>AVERAGEIF(Table1[Customer_ID], Table1[[#This Row],[Customer_ID]], Table1[Transaction_Amount])</f>
        <v>5525.9379999999983</v>
      </c>
      <c r="I1279" t="s">
        <v>2106</v>
      </c>
      <c r="J1279" t="s">
        <v>41</v>
      </c>
      <c r="K1279" t="s">
        <v>10</v>
      </c>
      <c r="L1279">
        <v>3</v>
      </c>
      <c r="M1279" t="s">
        <v>56</v>
      </c>
      <c r="N1279" t="s">
        <v>412</v>
      </c>
      <c r="O1279" t="s">
        <v>393</v>
      </c>
      <c r="P1279" s="6" t="str">
        <f>IF(Table1[[#This Row],[Transaction_Amount]]&lt;=Table1[[#This Row],[avg_transaction_amount]], "usual transaction", "unusual transaction")</f>
        <v>unusual transaction</v>
      </c>
      <c r="Q1279" s="6" t="str">
        <f>IF(AND(Table1[[#This Row],[Country_of_Residence]]&lt;&gt;Table1[[#This Row],[Country_of_Transaction]], OR(Table1[[#This Row],[Authentication_Type]]="Biometric", Table1[[#This Row],[Authentication_Type]]="OTP")), "safe location transaction", "unsafe location transaction")</f>
        <v>safe location transaction</v>
      </c>
      <c r="R1279" s="6" t="str">
        <f>IF(AND(Table1[[#This Row],[Country_of_Residence]]&lt;&gt;Table1[[#This Row],[Country_of_Transaction]], OR(Table1[[#This Row],[Merchant_Category]]="Electronics", Table1[[#This Row],[Merchant_Category]]="Travel")), "unsafe merchant transaction", "safe merchant transaction")</f>
        <v>safe merchant transaction</v>
      </c>
    </row>
    <row r="1280" spans="1:18">
      <c r="A1280" t="s">
        <v>4647</v>
      </c>
      <c r="B1280" t="s">
        <v>500</v>
      </c>
      <c r="C1280">
        <v>1</v>
      </c>
      <c r="D1280" t="s">
        <v>9</v>
      </c>
      <c r="E1280" t="s">
        <v>3</v>
      </c>
      <c r="F1280" s="2">
        <v>45851</v>
      </c>
      <c r="G1280">
        <v>8943.94</v>
      </c>
      <c r="H1280" s="1">
        <f>AVERAGEIF(Table1[Customer_ID], Table1[[#This Row],[Customer_ID]], Table1[Transaction_Amount])</f>
        <v>5525.9379999999983</v>
      </c>
      <c r="I1280" t="s">
        <v>2107</v>
      </c>
      <c r="J1280" t="s">
        <v>36</v>
      </c>
      <c r="K1280" t="s">
        <v>14</v>
      </c>
      <c r="L1280">
        <v>3</v>
      </c>
      <c r="M1280" t="s">
        <v>47</v>
      </c>
      <c r="N1280" t="s">
        <v>55</v>
      </c>
      <c r="O1280" t="s">
        <v>392</v>
      </c>
      <c r="P1280" s="6" t="str">
        <f>IF(Table1[[#This Row],[Transaction_Amount]]&lt;=Table1[[#This Row],[avg_transaction_amount]], "usual transaction", "unusual transaction")</f>
        <v>unusual transaction</v>
      </c>
      <c r="Q1280" s="6" t="str">
        <f>IF(AND(Table1[[#This Row],[Country_of_Residence]]&lt;&gt;Table1[[#This Row],[Country_of_Transaction]], OR(Table1[[#This Row],[Authentication_Type]]="Biometric", Table1[[#This Row],[Authentication_Type]]="OTP")), "safe location transaction", "unsafe location transaction")</f>
        <v>unsafe location transaction</v>
      </c>
      <c r="R1280" s="6" t="str">
        <f>IF(AND(Table1[[#This Row],[Country_of_Residence]]&lt;&gt;Table1[[#This Row],[Country_of_Transaction]], OR(Table1[[#This Row],[Merchant_Category]]="Electronics", Table1[[#This Row],[Merchant_Category]]="Travel")), "unsafe merchant transaction", "safe merchant transaction")</f>
        <v>safe merchant transaction</v>
      </c>
    </row>
    <row r="1281" spans="1:18">
      <c r="A1281" t="s">
        <v>4731</v>
      </c>
      <c r="B1281" t="s">
        <v>500</v>
      </c>
      <c r="C1281">
        <v>1</v>
      </c>
      <c r="D1281" t="s">
        <v>9</v>
      </c>
      <c r="E1281" t="s">
        <v>6</v>
      </c>
      <c r="F1281" s="2">
        <v>45809</v>
      </c>
      <c r="G1281">
        <v>9278.41</v>
      </c>
      <c r="H1281" s="1">
        <f>AVERAGEIF(Table1[Customer_ID], Table1[[#This Row],[Customer_ID]], Table1[Transaction_Amount])</f>
        <v>5525.9379999999983</v>
      </c>
      <c r="I1281" t="s">
        <v>2171</v>
      </c>
      <c r="J1281" t="s">
        <v>50</v>
      </c>
      <c r="K1281" t="s">
        <v>8</v>
      </c>
      <c r="L1281">
        <v>5</v>
      </c>
      <c r="M1281" t="s">
        <v>42</v>
      </c>
      <c r="N1281" t="s">
        <v>56</v>
      </c>
      <c r="O1281" t="s">
        <v>393</v>
      </c>
      <c r="P1281" s="6" t="str">
        <f>IF(Table1[[#This Row],[Transaction_Amount]]&lt;=Table1[[#This Row],[avg_transaction_amount]], "usual transaction", "unusual transaction")</f>
        <v>unusual transaction</v>
      </c>
      <c r="Q1281" s="6" t="str">
        <f>IF(AND(Table1[[#This Row],[Country_of_Residence]]&lt;&gt;Table1[[#This Row],[Country_of_Transaction]], OR(Table1[[#This Row],[Authentication_Type]]="Biometric", Table1[[#This Row],[Authentication_Type]]="OTP")), "safe location transaction", "unsafe location transaction")</f>
        <v>safe location transaction</v>
      </c>
      <c r="R1281" s="6" t="str">
        <f>IF(AND(Table1[[#This Row],[Country_of_Residence]]&lt;&gt;Table1[[#This Row],[Country_of_Transaction]], OR(Table1[[#This Row],[Merchant_Category]]="Electronics", Table1[[#This Row],[Merchant_Category]]="Travel")), "unsafe merchant transaction", "safe merchant transaction")</f>
        <v>unsafe merchant transaction</v>
      </c>
    </row>
    <row r="1282" spans="1:18">
      <c r="A1282" t="s">
        <v>4734</v>
      </c>
      <c r="B1282" t="s">
        <v>500</v>
      </c>
      <c r="C1282">
        <v>1</v>
      </c>
      <c r="D1282" t="s">
        <v>9</v>
      </c>
      <c r="E1282" t="s">
        <v>5</v>
      </c>
      <c r="F1282" s="2">
        <v>45688</v>
      </c>
      <c r="G1282">
        <v>286.60000000000002</v>
      </c>
      <c r="H1282" s="1">
        <f>AVERAGEIF(Table1[Customer_ID], Table1[[#This Row],[Customer_ID]], Table1[Transaction_Amount])</f>
        <v>5525.9379999999983</v>
      </c>
      <c r="I1282" t="s">
        <v>2110</v>
      </c>
      <c r="J1282" t="s">
        <v>41</v>
      </c>
      <c r="K1282" t="s">
        <v>12</v>
      </c>
      <c r="L1282">
        <v>4</v>
      </c>
      <c r="M1282" t="s">
        <v>37</v>
      </c>
      <c r="N1282" t="s">
        <v>56</v>
      </c>
      <c r="O1282" t="s">
        <v>393</v>
      </c>
      <c r="P1282" s="6" t="str">
        <f>IF(Table1[[#This Row],[Transaction_Amount]]&lt;=Table1[[#This Row],[avg_transaction_amount]], "usual transaction", "unusual transaction")</f>
        <v>usual transaction</v>
      </c>
      <c r="Q1282" s="6" t="str">
        <f>IF(AND(Table1[[#This Row],[Country_of_Residence]]&lt;&gt;Table1[[#This Row],[Country_of_Transaction]], OR(Table1[[#This Row],[Authentication_Type]]="Biometric", Table1[[#This Row],[Authentication_Type]]="OTP")), "safe location transaction", "unsafe location transaction")</f>
        <v>unsafe location transaction</v>
      </c>
      <c r="R1282" s="6" t="str">
        <f>IF(AND(Table1[[#This Row],[Country_of_Residence]]&lt;&gt;Table1[[#This Row],[Country_of_Transaction]], OR(Table1[[#This Row],[Merchant_Category]]="Electronics", Table1[[#This Row],[Merchant_Category]]="Travel")), "unsafe merchant transaction", "safe merchant transaction")</f>
        <v>safe merchant transaction</v>
      </c>
    </row>
    <row r="1283" spans="1:18">
      <c r="A1283" t="s">
        <v>4817</v>
      </c>
      <c r="B1283" t="s">
        <v>500</v>
      </c>
      <c r="C1283">
        <v>1</v>
      </c>
      <c r="D1283" t="s">
        <v>15</v>
      </c>
      <c r="E1283" t="s">
        <v>420</v>
      </c>
      <c r="F1283" s="2">
        <v>45727</v>
      </c>
      <c r="G1283">
        <v>4636.79</v>
      </c>
      <c r="H1283" s="1">
        <f>AVERAGEIF(Table1[Customer_ID], Table1[[#This Row],[Customer_ID]], Table1[Transaction_Amount])</f>
        <v>5525.9379999999983</v>
      </c>
      <c r="I1283" t="s">
        <v>2237</v>
      </c>
      <c r="J1283" t="s">
        <v>36</v>
      </c>
      <c r="K1283" t="s">
        <v>8</v>
      </c>
      <c r="L1283">
        <v>4</v>
      </c>
      <c r="M1283" t="s">
        <v>51</v>
      </c>
      <c r="N1283" t="s">
        <v>412</v>
      </c>
      <c r="O1283" t="s">
        <v>393</v>
      </c>
      <c r="P1283" s="6" t="str">
        <f>IF(Table1[[#This Row],[Transaction_Amount]]&lt;=Table1[[#This Row],[avg_transaction_amount]], "usual transaction", "unusual transaction")</f>
        <v>usual transaction</v>
      </c>
      <c r="Q1283" s="6" t="str">
        <f>IF(AND(Table1[[#This Row],[Country_of_Residence]]&lt;&gt;Table1[[#This Row],[Country_of_Transaction]], OR(Table1[[#This Row],[Authentication_Type]]="Biometric", Table1[[#This Row],[Authentication_Type]]="OTP")), "safe location transaction", "unsafe location transaction")</f>
        <v>safe location transaction</v>
      </c>
      <c r="R1283" s="6" t="str">
        <f>IF(AND(Table1[[#This Row],[Country_of_Residence]]&lt;&gt;Table1[[#This Row],[Country_of_Transaction]], OR(Table1[[#This Row],[Merchant_Category]]="Electronics", Table1[[#This Row],[Merchant_Category]]="Travel")), "unsafe merchant transaction", "safe merchant transaction")</f>
        <v>safe merchant transaction</v>
      </c>
    </row>
    <row r="1284" spans="1:18">
      <c r="A1284" t="s">
        <v>4870</v>
      </c>
      <c r="B1284" t="s">
        <v>500</v>
      </c>
      <c r="C1284">
        <v>1</v>
      </c>
      <c r="D1284" t="s">
        <v>15</v>
      </c>
      <c r="E1284" t="s">
        <v>6</v>
      </c>
      <c r="F1284" s="2">
        <v>45668</v>
      </c>
      <c r="G1284">
        <v>9700.01</v>
      </c>
      <c r="H1284" s="1">
        <f>AVERAGEIF(Table1[Customer_ID], Table1[[#This Row],[Customer_ID]], Table1[Transaction_Amount])</f>
        <v>5525.9379999999983</v>
      </c>
      <c r="I1284" t="s">
        <v>2275</v>
      </c>
      <c r="J1284" t="s">
        <v>36</v>
      </c>
      <c r="K1284" t="s">
        <v>14</v>
      </c>
      <c r="L1284">
        <v>2</v>
      </c>
      <c r="M1284" t="s">
        <v>33</v>
      </c>
      <c r="N1284" t="s">
        <v>42</v>
      </c>
      <c r="O1284" t="s">
        <v>392</v>
      </c>
      <c r="P1284" s="6" t="str">
        <f>IF(Table1[[#This Row],[Transaction_Amount]]&lt;=Table1[[#This Row],[avg_transaction_amount]], "usual transaction", "unusual transaction")</f>
        <v>unusual transaction</v>
      </c>
      <c r="Q1284" s="6" t="str">
        <f>IF(AND(Table1[[#This Row],[Country_of_Residence]]&lt;&gt;Table1[[#This Row],[Country_of_Transaction]], OR(Table1[[#This Row],[Authentication_Type]]="Biometric", Table1[[#This Row],[Authentication_Type]]="OTP")), "safe location transaction", "unsafe location transaction")</f>
        <v>unsafe location transaction</v>
      </c>
      <c r="R1284" s="6" t="str">
        <f>IF(AND(Table1[[#This Row],[Country_of_Residence]]&lt;&gt;Table1[[#This Row],[Country_of_Transaction]], OR(Table1[[#This Row],[Merchant_Category]]="Electronics", Table1[[#This Row],[Merchant_Category]]="Travel")), "unsafe merchant transaction", "safe merchant transaction")</f>
        <v>safe merchant transaction</v>
      </c>
    </row>
    <row r="1285" spans="1:18">
      <c r="A1285" t="s">
        <v>4881</v>
      </c>
      <c r="B1285" t="s">
        <v>500</v>
      </c>
      <c r="C1285">
        <v>1</v>
      </c>
      <c r="D1285" t="s">
        <v>9</v>
      </c>
      <c r="E1285" t="s">
        <v>420</v>
      </c>
      <c r="F1285" s="2">
        <v>45964</v>
      </c>
      <c r="G1285">
        <v>5549.24</v>
      </c>
      <c r="H1285" s="1">
        <f>AVERAGEIF(Table1[Customer_ID], Table1[[#This Row],[Customer_ID]], Table1[Transaction_Amount])</f>
        <v>5525.9379999999983</v>
      </c>
      <c r="I1285" t="s">
        <v>2285</v>
      </c>
      <c r="J1285" t="s">
        <v>50</v>
      </c>
      <c r="K1285" t="s">
        <v>10</v>
      </c>
      <c r="L1285">
        <v>5</v>
      </c>
      <c r="M1285" t="s">
        <v>56</v>
      </c>
      <c r="N1285" t="s">
        <v>56</v>
      </c>
      <c r="O1285" t="s">
        <v>392</v>
      </c>
      <c r="P1285" s="6" t="str">
        <f>IF(Table1[[#This Row],[Transaction_Amount]]&lt;=Table1[[#This Row],[avg_transaction_amount]], "usual transaction", "unusual transaction")</f>
        <v>unusual transaction</v>
      </c>
      <c r="Q1285" s="6" t="str">
        <f>IF(AND(Table1[[#This Row],[Country_of_Residence]]&lt;&gt;Table1[[#This Row],[Country_of_Transaction]], OR(Table1[[#This Row],[Authentication_Type]]="Biometric", Table1[[#This Row],[Authentication_Type]]="OTP")), "safe location transaction", "unsafe location transaction")</f>
        <v>unsafe location transaction</v>
      </c>
      <c r="R1285" s="6" t="str">
        <f>IF(AND(Table1[[#This Row],[Country_of_Residence]]&lt;&gt;Table1[[#This Row],[Country_of_Transaction]], OR(Table1[[#This Row],[Merchant_Category]]="Electronics", Table1[[#This Row],[Merchant_Category]]="Travel")), "unsafe merchant transaction", "safe merchant transaction")</f>
        <v>safe merchant transaction</v>
      </c>
    </row>
    <row r="1286" spans="1:18">
      <c r="A1286" t="s">
        <v>4911</v>
      </c>
      <c r="B1286" t="s">
        <v>500</v>
      </c>
      <c r="C1286">
        <v>1</v>
      </c>
      <c r="D1286" t="s">
        <v>15</v>
      </c>
      <c r="E1286" t="s">
        <v>5</v>
      </c>
      <c r="F1286" s="2">
        <v>45695</v>
      </c>
      <c r="G1286">
        <v>4137.51</v>
      </c>
      <c r="H1286" s="1">
        <f>AVERAGEIF(Table1[Customer_ID], Table1[[#This Row],[Customer_ID]], Table1[Transaction_Amount])</f>
        <v>5525.9379999999983</v>
      </c>
      <c r="I1286" t="s">
        <v>737</v>
      </c>
      <c r="J1286" t="s">
        <v>36</v>
      </c>
      <c r="K1286" t="s">
        <v>10</v>
      </c>
      <c r="L1286">
        <v>2</v>
      </c>
      <c r="M1286" t="s">
        <v>32</v>
      </c>
      <c r="N1286" t="s">
        <v>56</v>
      </c>
      <c r="O1286" t="s">
        <v>393</v>
      </c>
      <c r="P1286" s="6" t="str">
        <f>IF(Table1[[#This Row],[Transaction_Amount]]&lt;=Table1[[#This Row],[avg_transaction_amount]], "usual transaction", "unusual transaction")</f>
        <v>usual transaction</v>
      </c>
      <c r="Q1286" s="6" t="str">
        <f>IF(AND(Table1[[#This Row],[Country_of_Residence]]&lt;&gt;Table1[[#This Row],[Country_of_Transaction]], OR(Table1[[#This Row],[Authentication_Type]]="Biometric", Table1[[#This Row],[Authentication_Type]]="OTP")), "safe location transaction", "unsafe location transaction")</f>
        <v>safe location transaction</v>
      </c>
      <c r="R1286" s="6" t="str">
        <f>IF(AND(Table1[[#This Row],[Country_of_Residence]]&lt;&gt;Table1[[#This Row],[Country_of_Transaction]], OR(Table1[[#This Row],[Merchant_Category]]="Electronics", Table1[[#This Row],[Merchant_Category]]="Travel")), "unsafe merchant transaction", "safe merchant transaction")</f>
        <v>safe merchant transaction</v>
      </c>
    </row>
    <row r="1287" spans="1:18">
      <c r="A1287" t="s">
        <v>5064</v>
      </c>
      <c r="B1287" t="s">
        <v>500</v>
      </c>
      <c r="C1287">
        <v>1</v>
      </c>
      <c r="D1287" t="s">
        <v>15</v>
      </c>
      <c r="E1287" t="s">
        <v>6</v>
      </c>
      <c r="F1287" s="2">
        <v>45676</v>
      </c>
      <c r="G1287">
        <v>6963.86</v>
      </c>
      <c r="H1287" s="1">
        <f>AVERAGEIF(Table1[Customer_ID], Table1[[#This Row],[Customer_ID]], Table1[Transaction_Amount])</f>
        <v>5525.9379999999983</v>
      </c>
      <c r="I1287" t="s">
        <v>1025</v>
      </c>
      <c r="J1287" t="s">
        <v>31</v>
      </c>
      <c r="K1287" t="s">
        <v>8</v>
      </c>
      <c r="L1287">
        <v>2</v>
      </c>
      <c r="M1287" t="s">
        <v>32</v>
      </c>
      <c r="N1287" t="s">
        <v>55</v>
      </c>
      <c r="O1287" t="s">
        <v>393</v>
      </c>
      <c r="P1287" s="6" t="str">
        <f>IF(Table1[[#This Row],[Transaction_Amount]]&lt;=Table1[[#This Row],[avg_transaction_amount]], "usual transaction", "unusual transaction")</f>
        <v>unusual transaction</v>
      </c>
      <c r="Q1287" s="6" t="str">
        <f>IF(AND(Table1[[#This Row],[Country_of_Residence]]&lt;&gt;Table1[[#This Row],[Country_of_Transaction]], OR(Table1[[#This Row],[Authentication_Type]]="Biometric", Table1[[#This Row],[Authentication_Type]]="OTP")), "safe location transaction", "unsafe location transaction")</f>
        <v>safe location transaction</v>
      </c>
      <c r="R1287" s="6" t="str">
        <f>IF(AND(Table1[[#This Row],[Country_of_Residence]]&lt;&gt;Table1[[#This Row],[Country_of_Transaction]], OR(Table1[[#This Row],[Merchant_Category]]="Electronics", Table1[[#This Row],[Merchant_Category]]="Travel")), "unsafe merchant transaction", "safe merchant transaction")</f>
        <v>safe merchant transaction</v>
      </c>
    </row>
    <row r="1288" spans="1:18">
      <c r="A1288" t="s">
        <v>5090</v>
      </c>
      <c r="B1288" t="s">
        <v>500</v>
      </c>
      <c r="C1288">
        <v>1</v>
      </c>
      <c r="D1288" t="s">
        <v>9</v>
      </c>
      <c r="E1288" t="s">
        <v>6</v>
      </c>
      <c r="F1288" s="2">
        <v>45686</v>
      </c>
      <c r="G1288">
        <v>1555.91</v>
      </c>
      <c r="H1288" s="1">
        <f>AVERAGEIF(Table1[Customer_ID], Table1[[#This Row],[Customer_ID]], Table1[Transaction_Amount])</f>
        <v>5525.9379999999983</v>
      </c>
      <c r="I1288" t="s">
        <v>2441</v>
      </c>
      <c r="J1288" t="s">
        <v>36</v>
      </c>
      <c r="K1288" t="s">
        <v>14</v>
      </c>
      <c r="L1288">
        <v>0</v>
      </c>
      <c r="M1288" t="s">
        <v>51</v>
      </c>
      <c r="N1288" t="s">
        <v>55</v>
      </c>
      <c r="O1288" t="s">
        <v>393</v>
      </c>
      <c r="P1288" s="6" t="str">
        <f>IF(Table1[[#This Row],[Transaction_Amount]]&lt;=Table1[[#This Row],[avg_transaction_amount]], "usual transaction", "unusual transaction")</f>
        <v>usual transaction</v>
      </c>
      <c r="Q1288" s="6" t="str">
        <f>IF(AND(Table1[[#This Row],[Country_of_Residence]]&lt;&gt;Table1[[#This Row],[Country_of_Transaction]], OR(Table1[[#This Row],[Authentication_Type]]="Biometric", Table1[[#This Row],[Authentication_Type]]="OTP")), "safe location transaction", "unsafe location transaction")</f>
        <v>unsafe location transaction</v>
      </c>
      <c r="R1288" s="6" t="str">
        <f>IF(AND(Table1[[#This Row],[Country_of_Residence]]&lt;&gt;Table1[[#This Row],[Country_of_Transaction]], OR(Table1[[#This Row],[Merchant_Category]]="Electronics", Table1[[#This Row],[Merchant_Category]]="Travel")), "unsafe merchant transaction", "safe merchant transaction")</f>
        <v>safe merchant transaction</v>
      </c>
    </row>
    <row r="1289" spans="1:18">
      <c r="A1289" t="s">
        <v>5109</v>
      </c>
      <c r="B1289" t="s">
        <v>500</v>
      </c>
      <c r="C1289">
        <v>1</v>
      </c>
      <c r="D1289" t="s">
        <v>9</v>
      </c>
      <c r="E1289" t="s">
        <v>3</v>
      </c>
      <c r="F1289" s="2">
        <v>45925</v>
      </c>
      <c r="G1289">
        <v>4358.43</v>
      </c>
      <c r="H1289" s="1">
        <f>AVERAGEIF(Table1[Customer_ID], Table1[[#This Row],[Customer_ID]], Table1[Transaction_Amount])</f>
        <v>5525.9379999999983</v>
      </c>
      <c r="I1289" t="s">
        <v>2457</v>
      </c>
      <c r="J1289" t="s">
        <v>41</v>
      </c>
      <c r="K1289" t="s">
        <v>12</v>
      </c>
      <c r="L1289">
        <v>2</v>
      </c>
      <c r="M1289" t="s">
        <v>42</v>
      </c>
      <c r="N1289" t="s">
        <v>32</v>
      </c>
      <c r="O1289" t="s">
        <v>392</v>
      </c>
      <c r="P1289" s="6" t="str">
        <f>IF(Table1[[#This Row],[Transaction_Amount]]&lt;=Table1[[#This Row],[avg_transaction_amount]], "usual transaction", "unusual transaction")</f>
        <v>usual transaction</v>
      </c>
      <c r="Q1289" s="6" t="str">
        <f>IF(AND(Table1[[#This Row],[Country_of_Residence]]&lt;&gt;Table1[[#This Row],[Country_of_Transaction]], OR(Table1[[#This Row],[Authentication_Type]]="Biometric", Table1[[#This Row],[Authentication_Type]]="OTP")), "safe location transaction", "unsafe location transaction")</f>
        <v>unsafe location transaction</v>
      </c>
      <c r="R1289" s="6" t="str">
        <f>IF(AND(Table1[[#This Row],[Country_of_Residence]]&lt;&gt;Table1[[#This Row],[Country_of_Transaction]], OR(Table1[[#This Row],[Merchant_Category]]="Electronics", Table1[[#This Row],[Merchant_Category]]="Travel")), "unsafe merchant transaction", "safe merchant transaction")</f>
        <v>safe merchant transaction</v>
      </c>
    </row>
    <row r="1290" spans="1:18">
      <c r="A1290" t="s">
        <v>5207</v>
      </c>
      <c r="B1290" t="s">
        <v>500</v>
      </c>
      <c r="C1290">
        <v>1</v>
      </c>
      <c r="D1290" t="s">
        <v>9</v>
      </c>
      <c r="E1290" t="s">
        <v>6</v>
      </c>
      <c r="F1290" s="2">
        <v>45915</v>
      </c>
      <c r="G1290">
        <v>481.79</v>
      </c>
      <c r="H1290" s="1">
        <f>AVERAGEIF(Table1[Customer_ID], Table1[[#This Row],[Customer_ID]], Table1[Transaction_Amount])</f>
        <v>5525.9379999999983</v>
      </c>
      <c r="I1290" t="s">
        <v>2534</v>
      </c>
      <c r="J1290" t="s">
        <v>46</v>
      </c>
      <c r="K1290" t="s">
        <v>14</v>
      </c>
      <c r="L1290">
        <v>0</v>
      </c>
      <c r="M1290" t="s">
        <v>42</v>
      </c>
      <c r="N1290" t="s">
        <v>55</v>
      </c>
      <c r="O1290" t="s">
        <v>392</v>
      </c>
      <c r="P1290" s="6" t="str">
        <f>IF(Table1[[#This Row],[Transaction_Amount]]&lt;=Table1[[#This Row],[avg_transaction_amount]], "usual transaction", "unusual transaction")</f>
        <v>usual transaction</v>
      </c>
      <c r="Q1290" s="6" t="str">
        <f>IF(AND(Table1[[#This Row],[Country_of_Residence]]&lt;&gt;Table1[[#This Row],[Country_of_Transaction]], OR(Table1[[#This Row],[Authentication_Type]]="Biometric", Table1[[#This Row],[Authentication_Type]]="OTP")), "safe location transaction", "unsafe location transaction")</f>
        <v>unsafe location transaction</v>
      </c>
      <c r="R1290" s="6" t="str">
        <f>IF(AND(Table1[[#This Row],[Country_of_Residence]]&lt;&gt;Table1[[#This Row],[Country_of_Transaction]], OR(Table1[[#This Row],[Merchant_Category]]="Electronics", Table1[[#This Row],[Merchant_Category]]="Travel")), "unsafe merchant transaction", "safe merchant transaction")</f>
        <v>safe merchant transaction</v>
      </c>
    </row>
    <row r="1291" spans="1:18">
      <c r="A1291" t="s">
        <v>5223</v>
      </c>
      <c r="B1291" t="s">
        <v>500</v>
      </c>
      <c r="C1291">
        <v>1</v>
      </c>
      <c r="D1291" t="s">
        <v>9</v>
      </c>
      <c r="E1291" t="s">
        <v>6</v>
      </c>
      <c r="F1291" s="2">
        <v>45688</v>
      </c>
      <c r="G1291">
        <v>5857.98</v>
      </c>
      <c r="H1291" s="1">
        <f>AVERAGEIF(Table1[Customer_ID], Table1[[#This Row],[Customer_ID]], Table1[Transaction_Amount])</f>
        <v>5525.9379999999983</v>
      </c>
      <c r="I1291" t="s">
        <v>1383</v>
      </c>
      <c r="J1291" t="s">
        <v>46</v>
      </c>
      <c r="K1291" t="s">
        <v>10</v>
      </c>
      <c r="L1291">
        <v>2</v>
      </c>
      <c r="M1291" t="s">
        <v>51</v>
      </c>
      <c r="N1291" t="s">
        <v>56</v>
      </c>
      <c r="O1291" t="s">
        <v>392</v>
      </c>
      <c r="P1291" s="6" t="str">
        <f>IF(Table1[[#This Row],[Transaction_Amount]]&lt;=Table1[[#This Row],[avg_transaction_amount]], "usual transaction", "unusual transaction")</f>
        <v>unusual transaction</v>
      </c>
      <c r="Q1291" s="6" t="str">
        <f>IF(AND(Table1[[#This Row],[Country_of_Residence]]&lt;&gt;Table1[[#This Row],[Country_of_Transaction]], OR(Table1[[#This Row],[Authentication_Type]]="Biometric", Table1[[#This Row],[Authentication_Type]]="OTP")), "safe location transaction", "unsafe location transaction")</f>
        <v>safe location transaction</v>
      </c>
      <c r="R1291" s="6" t="str">
        <f>IF(AND(Table1[[#This Row],[Country_of_Residence]]&lt;&gt;Table1[[#This Row],[Country_of_Transaction]], OR(Table1[[#This Row],[Merchant_Category]]="Electronics", Table1[[#This Row],[Merchant_Category]]="Travel")), "unsafe merchant transaction", "safe merchant transaction")</f>
        <v>safe merchant transaction</v>
      </c>
    </row>
    <row r="1292" spans="1:18">
      <c r="A1292" t="s">
        <v>5298</v>
      </c>
      <c r="B1292" t="s">
        <v>500</v>
      </c>
      <c r="C1292">
        <v>1</v>
      </c>
      <c r="D1292" t="s">
        <v>9</v>
      </c>
      <c r="E1292" t="s">
        <v>6</v>
      </c>
      <c r="F1292" s="2">
        <v>45922</v>
      </c>
      <c r="G1292">
        <v>3008.35</v>
      </c>
      <c r="H1292" s="1">
        <f>AVERAGEIF(Table1[Customer_ID], Table1[[#This Row],[Customer_ID]], Table1[Transaction_Amount])</f>
        <v>5525.9379999999983</v>
      </c>
      <c r="I1292" t="s">
        <v>2603</v>
      </c>
      <c r="J1292" t="s">
        <v>36</v>
      </c>
      <c r="K1292" t="s">
        <v>8</v>
      </c>
      <c r="L1292">
        <v>1</v>
      </c>
      <c r="M1292" t="s">
        <v>33</v>
      </c>
      <c r="N1292" t="s">
        <v>42</v>
      </c>
      <c r="O1292" t="s">
        <v>393</v>
      </c>
      <c r="P1292" s="6" t="str">
        <f>IF(Table1[[#This Row],[Transaction_Amount]]&lt;=Table1[[#This Row],[avg_transaction_amount]], "usual transaction", "unusual transaction")</f>
        <v>usual transaction</v>
      </c>
      <c r="Q1292" s="6" t="str">
        <f>IF(AND(Table1[[#This Row],[Country_of_Residence]]&lt;&gt;Table1[[#This Row],[Country_of_Transaction]], OR(Table1[[#This Row],[Authentication_Type]]="Biometric", Table1[[#This Row],[Authentication_Type]]="OTP")), "safe location transaction", "unsafe location transaction")</f>
        <v>safe location transaction</v>
      </c>
      <c r="R1292" s="6" t="str">
        <f>IF(AND(Table1[[#This Row],[Country_of_Residence]]&lt;&gt;Table1[[#This Row],[Country_of_Transaction]], OR(Table1[[#This Row],[Merchant_Category]]="Electronics", Table1[[#This Row],[Merchant_Category]]="Travel")), "unsafe merchant transaction", "safe merchant transaction")</f>
        <v>safe merchant transaction</v>
      </c>
    </row>
    <row r="1293" spans="1:18">
      <c r="A1293" t="s">
        <v>5362</v>
      </c>
      <c r="B1293" t="s">
        <v>500</v>
      </c>
      <c r="C1293">
        <v>1</v>
      </c>
      <c r="D1293" t="s">
        <v>15</v>
      </c>
      <c r="E1293" t="s">
        <v>6</v>
      </c>
      <c r="F1293" s="2">
        <v>45689</v>
      </c>
      <c r="G1293">
        <v>1488.72</v>
      </c>
      <c r="H1293" s="1">
        <f>AVERAGEIF(Table1[Customer_ID], Table1[[#This Row],[Customer_ID]], Table1[Transaction_Amount])</f>
        <v>5525.9379999999983</v>
      </c>
      <c r="I1293" t="s">
        <v>2653</v>
      </c>
      <c r="J1293" t="s">
        <v>50</v>
      </c>
      <c r="K1293" t="s">
        <v>8</v>
      </c>
      <c r="L1293">
        <v>5</v>
      </c>
      <c r="M1293" t="s">
        <v>32</v>
      </c>
      <c r="N1293" t="s">
        <v>42</v>
      </c>
      <c r="O1293" t="s">
        <v>393</v>
      </c>
      <c r="P1293" s="6" t="str">
        <f>IF(Table1[[#This Row],[Transaction_Amount]]&lt;=Table1[[#This Row],[avg_transaction_amount]], "usual transaction", "unusual transaction")</f>
        <v>usual transaction</v>
      </c>
      <c r="Q1293" s="6" t="str">
        <f>IF(AND(Table1[[#This Row],[Country_of_Residence]]&lt;&gt;Table1[[#This Row],[Country_of_Transaction]], OR(Table1[[#This Row],[Authentication_Type]]="Biometric", Table1[[#This Row],[Authentication_Type]]="OTP")), "safe location transaction", "unsafe location transaction")</f>
        <v>safe location transaction</v>
      </c>
      <c r="R1293" s="6" t="str">
        <f>IF(AND(Table1[[#This Row],[Country_of_Residence]]&lt;&gt;Table1[[#This Row],[Country_of_Transaction]], OR(Table1[[#This Row],[Merchant_Category]]="Electronics", Table1[[#This Row],[Merchant_Category]]="Travel")), "unsafe merchant transaction", "safe merchant transaction")</f>
        <v>unsafe merchant transaction</v>
      </c>
    </row>
    <row r="1294" spans="1:18">
      <c r="A1294" t="s">
        <v>5394</v>
      </c>
      <c r="B1294" t="s">
        <v>500</v>
      </c>
      <c r="C1294">
        <v>1</v>
      </c>
      <c r="D1294" t="s">
        <v>9</v>
      </c>
      <c r="E1294" t="s">
        <v>3</v>
      </c>
      <c r="F1294" s="2">
        <v>45881</v>
      </c>
      <c r="G1294">
        <v>2801.27</v>
      </c>
      <c r="H1294" s="1">
        <f>AVERAGEIF(Table1[Customer_ID], Table1[[#This Row],[Customer_ID]], Table1[Transaction_Amount])</f>
        <v>5525.9379999999983</v>
      </c>
      <c r="I1294" t="s">
        <v>2674</v>
      </c>
      <c r="J1294" t="s">
        <v>41</v>
      </c>
      <c r="K1294" t="s">
        <v>12</v>
      </c>
      <c r="L1294">
        <v>4</v>
      </c>
      <c r="M1294" t="s">
        <v>42</v>
      </c>
      <c r="N1294" t="s">
        <v>47</v>
      </c>
      <c r="O1294" t="s">
        <v>393</v>
      </c>
      <c r="P1294" s="6" t="str">
        <f>IF(Table1[[#This Row],[Transaction_Amount]]&lt;=Table1[[#This Row],[avg_transaction_amount]], "usual transaction", "unusual transaction")</f>
        <v>usual transaction</v>
      </c>
      <c r="Q1294" s="6" t="str">
        <f>IF(AND(Table1[[#This Row],[Country_of_Residence]]&lt;&gt;Table1[[#This Row],[Country_of_Transaction]], OR(Table1[[#This Row],[Authentication_Type]]="Biometric", Table1[[#This Row],[Authentication_Type]]="OTP")), "safe location transaction", "unsafe location transaction")</f>
        <v>unsafe location transaction</v>
      </c>
      <c r="R1294" s="6" t="str">
        <f>IF(AND(Table1[[#This Row],[Country_of_Residence]]&lt;&gt;Table1[[#This Row],[Country_of_Transaction]], OR(Table1[[#This Row],[Merchant_Category]]="Electronics", Table1[[#This Row],[Merchant_Category]]="Travel")), "unsafe merchant transaction", "safe merchant transaction")</f>
        <v>safe merchant transaction</v>
      </c>
    </row>
    <row r="1295" spans="1:18">
      <c r="A1295" t="s">
        <v>5402</v>
      </c>
      <c r="B1295" t="s">
        <v>500</v>
      </c>
      <c r="C1295">
        <v>1</v>
      </c>
      <c r="D1295" t="s">
        <v>15</v>
      </c>
      <c r="E1295" t="s">
        <v>5</v>
      </c>
      <c r="F1295" s="2">
        <v>45714</v>
      </c>
      <c r="G1295">
        <v>2976.75</v>
      </c>
      <c r="H1295" s="1">
        <f>AVERAGEIF(Table1[Customer_ID], Table1[[#This Row],[Customer_ID]], Table1[Transaction_Amount])</f>
        <v>5525.9379999999983</v>
      </c>
      <c r="I1295" t="s">
        <v>2681</v>
      </c>
      <c r="J1295" t="s">
        <v>31</v>
      </c>
      <c r="K1295" t="s">
        <v>8</v>
      </c>
      <c r="L1295">
        <v>3</v>
      </c>
      <c r="M1295" t="s">
        <v>37</v>
      </c>
      <c r="N1295" t="s">
        <v>51</v>
      </c>
      <c r="O1295" t="s">
        <v>392</v>
      </c>
      <c r="P1295" s="6" t="str">
        <f>IF(Table1[[#This Row],[Transaction_Amount]]&lt;=Table1[[#This Row],[avg_transaction_amount]], "usual transaction", "unusual transaction")</f>
        <v>usual transaction</v>
      </c>
      <c r="Q1295" s="6" t="str">
        <f>IF(AND(Table1[[#This Row],[Country_of_Residence]]&lt;&gt;Table1[[#This Row],[Country_of_Transaction]], OR(Table1[[#This Row],[Authentication_Type]]="Biometric", Table1[[#This Row],[Authentication_Type]]="OTP")), "safe location transaction", "unsafe location transaction")</f>
        <v>safe location transaction</v>
      </c>
      <c r="R1295" s="6" t="str">
        <f>IF(AND(Table1[[#This Row],[Country_of_Residence]]&lt;&gt;Table1[[#This Row],[Country_of_Transaction]], OR(Table1[[#This Row],[Merchant_Category]]="Electronics", Table1[[#This Row],[Merchant_Category]]="Travel")), "unsafe merchant transaction", "safe merchant transaction")</f>
        <v>safe merchant transaction</v>
      </c>
    </row>
    <row r="1296" spans="1:18">
      <c r="A1296" t="s">
        <v>5454</v>
      </c>
      <c r="B1296" t="s">
        <v>500</v>
      </c>
      <c r="C1296">
        <v>1</v>
      </c>
      <c r="D1296" t="s">
        <v>9</v>
      </c>
      <c r="E1296" t="s">
        <v>3</v>
      </c>
      <c r="F1296" s="2">
        <v>45908</v>
      </c>
      <c r="G1296">
        <v>1240.95</v>
      </c>
      <c r="H1296" s="1">
        <f>AVERAGEIF(Table1[Customer_ID], Table1[[#This Row],[Customer_ID]], Table1[Transaction_Amount])</f>
        <v>5525.9379999999983</v>
      </c>
      <c r="I1296" t="s">
        <v>425</v>
      </c>
      <c r="J1296" t="s">
        <v>31</v>
      </c>
      <c r="K1296" t="s">
        <v>14</v>
      </c>
      <c r="L1296">
        <v>1</v>
      </c>
      <c r="M1296" t="s">
        <v>37</v>
      </c>
      <c r="N1296" t="s">
        <v>33</v>
      </c>
      <c r="O1296" t="s">
        <v>393</v>
      </c>
      <c r="P1296" s="6" t="str">
        <f>IF(Table1[[#This Row],[Transaction_Amount]]&lt;=Table1[[#This Row],[avg_transaction_amount]], "usual transaction", "unusual transaction")</f>
        <v>usual transaction</v>
      </c>
      <c r="Q1296" s="6" t="str">
        <f>IF(AND(Table1[[#This Row],[Country_of_Residence]]&lt;&gt;Table1[[#This Row],[Country_of_Transaction]], OR(Table1[[#This Row],[Authentication_Type]]="Biometric", Table1[[#This Row],[Authentication_Type]]="OTP")), "safe location transaction", "unsafe location transaction")</f>
        <v>unsafe location transaction</v>
      </c>
      <c r="R1296" s="6" t="str">
        <f>IF(AND(Table1[[#This Row],[Country_of_Residence]]&lt;&gt;Table1[[#This Row],[Country_of_Transaction]], OR(Table1[[#This Row],[Merchant_Category]]="Electronics", Table1[[#This Row],[Merchant_Category]]="Travel")), "unsafe merchant transaction", "safe merchant transaction")</f>
        <v>safe merchant transaction</v>
      </c>
    </row>
    <row r="1297" spans="1:18">
      <c r="A1297" t="s">
        <v>5508</v>
      </c>
      <c r="B1297" t="s">
        <v>500</v>
      </c>
      <c r="C1297">
        <v>1</v>
      </c>
      <c r="D1297" t="s">
        <v>9</v>
      </c>
      <c r="E1297" t="s">
        <v>5</v>
      </c>
      <c r="F1297" s="2">
        <v>45894</v>
      </c>
      <c r="G1297">
        <v>6014.57</v>
      </c>
      <c r="H1297" s="1">
        <f>AVERAGEIF(Table1[Customer_ID], Table1[[#This Row],[Customer_ID]], Table1[Transaction_Amount])</f>
        <v>5525.9379999999983</v>
      </c>
      <c r="I1297" t="s">
        <v>2760</v>
      </c>
      <c r="J1297" t="s">
        <v>50</v>
      </c>
      <c r="K1297" t="s">
        <v>12</v>
      </c>
      <c r="L1297">
        <v>0</v>
      </c>
      <c r="M1297" t="s">
        <v>32</v>
      </c>
      <c r="N1297" t="s">
        <v>56</v>
      </c>
      <c r="O1297" t="s">
        <v>392</v>
      </c>
      <c r="P1297" s="6" t="str">
        <f>IF(Table1[[#This Row],[Transaction_Amount]]&lt;=Table1[[#This Row],[avg_transaction_amount]], "usual transaction", "unusual transaction")</f>
        <v>unusual transaction</v>
      </c>
      <c r="Q1297" s="6" t="str">
        <f>IF(AND(Table1[[#This Row],[Country_of_Residence]]&lt;&gt;Table1[[#This Row],[Country_of_Transaction]], OR(Table1[[#This Row],[Authentication_Type]]="Biometric", Table1[[#This Row],[Authentication_Type]]="OTP")), "safe location transaction", "unsafe location transaction")</f>
        <v>unsafe location transaction</v>
      </c>
      <c r="R1297" s="6" t="str">
        <f>IF(AND(Table1[[#This Row],[Country_of_Residence]]&lt;&gt;Table1[[#This Row],[Country_of_Transaction]], OR(Table1[[#This Row],[Merchant_Category]]="Electronics", Table1[[#This Row],[Merchant_Category]]="Travel")), "unsafe merchant transaction", "safe merchant transaction")</f>
        <v>unsafe merchant transaction</v>
      </c>
    </row>
    <row r="1298" spans="1:18">
      <c r="A1298" t="s">
        <v>208</v>
      </c>
      <c r="B1298" t="s">
        <v>209</v>
      </c>
      <c r="C1298">
        <v>1</v>
      </c>
      <c r="D1298" t="s">
        <v>15</v>
      </c>
      <c r="E1298" t="s">
        <v>6</v>
      </c>
      <c r="F1298" s="2">
        <v>45734.163888888899</v>
      </c>
      <c r="G1298">
        <v>5307.35</v>
      </c>
      <c r="H1298" s="1">
        <f>AVERAGEIF(Table1[Customer_ID], Table1[[#This Row],[Customer_ID]], Table1[Transaction_Amount])</f>
        <v>5286.7533333333322</v>
      </c>
      <c r="I1298" t="s">
        <v>210</v>
      </c>
      <c r="J1298" t="s">
        <v>36</v>
      </c>
      <c r="K1298" t="s">
        <v>10</v>
      </c>
      <c r="L1298">
        <v>1</v>
      </c>
      <c r="M1298" t="s">
        <v>211</v>
      </c>
      <c r="N1298" t="s">
        <v>212</v>
      </c>
      <c r="O1298" t="s">
        <v>392</v>
      </c>
      <c r="P1298" t="str">
        <f>IF(Table1[[#This Row],[Transaction_Amount]]&lt;=Table1[[#This Row],[avg_transaction_amount]], "usual transaction", "unusual transaction")</f>
        <v>unusual transaction</v>
      </c>
      <c r="Q1298" t="str">
        <f>IF(AND(Table1[[#This Row],[Country_of_Residence]]&lt;&gt;Table1[[#This Row],[Country_of_Transaction]], OR(Table1[[#This Row],[Authentication_Type]]="Biometric", Table1[[#This Row],[Authentication_Type]]="OTP")), "safe location transaction", "unsafe location transaction")</f>
        <v>safe location transaction</v>
      </c>
      <c r="R1298" t="str">
        <f>IF(AND(Table1[[#This Row],[Country_of_Residence]]&lt;&gt;Table1[[#This Row],[Country_of_Transaction]], OR(Table1[[#This Row],[Merchant_Category]]="Electronics", Table1[[#This Row],[Merchant_Category]]="Travel")), "unsafe merchant transaction", "safe merchant transaction")</f>
        <v>safe merchant transaction</v>
      </c>
    </row>
    <row r="1299" spans="1:18">
      <c r="A1299" t="s">
        <v>213</v>
      </c>
      <c r="B1299" t="s">
        <v>209</v>
      </c>
      <c r="C1299">
        <v>1</v>
      </c>
      <c r="D1299" t="s">
        <v>9</v>
      </c>
      <c r="E1299" t="s">
        <v>6</v>
      </c>
      <c r="F1299" s="2">
        <v>45713.790972222203</v>
      </c>
      <c r="G1299">
        <v>8672.91</v>
      </c>
      <c r="H1299" s="1">
        <f>AVERAGEIF(Table1[Customer_ID], Table1[[#This Row],[Customer_ID]], Table1[Transaction_Amount])</f>
        <v>5286.7533333333322</v>
      </c>
      <c r="I1299" t="s">
        <v>214</v>
      </c>
      <c r="J1299" t="s">
        <v>31</v>
      </c>
      <c r="K1299" t="s">
        <v>12</v>
      </c>
      <c r="L1299">
        <v>1</v>
      </c>
      <c r="M1299" t="s">
        <v>211</v>
      </c>
      <c r="N1299" t="s">
        <v>215</v>
      </c>
      <c r="O1299" t="s">
        <v>392</v>
      </c>
      <c r="P1299" t="str">
        <f>IF(Table1[[#This Row],[Transaction_Amount]]&lt;=Table1[[#This Row],[avg_transaction_amount]], "usual transaction", "unusual transaction")</f>
        <v>unusual transaction</v>
      </c>
      <c r="Q1299" t="str">
        <f>IF(AND(Table1[[#This Row],[Country_of_Residence]]&lt;&gt;Table1[[#This Row],[Country_of_Transaction]], OR(Table1[[#This Row],[Authentication_Type]]="Biometric", Table1[[#This Row],[Authentication_Type]]="OTP")), "safe location transaction", "unsafe location transaction")</f>
        <v>unsafe location transaction</v>
      </c>
      <c r="R1299" t="str">
        <f>IF(AND(Table1[[#This Row],[Country_of_Residence]]&lt;&gt;Table1[[#This Row],[Country_of_Transaction]], OR(Table1[[#This Row],[Merchant_Category]]="Electronics", Table1[[#This Row],[Merchant_Category]]="Travel")), "unsafe merchant transaction", "safe merchant transaction")</f>
        <v>safe merchant transaction</v>
      </c>
    </row>
    <row r="1300" spans="1:18">
      <c r="A1300" t="s">
        <v>216</v>
      </c>
      <c r="B1300" t="s">
        <v>209</v>
      </c>
      <c r="C1300">
        <v>1</v>
      </c>
      <c r="D1300" t="s">
        <v>13</v>
      </c>
      <c r="E1300" t="s">
        <v>3</v>
      </c>
      <c r="F1300" s="2">
        <v>45858.066666666702</v>
      </c>
      <c r="G1300">
        <v>1362.13</v>
      </c>
      <c r="H1300" s="1">
        <f>AVERAGEIF(Table1[Customer_ID], Table1[[#This Row],[Customer_ID]], Table1[Transaction_Amount])</f>
        <v>5286.7533333333322</v>
      </c>
      <c r="I1300" t="s">
        <v>217</v>
      </c>
      <c r="J1300" t="s">
        <v>46</v>
      </c>
      <c r="K1300" t="s">
        <v>8</v>
      </c>
      <c r="L1300">
        <v>3</v>
      </c>
      <c r="M1300" t="s">
        <v>211</v>
      </c>
      <c r="N1300" t="s">
        <v>218</v>
      </c>
      <c r="O1300" t="s">
        <v>392</v>
      </c>
      <c r="P1300" t="str">
        <f>IF(Table1[[#This Row],[Transaction_Amount]]&lt;=Table1[[#This Row],[avg_transaction_amount]], "usual transaction", "unusual transaction")</f>
        <v>usual transaction</v>
      </c>
      <c r="Q1300" t="str">
        <f>IF(AND(Table1[[#This Row],[Country_of_Residence]]&lt;&gt;Table1[[#This Row],[Country_of_Transaction]], OR(Table1[[#This Row],[Authentication_Type]]="Biometric", Table1[[#This Row],[Authentication_Type]]="OTP")), "safe location transaction", "unsafe location transaction")</f>
        <v>safe location transaction</v>
      </c>
      <c r="R1300" t="str">
        <f>IF(AND(Table1[[#This Row],[Country_of_Residence]]&lt;&gt;Table1[[#This Row],[Country_of_Transaction]], OR(Table1[[#This Row],[Merchant_Category]]="Electronics", Table1[[#This Row],[Merchant_Category]]="Travel")), "unsafe merchant transaction", "safe merchant transaction")</f>
        <v>safe merchant transaction</v>
      </c>
    </row>
    <row r="1301" spans="1:18">
      <c r="A1301" t="s">
        <v>2795</v>
      </c>
      <c r="B1301" t="s">
        <v>209</v>
      </c>
      <c r="C1301">
        <v>1</v>
      </c>
      <c r="D1301" t="s">
        <v>9</v>
      </c>
      <c r="E1301" t="s">
        <v>5</v>
      </c>
      <c r="F1301" s="2">
        <v>45997</v>
      </c>
      <c r="G1301">
        <v>4341.41</v>
      </c>
      <c r="H1301" s="1">
        <f>AVERAGEIF(Table1[Customer_ID], Table1[[#This Row],[Customer_ID]], Table1[Transaction_Amount])</f>
        <v>5286.7533333333322</v>
      </c>
      <c r="I1301" t="s">
        <v>445</v>
      </c>
      <c r="J1301" t="s">
        <v>41</v>
      </c>
      <c r="K1301" t="s">
        <v>14</v>
      </c>
      <c r="L1301">
        <v>5</v>
      </c>
      <c r="M1301" t="s">
        <v>56</v>
      </c>
      <c r="N1301" t="s">
        <v>51</v>
      </c>
      <c r="O1301" t="s">
        <v>393</v>
      </c>
      <c r="P1301" s="6" t="str">
        <f>IF(Table1[[#This Row],[Transaction_Amount]]&lt;=Table1[[#This Row],[avg_transaction_amount]], "usual transaction", "unusual transaction")</f>
        <v>usual transaction</v>
      </c>
      <c r="Q1301" s="6" t="str">
        <f>IF(AND(Table1[[#This Row],[Country_of_Residence]]&lt;&gt;Table1[[#This Row],[Country_of_Transaction]], OR(Table1[[#This Row],[Authentication_Type]]="Biometric", Table1[[#This Row],[Authentication_Type]]="OTP")), "safe location transaction", "unsafe location transaction")</f>
        <v>unsafe location transaction</v>
      </c>
      <c r="R1301" s="6" t="str">
        <f>IF(AND(Table1[[#This Row],[Country_of_Residence]]&lt;&gt;Table1[[#This Row],[Country_of_Transaction]], OR(Table1[[#This Row],[Merchant_Category]]="Electronics", Table1[[#This Row],[Merchant_Category]]="Travel")), "unsafe merchant transaction", "safe merchant transaction")</f>
        <v>safe merchant transaction</v>
      </c>
    </row>
    <row r="1302" spans="1:18">
      <c r="A1302" t="s">
        <v>2817</v>
      </c>
      <c r="B1302" t="s">
        <v>209</v>
      </c>
      <c r="C1302">
        <v>1</v>
      </c>
      <c r="D1302" t="s">
        <v>15</v>
      </c>
      <c r="E1302" t="s">
        <v>5</v>
      </c>
      <c r="F1302" s="2">
        <v>45681</v>
      </c>
      <c r="G1302">
        <v>1835.44</v>
      </c>
      <c r="H1302" s="1">
        <f>AVERAGEIF(Table1[Customer_ID], Table1[[#This Row],[Customer_ID]], Table1[Transaction_Amount])</f>
        <v>5286.7533333333322</v>
      </c>
      <c r="I1302" t="s">
        <v>468</v>
      </c>
      <c r="J1302" t="s">
        <v>46</v>
      </c>
      <c r="K1302" t="s">
        <v>8</v>
      </c>
      <c r="L1302">
        <v>0</v>
      </c>
      <c r="M1302" t="s">
        <v>412</v>
      </c>
      <c r="N1302" t="s">
        <v>37</v>
      </c>
      <c r="O1302" t="s">
        <v>393</v>
      </c>
      <c r="P1302" s="6" t="str">
        <f>IF(Table1[[#This Row],[Transaction_Amount]]&lt;=Table1[[#This Row],[avg_transaction_amount]], "usual transaction", "unusual transaction")</f>
        <v>usual transaction</v>
      </c>
      <c r="Q1302" s="6" t="str">
        <f>IF(AND(Table1[[#This Row],[Country_of_Residence]]&lt;&gt;Table1[[#This Row],[Country_of_Transaction]], OR(Table1[[#This Row],[Authentication_Type]]="Biometric", Table1[[#This Row],[Authentication_Type]]="OTP")), "safe location transaction", "unsafe location transaction")</f>
        <v>safe location transaction</v>
      </c>
      <c r="R1302" s="6" t="str">
        <f>IF(AND(Table1[[#This Row],[Country_of_Residence]]&lt;&gt;Table1[[#This Row],[Country_of_Transaction]], OR(Table1[[#This Row],[Merchant_Category]]="Electronics", Table1[[#This Row],[Merchant_Category]]="Travel")), "unsafe merchant transaction", "safe merchant transaction")</f>
        <v>safe merchant transaction</v>
      </c>
    </row>
    <row r="1303" spans="1:18">
      <c r="A1303" t="s">
        <v>2836</v>
      </c>
      <c r="B1303" t="s">
        <v>209</v>
      </c>
      <c r="C1303">
        <v>1</v>
      </c>
      <c r="D1303" t="s">
        <v>9</v>
      </c>
      <c r="E1303" t="s">
        <v>6</v>
      </c>
      <c r="F1303" s="2">
        <v>45745</v>
      </c>
      <c r="G1303">
        <v>4335.33</v>
      </c>
      <c r="H1303" s="1">
        <f>AVERAGEIF(Table1[Customer_ID], Table1[[#This Row],[Customer_ID]], Table1[Transaction_Amount])</f>
        <v>5286.7533333333322</v>
      </c>
      <c r="I1303" t="s">
        <v>487</v>
      </c>
      <c r="J1303" t="s">
        <v>41</v>
      </c>
      <c r="K1303" t="s">
        <v>8</v>
      </c>
      <c r="L1303">
        <v>4</v>
      </c>
      <c r="M1303" t="s">
        <v>55</v>
      </c>
      <c r="N1303" t="s">
        <v>47</v>
      </c>
      <c r="O1303" t="s">
        <v>392</v>
      </c>
      <c r="P1303" s="6" t="str">
        <f>IF(Table1[[#This Row],[Transaction_Amount]]&lt;=Table1[[#This Row],[avg_transaction_amount]], "usual transaction", "unusual transaction")</f>
        <v>usual transaction</v>
      </c>
      <c r="Q1303" s="6" t="str">
        <f>IF(AND(Table1[[#This Row],[Country_of_Residence]]&lt;&gt;Table1[[#This Row],[Country_of_Transaction]], OR(Table1[[#This Row],[Authentication_Type]]="Biometric", Table1[[#This Row],[Authentication_Type]]="OTP")), "safe location transaction", "unsafe location transaction")</f>
        <v>safe location transaction</v>
      </c>
      <c r="R1303" s="6" t="str">
        <f>IF(AND(Table1[[#This Row],[Country_of_Residence]]&lt;&gt;Table1[[#This Row],[Country_of_Transaction]], OR(Table1[[#This Row],[Merchant_Category]]="Electronics", Table1[[#This Row],[Merchant_Category]]="Travel")), "unsafe merchant transaction", "safe merchant transaction")</f>
        <v>safe merchant transaction</v>
      </c>
    </row>
    <row r="1304" spans="1:18">
      <c r="A1304" t="s">
        <v>2869</v>
      </c>
      <c r="B1304" t="s">
        <v>209</v>
      </c>
      <c r="C1304">
        <v>1</v>
      </c>
      <c r="D1304" t="s">
        <v>9</v>
      </c>
      <c r="E1304" t="s">
        <v>5</v>
      </c>
      <c r="F1304" s="2">
        <v>46005</v>
      </c>
      <c r="G1304">
        <v>3759.88</v>
      </c>
      <c r="H1304" s="1">
        <f>AVERAGEIF(Table1[Customer_ID], Table1[[#This Row],[Customer_ID]], Table1[Transaction_Amount])</f>
        <v>5286.7533333333322</v>
      </c>
      <c r="I1304" t="s">
        <v>521</v>
      </c>
      <c r="J1304" t="s">
        <v>50</v>
      </c>
      <c r="K1304" t="s">
        <v>10</v>
      </c>
      <c r="L1304">
        <v>2</v>
      </c>
      <c r="M1304" t="s">
        <v>32</v>
      </c>
      <c r="N1304" t="s">
        <v>33</v>
      </c>
      <c r="O1304" t="s">
        <v>393</v>
      </c>
      <c r="P1304" s="6" t="str">
        <f>IF(Table1[[#This Row],[Transaction_Amount]]&lt;=Table1[[#This Row],[avg_transaction_amount]], "usual transaction", "unusual transaction")</f>
        <v>usual transaction</v>
      </c>
      <c r="Q1304" s="6" t="str">
        <f>IF(AND(Table1[[#This Row],[Country_of_Residence]]&lt;&gt;Table1[[#This Row],[Country_of_Transaction]], OR(Table1[[#This Row],[Authentication_Type]]="Biometric", Table1[[#This Row],[Authentication_Type]]="OTP")), "safe location transaction", "unsafe location transaction")</f>
        <v>safe location transaction</v>
      </c>
      <c r="R1304" s="6" t="str">
        <f>IF(AND(Table1[[#This Row],[Country_of_Residence]]&lt;&gt;Table1[[#This Row],[Country_of_Transaction]], OR(Table1[[#This Row],[Merchant_Category]]="Electronics", Table1[[#This Row],[Merchant_Category]]="Travel")), "unsafe merchant transaction", "safe merchant transaction")</f>
        <v>unsafe merchant transaction</v>
      </c>
    </row>
    <row r="1305" spans="1:18">
      <c r="A1305" t="s">
        <v>2874</v>
      </c>
      <c r="B1305" t="s">
        <v>209</v>
      </c>
      <c r="C1305">
        <v>1</v>
      </c>
      <c r="D1305" t="s">
        <v>9</v>
      </c>
      <c r="E1305" t="s">
        <v>5</v>
      </c>
      <c r="F1305" s="2">
        <v>45887</v>
      </c>
      <c r="G1305">
        <v>6779.81</v>
      </c>
      <c r="H1305" s="1">
        <f>AVERAGEIF(Table1[Customer_ID], Table1[[#This Row],[Customer_ID]], Table1[Transaction_Amount])</f>
        <v>5286.7533333333322</v>
      </c>
      <c r="I1305" t="s">
        <v>526</v>
      </c>
      <c r="J1305" t="s">
        <v>46</v>
      </c>
      <c r="K1305" t="s">
        <v>14</v>
      </c>
      <c r="L1305">
        <v>3</v>
      </c>
      <c r="M1305" t="s">
        <v>55</v>
      </c>
      <c r="N1305" t="s">
        <v>51</v>
      </c>
      <c r="O1305" t="s">
        <v>393</v>
      </c>
      <c r="P1305" s="6" t="str">
        <f>IF(Table1[[#This Row],[Transaction_Amount]]&lt;=Table1[[#This Row],[avg_transaction_amount]], "usual transaction", "unusual transaction")</f>
        <v>unusual transaction</v>
      </c>
      <c r="Q1305" s="6" t="str">
        <f>IF(AND(Table1[[#This Row],[Country_of_Residence]]&lt;&gt;Table1[[#This Row],[Country_of_Transaction]], OR(Table1[[#This Row],[Authentication_Type]]="Biometric", Table1[[#This Row],[Authentication_Type]]="OTP")), "safe location transaction", "unsafe location transaction")</f>
        <v>unsafe location transaction</v>
      </c>
      <c r="R1305" s="6" t="str">
        <f>IF(AND(Table1[[#This Row],[Country_of_Residence]]&lt;&gt;Table1[[#This Row],[Country_of_Transaction]], OR(Table1[[#This Row],[Merchant_Category]]="Electronics", Table1[[#This Row],[Merchant_Category]]="Travel")), "unsafe merchant transaction", "safe merchant transaction")</f>
        <v>safe merchant transaction</v>
      </c>
    </row>
    <row r="1306" spans="1:18">
      <c r="A1306" t="s">
        <v>2955</v>
      </c>
      <c r="B1306" t="s">
        <v>209</v>
      </c>
      <c r="C1306">
        <v>1</v>
      </c>
      <c r="D1306" t="s">
        <v>15</v>
      </c>
      <c r="E1306" t="s">
        <v>3</v>
      </c>
      <c r="F1306" s="2">
        <v>45785</v>
      </c>
      <c r="G1306">
        <v>7031.26</v>
      </c>
      <c r="H1306" s="1">
        <f>AVERAGEIF(Table1[Customer_ID], Table1[[#This Row],[Customer_ID]], Table1[Transaction_Amount])</f>
        <v>5286.7533333333322</v>
      </c>
      <c r="I1306" t="s">
        <v>603</v>
      </c>
      <c r="J1306" t="s">
        <v>46</v>
      </c>
      <c r="K1306" t="s">
        <v>10</v>
      </c>
      <c r="L1306">
        <v>4</v>
      </c>
      <c r="M1306" t="s">
        <v>56</v>
      </c>
      <c r="N1306" t="s">
        <v>51</v>
      </c>
      <c r="O1306" t="s">
        <v>393</v>
      </c>
      <c r="P1306" s="6" t="str">
        <f>IF(Table1[[#This Row],[Transaction_Amount]]&lt;=Table1[[#This Row],[avg_transaction_amount]], "usual transaction", "unusual transaction")</f>
        <v>unusual transaction</v>
      </c>
      <c r="Q1306" s="6" t="str">
        <f>IF(AND(Table1[[#This Row],[Country_of_Residence]]&lt;&gt;Table1[[#This Row],[Country_of_Transaction]], OR(Table1[[#This Row],[Authentication_Type]]="Biometric", Table1[[#This Row],[Authentication_Type]]="OTP")), "safe location transaction", "unsafe location transaction")</f>
        <v>safe location transaction</v>
      </c>
      <c r="R1306" s="6" t="str">
        <f>IF(AND(Table1[[#This Row],[Country_of_Residence]]&lt;&gt;Table1[[#This Row],[Country_of_Transaction]], OR(Table1[[#This Row],[Merchant_Category]]="Electronics", Table1[[#This Row],[Merchant_Category]]="Travel")), "unsafe merchant transaction", "safe merchant transaction")</f>
        <v>safe merchant transaction</v>
      </c>
    </row>
    <row r="1307" spans="1:18">
      <c r="A1307" t="s">
        <v>2974</v>
      </c>
      <c r="B1307" t="s">
        <v>209</v>
      </c>
      <c r="C1307">
        <v>1</v>
      </c>
      <c r="D1307" t="s">
        <v>15</v>
      </c>
      <c r="E1307" t="s">
        <v>420</v>
      </c>
      <c r="F1307" s="2">
        <v>45978</v>
      </c>
      <c r="G1307">
        <v>6661.86</v>
      </c>
      <c r="H1307" s="1">
        <f>AVERAGEIF(Table1[Customer_ID], Table1[[#This Row],[Customer_ID]], Table1[Transaction_Amount])</f>
        <v>5286.7533333333322</v>
      </c>
      <c r="I1307" t="s">
        <v>622</v>
      </c>
      <c r="J1307" t="s">
        <v>36</v>
      </c>
      <c r="K1307" t="s">
        <v>10</v>
      </c>
      <c r="L1307">
        <v>5</v>
      </c>
      <c r="M1307" t="s">
        <v>32</v>
      </c>
      <c r="N1307" t="s">
        <v>412</v>
      </c>
      <c r="O1307" t="s">
        <v>392</v>
      </c>
      <c r="P1307" s="6" t="str">
        <f>IF(Table1[[#This Row],[Transaction_Amount]]&lt;=Table1[[#This Row],[avg_transaction_amount]], "usual transaction", "unusual transaction")</f>
        <v>unusual transaction</v>
      </c>
      <c r="Q1307" s="6" t="str">
        <f>IF(AND(Table1[[#This Row],[Country_of_Residence]]&lt;&gt;Table1[[#This Row],[Country_of_Transaction]], OR(Table1[[#This Row],[Authentication_Type]]="Biometric", Table1[[#This Row],[Authentication_Type]]="OTP")), "safe location transaction", "unsafe location transaction")</f>
        <v>safe location transaction</v>
      </c>
      <c r="R1307" s="6" t="str">
        <f>IF(AND(Table1[[#This Row],[Country_of_Residence]]&lt;&gt;Table1[[#This Row],[Country_of_Transaction]], OR(Table1[[#This Row],[Merchant_Category]]="Electronics", Table1[[#This Row],[Merchant_Category]]="Travel")), "unsafe merchant transaction", "safe merchant transaction")</f>
        <v>safe merchant transaction</v>
      </c>
    </row>
    <row r="1308" spans="1:18">
      <c r="A1308" t="s">
        <v>3033</v>
      </c>
      <c r="B1308" t="s">
        <v>209</v>
      </c>
      <c r="C1308">
        <v>1</v>
      </c>
      <c r="D1308" t="s">
        <v>15</v>
      </c>
      <c r="E1308" t="s">
        <v>420</v>
      </c>
      <c r="F1308" s="2">
        <v>45685</v>
      </c>
      <c r="G1308">
        <v>2642.56</v>
      </c>
      <c r="H1308" s="1">
        <f>AVERAGEIF(Table1[Customer_ID], Table1[[#This Row],[Customer_ID]], Table1[Transaction_Amount])</f>
        <v>5286.7533333333322</v>
      </c>
      <c r="I1308" t="s">
        <v>679</v>
      </c>
      <c r="J1308" t="s">
        <v>36</v>
      </c>
      <c r="K1308" t="s">
        <v>12</v>
      </c>
      <c r="L1308">
        <v>4</v>
      </c>
      <c r="M1308" t="s">
        <v>32</v>
      </c>
      <c r="N1308" t="s">
        <v>56</v>
      </c>
      <c r="O1308" t="s">
        <v>393</v>
      </c>
      <c r="P1308" s="6" t="str">
        <f>IF(Table1[[#This Row],[Transaction_Amount]]&lt;=Table1[[#This Row],[avg_transaction_amount]], "usual transaction", "unusual transaction")</f>
        <v>usual transaction</v>
      </c>
      <c r="Q1308" s="6" t="str">
        <f>IF(AND(Table1[[#This Row],[Country_of_Residence]]&lt;&gt;Table1[[#This Row],[Country_of_Transaction]], OR(Table1[[#This Row],[Authentication_Type]]="Biometric", Table1[[#This Row],[Authentication_Type]]="OTP")), "safe location transaction", "unsafe location transaction")</f>
        <v>unsafe location transaction</v>
      </c>
      <c r="R1308" s="6" t="str">
        <f>IF(AND(Table1[[#This Row],[Country_of_Residence]]&lt;&gt;Table1[[#This Row],[Country_of_Transaction]], OR(Table1[[#This Row],[Merchant_Category]]="Electronics", Table1[[#This Row],[Merchant_Category]]="Travel")), "unsafe merchant transaction", "safe merchant transaction")</f>
        <v>safe merchant transaction</v>
      </c>
    </row>
    <row r="1309" spans="1:18">
      <c r="A1309" t="s">
        <v>3040</v>
      </c>
      <c r="B1309" t="s">
        <v>209</v>
      </c>
      <c r="C1309">
        <v>1</v>
      </c>
      <c r="D1309" t="s">
        <v>9</v>
      </c>
      <c r="E1309" t="s">
        <v>5</v>
      </c>
      <c r="F1309" s="2">
        <v>45931</v>
      </c>
      <c r="G1309">
        <v>7125.55</v>
      </c>
      <c r="H1309" s="1">
        <f>AVERAGEIF(Table1[Customer_ID], Table1[[#This Row],[Customer_ID]], Table1[Transaction_Amount])</f>
        <v>5286.7533333333322</v>
      </c>
      <c r="I1309" t="s">
        <v>685</v>
      </c>
      <c r="J1309" t="s">
        <v>41</v>
      </c>
      <c r="K1309" t="s">
        <v>10</v>
      </c>
      <c r="L1309">
        <v>5</v>
      </c>
      <c r="M1309" t="s">
        <v>32</v>
      </c>
      <c r="N1309" t="s">
        <v>412</v>
      </c>
      <c r="O1309" t="s">
        <v>392</v>
      </c>
      <c r="P1309" s="6" t="str">
        <f>IF(Table1[[#This Row],[Transaction_Amount]]&lt;=Table1[[#This Row],[avg_transaction_amount]], "usual transaction", "unusual transaction")</f>
        <v>unusual transaction</v>
      </c>
      <c r="Q1309" s="6" t="str">
        <f>IF(AND(Table1[[#This Row],[Country_of_Residence]]&lt;&gt;Table1[[#This Row],[Country_of_Transaction]], OR(Table1[[#This Row],[Authentication_Type]]="Biometric", Table1[[#This Row],[Authentication_Type]]="OTP")), "safe location transaction", "unsafe location transaction")</f>
        <v>safe location transaction</v>
      </c>
      <c r="R1309" s="6" t="str">
        <f>IF(AND(Table1[[#This Row],[Country_of_Residence]]&lt;&gt;Table1[[#This Row],[Country_of_Transaction]], OR(Table1[[#This Row],[Merchant_Category]]="Electronics", Table1[[#This Row],[Merchant_Category]]="Travel")), "unsafe merchant transaction", "safe merchant transaction")</f>
        <v>safe merchant transaction</v>
      </c>
    </row>
    <row r="1310" spans="1:18">
      <c r="A1310" t="s">
        <v>3081</v>
      </c>
      <c r="B1310" t="s">
        <v>209</v>
      </c>
      <c r="C1310">
        <v>1</v>
      </c>
      <c r="D1310" t="s">
        <v>15</v>
      </c>
      <c r="E1310" t="s">
        <v>6</v>
      </c>
      <c r="F1310" s="2">
        <v>45886</v>
      </c>
      <c r="G1310">
        <v>5046.5600000000004</v>
      </c>
      <c r="H1310" s="1">
        <f>AVERAGEIF(Table1[Customer_ID], Table1[[#This Row],[Customer_ID]], Table1[Transaction_Amount])</f>
        <v>5286.7533333333322</v>
      </c>
      <c r="I1310" t="s">
        <v>725</v>
      </c>
      <c r="J1310" t="s">
        <v>41</v>
      </c>
      <c r="K1310" t="s">
        <v>12</v>
      </c>
      <c r="L1310">
        <v>5</v>
      </c>
      <c r="M1310" t="s">
        <v>47</v>
      </c>
      <c r="N1310" t="s">
        <v>51</v>
      </c>
      <c r="O1310" t="s">
        <v>392</v>
      </c>
      <c r="P1310" s="6" t="str">
        <f>IF(Table1[[#This Row],[Transaction_Amount]]&lt;=Table1[[#This Row],[avg_transaction_amount]], "usual transaction", "unusual transaction")</f>
        <v>usual transaction</v>
      </c>
      <c r="Q1310" s="6" t="str">
        <f>IF(AND(Table1[[#This Row],[Country_of_Residence]]&lt;&gt;Table1[[#This Row],[Country_of_Transaction]], OR(Table1[[#This Row],[Authentication_Type]]="Biometric", Table1[[#This Row],[Authentication_Type]]="OTP")), "safe location transaction", "unsafe location transaction")</f>
        <v>unsafe location transaction</v>
      </c>
      <c r="R1310" s="6" t="str">
        <f>IF(AND(Table1[[#This Row],[Country_of_Residence]]&lt;&gt;Table1[[#This Row],[Country_of_Transaction]], OR(Table1[[#This Row],[Merchant_Category]]="Electronics", Table1[[#This Row],[Merchant_Category]]="Travel")), "unsafe merchant transaction", "safe merchant transaction")</f>
        <v>safe merchant transaction</v>
      </c>
    </row>
    <row r="1311" spans="1:18">
      <c r="A1311" t="s">
        <v>3091</v>
      </c>
      <c r="B1311" t="s">
        <v>209</v>
      </c>
      <c r="C1311">
        <v>1</v>
      </c>
      <c r="D1311" t="s">
        <v>9</v>
      </c>
      <c r="E1311" t="s">
        <v>6</v>
      </c>
      <c r="F1311" s="2">
        <v>45904</v>
      </c>
      <c r="G1311">
        <v>8754.5</v>
      </c>
      <c r="H1311" s="1">
        <f>AVERAGEIF(Table1[Customer_ID], Table1[[#This Row],[Customer_ID]], Table1[Transaction_Amount])</f>
        <v>5286.7533333333322</v>
      </c>
      <c r="I1311" t="s">
        <v>735</v>
      </c>
      <c r="J1311" t="s">
        <v>41</v>
      </c>
      <c r="K1311" t="s">
        <v>10</v>
      </c>
      <c r="L1311">
        <v>3</v>
      </c>
      <c r="M1311" t="s">
        <v>42</v>
      </c>
      <c r="N1311" t="s">
        <v>37</v>
      </c>
      <c r="O1311" t="s">
        <v>393</v>
      </c>
      <c r="P1311" s="6" t="str">
        <f>IF(Table1[[#This Row],[Transaction_Amount]]&lt;=Table1[[#This Row],[avg_transaction_amount]], "usual transaction", "unusual transaction")</f>
        <v>unusual transaction</v>
      </c>
      <c r="Q1311" s="6" t="str">
        <f>IF(AND(Table1[[#This Row],[Country_of_Residence]]&lt;&gt;Table1[[#This Row],[Country_of_Transaction]], OR(Table1[[#This Row],[Authentication_Type]]="Biometric", Table1[[#This Row],[Authentication_Type]]="OTP")), "safe location transaction", "unsafe location transaction")</f>
        <v>safe location transaction</v>
      </c>
      <c r="R1311" s="6" t="str">
        <f>IF(AND(Table1[[#This Row],[Country_of_Residence]]&lt;&gt;Table1[[#This Row],[Country_of_Transaction]], OR(Table1[[#This Row],[Merchant_Category]]="Electronics", Table1[[#This Row],[Merchant_Category]]="Travel")), "unsafe merchant transaction", "safe merchant transaction")</f>
        <v>safe merchant transaction</v>
      </c>
    </row>
    <row r="1312" spans="1:18">
      <c r="A1312" t="s">
        <v>3127</v>
      </c>
      <c r="B1312" t="s">
        <v>209</v>
      </c>
      <c r="C1312">
        <v>1</v>
      </c>
      <c r="D1312" t="s">
        <v>15</v>
      </c>
      <c r="E1312" t="s">
        <v>3</v>
      </c>
      <c r="F1312" s="2">
        <v>45778</v>
      </c>
      <c r="G1312">
        <v>8880.82</v>
      </c>
      <c r="H1312" s="1">
        <f>AVERAGEIF(Table1[Customer_ID], Table1[[#This Row],[Customer_ID]], Table1[Transaction_Amount])</f>
        <v>5286.7533333333322</v>
      </c>
      <c r="I1312" t="s">
        <v>768</v>
      </c>
      <c r="J1312" t="s">
        <v>50</v>
      </c>
      <c r="K1312" t="s">
        <v>10</v>
      </c>
      <c r="L1312">
        <v>1</v>
      </c>
      <c r="M1312" t="s">
        <v>37</v>
      </c>
      <c r="N1312" t="s">
        <v>32</v>
      </c>
      <c r="O1312" t="s">
        <v>393</v>
      </c>
      <c r="P1312" s="6" t="str">
        <f>IF(Table1[[#This Row],[Transaction_Amount]]&lt;=Table1[[#This Row],[avg_transaction_amount]], "usual transaction", "unusual transaction")</f>
        <v>unusual transaction</v>
      </c>
      <c r="Q1312" s="6" t="str">
        <f>IF(AND(Table1[[#This Row],[Country_of_Residence]]&lt;&gt;Table1[[#This Row],[Country_of_Transaction]], OR(Table1[[#This Row],[Authentication_Type]]="Biometric", Table1[[#This Row],[Authentication_Type]]="OTP")), "safe location transaction", "unsafe location transaction")</f>
        <v>safe location transaction</v>
      </c>
      <c r="R1312" s="6" t="str">
        <f>IF(AND(Table1[[#This Row],[Country_of_Residence]]&lt;&gt;Table1[[#This Row],[Country_of_Transaction]], OR(Table1[[#This Row],[Merchant_Category]]="Electronics", Table1[[#This Row],[Merchant_Category]]="Travel")), "unsafe merchant transaction", "safe merchant transaction")</f>
        <v>unsafe merchant transaction</v>
      </c>
    </row>
    <row r="1313" spans="1:18">
      <c r="A1313" t="s">
        <v>3170</v>
      </c>
      <c r="B1313" t="s">
        <v>209</v>
      </c>
      <c r="C1313">
        <v>1</v>
      </c>
      <c r="D1313" t="s">
        <v>9</v>
      </c>
      <c r="E1313" t="s">
        <v>3</v>
      </c>
      <c r="F1313" s="2">
        <v>45807</v>
      </c>
      <c r="G1313">
        <v>8980.42</v>
      </c>
      <c r="H1313" s="1">
        <f>AVERAGEIF(Table1[Customer_ID], Table1[[#This Row],[Customer_ID]], Table1[Transaction_Amount])</f>
        <v>5286.7533333333322</v>
      </c>
      <c r="I1313" t="s">
        <v>805</v>
      </c>
      <c r="J1313" t="s">
        <v>31</v>
      </c>
      <c r="K1313" t="s">
        <v>14</v>
      </c>
      <c r="L1313">
        <v>2</v>
      </c>
      <c r="M1313" t="s">
        <v>33</v>
      </c>
      <c r="N1313" t="s">
        <v>56</v>
      </c>
      <c r="O1313" t="s">
        <v>392</v>
      </c>
      <c r="P1313" s="6" t="str">
        <f>IF(Table1[[#This Row],[Transaction_Amount]]&lt;=Table1[[#This Row],[avg_transaction_amount]], "usual transaction", "unusual transaction")</f>
        <v>unusual transaction</v>
      </c>
      <c r="Q1313" s="6" t="str">
        <f>IF(AND(Table1[[#This Row],[Country_of_Residence]]&lt;&gt;Table1[[#This Row],[Country_of_Transaction]], OR(Table1[[#This Row],[Authentication_Type]]="Biometric", Table1[[#This Row],[Authentication_Type]]="OTP")), "safe location transaction", "unsafe location transaction")</f>
        <v>unsafe location transaction</v>
      </c>
      <c r="R1313" s="6" t="str">
        <f>IF(AND(Table1[[#This Row],[Country_of_Residence]]&lt;&gt;Table1[[#This Row],[Country_of_Transaction]], OR(Table1[[#This Row],[Merchant_Category]]="Electronics", Table1[[#This Row],[Merchant_Category]]="Travel")), "unsafe merchant transaction", "safe merchant transaction")</f>
        <v>safe merchant transaction</v>
      </c>
    </row>
    <row r="1314" spans="1:18">
      <c r="A1314" t="s">
        <v>3244</v>
      </c>
      <c r="B1314" t="s">
        <v>209</v>
      </c>
      <c r="C1314">
        <v>1</v>
      </c>
      <c r="D1314" t="s">
        <v>9</v>
      </c>
      <c r="E1314" t="s">
        <v>3</v>
      </c>
      <c r="F1314" s="2">
        <v>45670</v>
      </c>
      <c r="G1314">
        <v>4511.87</v>
      </c>
      <c r="H1314" s="1">
        <f>AVERAGEIF(Table1[Customer_ID], Table1[[#This Row],[Customer_ID]], Table1[Transaction_Amount])</f>
        <v>5286.7533333333322</v>
      </c>
      <c r="I1314" t="s">
        <v>875</v>
      </c>
      <c r="J1314" t="s">
        <v>46</v>
      </c>
      <c r="K1314" t="s">
        <v>8</v>
      </c>
      <c r="L1314">
        <v>2</v>
      </c>
      <c r="M1314" t="s">
        <v>42</v>
      </c>
      <c r="N1314" t="s">
        <v>412</v>
      </c>
      <c r="O1314" t="s">
        <v>393</v>
      </c>
      <c r="P1314" s="6" t="str">
        <f>IF(Table1[[#This Row],[Transaction_Amount]]&lt;=Table1[[#This Row],[avg_transaction_amount]], "usual transaction", "unusual transaction")</f>
        <v>usual transaction</v>
      </c>
      <c r="Q1314" s="6" t="str">
        <f>IF(AND(Table1[[#This Row],[Country_of_Residence]]&lt;&gt;Table1[[#This Row],[Country_of_Transaction]], OR(Table1[[#This Row],[Authentication_Type]]="Biometric", Table1[[#This Row],[Authentication_Type]]="OTP")), "safe location transaction", "unsafe location transaction")</f>
        <v>safe location transaction</v>
      </c>
      <c r="R1314" s="6" t="str">
        <f>IF(AND(Table1[[#This Row],[Country_of_Residence]]&lt;&gt;Table1[[#This Row],[Country_of_Transaction]], OR(Table1[[#This Row],[Merchant_Category]]="Electronics", Table1[[#This Row],[Merchant_Category]]="Travel")), "unsafe merchant transaction", "safe merchant transaction")</f>
        <v>safe merchant transaction</v>
      </c>
    </row>
    <row r="1315" spans="1:18">
      <c r="A1315" t="s">
        <v>3401</v>
      </c>
      <c r="B1315" t="s">
        <v>209</v>
      </c>
      <c r="C1315">
        <v>1</v>
      </c>
      <c r="D1315" t="s">
        <v>15</v>
      </c>
      <c r="E1315" t="s">
        <v>420</v>
      </c>
      <c r="F1315" s="2">
        <v>45672</v>
      </c>
      <c r="G1315">
        <v>9092.1299999999992</v>
      </c>
      <c r="H1315" s="1">
        <f>AVERAGEIF(Table1[Customer_ID], Table1[[#This Row],[Customer_ID]], Table1[Transaction_Amount])</f>
        <v>5286.7533333333322</v>
      </c>
      <c r="I1315" t="s">
        <v>1022</v>
      </c>
      <c r="J1315" t="s">
        <v>46</v>
      </c>
      <c r="K1315" t="s">
        <v>10</v>
      </c>
      <c r="L1315">
        <v>1</v>
      </c>
      <c r="M1315" t="s">
        <v>32</v>
      </c>
      <c r="N1315" t="s">
        <v>42</v>
      </c>
      <c r="O1315" t="s">
        <v>392</v>
      </c>
      <c r="P1315" s="6" t="str">
        <f>IF(Table1[[#This Row],[Transaction_Amount]]&lt;=Table1[[#This Row],[avg_transaction_amount]], "usual transaction", "unusual transaction")</f>
        <v>unusual transaction</v>
      </c>
      <c r="Q1315" s="6" t="str">
        <f>IF(AND(Table1[[#This Row],[Country_of_Residence]]&lt;&gt;Table1[[#This Row],[Country_of_Transaction]], OR(Table1[[#This Row],[Authentication_Type]]="Biometric", Table1[[#This Row],[Authentication_Type]]="OTP")), "safe location transaction", "unsafe location transaction")</f>
        <v>safe location transaction</v>
      </c>
      <c r="R1315" s="6" t="str">
        <f>IF(AND(Table1[[#This Row],[Country_of_Residence]]&lt;&gt;Table1[[#This Row],[Country_of_Transaction]], OR(Table1[[#This Row],[Merchant_Category]]="Electronics", Table1[[#This Row],[Merchant_Category]]="Travel")), "unsafe merchant transaction", "safe merchant transaction")</f>
        <v>safe merchant transaction</v>
      </c>
    </row>
    <row r="1316" spans="1:18">
      <c r="A1316" t="s">
        <v>3424</v>
      </c>
      <c r="B1316" t="s">
        <v>209</v>
      </c>
      <c r="C1316">
        <v>1</v>
      </c>
      <c r="D1316" t="s">
        <v>15</v>
      </c>
      <c r="E1316" t="s">
        <v>5</v>
      </c>
      <c r="F1316" s="2">
        <v>45827</v>
      </c>
      <c r="G1316">
        <v>6667.53</v>
      </c>
      <c r="H1316" s="1">
        <f>AVERAGEIF(Table1[Customer_ID], Table1[[#This Row],[Customer_ID]], Table1[Transaction_Amount])</f>
        <v>5286.7533333333322</v>
      </c>
      <c r="I1316" t="s">
        <v>1044</v>
      </c>
      <c r="J1316" t="s">
        <v>36</v>
      </c>
      <c r="K1316" t="s">
        <v>8</v>
      </c>
      <c r="L1316">
        <v>5</v>
      </c>
      <c r="M1316" t="s">
        <v>42</v>
      </c>
      <c r="N1316" t="s">
        <v>412</v>
      </c>
      <c r="O1316" t="s">
        <v>392</v>
      </c>
      <c r="P1316" s="6" t="str">
        <f>IF(Table1[[#This Row],[Transaction_Amount]]&lt;=Table1[[#This Row],[avg_transaction_amount]], "usual transaction", "unusual transaction")</f>
        <v>unusual transaction</v>
      </c>
      <c r="Q1316" s="6" t="str">
        <f>IF(AND(Table1[[#This Row],[Country_of_Residence]]&lt;&gt;Table1[[#This Row],[Country_of_Transaction]], OR(Table1[[#This Row],[Authentication_Type]]="Biometric", Table1[[#This Row],[Authentication_Type]]="OTP")), "safe location transaction", "unsafe location transaction")</f>
        <v>safe location transaction</v>
      </c>
      <c r="R1316" s="6" t="str">
        <f>IF(AND(Table1[[#This Row],[Country_of_Residence]]&lt;&gt;Table1[[#This Row],[Country_of_Transaction]], OR(Table1[[#This Row],[Merchant_Category]]="Electronics", Table1[[#This Row],[Merchant_Category]]="Travel")), "unsafe merchant transaction", "safe merchant transaction")</f>
        <v>safe merchant transaction</v>
      </c>
    </row>
    <row r="1317" spans="1:18">
      <c r="A1317" t="s">
        <v>3471</v>
      </c>
      <c r="B1317" t="s">
        <v>209</v>
      </c>
      <c r="C1317">
        <v>1</v>
      </c>
      <c r="D1317" t="s">
        <v>15</v>
      </c>
      <c r="E1317" t="s">
        <v>6</v>
      </c>
      <c r="F1317" s="2">
        <v>45827</v>
      </c>
      <c r="G1317">
        <v>3376.11</v>
      </c>
      <c r="H1317" s="1">
        <f>AVERAGEIF(Table1[Customer_ID], Table1[[#This Row],[Customer_ID]], Table1[Transaction_Amount])</f>
        <v>5286.7533333333322</v>
      </c>
      <c r="I1317" t="s">
        <v>1089</v>
      </c>
      <c r="J1317" t="s">
        <v>41</v>
      </c>
      <c r="K1317" t="s">
        <v>14</v>
      </c>
      <c r="L1317">
        <v>1</v>
      </c>
      <c r="M1317" t="s">
        <v>37</v>
      </c>
      <c r="N1317" t="s">
        <v>55</v>
      </c>
      <c r="O1317" t="s">
        <v>393</v>
      </c>
      <c r="P1317" s="6" t="str">
        <f>IF(Table1[[#This Row],[Transaction_Amount]]&lt;=Table1[[#This Row],[avg_transaction_amount]], "usual transaction", "unusual transaction")</f>
        <v>usual transaction</v>
      </c>
      <c r="Q1317" s="6" t="str">
        <f>IF(AND(Table1[[#This Row],[Country_of_Residence]]&lt;&gt;Table1[[#This Row],[Country_of_Transaction]], OR(Table1[[#This Row],[Authentication_Type]]="Biometric", Table1[[#This Row],[Authentication_Type]]="OTP")), "safe location transaction", "unsafe location transaction")</f>
        <v>unsafe location transaction</v>
      </c>
      <c r="R1317" s="6" t="str">
        <f>IF(AND(Table1[[#This Row],[Country_of_Residence]]&lt;&gt;Table1[[#This Row],[Country_of_Transaction]], OR(Table1[[#This Row],[Merchant_Category]]="Electronics", Table1[[#This Row],[Merchant_Category]]="Travel")), "unsafe merchant transaction", "safe merchant transaction")</f>
        <v>safe merchant transaction</v>
      </c>
    </row>
    <row r="1318" spans="1:18">
      <c r="A1318" t="s">
        <v>3505</v>
      </c>
      <c r="B1318" t="s">
        <v>209</v>
      </c>
      <c r="C1318">
        <v>1</v>
      </c>
      <c r="D1318" t="s">
        <v>15</v>
      </c>
      <c r="E1318" t="s">
        <v>420</v>
      </c>
      <c r="F1318" s="2">
        <v>45780</v>
      </c>
      <c r="G1318">
        <v>6253.53</v>
      </c>
      <c r="H1318" s="1">
        <f>AVERAGEIF(Table1[Customer_ID], Table1[[#This Row],[Customer_ID]], Table1[Transaction_Amount])</f>
        <v>5286.7533333333322</v>
      </c>
      <c r="I1318" t="s">
        <v>1120</v>
      </c>
      <c r="J1318" t="s">
        <v>46</v>
      </c>
      <c r="K1318" t="s">
        <v>8</v>
      </c>
      <c r="L1318">
        <v>0</v>
      </c>
      <c r="M1318" t="s">
        <v>412</v>
      </c>
      <c r="N1318" t="s">
        <v>42</v>
      </c>
      <c r="O1318" t="s">
        <v>393</v>
      </c>
      <c r="P1318" s="6" t="str">
        <f>IF(Table1[[#This Row],[Transaction_Amount]]&lt;=Table1[[#This Row],[avg_transaction_amount]], "usual transaction", "unusual transaction")</f>
        <v>unusual transaction</v>
      </c>
      <c r="Q1318" s="6" t="str">
        <f>IF(AND(Table1[[#This Row],[Country_of_Residence]]&lt;&gt;Table1[[#This Row],[Country_of_Transaction]], OR(Table1[[#This Row],[Authentication_Type]]="Biometric", Table1[[#This Row],[Authentication_Type]]="OTP")), "safe location transaction", "unsafe location transaction")</f>
        <v>safe location transaction</v>
      </c>
      <c r="R1318" s="6" t="str">
        <f>IF(AND(Table1[[#This Row],[Country_of_Residence]]&lt;&gt;Table1[[#This Row],[Country_of_Transaction]], OR(Table1[[#This Row],[Merchant_Category]]="Electronics", Table1[[#This Row],[Merchant_Category]]="Travel")), "unsafe merchant transaction", "safe merchant transaction")</f>
        <v>safe merchant transaction</v>
      </c>
    </row>
    <row r="1319" spans="1:18">
      <c r="A1319" t="s">
        <v>3532</v>
      </c>
      <c r="B1319" t="s">
        <v>209</v>
      </c>
      <c r="C1319">
        <v>1</v>
      </c>
      <c r="D1319" t="s">
        <v>9</v>
      </c>
      <c r="E1319" t="s">
        <v>6</v>
      </c>
      <c r="F1319" s="2">
        <v>45770</v>
      </c>
      <c r="G1319">
        <v>1192.1500000000001</v>
      </c>
      <c r="H1319" s="1">
        <f>AVERAGEIF(Table1[Customer_ID], Table1[[#This Row],[Customer_ID]], Table1[Transaction_Amount])</f>
        <v>5286.7533333333322</v>
      </c>
      <c r="I1319" t="s">
        <v>1147</v>
      </c>
      <c r="J1319" t="s">
        <v>50</v>
      </c>
      <c r="K1319" t="s">
        <v>14</v>
      </c>
      <c r="L1319">
        <v>3</v>
      </c>
      <c r="M1319" t="s">
        <v>55</v>
      </c>
      <c r="N1319" t="s">
        <v>32</v>
      </c>
      <c r="O1319" t="s">
        <v>393</v>
      </c>
      <c r="P1319" s="6" t="str">
        <f>IF(Table1[[#This Row],[Transaction_Amount]]&lt;=Table1[[#This Row],[avg_transaction_amount]], "usual transaction", "unusual transaction")</f>
        <v>usual transaction</v>
      </c>
      <c r="Q1319" s="6" t="str">
        <f>IF(AND(Table1[[#This Row],[Country_of_Residence]]&lt;&gt;Table1[[#This Row],[Country_of_Transaction]], OR(Table1[[#This Row],[Authentication_Type]]="Biometric", Table1[[#This Row],[Authentication_Type]]="OTP")), "safe location transaction", "unsafe location transaction")</f>
        <v>unsafe location transaction</v>
      </c>
      <c r="R1319" s="6" t="str">
        <f>IF(AND(Table1[[#This Row],[Country_of_Residence]]&lt;&gt;Table1[[#This Row],[Country_of_Transaction]], OR(Table1[[#This Row],[Merchant_Category]]="Electronics", Table1[[#This Row],[Merchant_Category]]="Travel")), "unsafe merchant transaction", "safe merchant transaction")</f>
        <v>unsafe merchant transaction</v>
      </c>
    </row>
    <row r="1320" spans="1:18">
      <c r="A1320" t="s">
        <v>3606</v>
      </c>
      <c r="B1320" t="s">
        <v>209</v>
      </c>
      <c r="C1320">
        <v>1</v>
      </c>
      <c r="D1320" t="s">
        <v>15</v>
      </c>
      <c r="E1320" t="s">
        <v>3</v>
      </c>
      <c r="F1320" s="2">
        <v>45969</v>
      </c>
      <c r="G1320">
        <v>493.88</v>
      </c>
      <c r="H1320" s="1">
        <f>AVERAGEIF(Table1[Customer_ID], Table1[[#This Row],[Customer_ID]], Table1[Transaction_Amount])</f>
        <v>5286.7533333333322</v>
      </c>
      <c r="I1320" t="s">
        <v>1006</v>
      </c>
      <c r="J1320" t="s">
        <v>41</v>
      </c>
      <c r="K1320" t="s">
        <v>14</v>
      </c>
      <c r="L1320">
        <v>1</v>
      </c>
      <c r="M1320" t="s">
        <v>56</v>
      </c>
      <c r="N1320" t="s">
        <v>412</v>
      </c>
      <c r="O1320" t="s">
        <v>392</v>
      </c>
      <c r="P1320" s="6" t="str">
        <f>IF(Table1[[#This Row],[Transaction_Amount]]&lt;=Table1[[#This Row],[avg_transaction_amount]], "usual transaction", "unusual transaction")</f>
        <v>usual transaction</v>
      </c>
      <c r="Q1320" s="6" t="str">
        <f>IF(AND(Table1[[#This Row],[Country_of_Residence]]&lt;&gt;Table1[[#This Row],[Country_of_Transaction]], OR(Table1[[#This Row],[Authentication_Type]]="Biometric", Table1[[#This Row],[Authentication_Type]]="OTP")), "safe location transaction", "unsafe location transaction")</f>
        <v>unsafe location transaction</v>
      </c>
      <c r="R1320" s="6" t="str">
        <f>IF(AND(Table1[[#This Row],[Country_of_Residence]]&lt;&gt;Table1[[#This Row],[Country_of_Transaction]], OR(Table1[[#This Row],[Merchant_Category]]="Electronics", Table1[[#This Row],[Merchant_Category]]="Travel")), "unsafe merchant transaction", "safe merchant transaction")</f>
        <v>safe merchant transaction</v>
      </c>
    </row>
    <row r="1321" spans="1:18">
      <c r="A1321" t="s">
        <v>3670</v>
      </c>
      <c r="B1321" t="s">
        <v>209</v>
      </c>
      <c r="C1321">
        <v>1</v>
      </c>
      <c r="D1321" t="s">
        <v>9</v>
      </c>
      <c r="E1321" t="s">
        <v>3</v>
      </c>
      <c r="F1321" s="2">
        <v>45988</v>
      </c>
      <c r="G1321">
        <v>3431.52</v>
      </c>
      <c r="H1321" s="1">
        <f>AVERAGEIF(Table1[Customer_ID], Table1[[#This Row],[Customer_ID]], Table1[Transaction_Amount])</f>
        <v>5286.7533333333322</v>
      </c>
      <c r="I1321" t="s">
        <v>558</v>
      </c>
      <c r="J1321" t="s">
        <v>36</v>
      </c>
      <c r="K1321" t="s">
        <v>12</v>
      </c>
      <c r="L1321">
        <v>0</v>
      </c>
      <c r="M1321" t="s">
        <v>55</v>
      </c>
      <c r="N1321" t="s">
        <v>37</v>
      </c>
      <c r="O1321" t="s">
        <v>393</v>
      </c>
      <c r="P1321" s="6" t="str">
        <f>IF(Table1[[#This Row],[Transaction_Amount]]&lt;=Table1[[#This Row],[avg_transaction_amount]], "usual transaction", "unusual transaction")</f>
        <v>usual transaction</v>
      </c>
      <c r="Q1321" s="6" t="str">
        <f>IF(AND(Table1[[#This Row],[Country_of_Residence]]&lt;&gt;Table1[[#This Row],[Country_of_Transaction]], OR(Table1[[#This Row],[Authentication_Type]]="Biometric", Table1[[#This Row],[Authentication_Type]]="OTP")), "safe location transaction", "unsafe location transaction")</f>
        <v>unsafe location transaction</v>
      </c>
      <c r="R1321" s="6" t="str">
        <f>IF(AND(Table1[[#This Row],[Country_of_Residence]]&lt;&gt;Table1[[#This Row],[Country_of_Transaction]], OR(Table1[[#This Row],[Merchant_Category]]="Electronics", Table1[[#This Row],[Merchant_Category]]="Travel")), "unsafe merchant transaction", "safe merchant transaction")</f>
        <v>safe merchant transaction</v>
      </c>
    </row>
    <row r="1322" spans="1:18">
      <c r="A1322" t="s">
        <v>3698</v>
      </c>
      <c r="B1322" t="s">
        <v>209</v>
      </c>
      <c r="C1322">
        <v>1</v>
      </c>
      <c r="D1322" t="s">
        <v>9</v>
      </c>
      <c r="E1322" t="s">
        <v>6</v>
      </c>
      <c r="F1322" s="2">
        <v>45948</v>
      </c>
      <c r="G1322">
        <v>5657.22</v>
      </c>
      <c r="H1322" s="1">
        <f>AVERAGEIF(Table1[Customer_ID], Table1[[#This Row],[Customer_ID]], Table1[Transaction_Amount])</f>
        <v>5286.7533333333322</v>
      </c>
      <c r="I1322" t="s">
        <v>1296</v>
      </c>
      <c r="J1322" t="s">
        <v>36</v>
      </c>
      <c r="K1322" t="s">
        <v>8</v>
      </c>
      <c r="L1322">
        <v>5</v>
      </c>
      <c r="M1322" t="s">
        <v>37</v>
      </c>
      <c r="N1322" t="s">
        <v>42</v>
      </c>
      <c r="O1322" t="s">
        <v>392</v>
      </c>
      <c r="P1322" s="6" t="str">
        <f>IF(Table1[[#This Row],[Transaction_Amount]]&lt;=Table1[[#This Row],[avg_transaction_amount]], "usual transaction", "unusual transaction")</f>
        <v>unusual transaction</v>
      </c>
      <c r="Q1322" s="6" t="str">
        <f>IF(AND(Table1[[#This Row],[Country_of_Residence]]&lt;&gt;Table1[[#This Row],[Country_of_Transaction]], OR(Table1[[#This Row],[Authentication_Type]]="Biometric", Table1[[#This Row],[Authentication_Type]]="OTP")), "safe location transaction", "unsafe location transaction")</f>
        <v>safe location transaction</v>
      </c>
      <c r="R1322" s="6" t="str">
        <f>IF(AND(Table1[[#This Row],[Country_of_Residence]]&lt;&gt;Table1[[#This Row],[Country_of_Transaction]], OR(Table1[[#This Row],[Merchant_Category]]="Electronics", Table1[[#This Row],[Merchant_Category]]="Travel")), "unsafe merchant transaction", "safe merchant transaction")</f>
        <v>safe merchant transaction</v>
      </c>
    </row>
    <row r="1323" spans="1:18">
      <c r="A1323" t="s">
        <v>3803</v>
      </c>
      <c r="B1323" t="s">
        <v>209</v>
      </c>
      <c r="C1323">
        <v>1</v>
      </c>
      <c r="D1323" t="s">
        <v>9</v>
      </c>
      <c r="E1323" t="s">
        <v>420</v>
      </c>
      <c r="F1323" s="2">
        <v>45734</v>
      </c>
      <c r="G1323">
        <v>735.46</v>
      </c>
      <c r="H1323" s="1">
        <f>AVERAGEIF(Table1[Customer_ID], Table1[[#This Row],[Customer_ID]], Table1[Transaction_Amount])</f>
        <v>5286.7533333333322</v>
      </c>
      <c r="I1323" t="s">
        <v>1387</v>
      </c>
      <c r="J1323" t="s">
        <v>50</v>
      </c>
      <c r="K1323" t="s">
        <v>14</v>
      </c>
      <c r="L1323">
        <v>5</v>
      </c>
      <c r="M1323" t="s">
        <v>32</v>
      </c>
      <c r="N1323" t="s">
        <v>51</v>
      </c>
      <c r="O1323" t="s">
        <v>393</v>
      </c>
      <c r="P1323" s="6" t="str">
        <f>IF(Table1[[#This Row],[Transaction_Amount]]&lt;=Table1[[#This Row],[avg_transaction_amount]], "usual transaction", "unusual transaction")</f>
        <v>usual transaction</v>
      </c>
      <c r="Q1323" s="6" t="str">
        <f>IF(AND(Table1[[#This Row],[Country_of_Residence]]&lt;&gt;Table1[[#This Row],[Country_of_Transaction]], OR(Table1[[#This Row],[Authentication_Type]]="Biometric", Table1[[#This Row],[Authentication_Type]]="OTP")), "safe location transaction", "unsafe location transaction")</f>
        <v>unsafe location transaction</v>
      </c>
      <c r="R1323" s="6" t="str">
        <f>IF(AND(Table1[[#This Row],[Country_of_Residence]]&lt;&gt;Table1[[#This Row],[Country_of_Transaction]], OR(Table1[[#This Row],[Merchant_Category]]="Electronics", Table1[[#This Row],[Merchant_Category]]="Travel")), "unsafe merchant transaction", "safe merchant transaction")</f>
        <v>unsafe merchant transaction</v>
      </c>
    </row>
    <row r="1324" spans="1:18">
      <c r="A1324" t="s">
        <v>3807</v>
      </c>
      <c r="B1324" t="s">
        <v>209</v>
      </c>
      <c r="C1324">
        <v>1</v>
      </c>
      <c r="D1324" t="s">
        <v>9</v>
      </c>
      <c r="E1324" t="s">
        <v>420</v>
      </c>
      <c r="F1324" s="2">
        <v>46020</v>
      </c>
      <c r="G1324">
        <v>8041.3</v>
      </c>
      <c r="H1324" s="1">
        <f>AVERAGEIF(Table1[Customer_ID], Table1[[#This Row],[Customer_ID]], Table1[Transaction_Amount])</f>
        <v>5286.7533333333322</v>
      </c>
      <c r="I1324" t="s">
        <v>1390</v>
      </c>
      <c r="J1324" t="s">
        <v>50</v>
      </c>
      <c r="K1324" t="s">
        <v>14</v>
      </c>
      <c r="L1324">
        <v>4</v>
      </c>
      <c r="M1324" t="s">
        <v>55</v>
      </c>
      <c r="N1324" t="s">
        <v>47</v>
      </c>
      <c r="O1324" t="s">
        <v>393</v>
      </c>
      <c r="P1324" s="6" t="str">
        <f>IF(Table1[[#This Row],[Transaction_Amount]]&lt;=Table1[[#This Row],[avg_transaction_amount]], "usual transaction", "unusual transaction")</f>
        <v>unusual transaction</v>
      </c>
      <c r="Q1324" s="6" t="str">
        <f>IF(AND(Table1[[#This Row],[Country_of_Residence]]&lt;&gt;Table1[[#This Row],[Country_of_Transaction]], OR(Table1[[#This Row],[Authentication_Type]]="Biometric", Table1[[#This Row],[Authentication_Type]]="OTP")), "safe location transaction", "unsafe location transaction")</f>
        <v>unsafe location transaction</v>
      </c>
      <c r="R1324" s="6" t="str">
        <f>IF(AND(Table1[[#This Row],[Country_of_Residence]]&lt;&gt;Table1[[#This Row],[Country_of_Transaction]], OR(Table1[[#This Row],[Merchant_Category]]="Electronics", Table1[[#This Row],[Merchant_Category]]="Travel")), "unsafe merchant transaction", "safe merchant transaction")</f>
        <v>unsafe merchant transaction</v>
      </c>
    </row>
    <row r="1325" spans="1:18">
      <c r="A1325" t="s">
        <v>3910</v>
      </c>
      <c r="B1325" t="s">
        <v>209</v>
      </c>
      <c r="C1325">
        <v>1</v>
      </c>
      <c r="D1325" t="s">
        <v>9</v>
      </c>
      <c r="E1325" t="s">
        <v>420</v>
      </c>
      <c r="F1325" s="2">
        <v>45959</v>
      </c>
      <c r="G1325">
        <v>1226.3499999999999</v>
      </c>
      <c r="H1325" s="1">
        <f>AVERAGEIF(Table1[Customer_ID], Table1[[#This Row],[Customer_ID]], Table1[Transaction_Amount])</f>
        <v>5286.7533333333322</v>
      </c>
      <c r="I1325" t="s">
        <v>1475</v>
      </c>
      <c r="J1325" t="s">
        <v>36</v>
      </c>
      <c r="K1325" t="s">
        <v>12</v>
      </c>
      <c r="L1325">
        <v>2</v>
      </c>
      <c r="M1325" t="s">
        <v>55</v>
      </c>
      <c r="N1325" t="s">
        <v>42</v>
      </c>
      <c r="O1325" t="s">
        <v>393</v>
      </c>
      <c r="P1325" s="6" t="str">
        <f>IF(Table1[[#This Row],[Transaction_Amount]]&lt;=Table1[[#This Row],[avg_transaction_amount]], "usual transaction", "unusual transaction")</f>
        <v>usual transaction</v>
      </c>
      <c r="Q1325" s="6" t="str">
        <f>IF(AND(Table1[[#This Row],[Country_of_Residence]]&lt;&gt;Table1[[#This Row],[Country_of_Transaction]], OR(Table1[[#This Row],[Authentication_Type]]="Biometric", Table1[[#This Row],[Authentication_Type]]="OTP")), "safe location transaction", "unsafe location transaction")</f>
        <v>unsafe location transaction</v>
      </c>
      <c r="R1325" s="6" t="str">
        <f>IF(AND(Table1[[#This Row],[Country_of_Residence]]&lt;&gt;Table1[[#This Row],[Country_of_Transaction]], OR(Table1[[#This Row],[Merchant_Category]]="Electronics", Table1[[#This Row],[Merchant_Category]]="Travel")), "unsafe merchant transaction", "safe merchant transaction")</f>
        <v>safe merchant transaction</v>
      </c>
    </row>
    <row r="1326" spans="1:18">
      <c r="A1326" t="s">
        <v>3918</v>
      </c>
      <c r="B1326" t="s">
        <v>209</v>
      </c>
      <c r="C1326">
        <v>1</v>
      </c>
      <c r="D1326" t="s">
        <v>15</v>
      </c>
      <c r="E1326" t="s">
        <v>3</v>
      </c>
      <c r="F1326" s="2">
        <v>45674</v>
      </c>
      <c r="G1326">
        <v>1607.48</v>
      </c>
      <c r="H1326" s="1">
        <f>AVERAGEIF(Table1[Customer_ID], Table1[[#This Row],[Customer_ID]], Table1[Transaction_Amount])</f>
        <v>5286.7533333333322</v>
      </c>
      <c r="I1326" t="s">
        <v>812</v>
      </c>
      <c r="J1326" t="s">
        <v>46</v>
      </c>
      <c r="K1326" t="s">
        <v>8</v>
      </c>
      <c r="L1326">
        <v>3</v>
      </c>
      <c r="M1326" t="s">
        <v>56</v>
      </c>
      <c r="N1326" t="s">
        <v>51</v>
      </c>
      <c r="O1326" t="s">
        <v>393</v>
      </c>
      <c r="P1326" s="6" t="str">
        <f>IF(Table1[[#This Row],[Transaction_Amount]]&lt;=Table1[[#This Row],[avg_transaction_amount]], "usual transaction", "unusual transaction")</f>
        <v>usual transaction</v>
      </c>
      <c r="Q1326" s="6" t="str">
        <f>IF(AND(Table1[[#This Row],[Country_of_Residence]]&lt;&gt;Table1[[#This Row],[Country_of_Transaction]], OR(Table1[[#This Row],[Authentication_Type]]="Biometric", Table1[[#This Row],[Authentication_Type]]="OTP")), "safe location transaction", "unsafe location transaction")</f>
        <v>safe location transaction</v>
      </c>
      <c r="R1326" s="6" t="str">
        <f>IF(AND(Table1[[#This Row],[Country_of_Residence]]&lt;&gt;Table1[[#This Row],[Country_of_Transaction]], OR(Table1[[#This Row],[Merchant_Category]]="Electronics", Table1[[#This Row],[Merchant_Category]]="Travel")), "unsafe merchant transaction", "safe merchant transaction")</f>
        <v>safe merchant transaction</v>
      </c>
    </row>
    <row r="1327" spans="1:18">
      <c r="A1327" t="s">
        <v>3973</v>
      </c>
      <c r="B1327" t="s">
        <v>209</v>
      </c>
      <c r="C1327">
        <v>1</v>
      </c>
      <c r="D1327" t="s">
        <v>15</v>
      </c>
      <c r="E1327" t="s">
        <v>420</v>
      </c>
      <c r="F1327" s="2">
        <v>45851</v>
      </c>
      <c r="G1327">
        <v>7252.8</v>
      </c>
      <c r="H1327" s="1">
        <f>AVERAGEIF(Table1[Customer_ID], Table1[[#This Row],[Customer_ID]], Table1[Transaction_Amount])</f>
        <v>5286.7533333333322</v>
      </c>
      <c r="I1327" t="s">
        <v>1534</v>
      </c>
      <c r="J1327" t="s">
        <v>46</v>
      </c>
      <c r="K1327" t="s">
        <v>8</v>
      </c>
      <c r="L1327">
        <v>1</v>
      </c>
      <c r="M1327" t="s">
        <v>37</v>
      </c>
      <c r="N1327" t="s">
        <v>33</v>
      </c>
      <c r="O1327" t="s">
        <v>392</v>
      </c>
      <c r="P1327" s="6" t="str">
        <f>IF(Table1[[#This Row],[Transaction_Amount]]&lt;=Table1[[#This Row],[avg_transaction_amount]], "usual transaction", "unusual transaction")</f>
        <v>unusual transaction</v>
      </c>
      <c r="Q1327" s="6" t="str">
        <f>IF(AND(Table1[[#This Row],[Country_of_Residence]]&lt;&gt;Table1[[#This Row],[Country_of_Transaction]], OR(Table1[[#This Row],[Authentication_Type]]="Biometric", Table1[[#This Row],[Authentication_Type]]="OTP")), "safe location transaction", "unsafe location transaction")</f>
        <v>safe location transaction</v>
      </c>
      <c r="R1327" s="6" t="str">
        <f>IF(AND(Table1[[#This Row],[Country_of_Residence]]&lt;&gt;Table1[[#This Row],[Country_of_Transaction]], OR(Table1[[#This Row],[Merchant_Category]]="Electronics", Table1[[#This Row],[Merchant_Category]]="Travel")), "unsafe merchant transaction", "safe merchant transaction")</f>
        <v>safe merchant transaction</v>
      </c>
    </row>
    <row r="1328" spans="1:18">
      <c r="A1328" t="s">
        <v>4215</v>
      </c>
      <c r="B1328" t="s">
        <v>209</v>
      </c>
      <c r="C1328">
        <v>1</v>
      </c>
      <c r="D1328" t="s">
        <v>15</v>
      </c>
      <c r="E1328" t="s">
        <v>420</v>
      </c>
      <c r="F1328" s="2">
        <v>45783</v>
      </c>
      <c r="G1328">
        <v>6578.09</v>
      </c>
      <c r="H1328" s="1">
        <f>AVERAGEIF(Table1[Customer_ID], Table1[[#This Row],[Customer_ID]], Table1[Transaction_Amount])</f>
        <v>5286.7533333333322</v>
      </c>
      <c r="I1328" t="s">
        <v>1735</v>
      </c>
      <c r="J1328" t="s">
        <v>41</v>
      </c>
      <c r="K1328" t="s">
        <v>10</v>
      </c>
      <c r="L1328">
        <v>2</v>
      </c>
      <c r="M1328" t="s">
        <v>56</v>
      </c>
      <c r="N1328" t="s">
        <v>47</v>
      </c>
      <c r="O1328" t="s">
        <v>393</v>
      </c>
      <c r="P1328" s="6" t="str">
        <f>IF(Table1[[#This Row],[Transaction_Amount]]&lt;=Table1[[#This Row],[avg_transaction_amount]], "usual transaction", "unusual transaction")</f>
        <v>unusual transaction</v>
      </c>
      <c r="Q1328" s="6" t="str">
        <f>IF(AND(Table1[[#This Row],[Country_of_Residence]]&lt;&gt;Table1[[#This Row],[Country_of_Transaction]], OR(Table1[[#This Row],[Authentication_Type]]="Biometric", Table1[[#This Row],[Authentication_Type]]="OTP")), "safe location transaction", "unsafe location transaction")</f>
        <v>safe location transaction</v>
      </c>
      <c r="R1328" s="6" t="str">
        <f>IF(AND(Table1[[#This Row],[Country_of_Residence]]&lt;&gt;Table1[[#This Row],[Country_of_Transaction]], OR(Table1[[#This Row],[Merchant_Category]]="Electronics", Table1[[#This Row],[Merchant_Category]]="Travel")), "unsafe merchant transaction", "safe merchant transaction")</f>
        <v>safe merchant transaction</v>
      </c>
    </row>
    <row r="1329" spans="1:18">
      <c r="A1329" t="s">
        <v>4294</v>
      </c>
      <c r="B1329" t="s">
        <v>209</v>
      </c>
      <c r="C1329">
        <v>1</v>
      </c>
      <c r="D1329" t="s">
        <v>9</v>
      </c>
      <c r="E1329" t="s">
        <v>6</v>
      </c>
      <c r="F1329" s="2">
        <v>45722</v>
      </c>
      <c r="G1329">
        <v>1690.11</v>
      </c>
      <c r="H1329" s="1">
        <f>AVERAGEIF(Table1[Customer_ID], Table1[[#This Row],[Customer_ID]], Table1[Transaction_Amount])</f>
        <v>5286.7533333333322</v>
      </c>
      <c r="I1329" t="s">
        <v>1804</v>
      </c>
      <c r="J1329" t="s">
        <v>50</v>
      </c>
      <c r="K1329" t="s">
        <v>8</v>
      </c>
      <c r="L1329">
        <v>3</v>
      </c>
      <c r="M1329" t="s">
        <v>42</v>
      </c>
      <c r="N1329" t="s">
        <v>51</v>
      </c>
      <c r="O1329" t="s">
        <v>393</v>
      </c>
      <c r="P1329" s="6" t="str">
        <f>IF(Table1[[#This Row],[Transaction_Amount]]&lt;=Table1[[#This Row],[avg_transaction_amount]], "usual transaction", "unusual transaction")</f>
        <v>usual transaction</v>
      </c>
      <c r="Q1329" s="6" t="str">
        <f>IF(AND(Table1[[#This Row],[Country_of_Residence]]&lt;&gt;Table1[[#This Row],[Country_of_Transaction]], OR(Table1[[#This Row],[Authentication_Type]]="Biometric", Table1[[#This Row],[Authentication_Type]]="OTP")), "safe location transaction", "unsafe location transaction")</f>
        <v>safe location transaction</v>
      </c>
      <c r="R1329" s="6" t="str">
        <f>IF(AND(Table1[[#This Row],[Country_of_Residence]]&lt;&gt;Table1[[#This Row],[Country_of_Transaction]], OR(Table1[[#This Row],[Merchant_Category]]="Electronics", Table1[[#This Row],[Merchant_Category]]="Travel")), "unsafe merchant transaction", "safe merchant transaction")</f>
        <v>unsafe merchant transaction</v>
      </c>
    </row>
    <row r="1330" spans="1:18">
      <c r="A1330" t="s">
        <v>4301</v>
      </c>
      <c r="B1330" t="s">
        <v>209</v>
      </c>
      <c r="C1330">
        <v>1</v>
      </c>
      <c r="D1330" t="s">
        <v>15</v>
      </c>
      <c r="E1330" t="s">
        <v>5</v>
      </c>
      <c r="F1330" s="2">
        <v>45684</v>
      </c>
      <c r="G1330">
        <v>6168.73</v>
      </c>
      <c r="H1330" s="1">
        <f>AVERAGEIF(Table1[Customer_ID], Table1[[#This Row],[Customer_ID]], Table1[Transaction_Amount])</f>
        <v>5286.7533333333322</v>
      </c>
      <c r="I1330" t="s">
        <v>1811</v>
      </c>
      <c r="J1330" t="s">
        <v>50</v>
      </c>
      <c r="K1330" t="s">
        <v>14</v>
      </c>
      <c r="L1330">
        <v>4</v>
      </c>
      <c r="M1330" t="s">
        <v>32</v>
      </c>
      <c r="N1330" t="s">
        <v>37</v>
      </c>
      <c r="O1330" t="s">
        <v>393</v>
      </c>
      <c r="P1330" s="6" t="str">
        <f>IF(Table1[[#This Row],[Transaction_Amount]]&lt;=Table1[[#This Row],[avg_transaction_amount]], "usual transaction", "unusual transaction")</f>
        <v>unusual transaction</v>
      </c>
      <c r="Q1330" s="6" t="str">
        <f>IF(AND(Table1[[#This Row],[Country_of_Residence]]&lt;&gt;Table1[[#This Row],[Country_of_Transaction]], OR(Table1[[#This Row],[Authentication_Type]]="Biometric", Table1[[#This Row],[Authentication_Type]]="OTP")), "safe location transaction", "unsafe location transaction")</f>
        <v>unsafe location transaction</v>
      </c>
      <c r="R1330" s="6" t="str">
        <f>IF(AND(Table1[[#This Row],[Country_of_Residence]]&lt;&gt;Table1[[#This Row],[Country_of_Transaction]], OR(Table1[[#This Row],[Merchant_Category]]="Electronics", Table1[[#This Row],[Merchant_Category]]="Travel")), "unsafe merchant transaction", "safe merchant transaction")</f>
        <v>unsafe merchant transaction</v>
      </c>
    </row>
    <row r="1331" spans="1:18">
      <c r="A1331" t="s">
        <v>4317</v>
      </c>
      <c r="B1331" t="s">
        <v>209</v>
      </c>
      <c r="C1331">
        <v>1</v>
      </c>
      <c r="D1331" t="s">
        <v>9</v>
      </c>
      <c r="E1331" t="s">
        <v>420</v>
      </c>
      <c r="F1331" s="2">
        <v>45957</v>
      </c>
      <c r="G1331">
        <v>3190.45</v>
      </c>
      <c r="H1331" s="1">
        <f>AVERAGEIF(Table1[Customer_ID], Table1[[#This Row],[Customer_ID]], Table1[Transaction_Amount])</f>
        <v>5286.7533333333322</v>
      </c>
      <c r="I1331" t="s">
        <v>1825</v>
      </c>
      <c r="J1331" t="s">
        <v>50</v>
      </c>
      <c r="K1331" t="s">
        <v>10</v>
      </c>
      <c r="L1331">
        <v>5</v>
      </c>
      <c r="M1331" t="s">
        <v>51</v>
      </c>
      <c r="N1331" t="s">
        <v>33</v>
      </c>
      <c r="O1331" t="s">
        <v>392</v>
      </c>
      <c r="P1331" s="6" t="str">
        <f>IF(Table1[[#This Row],[Transaction_Amount]]&lt;=Table1[[#This Row],[avg_transaction_amount]], "usual transaction", "unusual transaction")</f>
        <v>usual transaction</v>
      </c>
      <c r="Q1331" s="6" t="str">
        <f>IF(AND(Table1[[#This Row],[Country_of_Residence]]&lt;&gt;Table1[[#This Row],[Country_of_Transaction]], OR(Table1[[#This Row],[Authentication_Type]]="Biometric", Table1[[#This Row],[Authentication_Type]]="OTP")), "safe location transaction", "unsafe location transaction")</f>
        <v>safe location transaction</v>
      </c>
      <c r="R1331" s="6" t="str">
        <f>IF(AND(Table1[[#This Row],[Country_of_Residence]]&lt;&gt;Table1[[#This Row],[Country_of_Transaction]], OR(Table1[[#This Row],[Merchant_Category]]="Electronics", Table1[[#This Row],[Merchant_Category]]="Travel")), "unsafe merchant transaction", "safe merchant transaction")</f>
        <v>unsafe merchant transaction</v>
      </c>
    </row>
    <row r="1332" spans="1:18">
      <c r="A1332" t="s">
        <v>4336</v>
      </c>
      <c r="B1332" t="s">
        <v>209</v>
      </c>
      <c r="C1332">
        <v>1</v>
      </c>
      <c r="D1332" t="s">
        <v>15</v>
      </c>
      <c r="E1332" t="s">
        <v>3</v>
      </c>
      <c r="F1332" s="2">
        <v>45976</v>
      </c>
      <c r="G1332">
        <v>9978.41</v>
      </c>
      <c r="H1332" s="1">
        <f>AVERAGEIF(Table1[Customer_ID], Table1[[#This Row],[Customer_ID]], Table1[Transaction_Amount])</f>
        <v>5286.7533333333322</v>
      </c>
      <c r="I1332" t="s">
        <v>1842</v>
      </c>
      <c r="J1332" t="s">
        <v>31</v>
      </c>
      <c r="K1332" t="s">
        <v>12</v>
      </c>
      <c r="L1332">
        <v>1</v>
      </c>
      <c r="M1332" t="s">
        <v>37</v>
      </c>
      <c r="N1332" t="s">
        <v>33</v>
      </c>
      <c r="O1332" t="s">
        <v>393</v>
      </c>
      <c r="P1332" s="6" t="str">
        <f>IF(Table1[[#This Row],[Transaction_Amount]]&lt;=Table1[[#This Row],[avg_transaction_amount]], "usual transaction", "unusual transaction")</f>
        <v>unusual transaction</v>
      </c>
      <c r="Q1332" s="6" t="str">
        <f>IF(AND(Table1[[#This Row],[Country_of_Residence]]&lt;&gt;Table1[[#This Row],[Country_of_Transaction]], OR(Table1[[#This Row],[Authentication_Type]]="Biometric", Table1[[#This Row],[Authentication_Type]]="OTP")), "safe location transaction", "unsafe location transaction")</f>
        <v>unsafe location transaction</v>
      </c>
      <c r="R1332" s="6" t="str">
        <f>IF(AND(Table1[[#This Row],[Country_of_Residence]]&lt;&gt;Table1[[#This Row],[Country_of_Transaction]], OR(Table1[[#This Row],[Merchant_Category]]="Electronics", Table1[[#This Row],[Merchant_Category]]="Travel")), "unsafe merchant transaction", "safe merchant transaction")</f>
        <v>safe merchant transaction</v>
      </c>
    </row>
    <row r="1333" spans="1:18">
      <c r="A1333" t="s">
        <v>4384</v>
      </c>
      <c r="B1333" t="s">
        <v>209</v>
      </c>
      <c r="C1333">
        <v>1</v>
      </c>
      <c r="D1333" t="s">
        <v>15</v>
      </c>
      <c r="E1333" t="s">
        <v>6</v>
      </c>
      <c r="F1333" s="2">
        <v>45882</v>
      </c>
      <c r="G1333">
        <v>9216.58</v>
      </c>
      <c r="H1333" s="1">
        <f>AVERAGEIF(Table1[Customer_ID], Table1[[#This Row],[Customer_ID]], Table1[Transaction_Amount])</f>
        <v>5286.7533333333322</v>
      </c>
      <c r="I1333" t="s">
        <v>1884</v>
      </c>
      <c r="J1333" t="s">
        <v>50</v>
      </c>
      <c r="K1333" t="s">
        <v>12</v>
      </c>
      <c r="L1333">
        <v>5</v>
      </c>
      <c r="M1333" t="s">
        <v>32</v>
      </c>
      <c r="N1333" t="s">
        <v>412</v>
      </c>
      <c r="O1333" t="s">
        <v>393</v>
      </c>
      <c r="P1333" s="6" t="str">
        <f>IF(Table1[[#This Row],[Transaction_Amount]]&lt;=Table1[[#This Row],[avg_transaction_amount]], "usual transaction", "unusual transaction")</f>
        <v>unusual transaction</v>
      </c>
      <c r="Q1333" s="6" t="str">
        <f>IF(AND(Table1[[#This Row],[Country_of_Residence]]&lt;&gt;Table1[[#This Row],[Country_of_Transaction]], OR(Table1[[#This Row],[Authentication_Type]]="Biometric", Table1[[#This Row],[Authentication_Type]]="OTP")), "safe location transaction", "unsafe location transaction")</f>
        <v>unsafe location transaction</v>
      </c>
      <c r="R1333" s="6" t="str">
        <f>IF(AND(Table1[[#This Row],[Country_of_Residence]]&lt;&gt;Table1[[#This Row],[Country_of_Transaction]], OR(Table1[[#This Row],[Merchant_Category]]="Electronics", Table1[[#This Row],[Merchant_Category]]="Travel")), "unsafe merchant transaction", "safe merchant transaction")</f>
        <v>unsafe merchant transaction</v>
      </c>
    </row>
    <row r="1334" spans="1:18">
      <c r="A1334" t="s">
        <v>4394</v>
      </c>
      <c r="B1334" t="s">
        <v>209</v>
      </c>
      <c r="C1334">
        <v>1</v>
      </c>
      <c r="D1334" t="s">
        <v>9</v>
      </c>
      <c r="E1334" t="s">
        <v>420</v>
      </c>
      <c r="F1334" s="2">
        <v>46015</v>
      </c>
      <c r="G1334">
        <v>9120.34</v>
      </c>
      <c r="H1334" s="1">
        <f>AVERAGEIF(Table1[Customer_ID], Table1[[#This Row],[Customer_ID]], Table1[Transaction_Amount])</f>
        <v>5286.7533333333322</v>
      </c>
      <c r="I1334" t="s">
        <v>1894</v>
      </c>
      <c r="J1334" t="s">
        <v>46</v>
      </c>
      <c r="K1334" t="s">
        <v>12</v>
      </c>
      <c r="L1334">
        <v>5</v>
      </c>
      <c r="M1334" t="s">
        <v>51</v>
      </c>
      <c r="N1334" t="s">
        <v>55</v>
      </c>
      <c r="O1334" t="s">
        <v>393</v>
      </c>
      <c r="P1334" s="6" t="str">
        <f>IF(Table1[[#This Row],[Transaction_Amount]]&lt;=Table1[[#This Row],[avg_transaction_amount]], "usual transaction", "unusual transaction")</f>
        <v>unusual transaction</v>
      </c>
      <c r="Q1334" s="6" t="str">
        <f>IF(AND(Table1[[#This Row],[Country_of_Residence]]&lt;&gt;Table1[[#This Row],[Country_of_Transaction]], OR(Table1[[#This Row],[Authentication_Type]]="Biometric", Table1[[#This Row],[Authentication_Type]]="OTP")), "safe location transaction", "unsafe location transaction")</f>
        <v>unsafe location transaction</v>
      </c>
      <c r="R1334" s="6" t="str">
        <f>IF(AND(Table1[[#This Row],[Country_of_Residence]]&lt;&gt;Table1[[#This Row],[Country_of_Transaction]], OR(Table1[[#This Row],[Merchant_Category]]="Electronics", Table1[[#This Row],[Merchant_Category]]="Travel")), "unsafe merchant transaction", "safe merchant transaction")</f>
        <v>safe merchant transaction</v>
      </c>
    </row>
    <row r="1335" spans="1:18">
      <c r="A1335" t="s">
        <v>4483</v>
      </c>
      <c r="B1335" t="s">
        <v>209</v>
      </c>
      <c r="C1335">
        <v>1</v>
      </c>
      <c r="D1335" t="s">
        <v>9</v>
      </c>
      <c r="E1335" t="s">
        <v>3</v>
      </c>
      <c r="F1335" s="2">
        <v>45784</v>
      </c>
      <c r="G1335">
        <v>9167.83</v>
      </c>
      <c r="H1335" s="1">
        <f>AVERAGEIF(Table1[Customer_ID], Table1[[#This Row],[Customer_ID]], Table1[Transaction_Amount])</f>
        <v>5286.7533333333322</v>
      </c>
      <c r="I1335" t="s">
        <v>1972</v>
      </c>
      <c r="J1335" t="s">
        <v>46</v>
      </c>
      <c r="K1335" t="s">
        <v>10</v>
      </c>
      <c r="L1335">
        <v>4</v>
      </c>
      <c r="M1335" t="s">
        <v>37</v>
      </c>
      <c r="N1335" t="s">
        <v>55</v>
      </c>
      <c r="O1335" t="s">
        <v>392</v>
      </c>
      <c r="P1335" s="6" t="str">
        <f>IF(Table1[[#This Row],[Transaction_Amount]]&lt;=Table1[[#This Row],[avg_transaction_amount]], "usual transaction", "unusual transaction")</f>
        <v>unusual transaction</v>
      </c>
      <c r="Q1335" s="6" t="str">
        <f>IF(AND(Table1[[#This Row],[Country_of_Residence]]&lt;&gt;Table1[[#This Row],[Country_of_Transaction]], OR(Table1[[#This Row],[Authentication_Type]]="Biometric", Table1[[#This Row],[Authentication_Type]]="OTP")), "safe location transaction", "unsafe location transaction")</f>
        <v>safe location transaction</v>
      </c>
      <c r="R1335" s="6" t="str">
        <f>IF(AND(Table1[[#This Row],[Country_of_Residence]]&lt;&gt;Table1[[#This Row],[Country_of_Transaction]], OR(Table1[[#This Row],[Merchant_Category]]="Electronics", Table1[[#This Row],[Merchant_Category]]="Travel")), "unsafe merchant transaction", "safe merchant transaction")</f>
        <v>safe merchant transaction</v>
      </c>
    </row>
    <row r="1336" spans="1:18">
      <c r="A1336" t="s">
        <v>4556</v>
      </c>
      <c r="B1336" t="s">
        <v>209</v>
      </c>
      <c r="C1336">
        <v>1</v>
      </c>
      <c r="D1336" t="s">
        <v>15</v>
      </c>
      <c r="E1336" t="s">
        <v>5</v>
      </c>
      <c r="F1336" s="2">
        <v>45692</v>
      </c>
      <c r="G1336">
        <v>6116.14</v>
      </c>
      <c r="H1336" s="1">
        <f>AVERAGEIF(Table1[Customer_ID], Table1[[#This Row],[Customer_ID]], Table1[Transaction_Amount])</f>
        <v>5286.7533333333322</v>
      </c>
      <c r="I1336" t="s">
        <v>2033</v>
      </c>
      <c r="J1336" t="s">
        <v>50</v>
      </c>
      <c r="K1336" t="s">
        <v>12</v>
      </c>
      <c r="L1336">
        <v>1</v>
      </c>
      <c r="M1336" t="s">
        <v>412</v>
      </c>
      <c r="N1336" t="s">
        <v>33</v>
      </c>
      <c r="O1336" t="s">
        <v>392</v>
      </c>
      <c r="P1336" s="6" t="str">
        <f>IF(Table1[[#This Row],[Transaction_Amount]]&lt;=Table1[[#This Row],[avg_transaction_amount]], "usual transaction", "unusual transaction")</f>
        <v>unusual transaction</v>
      </c>
      <c r="Q1336" s="6" t="str">
        <f>IF(AND(Table1[[#This Row],[Country_of_Residence]]&lt;&gt;Table1[[#This Row],[Country_of_Transaction]], OR(Table1[[#This Row],[Authentication_Type]]="Biometric", Table1[[#This Row],[Authentication_Type]]="OTP")), "safe location transaction", "unsafe location transaction")</f>
        <v>unsafe location transaction</v>
      </c>
      <c r="R1336" s="6" t="str">
        <f>IF(AND(Table1[[#This Row],[Country_of_Residence]]&lt;&gt;Table1[[#This Row],[Country_of_Transaction]], OR(Table1[[#This Row],[Merchant_Category]]="Electronics", Table1[[#This Row],[Merchant_Category]]="Travel")), "unsafe merchant transaction", "safe merchant transaction")</f>
        <v>unsafe merchant transaction</v>
      </c>
    </row>
    <row r="1337" spans="1:18">
      <c r="A1337" t="s">
        <v>4599</v>
      </c>
      <c r="B1337" t="s">
        <v>209</v>
      </c>
      <c r="C1337">
        <v>1</v>
      </c>
      <c r="D1337" t="s">
        <v>15</v>
      </c>
      <c r="E1337" t="s">
        <v>3</v>
      </c>
      <c r="F1337" s="2">
        <v>45864</v>
      </c>
      <c r="G1337">
        <v>9423.5499999999993</v>
      </c>
      <c r="H1337" s="1">
        <f>AVERAGEIF(Table1[Customer_ID], Table1[[#This Row],[Customer_ID]], Table1[Transaction_Amount])</f>
        <v>5286.7533333333322</v>
      </c>
      <c r="I1337" t="s">
        <v>2067</v>
      </c>
      <c r="J1337" t="s">
        <v>46</v>
      </c>
      <c r="K1337" t="s">
        <v>12</v>
      </c>
      <c r="L1337">
        <v>0</v>
      </c>
      <c r="M1337" t="s">
        <v>42</v>
      </c>
      <c r="N1337" t="s">
        <v>33</v>
      </c>
      <c r="O1337" t="s">
        <v>393</v>
      </c>
      <c r="P1337" s="6" t="str">
        <f>IF(Table1[[#This Row],[Transaction_Amount]]&lt;=Table1[[#This Row],[avg_transaction_amount]], "usual transaction", "unusual transaction")</f>
        <v>unusual transaction</v>
      </c>
      <c r="Q1337" s="6" t="str">
        <f>IF(AND(Table1[[#This Row],[Country_of_Residence]]&lt;&gt;Table1[[#This Row],[Country_of_Transaction]], OR(Table1[[#This Row],[Authentication_Type]]="Biometric", Table1[[#This Row],[Authentication_Type]]="OTP")), "safe location transaction", "unsafe location transaction")</f>
        <v>unsafe location transaction</v>
      </c>
      <c r="R1337" s="6" t="str">
        <f>IF(AND(Table1[[#This Row],[Country_of_Residence]]&lt;&gt;Table1[[#This Row],[Country_of_Transaction]], OR(Table1[[#This Row],[Merchant_Category]]="Electronics", Table1[[#This Row],[Merchant_Category]]="Travel")), "unsafe merchant transaction", "safe merchant transaction")</f>
        <v>safe merchant transaction</v>
      </c>
    </row>
    <row r="1338" spans="1:18">
      <c r="A1338" t="s">
        <v>4749</v>
      </c>
      <c r="B1338" t="s">
        <v>209</v>
      </c>
      <c r="C1338">
        <v>1</v>
      </c>
      <c r="D1338" t="s">
        <v>15</v>
      </c>
      <c r="E1338" t="s">
        <v>6</v>
      </c>
      <c r="F1338" s="2">
        <v>45712</v>
      </c>
      <c r="G1338">
        <v>509.67</v>
      </c>
      <c r="H1338" s="1">
        <f>AVERAGEIF(Table1[Customer_ID], Table1[[#This Row],[Customer_ID]], Table1[Transaction_Amount])</f>
        <v>5286.7533333333322</v>
      </c>
      <c r="I1338" t="s">
        <v>2184</v>
      </c>
      <c r="J1338" t="s">
        <v>46</v>
      </c>
      <c r="K1338" t="s">
        <v>8</v>
      </c>
      <c r="L1338">
        <v>2</v>
      </c>
      <c r="M1338" t="s">
        <v>51</v>
      </c>
      <c r="N1338" t="s">
        <v>47</v>
      </c>
      <c r="O1338" t="s">
        <v>393</v>
      </c>
      <c r="P1338" s="6" t="str">
        <f>IF(Table1[[#This Row],[Transaction_Amount]]&lt;=Table1[[#This Row],[avg_transaction_amount]], "usual transaction", "unusual transaction")</f>
        <v>usual transaction</v>
      </c>
      <c r="Q1338" s="6" t="str">
        <f>IF(AND(Table1[[#This Row],[Country_of_Residence]]&lt;&gt;Table1[[#This Row],[Country_of_Transaction]], OR(Table1[[#This Row],[Authentication_Type]]="Biometric", Table1[[#This Row],[Authentication_Type]]="OTP")), "safe location transaction", "unsafe location transaction")</f>
        <v>safe location transaction</v>
      </c>
      <c r="R1338" s="6" t="str">
        <f>IF(AND(Table1[[#This Row],[Country_of_Residence]]&lt;&gt;Table1[[#This Row],[Country_of_Transaction]], OR(Table1[[#This Row],[Merchant_Category]]="Electronics", Table1[[#This Row],[Merchant_Category]]="Travel")), "unsafe merchant transaction", "safe merchant transaction")</f>
        <v>safe merchant transaction</v>
      </c>
    </row>
    <row r="1339" spans="1:18">
      <c r="A1339" t="s">
        <v>4768</v>
      </c>
      <c r="B1339" t="s">
        <v>209</v>
      </c>
      <c r="C1339">
        <v>1</v>
      </c>
      <c r="D1339" t="s">
        <v>15</v>
      </c>
      <c r="E1339" t="s">
        <v>420</v>
      </c>
      <c r="F1339" s="2">
        <v>45804</v>
      </c>
      <c r="G1339">
        <v>4969.47</v>
      </c>
      <c r="H1339" s="1">
        <f>AVERAGEIF(Table1[Customer_ID], Table1[[#This Row],[Customer_ID]], Table1[Transaction_Amount])</f>
        <v>5286.7533333333322</v>
      </c>
      <c r="I1339" t="s">
        <v>2197</v>
      </c>
      <c r="J1339" t="s">
        <v>46</v>
      </c>
      <c r="K1339" t="s">
        <v>12</v>
      </c>
      <c r="L1339">
        <v>5</v>
      </c>
      <c r="M1339" t="s">
        <v>37</v>
      </c>
      <c r="N1339" t="s">
        <v>56</v>
      </c>
      <c r="O1339" t="s">
        <v>392</v>
      </c>
      <c r="P1339" s="6" t="str">
        <f>IF(Table1[[#This Row],[Transaction_Amount]]&lt;=Table1[[#This Row],[avg_transaction_amount]], "usual transaction", "unusual transaction")</f>
        <v>usual transaction</v>
      </c>
      <c r="Q1339" s="6" t="str">
        <f>IF(AND(Table1[[#This Row],[Country_of_Residence]]&lt;&gt;Table1[[#This Row],[Country_of_Transaction]], OR(Table1[[#This Row],[Authentication_Type]]="Biometric", Table1[[#This Row],[Authentication_Type]]="OTP")), "safe location transaction", "unsafe location transaction")</f>
        <v>unsafe location transaction</v>
      </c>
      <c r="R1339" s="6" t="str">
        <f>IF(AND(Table1[[#This Row],[Country_of_Residence]]&lt;&gt;Table1[[#This Row],[Country_of_Transaction]], OR(Table1[[#This Row],[Merchant_Category]]="Electronics", Table1[[#This Row],[Merchant_Category]]="Travel")), "unsafe merchant transaction", "safe merchant transaction")</f>
        <v>safe merchant transaction</v>
      </c>
    </row>
    <row r="1340" spans="1:18">
      <c r="A1340" t="s">
        <v>4783</v>
      </c>
      <c r="B1340" t="s">
        <v>209</v>
      </c>
      <c r="C1340">
        <v>1</v>
      </c>
      <c r="D1340" t="s">
        <v>15</v>
      </c>
      <c r="E1340" t="s">
        <v>5</v>
      </c>
      <c r="F1340" s="2">
        <v>46013</v>
      </c>
      <c r="G1340">
        <v>5183.09</v>
      </c>
      <c r="H1340" s="1">
        <f>AVERAGEIF(Table1[Customer_ID], Table1[[#This Row],[Customer_ID]], Table1[Transaction_Amount])</f>
        <v>5286.7533333333322</v>
      </c>
      <c r="I1340" t="s">
        <v>2208</v>
      </c>
      <c r="J1340" t="s">
        <v>41</v>
      </c>
      <c r="K1340" t="s">
        <v>10</v>
      </c>
      <c r="L1340">
        <v>1</v>
      </c>
      <c r="M1340" t="s">
        <v>47</v>
      </c>
      <c r="N1340" t="s">
        <v>37</v>
      </c>
      <c r="O1340" t="s">
        <v>392</v>
      </c>
      <c r="P1340" s="6" t="str">
        <f>IF(Table1[[#This Row],[Transaction_Amount]]&lt;=Table1[[#This Row],[avg_transaction_amount]], "usual transaction", "unusual transaction")</f>
        <v>usual transaction</v>
      </c>
      <c r="Q1340" s="6" t="str">
        <f>IF(AND(Table1[[#This Row],[Country_of_Residence]]&lt;&gt;Table1[[#This Row],[Country_of_Transaction]], OR(Table1[[#This Row],[Authentication_Type]]="Biometric", Table1[[#This Row],[Authentication_Type]]="OTP")), "safe location transaction", "unsafe location transaction")</f>
        <v>safe location transaction</v>
      </c>
      <c r="R1340" s="6" t="str">
        <f>IF(AND(Table1[[#This Row],[Country_of_Residence]]&lt;&gt;Table1[[#This Row],[Country_of_Transaction]], OR(Table1[[#This Row],[Merchant_Category]]="Electronics", Table1[[#This Row],[Merchant_Category]]="Travel")), "unsafe merchant transaction", "safe merchant transaction")</f>
        <v>safe merchant transaction</v>
      </c>
    </row>
    <row r="1341" spans="1:18">
      <c r="A1341" t="s">
        <v>4800</v>
      </c>
      <c r="B1341" t="s">
        <v>209</v>
      </c>
      <c r="C1341">
        <v>1</v>
      </c>
      <c r="D1341" t="s">
        <v>9</v>
      </c>
      <c r="E1341" t="s">
        <v>420</v>
      </c>
      <c r="F1341" s="2">
        <v>45971</v>
      </c>
      <c r="G1341">
        <v>1070.1500000000001</v>
      </c>
      <c r="H1341" s="1">
        <f>AVERAGEIF(Table1[Customer_ID], Table1[[#This Row],[Customer_ID]], Table1[Transaction_Amount])</f>
        <v>5286.7533333333322</v>
      </c>
      <c r="I1341" t="s">
        <v>2223</v>
      </c>
      <c r="J1341" t="s">
        <v>41</v>
      </c>
      <c r="K1341" t="s">
        <v>8</v>
      </c>
      <c r="L1341">
        <v>2</v>
      </c>
      <c r="M1341" t="s">
        <v>37</v>
      </c>
      <c r="N1341" t="s">
        <v>42</v>
      </c>
      <c r="O1341" t="s">
        <v>393</v>
      </c>
      <c r="P1341" s="6" t="str">
        <f>IF(Table1[[#This Row],[Transaction_Amount]]&lt;=Table1[[#This Row],[avg_transaction_amount]], "usual transaction", "unusual transaction")</f>
        <v>usual transaction</v>
      </c>
      <c r="Q1341" s="6" t="str">
        <f>IF(AND(Table1[[#This Row],[Country_of_Residence]]&lt;&gt;Table1[[#This Row],[Country_of_Transaction]], OR(Table1[[#This Row],[Authentication_Type]]="Biometric", Table1[[#This Row],[Authentication_Type]]="OTP")), "safe location transaction", "unsafe location transaction")</f>
        <v>safe location transaction</v>
      </c>
      <c r="R1341" s="6" t="str">
        <f>IF(AND(Table1[[#This Row],[Country_of_Residence]]&lt;&gt;Table1[[#This Row],[Country_of_Transaction]], OR(Table1[[#This Row],[Merchant_Category]]="Electronics", Table1[[#This Row],[Merchant_Category]]="Travel")), "unsafe merchant transaction", "safe merchant transaction")</f>
        <v>safe merchant transaction</v>
      </c>
    </row>
    <row r="1342" spans="1:18">
      <c r="A1342" t="s">
        <v>4822</v>
      </c>
      <c r="B1342" t="s">
        <v>209</v>
      </c>
      <c r="C1342">
        <v>1</v>
      </c>
      <c r="D1342" t="s">
        <v>15</v>
      </c>
      <c r="E1342" t="s">
        <v>6</v>
      </c>
      <c r="F1342" s="2">
        <v>45806</v>
      </c>
      <c r="G1342">
        <v>4014.36</v>
      </c>
      <c r="H1342" s="1">
        <f>AVERAGEIF(Table1[Customer_ID], Table1[[#This Row],[Customer_ID]], Table1[Transaction_Amount])</f>
        <v>5286.7533333333322</v>
      </c>
      <c r="I1342" t="s">
        <v>423</v>
      </c>
      <c r="J1342" t="s">
        <v>50</v>
      </c>
      <c r="K1342" t="s">
        <v>12</v>
      </c>
      <c r="L1342">
        <v>4</v>
      </c>
      <c r="M1342" t="s">
        <v>51</v>
      </c>
      <c r="N1342" t="s">
        <v>56</v>
      </c>
      <c r="O1342" t="s">
        <v>393</v>
      </c>
      <c r="P1342" s="6" t="str">
        <f>IF(Table1[[#This Row],[Transaction_Amount]]&lt;=Table1[[#This Row],[avg_transaction_amount]], "usual transaction", "unusual transaction")</f>
        <v>usual transaction</v>
      </c>
      <c r="Q1342" s="6" t="str">
        <f>IF(AND(Table1[[#This Row],[Country_of_Residence]]&lt;&gt;Table1[[#This Row],[Country_of_Transaction]], OR(Table1[[#This Row],[Authentication_Type]]="Biometric", Table1[[#This Row],[Authentication_Type]]="OTP")), "safe location transaction", "unsafe location transaction")</f>
        <v>unsafe location transaction</v>
      </c>
      <c r="R1342" s="6" t="str">
        <f>IF(AND(Table1[[#This Row],[Country_of_Residence]]&lt;&gt;Table1[[#This Row],[Country_of_Transaction]], OR(Table1[[#This Row],[Merchant_Category]]="Electronics", Table1[[#This Row],[Merchant_Category]]="Travel")), "unsafe merchant transaction", "safe merchant transaction")</f>
        <v>unsafe merchant transaction</v>
      </c>
    </row>
    <row r="1343" spans="1:18">
      <c r="A1343" t="s">
        <v>4907</v>
      </c>
      <c r="B1343" t="s">
        <v>209</v>
      </c>
      <c r="C1343">
        <v>1</v>
      </c>
      <c r="D1343" t="s">
        <v>15</v>
      </c>
      <c r="E1343" t="s">
        <v>6</v>
      </c>
      <c r="F1343" s="2">
        <v>45759</v>
      </c>
      <c r="G1343">
        <v>7937.04</v>
      </c>
      <c r="H1343" s="1">
        <f>AVERAGEIF(Table1[Customer_ID], Table1[[#This Row],[Customer_ID]], Table1[Transaction_Amount])</f>
        <v>5286.7533333333322</v>
      </c>
      <c r="I1343" t="s">
        <v>2305</v>
      </c>
      <c r="J1343" t="s">
        <v>46</v>
      </c>
      <c r="K1343" t="s">
        <v>14</v>
      </c>
      <c r="L1343">
        <v>1</v>
      </c>
      <c r="M1343" t="s">
        <v>32</v>
      </c>
      <c r="N1343" t="s">
        <v>412</v>
      </c>
      <c r="O1343" t="s">
        <v>393</v>
      </c>
      <c r="P1343" s="6" t="str">
        <f>IF(Table1[[#This Row],[Transaction_Amount]]&lt;=Table1[[#This Row],[avg_transaction_amount]], "usual transaction", "unusual transaction")</f>
        <v>unusual transaction</v>
      </c>
      <c r="Q1343" s="6" t="str">
        <f>IF(AND(Table1[[#This Row],[Country_of_Residence]]&lt;&gt;Table1[[#This Row],[Country_of_Transaction]], OR(Table1[[#This Row],[Authentication_Type]]="Biometric", Table1[[#This Row],[Authentication_Type]]="OTP")), "safe location transaction", "unsafe location transaction")</f>
        <v>unsafe location transaction</v>
      </c>
      <c r="R1343" s="6" t="str">
        <f>IF(AND(Table1[[#This Row],[Country_of_Residence]]&lt;&gt;Table1[[#This Row],[Country_of_Transaction]], OR(Table1[[#This Row],[Merchant_Category]]="Electronics", Table1[[#This Row],[Merchant_Category]]="Travel")), "unsafe merchant transaction", "safe merchant transaction")</f>
        <v>safe merchant transaction</v>
      </c>
    </row>
    <row r="1344" spans="1:18">
      <c r="A1344" t="s">
        <v>4908</v>
      </c>
      <c r="B1344" t="s">
        <v>209</v>
      </c>
      <c r="C1344">
        <v>1</v>
      </c>
      <c r="D1344" t="s">
        <v>9</v>
      </c>
      <c r="E1344" t="s">
        <v>3</v>
      </c>
      <c r="F1344" s="2">
        <v>45903</v>
      </c>
      <c r="G1344">
        <v>4513.91</v>
      </c>
      <c r="H1344" s="1">
        <f>AVERAGEIF(Table1[Customer_ID], Table1[[#This Row],[Customer_ID]], Table1[Transaction_Amount])</f>
        <v>5286.7533333333322</v>
      </c>
      <c r="I1344" t="s">
        <v>2111</v>
      </c>
      <c r="J1344" t="s">
        <v>50</v>
      </c>
      <c r="K1344" t="s">
        <v>8</v>
      </c>
      <c r="L1344">
        <v>4</v>
      </c>
      <c r="M1344" t="s">
        <v>55</v>
      </c>
      <c r="N1344" t="s">
        <v>51</v>
      </c>
      <c r="O1344" t="s">
        <v>392</v>
      </c>
      <c r="P1344" s="6" t="str">
        <f>IF(Table1[[#This Row],[Transaction_Amount]]&lt;=Table1[[#This Row],[avg_transaction_amount]], "usual transaction", "unusual transaction")</f>
        <v>usual transaction</v>
      </c>
      <c r="Q1344" s="6" t="str">
        <f>IF(AND(Table1[[#This Row],[Country_of_Residence]]&lt;&gt;Table1[[#This Row],[Country_of_Transaction]], OR(Table1[[#This Row],[Authentication_Type]]="Biometric", Table1[[#This Row],[Authentication_Type]]="OTP")), "safe location transaction", "unsafe location transaction")</f>
        <v>safe location transaction</v>
      </c>
      <c r="R1344" s="6" t="str">
        <f>IF(AND(Table1[[#This Row],[Country_of_Residence]]&lt;&gt;Table1[[#This Row],[Country_of_Transaction]], OR(Table1[[#This Row],[Merchant_Category]]="Electronics", Table1[[#This Row],[Merchant_Category]]="Travel")), "unsafe merchant transaction", "safe merchant transaction")</f>
        <v>unsafe merchant transaction</v>
      </c>
    </row>
    <row r="1345" spans="1:18">
      <c r="A1345" t="s">
        <v>4961</v>
      </c>
      <c r="B1345" t="s">
        <v>209</v>
      </c>
      <c r="C1345">
        <v>1</v>
      </c>
      <c r="D1345" t="s">
        <v>9</v>
      </c>
      <c r="E1345" t="s">
        <v>3</v>
      </c>
      <c r="F1345" s="2">
        <v>45958</v>
      </c>
      <c r="G1345">
        <v>9474.74</v>
      </c>
      <c r="H1345" s="1">
        <f>AVERAGEIF(Table1[Customer_ID], Table1[[#This Row],[Customer_ID]], Table1[Transaction_Amount])</f>
        <v>5286.7533333333322</v>
      </c>
      <c r="I1345" t="s">
        <v>521</v>
      </c>
      <c r="J1345" t="s">
        <v>50</v>
      </c>
      <c r="K1345" t="s">
        <v>12</v>
      </c>
      <c r="L1345">
        <v>1</v>
      </c>
      <c r="M1345" t="s">
        <v>37</v>
      </c>
      <c r="N1345" t="s">
        <v>51</v>
      </c>
      <c r="O1345" t="s">
        <v>393</v>
      </c>
      <c r="P1345" s="6" t="str">
        <f>IF(Table1[[#This Row],[Transaction_Amount]]&lt;=Table1[[#This Row],[avg_transaction_amount]], "usual transaction", "unusual transaction")</f>
        <v>unusual transaction</v>
      </c>
      <c r="Q1345" s="6" t="str">
        <f>IF(AND(Table1[[#This Row],[Country_of_Residence]]&lt;&gt;Table1[[#This Row],[Country_of_Transaction]], OR(Table1[[#This Row],[Authentication_Type]]="Biometric", Table1[[#This Row],[Authentication_Type]]="OTP")), "safe location transaction", "unsafe location transaction")</f>
        <v>unsafe location transaction</v>
      </c>
      <c r="R1345" s="6" t="str">
        <f>IF(AND(Table1[[#This Row],[Country_of_Residence]]&lt;&gt;Table1[[#This Row],[Country_of_Transaction]], OR(Table1[[#This Row],[Merchant_Category]]="Electronics", Table1[[#This Row],[Merchant_Category]]="Travel")), "unsafe merchant transaction", "safe merchant transaction")</f>
        <v>unsafe merchant transaction</v>
      </c>
    </row>
    <row r="1346" spans="1:18">
      <c r="A1346" t="s">
        <v>5010</v>
      </c>
      <c r="B1346" t="s">
        <v>209</v>
      </c>
      <c r="C1346">
        <v>1</v>
      </c>
      <c r="D1346" t="s">
        <v>9</v>
      </c>
      <c r="E1346" t="s">
        <v>6</v>
      </c>
      <c r="F1346" s="2">
        <v>45821</v>
      </c>
      <c r="G1346">
        <v>3670.18</v>
      </c>
      <c r="H1346" s="1">
        <f>AVERAGEIF(Table1[Customer_ID], Table1[[#This Row],[Customer_ID]], Table1[Transaction_Amount])</f>
        <v>5286.7533333333322</v>
      </c>
      <c r="I1346" t="s">
        <v>2389</v>
      </c>
      <c r="J1346" t="s">
        <v>31</v>
      </c>
      <c r="K1346" t="s">
        <v>10</v>
      </c>
      <c r="L1346">
        <v>3</v>
      </c>
      <c r="M1346" t="s">
        <v>42</v>
      </c>
      <c r="N1346" t="s">
        <v>51</v>
      </c>
      <c r="O1346" t="s">
        <v>392</v>
      </c>
      <c r="P1346" s="6" t="str">
        <f>IF(Table1[[#This Row],[Transaction_Amount]]&lt;=Table1[[#This Row],[avg_transaction_amount]], "usual transaction", "unusual transaction")</f>
        <v>usual transaction</v>
      </c>
      <c r="Q1346" s="6" t="str">
        <f>IF(AND(Table1[[#This Row],[Country_of_Residence]]&lt;&gt;Table1[[#This Row],[Country_of_Transaction]], OR(Table1[[#This Row],[Authentication_Type]]="Biometric", Table1[[#This Row],[Authentication_Type]]="OTP")), "safe location transaction", "unsafe location transaction")</f>
        <v>safe location transaction</v>
      </c>
      <c r="R1346" s="6" t="str">
        <f>IF(AND(Table1[[#This Row],[Country_of_Residence]]&lt;&gt;Table1[[#This Row],[Country_of_Transaction]], OR(Table1[[#This Row],[Merchant_Category]]="Electronics", Table1[[#This Row],[Merchant_Category]]="Travel")), "unsafe merchant transaction", "safe merchant transaction")</f>
        <v>safe merchant transaction</v>
      </c>
    </row>
    <row r="1347" spans="1:18">
      <c r="A1347" t="s">
        <v>5278</v>
      </c>
      <c r="B1347" t="s">
        <v>209</v>
      </c>
      <c r="C1347">
        <v>1</v>
      </c>
      <c r="D1347" t="s">
        <v>9</v>
      </c>
      <c r="E1347" t="s">
        <v>420</v>
      </c>
      <c r="F1347" s="2">
        <v>45955</v>
      </c>
      <c r="G1347">
        <v>2334.2399999999998</v>
      </c>
      <c r="H1347" s="1">
        <f>AVERAGEIF(Table1[Customer_ID], Table1[[#This Row],[Customer_ID]], Table1[Transaction_Amount])</f>
        <v>5286.7533333333322</v>
      </c>
      <c r="I1347" t="s">
        <v>2106</v>
      </c>
      <c r="J1347" t="s">
        <v>41</v>
      </c>
      <c r="K1347" t="s">
        <v>10</v>
      </c>
      <c r="L1347">
        <v>1</v>
      </c>
      <c r="M1347" t="s">
        <v>56</v>
      </c>
      <c r="N1347" t="s">
        <v>56</v>
      </c>
      <c r="O1347" t="s">
        <v>393</v>
      </c>
      <c r="P1347" s="6" t="str">
        <f>IF(Table1[[#This Row],[Transaction_Amount]]&lt;=Table1[[#This Row],[avg_transaction_amount]], "usual transaction", "unusual transaction")</f>
        <v>usual transaction</v>
      </c>
      <c r="Q1347" s="6" t="str">
        <f>IF(AND(Table1[[#This Row],[Country_of_Residence]]&lt;&gt;Table1[[#This Row],[Country_of_Transaction]], OR(Table1[[#This Row],[Authentication_Type]]="Biometric", Table1[[#This Row],[Authentication_Type]]="OTP")), "safe location transaction", "unsafe location transaction")</f>
        <v>unsafe location transaction</v>
      </c>
      <c r="R1347" s="6" t="str">
        <f>IF(AND(Table1[[#This Row],[Country_of_Residence]]&lt;&gt;Table1[[#This Row],[Country_of_Transaction]], OR(Table1[[#This Row],[Merchant_Category]]="Electronics", Table1[[#This Row],[Merchant_Category]]="Travel")), "unsafe merchant transaction", "safe merchant transaction")</f>
        <v>safe merchant transaction</v>
      </c>
    </row>
    <row r="1348" spans="1:18">
      <c r="A1348" t="s">
        <v>5334</v>
      </c>
      <c r="B1348" t="s">
        <v>209</v>
      </c>
      <c r="C1348">
        <v>1</v>
      </c>
      <c r="D1348" t="s">
        <v>15</v>
      </c>
      <c r="E1348" t="s">
        <v>420</v>
      </c>
      <c r="F1348" s="2">
        <v>45667</v>
      </c>
      <c r="G1348">
        <v>6200.44</v>
      </c>
      <c r="H1348" s="1">
        <f>AVERAGEIF(Table1[Customer_ID], Table1[[#This Row],[Customer_ID]], Table1[Transaction_Amount])</f>
        <v>5286.7533333333322</v>
      </c>
      <c r="I1348" t="s">
        <v>2630</v>
      </c>
      <c r="J1348" t="s">
        <v>50</v>
      </c>
      <c r="K1348" t="s">
        <v>8</v>
      </c>
      <c r="L1348">
        <v>0</v>
      </c>
      <c r="M1348" t="s">
        <v>32</v>
      </c>
      <c r="N1348" t="s">
        <v>37</v>
      </c>
      <c r="O1348" t="s">
        <v>392</v>
      </c>
      <c r="P1348" s="6" t="str">
        <f>IF(Table1[[#This Row],[Transaction_Amount]]&lt;=Table1[[#This Row],[avg_transaction_amount]], "usual transaction", "unusual transaction")</f>
        <v>unusual transaction</v>
      </c>
      <c r="Q1348" s="6" t="str">
        <f>IF(AND(Table1[[#This Row],[Country_of_Residence]]&lt;&gt;Table1[[#This Row],[Country_of_Transaction]], OR(Table1[[#This Row],[Authentication_Type]]="Biometric", Table1[[#This Row],[Authentication_Type]]="OTP")), "safe location transaction", "unsafe location transaction")</f>
        <v>safe location transaction</v>
      </c>
      <c r="R1348" s="6" t="str">
        <f>IF(AND(Table1[[#This Row],[Country_of_Residence]]&lt;&gt;Table1[[#This Row],[Country_of_Transaction]], OR(Table1[[#This Row],[Merchant_Category]]="Electronics", Table1[[#This Row],[Merchant_Category]]="Travel")), "unsafe merchant transaction", "safe merchant transaction")</f>
        <v>unsafe merchant transaction</v>
      </c>
    </row>
    <row r="1349" spans="1:18">
      <c r="A1349" t="s">
        <v>5342</v>
      </c>
      <c r="B1349" t="s">
        <v>209</v>
      </c>
      <c r="C1349">
        <v>1</v>
      </c>
      <c r="D1349" t="s">
        <v>15</v>
      </c>
      <c r="E1349" t="s">
        <v>6</v>
      </c>
      <c r="F1349" s="2">
        <v>45666</v>
      </c>
      <c r="G1349">
        <v>8004.41</v>
      </c>
      <c r="H1349" s="1">
        <f>AVERAGEIF(Table1[Customer_ID], Table1[[#This Row],[Customer_ID]], Table1[Transaction_Amount])</f>
        <v>5286.7533333333322</v>
      </c>
      <c r="I1349" t="s">
        <v>1555</v>
      </c>
      <c r="J1349" t="s">
        <v>50</v>
      </c>
      <c r="K1349" t="s">
        <v>14</v>
      </c>
      <c r="L1349">
        <v>5</v>
      </c>
      <c r="M1349" t="s">
        <v>51</v>
      </c>
      <c r="N1349" t="s">
        <v>32</v>
      </c>
      <c r="O1349" t="s">
        <v>393</v>
      </c>
      <c r="P1349" s="6" t="str">
        <f>IF(Table1[[#This Row],[Transaction_Amount]]&lt;=Table1[[#This Row],[avg_transaction_amount]], "usual transaction", "unusual transaction")</f>
        <v>unusual transaction</v>
      </c>
      <c r="Q1349" s="6" t="str">
        <f>IF(AND(Table1[[#This Row],[Country_of_Residence]]&lt;&gt;Table1[[#This Row],[Country_of_Transaction]], OR(Table1[[#This Row],[Authentication_Type]]="Biometric", Table1[[#This Row],[Authentication_Type]]="OTP")), "safe location transaction", "unsafe location transaction")</f>
        <v>unsafe location transaction</v>
      </c>
      <c r="R1349" s="6" t="str">
        <f>IF(AND(Table1[[#This Row],[Country_of_Residence]]&lt;&gt;Table1[[#This Row],[Country_of_Transaction]], OR(Table1[[#This Row],[Merchant_Category]]="Electronics", Table1[[#This Row],[Merchant_Category]]="Travel")), "unsafe merchant transaction", "safe merchant transaction")</f>
        <v>unsafe merchant transaction</v>
      </c>
    </row>
    <row r="1350" spans="1:18">
      <c r="A1350" t="s">
        <v>5361</v>
      </c>
      <c r="B1350" t="s">
        <v>209</v>
      </c>
      <c r="C1350">
        <v>1</v>
      </c>
      <c r="D1350" t="s">
        <v>9</v>
      </c>
      <c r="E1350" t="s">
        <v>5</v>
      </c>
      <c r="F1350" s="2">
        <v>45768</v>
      </c>
      <c r="G1350">
        <v>8640</v>
      </c>
      <c r="H1350" s="1">
        <f>AVERAGEIF(Table1[Customer_ID], Table1[[#This Row],[Customer_ID]], Table1[Transaction_Amount])</f>
        <v>5286.7533333333322</v>
      </c>
      <c r="I1350" t="s">
        <v>2652</v>
      </c>
      <c r="J1350" t="s">
        <v>50</v>
      </c>
      <c r="K1350" t="s">
        <v>8</v>
      </c>
      <c r="L1350">
        <v>4</v>
      </c>
      <c r="M1350" t="s">
        <v>47</v>
      </c>
      <c r="N1350" t="s">
        <v>32</v>
      </c>
      <c r="O1350" t="s">
        <v>392</v>
      </c>
      <c r="P1350" s="6" t="str">
        <f>IF(Table1[[#This Row],[Transaction_Amount]]&lt;=Table1[[#This Row],[avg_transaction_amount]], "usual transaction", "unusual transaction")</f>
        <v>unusual transaction</v>
      </c>
      <c r="Q1350" s="6" t="str">
        <f>IF(AND(Table1[[#This Row],[Country_of_Residence]]&lt;&gt;Table1[[#This Row],[Country_of_Transaction]], OR(Table1[[#This Row],[Authentication_Type]]="Biometric", Table1[[#This Row],[Authentication_Type]]="OTP")), "safe location transaction", "unsafe location transaction")</f>
        <v>safe location transaction</v>
      </c>
      <c r="R1350" s="6" t="str">
        <f>IF(AND(Table1[[#This Row],[Country_of_Residence]]&lt;&gt;Table1[[#This Row],[Country_of_Transaction]], OR(Table1[[#This Row],[Merchant_Category]]="Electronics", Table1[[#This Row],[Merchant_Category]]="Travel")), "unsafe merchant transaction", "safe merchant transaction")</f>
        <v>unsafe merchant transaction</v>
      </c>
    </row>
    <row r="1351" spans="1:18">
      <c r="A1351" t="s">
        <v>5399</v>
      </c>
      <c r="B1351" t="s">
        <v>209</v>
      </c>
      <c r="C1351">
        <v>1</v>
      </c>
      <c r="D1351" t="s">
        <v>9</v>
      </c>
      <c r="E1351" t="s">
        <v>5</v>
      </c>
      <c r="F1351" s="2">
        <v>45995</v>
      </c>
      <c r="G1351">
        <v>110.99</v>
      </c>
      <c r="H1351" s="1">
        <f>AVERAGEIF(Table1[Customer_ID], Table1[[#This Row],[Customer_ID]], Table1[Transaction_Amount])</f>
        <v>5286.7533333333322</v>
      </c>
      <c r="I1351" t="s">
        <v>2679</v>
      </c>
      <c r="J1351" t="s">
        <v>46</v>
      </c>
      <c r="K1351" t="s">
        <v>14</v>
      </c>
      <c r="L1351">
        <v>3</v>
      </c>
      <c r="M1351" t="s">
        <v>56</v>
      </c>
      <c r="N1351" t="s">
        <v>33</v>
      </c>
      <c r="O1351" t="s">
        <v>393</v>
      </c>
      <c r="P1351" s="6" t="str">
        <f>IF(Table1[[#This Row],[Transaction_Amount]]&lt;=Table1[[#This Row],[avg_transaction_amount]], "usual transaction", "unusual transaction")</f>
        <v>usual transaction</v>
      </c>
      <c r="Q1351" s="6" t="str">
        <f>IF(AND(Table1[[#This Row],[Country_of_Residence]]&lt;&gt;Table1[[#This Row],[Country_of_Transaction]], OR(Table1[[#This Row],[Authentication_Type]]="Biometric", Table1[[#This Row],[Authentication_Type]]="OTP")), "safe location transaction", "unsafe location transaction")</f>
        <v>unsafe location transaction</v>
      </c>
      <c r="R1351" s="6" t="str">
        <f>IF(AND(Table1[[#This Row],[Country_of_Residence]]&lt;&gt;Table1[[#This Row],[Country_of_Transaction]], OR(Table1[[#This Row],[Merchant_Category]]="Electronics", Table1[[#This Row],[Merchant_Category]]="Travel")), "unsafe merchant transaction", "safe merchant transaction")</f>
        <v>safe merchant transaction</v>
      </c>
    </row>
    <row r="1352" spans="1:18">
      <c r="A1352" t="s">
        <v>5445</v>
      </c>
      <c r="B1352" t="s">
        <v>209</v>
      </c>
      <c r="C1352">
        <v>1</v>
      </c>
      <c r="D1352" t="s">
        <v>15</v>
      </c>
      <c r="E1352" t="s">
        <v>420</v>
      </c>
      <c r="F1352" s="2">
        <v>45809</v>
      </c>
      <c r="G1352">
        <v>6700.87</v>
      </c>
      <c r="H1352" s="1">
        <f>AVERAGEIF(Table1[Customer_ID], Table1[[#This Row],[Customer_ID]], Table1[Transaction_Amount])</f>
        <v>5286.7533333333322</v>
      </c>
      <c r="I1352" t="s">
        <v>2230</v>
      </c>
      <c r="J1352" t="s">
        <v>36</v>
      </c>
      <c r="K1352" t="s">
        <v>10</v>
      </c>
      <c r="L1352">
        <v>1</v>
      </c>
      <c r="M1352" t="s">
        <v>42</v>
      </c>
      <c r="N1352" t="s">
        <v>51</v>
      </c>
      <c r="O1352" t="s">
        <v>392</v>
      </c>
      <c r="P1352" s="6" t="str">
        <f>IF(Table1[[#This Row],[Transaction_Amount]]&lt;=Table1[[#This Row],[avg_transaction_amount]], "usual transaction", "unusual transaction")</f>
        <v>unusual transaction</v>
      </c>
      <c r="Q1352" s="6" t="str">
        <f>IF(AND(Table1[[#This Row],[Country_of_Residence]]&lt;&gt;Table1[[#This Row],[Country_of_Transaction]], OR(Table1[[#This Row],[Authentication_Type]]="Biometric", Table1[[#This Row],[Authentication_Type]]="OTP")), "safe location transaction", "unsafe location transaction")</f>
        <v>safe location transaction</v>
      </c>
      <c r="R1352" s="6" t="str">
        <f>IF(AND(Table1[[#This Row],[Country_of_Residence]]&lt;&gt;Table1[[#This Row],[Country_of_Transaction]], OR(Table1[[#This Row],[Merchant_Category]]="Electronics", Table1[[#This Row],[Merchant_Category]]="Travel")), "unsafe merchant transaction", "safe merchant transaction")</f>
        <v>safe merchant transaction</v>
      </c>
    </row>
    <row r="1353" spans="1:18">
      <c r="A1353" t="s">
        <v>5472</v>
      </c>
      <c r="B1353" t="s">
        <v>209</v>
      </c>
      <c r="C1353">
        <v>1</v>
      </c>
      <c r="D1353" t="s">
        <v>15</v>
      </c>
      <c r="E1353" t="s">
        <v>3</v>
      </c>
      <c r="F1353" s="2">
        <v>45737</v>
      </c>
      <c r="G1353">
        <v>3924.45</v>
      </c>
      <c r="H1353" s="1">
        <f>AVERAGEIF(Table1[Customer_ID], Table1[[#This Row],[Customer_ID]], Table1[Transaction_Amount])</f>
        <v>5286.7533333333322</v>
      </c>
      <c r="I1353" t="s">
        <v>721</v>
      </c>
      <c r="J1353" t="s">
        <v>31</v>
      </c>
      <c r="K1353" t="s">
        <v>14</v>
      </c>
      <c r="L1353">
        <v>3</v>
      </c>
      <c r="M1353" t="s">
        <v>33</v>
      </c>
      <c r="N1353" t="s">
        <v>51</v>
      </c>
      <c r="O1353" t="s">
        <v>392</v>
      </c>
      <c r="P1353" s="6" t="str">
        <f>IF(Table1[[#This Row],[Transaction_Amount]]&lt;=Table1[[#This Row],[avg_transaction_amount]], "usual transaction", "unusual transaction")</f>
        <v>usual transaction</v>
      </c>
      <c r="Q1353" s="6" t="str">
        <f>IF(AND(Table1[[#This Row],[Country_of_Residence]]&lt;&gt;Table1[[#This Row],[Country_of_Transaction]], OR(Table1[[#This Row],[Authentication_Type]]="Biometric", Table1[[#This Row],[Authentication_Type]]="OTP")), "safe location transaction", "unsafe location transaction")</f>
        <v>unsafe location transaction</v>
      </c>
      <c r="R1353" s="6" t="str">
        <f>IF(AND(Table1[[#This Row],[Country_of_Residence]]&lt;&gt;Table1[[#This Row],[Country_of_Transaction]], OR(Table1[[#This Row],[Merchant_Category]]="Electronics", Table1[[#This Row],[Merchant_Category]]="Travel")), "unsafe merchant transaction", "safe merchant transaction")</f>
        <v>safe merchant transaction</v>
      </c>
    </row>
    <row r="1354" spans="1:18">
      <c r="A1354" t="s">
        <v>5473</v>
      </c>
      <c r="B1354" t="s">
        <v>209</v>
      </c>
      <c r="C1354">
        <v>1</v>
      </c>
      <c r="D1354" t="s">
        <v>15</v>
      </c>
      <c r="E1354" t="s">
        <v>5</v>
      </c>
      <c r="F1354" s="2">
        <v>45856</v>
      </c>
      <c r="G1354">
        <v>2379.58</v>
      </c>
      <c r="H1354" s="1">
        <f>AVERAGEIF(Table1[Customer_ID], Table1[[#This Row],[Customer_ID]], Table1[Transaction_Amount])</f>
        <v>5286.7533333333322</v>
      </c>
      <c r="I1354" t="s">
        <v>2733</v>
      </c>
      <c r="J1354" t="s">
        <v>31</v>
      </c>
      <c r="K1354" t="s">
        <v>10</v>
      </c>
      <c r="L1354">
        <v>2</v>
      </c>
      <c r="M1354" t="s">
        <v>47</v>
      </c>
      <c r="N1354" t="s">
        <v>33</v>
      </c>
      <c r="O1354" t="s">
        <v>392</v>
      </c>
      <c r="P1354" s="6" t="str">
        <f>IF(Table1[[#This Row],[Transaction_Amount]]&lt;=Table1[[#This Row],[avg_transaction_amount]], "usual transaction", "unusual transaction")</f>
        <v>usual transaction</v>
      </c>
      <c r="Q1354" s="6" t="str">
        <f>IF(AND(Table1[[#This Row],[Country_of_Residence]]&lt;&gt;Table1[[#This Row],[Country_of_Transaction]], OR(Table1[[#This Row],[Authentication_Type]]="Biometric", Table1[[#This Row],[Authentication_Type]]="OTP")), "safe location transaction", "unsafe location transaction")</f>
        <v>safe location transaction</v>
      </c>
      <c r="R1354" s="6" t="str">
        <f>IF(AND(Table1[[#This Row],[Country_of_Residence]]&lt;&gt;Table1[[#This Row],[Country_of_Transaction]], OR(Table1[[#This Row],[Merchant_Category]]="Electronics", Table1[[#This Row],[Merchant_Category]]="Travel")), "unsafe merchant transaction", "safe merchant transaction")</f>
        <v>safe merchant transaction</v>
      </c>
    </row>
    <row r="1355" spans="1:18">
      <c r="A1355" t="s">
        <v>219</v>
      </c>
      <c r="B1355" t="s">
        <v>220</v>
      </c>
      <c r="C1355">
        <v>1</v>
      </c>
      <c r="D1355" t="s">
        <v>13</v>
      </c>
      <c r="E1355" t="s">
        <v>3</v>
      </c>
      <c r="F1355" s="2">
        <v>45669.378472222197</v>
      </c>
      <c r="G1355">
        <v>6742.66</v>
      </c>
      <c r="H1355" s="1">
        <f>AVERAGEIF(Table1[Customer_ID], Table1[[#This Row],[Customer_ID]], Table1[Transaction_Amount])</f>
        <v>4877.0190361445784</v>
      </c>
      <c r="I1355" t="s">
        <v>221</v>
      </c>
      <c r="J1355" t="s">
        <v>50</v>
      </c>
      <c r="K1355" t="s">
        <v>8</v>
      </c>
      <c r="L1355">
        <v>0</v>
      </c>
      <c r="M1355" t="s">
        <v>222</v>
      </c>
      <c r="N1355" t="s">
        <v>223</v>
      </c>
      <c r="O1355" t="s">
        <v>393</v>
      </c>
      <c r="P1355" t="str">
        <f>IF(Table1[[#This Row],[Transaction_Amount]]&lt;=Table1[[#This Row],[avg_transaction_amount]], "usual transaction", "unusual transaction")</f>
        <v>unusual transaction</v>
      </c>
      <c r="Q1355" t="str">
        <f>IF(AND(Table1[[#This Row],[Country_of_Residence]]&lt;&gt;Table1[[#This Row],[Country_of_Transaction]], OR(Table1[[#This Row],[Authentication_Type]]="Biometric", Table1[[#This Row],[Authentication_Type]]="OTP")), "safe location transaction", "unsafe location transaction")</f>
        <v>safe location transaction</v>
      </c>
      <c r="R1355" t="str">
        <f>IF(AND(Table1[[#This Row],[Country_of_Residence]]&lt;&gt;Table1[[#This Row],[Country_of_Transaction]], OR(Table1[[#This Row],[Merchant_Category]]="Electronics", Table1[[#This Row],[Merchant_Category]]="Travel")), "unsafe merchant transaction", "safe merchant transaction")</f>
        <v>unsafe merchant transaction</v>
      </c>
    </row>
    <row r="1356" spans="1:18">
      <c r="A1356" t="s">
        <v>229</v>
      </c>
      <c r="B1356" t="s">
        <v>220</v>
      </c>
      <c r="C1356">
        <v>1</v>
      </c>
      <c r="D1356" t="s">
        <v>15</v>
      </c>
      <c r="E1356" t="s">
        <v>6</v>
      </c>
      <c r="F1356" s="2">
        <v>45677.609027777798</v>
      </c>
      <c r="G1356">
        <v>1686.77</v>
      </c>
      <c r="H1356" s="1">
        <f>AVERAGEIF(Table1[Customer_ID], Table1[[#This Row],[Customer_ID]], Table1[Transaction_Amount])</f>
        <v>4877.0190361445784</v>
      </c>
      <c r="I1356" t="s">
        <v>230</v>
      </c>
      <c r="J1356" t="s">
        <v>41</v>
      </c>
      <c r="K1356" t="s">
        <v>10</v>
      </c>
      <c r="L1356">
        <v>5</v>
      </c>
      <c r="M1356" t="s">
        <v>222</v>
      </c>
      <c r="N1356" t="s">
        <v>69</v>
      </c>
      <c r="O1356" t="s">
        <v>393</v>
      </c>
      <c r="P1356" t="str">
        <f>IF(Table1[[#This Row],[Transaction_Amount]]&lt;=Table1[[#This Row],[avg_transaction_amount]], "usual transaction", "unusual transaction")</f>
        <v>usual transaction</v>
      </c>
      <c r="Q1356" t="str">
        <f>IF(AND(Table1[[#This Row],[Country_of_Residence]]&lt;&gt;Table1[[#This Row],[Country_of_Transaction]], OR(Table1[[#This Row],[Authentication_Type]]="Biometric", Table1[[#This Row],[Authentication_Type]]="OTP")), "safe location transaction", "unsafe location transaction")</f>
        <v>safe location transaction</v>
      </c>
      <c r="R1356" t="str">
        <f>IF(AND(Table1[[#This Row],[Country_of_Residence]]&lt;&gt;Table1[[#This Row],[Country_of_Transaction]], OR(Table1[[#This Row],[Merchant_Category]]="Electronics", Table1[[#This Row],[Merchant_Category]]="Travel")), "unsafe merchant transaction", "safe merchant transaction")</f>
        <v>safe merchant transaction</v>
      </c>
    </row>
    <row r="1357" spans="1:18">
      <c r="A1357" t="s">
        <v>227</v>
      </c>
      <c r="B1357" t="s">
        <v>220</v>
      </c>
      <c r="C1357">
        <v>1</v>
      </c>
      <c r="D1357" t="s">
        <v>15</v>
      </c>
      <c r="E1357" t="s">
        <v>6</v>
      </c>
      <c r="F1357" s="2">
        <v>45710.243055555598</v>
      </c>
      <c r="G1357">
        <v>5344.73</v>
      </c>
      <c r="H1357" s="1">
        <f>AVERAGEIF(Table1[Customer_ID], Table1[[#This Row],[Customer_ID]], Table1[Transaction_Amount])</f>
        <v>4877.0190361445784</v>
      </c>
      <c r="I1357" t="s">
        <v>228</v>
      </c>
      <c r="J1357" t="s">
        <v>59</v>
      </c>
      <c r="K1357" t="s">
        <v>8</v>
      </c>
      <c r="L1357">
        <v>0</v>
      </c>
      <c r="M1357" t="s">
        <v>222</v>
      </c>
      <c r="N1357" t="s">
        <v>193</v>
      </c>
      <c r="O1357" t="s">
        <v>393</v>
      </c>
      <c r="P1357" t="str">
        <f>IF(Table1[[#This Row],[Transaction_Amount]]&lt;=Table1[[#This Row],[avg_transaction_amount]], "usual transaction", "unusual transaction")</f>
        <v>unusual transaction</v>
      </c>
      <c r="Q1357" t="str">
        <f>IF(AND(Table1[[#This Row],[Country_of_Residence]]&lt;&gt;Table1[[#This Row],[Country_of_Transaction]], OR(Table1[[#This Row],[Authentication_Type]]="Biometric", Table1[[#This Row],[Authentication_Type]]="OTP")), "safe location transaction", "unsafe location transaction")</f>
        <v>safe location transaction</v>
      </c>
      <c r="R1357" t="str">
        <f>IF(AND(Table1[[#This Row],[Country_of_Residence]]&lt;&gt;Table1[[#This Row],[Country_of_Transaction]], OR(Table1[[#This Row],[Merchant_Category]]="Electronics", Table1[[#This Row],[Merchant_Category]]="Travel")), "unsafe merchant transaction", "safe merchant transaction")</f>
        <v>unsafe merchant transaction</v>
      </c>
    </row>
    <row r="1358" spans="1:18">
      <c r="A1358" t="s">
        <v>224</v>
      </c>
      <c r="B1358" t="s">
        <v>220</v>
      </c>
      <c r="C1358">
        <v>1</v>
      </c>
      <c r="D1358" t="s">
        <v>13</v>
      </c>
      <c r="E1358" t="s">
        <v>4</v>
      </c>
      <c r="F1358" s="2">
        <v>45844.353472222203</v>
      </c>
      <c r="G1358">
        <v>7504.46</v>
      </c>
      <c r="H1358" s="1">
        <f>AVERAGEIF(Table1[Customer_ID], Table1[[#This Row],[Customer_ID]], Table1[Transaction_Amount])</f>
        <v>4877.0190361445784</v>
      </c>
      <c r="I1358" t="s">
        <v>225</v>
      </c>
      <c r="J1358" t="s">
        <v>41</v>
      </c>
      <c r="K1358" t="s">
        <v>10</v>
      </c>
      <c r="L1358">
        <v>5</v>
      </c>
      <c r="M1358" t="s">
        <v>222</v>
      </c>
      <c r="N1358" t="s">
        <v>226</v>
      </c>
      <c r="O1358" t="s">
        <v>393</v>
      </c>
      <c r="P1358" t="str">
        <f>IF(Table1[[#This Row],[Transaction_Amount]]&lt;=Table1[[#This Row],[avg_transaction_amount]], "usual transaction", "unusual transaction")</f>
        <v>unusual transaction</v>
      </c>
      <c r="Q1358" t="str">
        <f>IF(AND(Table1[[#This Row],[Country_of_Residence]]&lt;&gt;Table1[[#This Row],[Country_of_Transaction]], OR(Table1[[#This Row],[Authentication_Type]]="Biometric", Table1[[#This Row],[Authentication_Type]]="OTP")), "safe location transaction", "unsafe location transaction")</f>
        <v>safe location transaction</v>
      </c>
      <c r="R1358" t="str">
        <f>IF(AND(Table1[[#This Row],[Country_of_Residence]]&lt;&gt;Table1[[#This Row],[Country_of_Transaction]], OR(Table1[[#This Row],[Merchant_Category]]="Electronics", Table1[[#This Row],[Merchant_Category]]="Travel")), "unsafe merchant transaction", "safe merchant transaction")</f>
        <v>safe merchant transaction</v>
      </c>
    </row>
    <row r="1359" spans="1:18">
      <c r="A1359" t="s">
        <v>2885</v>
      </c>
      <c r="B1359" t="s">
        <v>220</v>
      </c>
      <c r="C1359">
        <v>1</v>
      </c>
      <c r="D1359" t="s">
        <v>9</v>
      </c>
      <c r="E1359" t="s">
        <v>5</v>
      </c>
      <c r="F1359" s="2">
        <v>45923</v>
      </c>
      <c r="G1359">
        <v>3423.41</v>
      </c>
      <c r="H1359" s="1">
        <f>AVERAGEIF(Table1[Customer_ID], Table1[[#This Row],[Customer_ID]], Table1[Transaction_Amount])</f>
        <v>4877.0190361445784</v>
      </c>
      <c r="I1359" t="s">
        <v>535</v>
      </c>
      <c r="J1359" t="s">
        <v>36</v>
      </c>
      <c r="K1359" t="s">
        <v>10</v>
      </c>
      <c r="L1359">
        <v>3</v>
      </c>
      <c r="M1359" t="s">
        <v>42</v>
      </c>
      <c r="N1359" t="s">
        <v>33</v>
      </c>
      <c r="O1359" t="s">
        <v>393</v>
      </c>
      <c r="P1359" s="6" t="str">
        <f>IF(Table1[[#This Row],[Transaction_Amount]]&lt;=Table1[[#This Row],[avg_transaction_amount]], "usual transaction", "unusual transaction")</f>
        <v>usual transaction</v>
      </c>
      <c r="Q1359" s="6" t="str">
        <f>IF(AND(Table1[[#This Row],[Country_of_Residence]]&lt;&gt;Table1[[#This Row],[Country_of_Transaction]], OR(Table1[[#This Row],[Authentication_Type]]="Biometric", Table1[[#This Row],[Authentication_Type]]="OTP")), "safe location transaction", "unsafe location transaction")</f>
        <v>safe location transaction</v>
      </c>
      <c r="R1359" s="6" t="str">
        <f>IF(AND(Table1[[#This Row],[Country_of_Residence]]&lt;&gt;Table1[[#This Row],[Country_of_Transaction]], OR(Table1[[#This Row],[Merchant_Category]]="Electronics", Table1[[#This Row],[Merchant_Category]]="Travel")), "unsafe merchant transaction", "safe merchant transaction")</f>
        <v>safe merchant transaction</v>
      </c>
    </row>
    <row r="1360" spans="1:18">
      <c r="A1360" t="s">
        <v>2903</v>
      </c>
      <c r="B1360" t="s">
        <v>220</v>
      </c>
      <c r="C1360">
        <v>1</v>
      </c>
      <c r="D1360" t="s">
        <v>9</v>
      </c>
      <c r="E1360" t="s">
        <v>3</v>
      </c>
      <c r="F1360" s="2">
        <v>45723</v>
      </c>
      <c r="G1360">
        <v>5067.34</v>
      </c>
      <c r="H1360" s="1">
        <f>AVERAGEIF(Table1[Customer_ID], Table1[[#This Row],[Customer_ID]], Table1[Transaction_Amount])</f>
        <v>4877.0190361445784</v>
      </c>
      <c r="I1360" t="s">
        <v>553</v>
      </c>
      <c r="J1360" t="s">
        <v>50</v>
      </c>
      <c r="K1360" t="s">
        <v>14</v>
      </c>
      <c r="L1360">
        <v>4</v>
      </c>
      <c r="M1360" t="s">
        <v>51</v>
      </c>
      <c r="N1360" t="s">
        <v>42</v>
      </c>
      <c r="O1360" t="s">
        <v>392</v>
      </c>
      <c r="P1360" s="6" t="str">
        <f>IF(Table1[[#This Row],[Transaction_Amount]]&lt;=Table1[[#This Row],[avg_transaction_amount]], "usual transaction", "unusual transaction")</f>
        <v>unusual transaction</v>
      </c>
      <c r="Q1360" s="6" t="str">
        <f>IF(AND(Table1[[#This Row],[Country_of_Residence]]&lt;&gt;Table1[[#This Row],[Country_of_Transaction]], OR(Table1[[#This Row],[Authentication_Type]]="Biometric", Table1[[#This Row],[Authentication_Type]]="OTP")), "safe location transaction", "unsafe location transaction")</f>
        <v>unsafe location transaction</v>
      </c>
      <c r="R1360" s="6" t="str">
        <f>IF(AND(Table1[[#This Row],[Country_of_Residence]]&lt;&gt;Table1[[#This Row],[Country_of_Transaction]], OR(Table1[[#This Row],[Merchant_Category]]="Electronics", Table1[[#This Row],[Merchant_Category]]="Travel")), "unsafe merchant transaction", "safe merchant transaction")</f>
        <v>unsafe merchant transaction</v>
      </c>
    </row>
    <row r="1361" spans="1:18">
      <c r="A1361" t="s">
        <v>2931</v>
      </c>
      <c r="B1361" t="s">
        <v>220</v>
      </c>
      <c r="C1361">
        <v>1</v>
      </c>
      <c r="D1361" t="s">
        <v>15</v>
      </c>
      <c r="E1361" t="s">
        <v>420</v>
      </c>
      <c r="F1361" s="2">
        <v>45847</v>
      </c>
      <c r="G1361">
        <v>2466.44</v>
      </c>
      <c r="H1361" s="1">
        <f>AVERAGEIF(Table1[Customer_ID], Table1[[#This Row],[Customer_ID]], Table1[Transaction_Amount])</f>
        <v>4877.0190361445784</v>
      </c>
      <c r="I1361" t="s">
        <v>580</v>
      </c>
      <c r="J1361" t="s">
        <v>46</v>
      </c>
      <c r="K1361" t="s">
        <v>10</v>
      </c>
      <c r="L1361">
        <v>2</v>
      </c>
      <c r="M1361" t="s">
        <v>56</v>
      </c>
      <c r="N1361" t="s">
        <v>412</v>
      </c>
      <c r="O1361" t="s">
        <v>392</v>
      </c>
      <c r="P1361" s="6" t="str">
        <f>IF(Table1[[#This Row],[Transaction_Amount]]&lt;=Table1[[#This Row],[avg_transaction_amount]], "usual transaction", "unusual transaction")</f>
        <v>usual transaction</v>
      </c>
      <c r="Q1361" s="6" t="str">
        <f>IF(AND(Table1[[#This Row],[Country_of_Residence]]&lt;&gt;Table1[[#This Row],[Country_of_Transaction]], OR(Table1[[#This Row],[Authentication_Type]]="Biometric", Table1[[#This Row],[Authentication_Type]]="OTP")), "safe location transaction", "unsafe location transaction")</f>
        <v>safe location transaction</v>
      </c>
      <c r="R1361" s="6" t="str">
        <f>IF(AND(Table1[[#This Row],[Country_of_Residence]]&lt;&gt;Table1[[#This Row],[Country_of_Transaction]], OR(Table1[[#This Row],[Merchant_Category]]="Electronics", Table1[[#This Row],[Merchant_Category]]="Travel")), "unsafe merchant transaction", "safe merchant transaction")</f>
        <v>safe merchant transaction</v>
      </c>
    </row>
    <row r="1362" spans="1:18">
      <c r="A1362" t="s">
        <v>2941</v>
      </c>
      <c r="B1362" t="s">
        <v>220</v>
      </c>
      <c r="C1362">
        <v>1</v>
      </c>
      <c r="D1362" t="s">
        <v>15</v>
      </c>
      <c r="E1362" t="s">
        <v>6</v>
      </c>
      <c r="F1362" s="2">
        <v>45700</v>
      </c>
      <c r="G1362">
        <v>3802.84</v>
      </c>
      <c r="H1362" s="1">
        <f>AVERAGEIF(Table1[Customer_ID], Table1[[#This Row],[Customer_ID]], Table1[Transaction_Amount])</f>
        <v>4877.0190361445784</v>
      </c>
      <c r="I1362" t="s">
        <v>590</v>
      </c>
      <c r="J1362" t="s">
        <v>50</v>
      </c>
      <c r="K1362" t="s">
        <v>10</v>
      </c>
      <c r="L1362">
        <v>4</v>
      </c>
      <c r="M1362" t="s">
        <v>412</v>
      </c>
      <c r="N1362" t="s">
        <v>55</v>
      </c>
      <c r="O1362" t="s">
        <v>392</v>
      </c>
      <c r="P1362" s="6" t="str">
        <f>IF(Table1[[#This Row],[Transaction_Amount]]&lt;=Table1[[#This Row],[avg_transaction_amount]], "usual transaction", "unusual transaction")</f>
        <v>usual transaction</v>
      </c>
      <c r="Q1362" s="6" t="str">
        <f>IF(AND(Table1[[#This Row],[Country_of_Residence]]&lt;&gt;Table1[[#This Row],[Country_of_Transaction]], OR(Table1[[#This Row],[Authentication_Type]]="Biometric", Table1[[#This Row],[Authentication_Type]]="OTP")), "safe location transaction", "unsafe location transaction")</f>
        <v>safe location transaction</v>
      </c>
      <c r="R1362" s="6" t="str">
        <f>IF(AND(Table1[[#This Row],[Country_of_Residence]]&lt;&gt;Table1[[#This Row],[Country_of_Transaction]], OR(Table1[[#This Row],[Merchant_Category]]="Electronics", Table1[[#This Row],[Merchant_Category]]="Travel")), "unsafe merchant transaction", "safe merchant transaction")</f>
        <v>unsafe merchant transaction</v>
      </c>
    </row>
    <row r="1363" spans="1:18">
      <c r="A1363" t="s">
        <v>3064</v>
      </c>
      <c r="B1363" t="s">
        <v>220</v>
      </c>
      <c r="C1363">
        <v>1</v>
      </c>
      <c r="D1363" t="s">
        <v>9</v>
      </c>
      <c r="E1363" t="s">
        <v>6</v>
      </c>
      <c r="F1363" s="2">
        <v>45740</v>
      </c>
      <c r="G1363">
        <v>454.31</v>
      </c>
      <c r="H1363" s="1">
        <f>AVERAGEIF(Table1[Customer_ID], Table1[[#This Row],[Customer_ID]], Table1[Transaction_Amount])</f>
        <v>4877.0190361445784</v>
      </c>
      <c r="I1363" t="s">
        <v>709</v>
      </c>
      <c r="J1363" t="s">
        <v>31</v>
      </c>
      <c r="K1363" t="s">
        <v>14</v>
      </c>
      <c r="L1363">
        <v>3</v>
      </c>
      <c r="M1363" t="s">
        <v>42</v>
      </c>
      <c r="N1363" t="s">
        <v>412</v>
      </c>
      <c r="O1363" t="s">
        <v>392</v>
      </c>
      <c r="P1363" s="6" t="str">
        <f>IF(Table1[[#This Row],[Transaction_Amount]]&lt;=Table1[[#This Row],[avg_transaction_amount]], "usual transaction", "unusual transaction")</f>
        <v>usual transaction</v>
      </c>
      <c r="Q1363" s="6" t="str">
        <f>IF(AND(Table1[[#This Row],[Country_of_Residence]]&lt;&gt;Table1[[#This Row],[Country_of_Transaction]], OR(Table1[[#This Row],[Authentication_Type]]="Biometric", Table1[[#This Row],[Authentication_Type]]="OTP")), "safe location transaction", "unsafe location transaction")</f>
        <v>unsafe location transaction</v>
      </c>
      <c r="R1363" s="6" t="str">
        <f>IF(AND(Table1[[#This Row],[Country_of_Residence]]&lt;&gt;Table1[[#This Row],[Country_of_Transaction]], OR(Table1[[#This Row],[Merchant_Category]]="Electronics", Table1[[#This Row],[Merchant_Category]]="Travel")), "unsafe merchant transaction", "safe merchant transaction")</f>
        <v>safe merchant transaction</v>
      </c>
    </row>
    <row r="1364" spans="1:18">
      <c r="A1364" t="s">
        <v>3068</v>
      </c>
      <c r="B1364" t="s">
        <v>220</v>
      </c>
      <c r="C1364">
        <v>1</v>
      </c>
      <c r="D1364" t="s">
        <v>15</v>
      </c>
      <c r="E1364" t="s">
        <v>5</v>
      </c>
      <c r="F1364" s="2">
        <v>45921</v>
      </c>
      <c r="G1364">
        <v>2603.08</v>
      </c>
      <c r="H1364" s="1">
        <f>AVERAGEIF(Table1[Customer_ID], Table1[[#This Row],[Customer_ID]], Table1[Transaction_Amount])</f>
        <v>4877.0190361445784</v>
      </c>
      <c r="I1364" t="s">
        <v>713</v>
      </c>
      <c r="J1364" t="s">
        <v>36</v>
      </c>
      <c r="K1364" t="s">
        <v>10</v>
      </c>
      <c r="L1364">
        <v>2</v>
      </c>
      <c r="M1364" t="s">
        <v>55</v>
      </c>
      <c r="N1364" t="s">
        <v>51</v>
      </c>
      <c r="O1364" t="s">
        <v>392</v>
      </c>
      <c r="P1364" s="6" t="str">
        <f>IF(Table1[[#This Row],[Transaction_Amount]]&lt;=Table1[[#This Row],[avg_transaction_amount]], "usual transaction", "unusual transaction")</f>
        <v>usual transaction</v>
      </c>
      <c r="Q1364" s="6" t="str">
        <f>IF(AND(Table1[[#This Row],[Country_of_Residence]]&lt;&gt;Table1[[#This Row],[Country_of_Transaction]], OR(Table1[[#This Row],[Authentication_Type]]="Biometric", Table1[[#This Row],[Authentication_Type]]="OTP")), "safe location transaction", "unsafe location transaction")</f>
        <v>safe location transaction</v>
      </c>
      <c r="R1364" s="6" t="str">
        <f>IF(AND(Table1[[#This Row],[Country_of_Residence]]&lt;&gt;Table1[[#This Row],[Country_of_Transaction]], OR(Table1[[#This Row],[Merchant_Category]]="Electronics", Table1[[#This Row],[Merchant_Category]]="Travel")), "unsafe merchant transaction", "safe merchant transaction")</f>
        <v>safe merchant transaction</v>
      </c>
    </row>
    <row r="1365" spans="1:18">
      <c r="A1365" t="s">
        <v>3084</v>
      </c>
      <c r="B1365" t="s">
        <v>220</v>
      </c>
      <c r="C1365">
        <v>1</v>
      </c>
      <c r="D1365" t="s">
        <v>9</v>
      </c>
      <c r="E1365" t="s">
        <v>5</v>
      </c>
      <c r="F1365" s="2">
        <v>45834</v>
      </c>
      <c r="G1365">
        <v>9728.11</v>
      </c>
      <c r="H1365" s="1">
        <f>AVERAGEIF(Table1[Customer_ID], Table1[[#This Row],[Customer_ID]], Table1[Transaction_Amount])</f>
        <v>4877.0190361445784</v>
      </c>
      <c r="I1365" t="s">
        <v>728</v>
      </c>
      <c r="J1365" t="s">
        <v>41</v>
      </c>
      <c r="K1365" t="s">
        <v>10</v>
      </c>
      <c r="L1365">
        <v>4</v>
      </c>
      <c r="M1365" t="s">
        <v>42</v>
      </c>
      <c r="N1365" t="s">
        <v>47</v>
      </c>
      <c r="O1365" t="s">
        <v>392</v>
      </c>
      <c r="P1365" s="6" t="str">
        <f>IF(Table1[[#This Row],[Transaction_Amount]]&lt;=Table1[[#This Row],[avg_transaction_amount]], "usual transaction", "unusual transaction")</f>
        <v>unusual transaction</v>
      </c>
      <c r="Q1365" s="6" t="str">
        <f>IF(AND(Table1[[#This Row],[Country_of_Residence]]&lt;&gt;Table1[[#This Row],[Country_of_Transaction]], OR(Table1[[#This Row],[Authentication_Type]]="Biometric", Table1[[#This Row],[Authentication_Type]]="OTP")), "safe location transaction", "unsafe location transaction")</f>
        <v>safe location transaction</v>
      </c>
      <c r="R1365" s="6" t="str">
        <f>IF(AND(Table1[[#This Row],[Country_of_Residence]]&lt;&gt;Table1[[#This Row],[Country_of_Transaction]], OR(Table1[[#This Row],[Merchant_Category]]="Electronics", Table1[[#This Row],[Merchant_Category]]="Travel")), "unsafe merchant transaction", "safe merchant transaction")</f>
        <v>safe merchant transaction</v>
      </c>
    </row>
    <row r="1366" spans="1:18">
      <c r="A1366" t="s">
        <v>3107</v>
      </c>
      <c r="B1366" t="s">
        <v>220</v>
      </c>
      <c r="C1366">
        <v>1</v>
      </c>
      <c r="D1366" t="s">
        <v>9</v>
      </c>
      <c r="E1366" t="s">
        <v>6</v>
      </c>
      <c r="F1366" s="2">
        <v>45938</v>
      </c>
      <c r="G1366">
        <v>5831.03</v>
      </c>
      <c r="H1366" s="1">
        <f>AVERAGEIF(Table1[Customer_ID], Table1[[#This Row],[Customer_ID]], Table1[Transaction_Amount])</f>
        <v>4877.0190361445784</v>
      </c>
      <c r="I1366" t="s">
        <v>750</v>
      </c>
      <c r="J1366" t="s">
        <v>50</v>
      </c>
      <c r="K1366" t="s">
        <v>8</v>
      </c>
      <c r="L1366">
        <v>4</v>
      </c>
      <c r="M1366" t="s">
        <v>51</v>
      </c>
      <c r="N1366" t="s">
        <v>51</v>
      </c>
      <c r="O1366" t="s">
        <v>392</v>
      </c>
      <c r="P1366" s="6" t="str">
        <f>IF(Table1[[#This Row],[Transaction_Amount]]&lt;=Table1[[#This Row],[avg_transaction_amount]], "usual transaction", "unusual transaction")</f>
        <v>unusual transaction</v>
      </c>
      <c r="Q1366" s="6" t="str">
        <f>IF(AND(Table1[[#This Row],[Country_of_Residence]]&lt;&gt;Table1[[#This Row],[Country_of_Transaction]], OR(Table1[[#This Row],[Authentication_Type]]="Biometric", Table1[[#This Row],[Authentication_Type]]="OTP")), "safe location transaction", "unsafe location transaction")</f>
        <v>unsafe location transaction</v>
      </c>
      <c r="R1366" s="6" t="str">
        <f>IF(AND(Table1[[#This Row],[Country_of_Residence]]&lt;&gt;Table1[[#This Row],[Country_of_Transaction]], OR(Table1[[#This Row],[Merchant_Category]]="Electronics", Table1[[#This Row],[Merchant_Category]]="Travel")), "unsafe merchant transaction", "safe merchant transaction")</f>
        <v>safe merchant transaction</v>
      </c>
    </row>
    <row r="1367" spans="1:18">
      <c r="A1367" t="s">
        <v>3151</v>
      </c>
      <c r="B1367" t="s">
        <v>220</v>
      </c>
      <c r="C1367">
        <v>1</v>
      </c>
      <c r="D1367" t="s">
        <v>9</v>
      </c>
      <c r="E1367" t="s">
        <v>3</v>
      </c>
      <c r="F1367" s="2">
        <v>45667</v>
      </c>
      <c r="G1367">
        <v>6620.71</v>
      </c>
      <c r="H1367" s="1">
        <f>AVERAGEIF(Table1[Customer_ID], Table1[[#This Row],[Customer_ID]], Table1[Transaction_Amount])</f>
        <v>4877.0190361445784</v>
      </c>
      <c r="I1367" t="s">
        <v>789</v>
      </c>
      <c r="J1367" t="s">
        <v>46</v>
      </c>
      <c r="K1367" t="s">
        <v>8</v>
      </c>
      <c r="L1367">
        <v>4</v>
      </c>
      <c r="M1367" t="s">
        <v>32</v>
      </c>
      <c r="N1367" t="s">
        <v>51</v>
      </c>
      <c r="O1367" t="s">
        <v>393</v>
      </c>
      <c r="P1367" s="6" t="str">
        <f>IF(Table1[[#This Row],[Transaction_Amount]]&lt;=Table1[[#This Row],[avg_transaction_amount]], "usual transaction", "unusual transaction")</f>
        <v>unusual transaction</v>
      </c>
      <c r="Q1367" s="6" t="str">
        <f>IF(AND(Table1[[#This Row],[Country_of_Residence]]&lt;&gt;Table1[[#This Row],[Country_of_Transaction]], OR(Table1[[#This Row],[Authentication_Type]]="Biometric", Table1[[#This Row],[Authentication_Type]]="OTP")), "safe location transaction", "unsafe location transaction")</f>
        <v>safe location transaction</v>
      </c>
      <c r="R1367" s="6" t="str">
        <f>IF(AND(Table1[[#This Row],[Country_of_Residence]]&lt;&gt;Table1[[#This Row],[Country_of_Transaction]], OR(Table1[[#This Row],[Merchant_Category]]="Electronics", Table1[[#This Row],[Merchant_Category]]="Travel")), "unsafe merchant transaction", "safe merchant transaction")</f>
        <v>safe merchant transaction</v>
      </c>
    </row>
    <row r="1368" spans="1:18">
      <c r="A1368" t="s">
        <v>3165</v>
      </c>
      <c r="B1368" t="s">
        <v>220</v>
      </c>
      <c r="C1368">
        <v>1</v>
      </c>
      <c r="D1368" t="s">
        <v>15</v>
      </c>
      <c r="E1368" t="s">
        <v>5</v>
      </c>
      <c r="F1368" s="2">
        <v>45947</v>
      </c>
      <c r="G1368">
        <v>5525.94</v>
      </c>
      <c r="H1368" s="1">
        <f>AVERAGEIF(Table1[Customer_ID], Table1[[#This Row],[Customer_ID]], Table1[Transaction_Amount])</f>
        <v>4877.0190361445784</v>
      </c>
      <c r="I1368" t="s">
        <v>801</v>
      </c>
      <c r="J1368" t="s">
        <v>46</v>
      </c>
      <c r="K1368" t="s">
        <v>12</v>
      </c>
      <c r="L1368">
        <v>1</v>
      </c>
      <c r="M1368" t="s">
        <v>412</v>
      </c>
      <c r="N1368" t="s">
        <v>56</v>
      </c>
      <c r="O1368" t="s">
        <v>393</v>
      </c>
      <c r="P1368" s="6" t="str">
        <f>IF(Table1[[#This Row],[Transaction_Amount]]&lt;=Table1[[#This Row],[avg_transaction_amount]], "usual transaction", "unusual transaction")</f>
        <v>unusual transaction</v>
      </c>
      <c r="Q1368" s="6" t="str">
        <f>IF(AND(Table1[[#This Row],[Country_of_Residence]]&lt;&gt;Table1[[#This Row],[Country_of_Transaction]], OR(Table1[[#This Row],[Authentication_Type]]="Biometric", Table1[[#This Row],[Authentication_Type]]="OTP")), "safe location transaction", "unsafe location transaction")</f>
        <v>unsafe location transaction</v>
      </c>
      <c r="R1368" s="6" t="str">
        <f>IF(AND(Table1[[#This Row],[Country_of_Residence]]&lt;&gt;Table1[[#This Row],[Country_of_Transaction]], OR(Table1[[#This Row],[Merchant_Category]]="Electronics", Table1[[#This Row],[Merchant_Category]]="Travel")), "unsafe merchant transaction", "safe merchant transaction")</f>
        <v>safe merchant transaction</v>
      </c>
    </row>
    <row r="1369" spans="1:18">
      <c r="A1369" t="s">
        <v>3193</v>
      </c>
      <c r="B1369" t="s">
        <v>220</v>
      </c>
      <c r="C1369">
        <v>1</v>
      </c>
      <c r="D1369" t="s">
        <v>15</v>
      </c>
      <c r="E1369" t="s">
        <v>420</v>
      </c>
      <c r="F1369" s="2">
        <v>45729</v>
      </c>
      <c r="G1369">
        <v>4380.1400000000003</v>
      </c>
      <c r="H1369" s="1">
        <f>AVERAGEIF(Table1[Customer_ID], Table1[[#This Row],[Customer_ID]], Table1[Transaction_Amount])</f>
        <v>4877.0190361445784</v>
      </c>
      <c r="I1369" t="s">
        <v>828</v>
      </c>
      <c r="J1369" t="s">
        <v>50</v>
      </c>
      <c r="K1369" t="s">
        <v>8</v>
      </c>
      <c r="L1369">
        <v>1</v>
      </c>
      <c r="M1369" t="s">
        <v>37</v>
      </c>
      <c r="N1369" t="s">
        <v>42</v>
      </c>
      <c r="O1369" t="s">
        <v>392</v>
      </c>
      <c r="P1369" s="6" t="str">
        <f>IF(Table1[[#This Row],[Transaction_Amount]]&lt;=Table1[[#This Row],[avg_transaction_amount]], "usual transaction", "unusual transaction")</f>
        <v>usual transaction</v>
      </c>
      <c r="Q1369" s="6" t="str">
        <f>IF(AND(Table1[[#This Row],[Country_of_Residence]]&lt;&gt;Table1[[#This Row],[Country_of_Transaction]], OR(Table1[[#This Row],[Authentication_Type]]="Biometric", Table1[[#This Row],[Authentication_Type]]="OTP")), "safe location transaction", "unsafe location transaction")</f>
        <v>safe location transaction</v>
      </c>
      <c r="R1369" s="6" t="str">
        <f>IF(AND(Table1[[#This Row],[Country_of_Residence]]&lt;&gt;Table1[[#This Row],[Country_of_Transaction]], OR(Table1[[#This Row],[Merchant_Category]]="Electronics", Table1[[#This Row],[Merchant_Category]]="Travel")), "unsafe merchant transaction", "safe merchant transaction")</f>
        <v>unsafe merchant transaction</v>
      </c>
    </row>
    <row r="1370" spans="1:18">
      <c r="A1370" t="s">
        <v>3209</v>
      </c>
      <c r="B1370" t="s">
        <v>220</v>
      </c>
      <c r="C1370">
        <v>1</v>
      </c>
      <c r="D1370" t="s">
        <v>9</v>
      </c>
      <c r="E1370" t="s">
        <v>6</v>
      </c>
      <c r="F1370" s="2">
        <v>45883</v>
      </c>
      <c r="G1370">
        <v>3359.91</v>
      </c>
      <c r="H1370" s="1">
        <f>AVERAGEIF(Table1[Customer_ID], Table1[[#This Row],[Customer_ID]], Table1[Transaction_Amount])</f>
        <v>4877.0190361445784</v>
      </c>
      <c r="I1370" t="s">
        <v>843</v>
      </c>
      <c r="J1370" t="s">
        <v>46</v>
      </c>
      <c r="K1370" t="s">
        <v>8</v>
      </c>
      <c r="L1370">
        <v>1</v>
      </c>
      <c r="M1370" t="s">
        <v>47</v>
      </c>
      <c r="N1370" t="s">
        <v>32</v>
      </c>
      <c r="O1370" t="s">
        <v>392</v>
      </c>
      <c r="P1370" s="6" t="str">
        <f>IF(Table1[[#This Row],[Transaction_Amount]]&lt;=Table1[[#This Row],[avg_transaction_amount]], "usual transaction", "unusual transaction")</f>
        <v>usual transaction</v>
      </c>
      <c r="Q1370" s="6" t="str">
        <f>IF(AND(Table1[[#This Row],[Country_of_Residence]]&lt;&gt;Table1[[#This Row],[Country_of_Transaction]], OR(Table1[[#This Row],[Authentication_Type]]="Biometric", Table1[[#This Row],[Authentication_Type]]="OTP")), "safe location transaction", "unsafe location transaction")</f>
        <v>safe location transaction</v>
      </c>
      <c r="R1370" s="6" t="str">
        <f>IF(AND(Table1[[#This Row],[Country_of_Residence]]&lt;&gt;Table1[[#This Row],[Country_of_Transaction]], OR(Table1[[#This Row],[Merchant_Category]]="Electronics", Table1[[#This Row],[Merchant_Category]]="Travel")), "unsafe merchant transaction", "safe merchant transaction")</f>
        <v>safe merchant transaction</v>
      </c>
    </row>
    <row r="1371" spans="1:18">
      <c r="A1371" t="s">
        <v>3228</v>
      </c>
      <c r="B1371" t="s">
        <v>220</v>
      </c>
      <c r="C1371">
        <v>1</v>
      </c>
      <c r="D1371" t="s">
        <v>15</v>
      </c>
      <c r="E1371" t="s">
        <v>5</v>
      </c>
      <c r="F1371" s="2">
        <v>45796</v>
      </c>
      <c r="G1371">
        <v>3766.18</v>
      </c>
      <c r="H1371" s="1">
        <f>AVERAGEIF(Table1[Customer_ID], Table1[[#This Row],[Customer_ID]], Table1[Transaction_Amount])</f>
        <v>4877.0190361445784</v>
      </c>
      <c r="I1371" t="s">
        <v>861</v>
      </c>
      <c r="J1371" t="s">
        <v>46</v>
      </c>
      <c r="K1371" t="s">
        <v>10</v>
      </c>
      <c r="L1371">
        <v>5</v>
      </c>
      <c r="M1371" t="s">
        <v>412</v>
      </c>
      <c r="N1371" t="s">
        <v>37</v>
      </c>
      <c r="O1371" t="s">
        <v>392</v>
      </c>
      <c r="P1371" s="6" t="str">
        <f>IF(Table1[[#This Row],[Transaction_Amount]]&lt;=Table1[[#This Row],[avg_transaction_amount]], "usual transaction", "unusual transaction")</f>
        <v>usual transaction</v>
      </c>
      <c r="Q1371" s="6" t="str">
        <f>IF(AND(Table1[[#This Row],[Country_of_Residence]]&lt;&gt;Table1[[#This Row],[Country_of_Transaction]], OR(Table1[[#This Row],[Authentication_Type]]="Biometric", Table1[[#This Row],[Authentication_Type]]="OTP")), "safe location transaction", "unsafe location transaction")</f>
        <v>safe location transaction</v>
      </c>
      <c r="R1371" s="6" t="str">
        <f>IF(AND(Table1[[#This Row],[Country_of_Residence]]&lt;&gt;Table1[[#This Row],[Country_of_Transaction]], OR(Table1[[#This Row],[Merchant_Category]]="Electronics", Table1[[#This Row],[Merchant_Category]]="Travel")), "unsafe merchant transaction", "safe merchant transaction")</f>
        <v>safe merchant transaction</v>
      </c>
    </row>
    <row r="1372" spans="1:18">
      <c r="A1372" t="s">
        <v>3234</v>
      </c>
      <c r="B1372" t="s">
        <v>220</v>
      </c>
      <c r="C1372">
        <v>1</v>
      </c>
      <c r="D1372" t="s">
        <v>15</v>
      </c>
      <c r="E1372" t="s">
        <v>5</v>
      </c>
      <c r="F1372" s="2">
        <v>45876</v>
      </c>
      <c r="G1372">
        <v>8939.67</v>
      </c>
      <c r="H1372" s="1">
        <f>AVERAGEIF(Table1[Customer_ID], Table1[[#This Row],[Customer_ID]], Table1[Transaction_Amount])</f>
        <v>4877.0190361445784</v>
      </c>
      <c r="I1372" t="s">
        <v>867</v>
      </c>
      <c r="J1372" t="s">
        <v>41</v>
      </c>
      <c r="K1372" t="s">
        <v>12</v>
      </c>
      <c r="L1372">
        <v>5</v>
      </c>
      <c r="M1372" t="s">
        <v>32</v>
      </c>
      <c r="N1372" t="s">
        <v>51</v>
      </c>
      <c r="O1372" t="s">
        <v>392</v>
      </c>
      <c r="P1372" s="6" t="str">
        <f>IF(Table1[[#This Row],[Transaction_Amount]]&lt;=Table1[[#This Row],[avg_transaction_amount]], "usual transaction", "unusual transaction")</f>
        <v>unusual transaction</v>
      </c>
      <c r="Q1372" s="6" t="str">
        <f>IF(AND(Table1[[#This Row],[Country_of_Residence]]&lt;&gt;Table1[[#This Row],[Country_of_Transaction]], OR(Table1[[#This Row],[Authentication_Type]]="Biometric", Table1[[#This Row],[Authentication_Type]]="OTP")), "safe location transaction", "unsafe location transaction")</f>
        <v>unsafe location transaction</v>
      </c>
      <c r="R1372" s="6" t="str">
        <f>IF(AND(Table1[[#This Row],[Country_of_Residence]]&lt;&gt;Table1[[#This Row],[Country_of_Transaction]], OR(Table1[[#This Row],[Merchant_Category]]="Electronics", Table1[[#This Row],[Merchant_Category]]="Travel")), "unsafe merchant transaction", "safe merchant transaction")</f>
        <v>safe merchant transaction</v>
      </c>
    </row>
    <row r="1373" spans="1:18">
      <c r="A1373" t="s">
        <v>3264</v>
      </c>
      <c r="B1373" t="s">
        <v>220</v>
      </c>
      <c r="C1373">
        <v>1</v>
      </c>
      <c r="D1373" t="s">
        <v>9</v>
      </c>
      <c r="E1373" t="s">
        <v>3</v>
      </c>
      <c r="F1373" s="2">
        <v>45818</v>
      </c>
      <c r="G1373">
        <v>4269.71</v>
      </c>
      <c r="H1373" s="1">
        <f>AVERAGEIF(Table1[Customer_ID], Table1[[#This Row],[Customer_ID]], Table1[Transaction_Amount])</f>
        <v>4877.0190361445784</v>
      </c>
      <c r="I1373" t="s">
        <v>454</v>
      </c>
      <c r="J1373" t="s">
        <v>31</v>
      </c>
      <c r="K1373" t="s">
        <v>12</v>
      </c>
      <c r="L1373">
        <v>3</v>
      </c>
      <c r="M1373" t="s">
        <v>51</v>
      </c>
      <c r="N1373" t="s">
        <v>37</v>
      </c>
      <c r="O1373" t="s">
        <v>392</v>
      </c>
      <c r="P1373" s="6" t="str">
        <f>IF(Table1[[#This Row],[Transaction_Amount]]&lt;=Table1[[#This Row],[avg_transaction_amount]], "usual transaction", "unusual transaction")</f>
        <v>usual transaction</v>
      </c>
      <c r="Q1373" s="6" t="str">
        <f>IF(AND(Table1[[#This Row],[Country_of_Residence]]&lt;&gt;Table1[[#This Row],[Country_of_Transaction]], OR(Table1[[#This Row],[Authentication_Type]]="Biometric", Table1[[#This Row],[Authentication_Type]]="OTP")), "safe location transaction", "unsafe location transaction")</f>
        <v>unsafe location transaction</v>
      </c>
      <c r="R1373" s="6" t="str">
        <f>IF(AND(Table1[[#This Row],[Country_of_Residence]]&lt;&gt;Table1[[#This Row],[Country_of_Transaction]], OR(Table1[[#This Row],[Merchant_Category]]="Electronics", Table1[[#This Row],[Merchant_Category]]="Travel")), "unsafe merchant transaction", "safe merchant transaction")</f>
        <v>safe merchant transaction</v>
      </c>
    </row>
    <row r="1374" spans="1:18">
      <c r="A1374" t="s">
        <v>3357</v>
      </c>
      <c r="B1374" t="s">
        <v>220</v>
      </c>
      <c r="C1374">
        <v>1</v>
      </c>
      <c r="D1374" t="s">
        <v>15</v>
      </c>
      <c r="E1374" t="s">
        <v>3</v>
      </c>
      <c r="F1374" s="2">
        <v>45721</v>
      </c>
      <c r="G1374">
        <v>8283.2999999999993</v>
      </c>
      <c r="H1374" s="1">
        <f>AVERAGEIF(Table1[Customer_ID], Table1[[#This Row],[Customer_ID]], Table1[Transaction_Amount])</f>
        <v>4877.0190361445784</v>
      </c>
      <c r="I1374" t="s">
        <v>981</v>
      </c>
      <c r="J1374" t="s">
        <v>46</v>
      </c>
      <c r="K1374" t="s">
        <v>8</v>
      </c>
      <c r="L1374">
        <v>0</v>
      </c>
      <c r="M1374" t="s">
        <v>55</v>
      </c>
      <c r="N1374" t="s">
        <v>412</v>
      </c>
      <c r="O1374" t="s">
        <v>393</v>
      </c>
      <c r="P1374" s="6" t="str">
        <f>IF(Table1[[#This Row],[Transaction_Amount]]&lt;=Table1[[#This Row],[avg_transaction_amount]], "usual transaction", "unusual transaction")</f>
        <v>unusual transaction</v>
      </c>
      <c r="Q1374" s="6" t="str">
        <f>IF(AND(Table1[[#This Row],[Country_of_Residence]]&lt;&gt;Table1[[#This Row],[Country_of_Transaction]], OR(Table1[[#This Row],[Authentication_Type]]="Biometric", Table1[[#This Row],[Authentication_Type]]="OTP")), "safe location transaction", "unsafe location transaction")</f>
        <v>safe location transaction</v>
      </c>
      <c r="R1374" s="6" t="str">
        <f>IF(AND(Table1[[#This Row],[Country_of_Residence]]&lt;&gt;Table1[[#This Row],[Country_of_Transaction]], OR(Table1[[#This Row],[Merchant_Category]]="Electronics", Table1[[#This Row],[Merchant_Category]]="Travel")), "unsafe merchant transaction", "safe merchant transaction")</f>
        <v>safe merchant transaction</v>
      </c>
    </row>
    <row r="1375" spans="1:18">
      <c r="A1375" t="s">
        <v>3380</v>
      </c>
      <c r="B1375" t="s">
        <v>220</v>
      </c>
      <c r="C1375">
        <v>1</v>
      </c>
      <c r="D1375" t="s">
        <v>9</v>
      </c>
      <c r="E1375" t="s">
        <v>5</v>
      </c>
      <c r="F1375" s="2">
        <v>45939</v>
      </c>
      <c r="G1375">
        <v>5735.14</v>
      </c>
      <c r="H1375" s="1">
        <f>AVERAGEIF(Table1[Customer_ID], Table1[[#This Row],[Customer_ID]], Table1[Transaction_Amount])</f>
        <v>4877.0190361445784</v>
      </c>
      <c r="I1375" t="s">
        <v>1001</v>
      </c>
      <c r="J1375" t="s">
        <v>31</v>
      </c>
      <c r="K1375" t="s">
        <v>14</v>
      </c>
      <c r="L1375">
        <v>3</v>
      </c>
      <c r="M1375" t="s">
        <v>33</v>
      </c>
      <c r="N1375" t="s">
        <v>51</v>
      </c>
      <c r="O1375" t="s">
        <v>392</v>
      </c>
      <c r="P1375" s="6" t="str">
        <f>IF(Table1[[#This Row],[Transaction_Amount]]&lt;=Table1[[#This Row],[avg_transaction_amount]], "usual transaction", "unusual transaction")</f>
        <v>unusual transaction</v>
      </c>
      <c r="Q1375" s="6" t="str">
        <f>IF(AND(Table1[[#This Row],[Country_of_Residence]]&lt;&gt;Table1[[#This Row],[Country_of_Transaction]], OR(Table1[[#This Row],[Authentication_Type]]="Biometric", Table1[[#This Row],[Authentication_Type]]="OTP")), "safe location transaction", "unsafe location transaction")</f>
        <v>unsafe location transaction</v>
      </c>
      <c r="R1375" s="6" t="str">
        <f>IF(AND(Table1[[#This Row],[Country_of_Residence]]&lt;&gt;Table1[[#This Row],[Country_of_Transaction]], OR(Table1[[#This Row],[Merchant_Category]]="Electronics", Table1[[#This Row],[Merchant_Category]]="Travel")), "unsafe merchant transaction", "safe merchant transaction")</f>
        <v>safe merchant transaction</v>
      </c>
    </row>
    <row r="1376" spans="1:18">
      <c r="A1376" t="s">
        <v>3391</v>
      </c>
      <c r="B1376" t="s">
        <v>220</v>
      </c>
      <c r="C1376">
        <v>1</v>
      </c>
      <c r="D1376" t="s">
        <v>15</v>
      </c>
      <c r="E1376" t="s">
        <v>6</v>
      </c>
      <c r="F1376" s="2">
        <v>45816</v>
      </c>
      <c r="G1376">
        <v>9553.2099999999991</v>
      </c>
      <c r="H1376" s="1">
        <f>AVERAGEIF(Table1[Customer_ID], Table1[[#This Row],[Customer_ID]], Table1[Transaction_Amount])</f>
        <v>4877.0190361445784</v>
      </c>
      <c r="I1376" t="s">
        <v>1012</v>
      </c>
      <c r="J1376" t="s">
        <v>46</v>
      </c>
      <c r="K1376" t="s">
        <v>14</v>
      </c>
      <c r="L1376">
        <v>4</v>
      </c>
      <c r="M1376" t="s">
        <v>55</v>
      </c>
      <c r="N1376" t="s">
        <v>33</v>
      </c>
      <c r="O1376" t="s">
        <v>393</v>
      </c>
      <c r="P1376" s="6" t="str">
        <f>IF(Table1[[#This Row],[Transaction_Amount]]&lt;=Table1[[#This Row],[avg_transaction_amount]], "usual transaction", "unusual transaction")</f>
        <v>unusual transaction</v>
      </c>
      <c r="Q1376" s="6" t="str">
        <f>IF(AND(Table1[[#This Row],[Country_of_Residence]]&lt;&gt;Table1[[#This Row],[Country_of_Transaction]], OR(Table1[[#This Row],[Authentication_Type]]="Biometric", Table1[[#This Row],[Authentication_Type]]="OTP")), "safe location transaction", "unsafe location transaction")</f>
        <v>unsafe location transaction</v>
      </c>
      <c r="R1376" s="6" t="str">
        <f>IF(AND(Table1[[#This Row],[Country_of_Residence]]&lt;&gt;Table1[[#This Row],[Country_of_Transaction]], OR(Table1[[#This Row],[Merchant_Category]]="Electronics", Table1[[#This Row],[Merchant_Category]]="Travel")), "unsafe merchant transaction", "safe merchant transaction")</f>
        <v>safe merchant transaction</v>
      </c>
    </row>
    <row r="1377" spans="1:18">
      <c r="A1377" t="s">
        <v>3492</v>
      </c>
      <c r="B1377" t="s">
        <v>220</v>
      </c>
      <c r="C1377">
        <v>1</v>
      </c>
      <c r="D1377" t="s">
        <v>9</v>
      </c>
      <c r="E1377" t="s">
        <v>6</v>
      </c>
      <c r="F1377" s="2">
        <v>45854</v>
      </c>
      <c r="G1377">
        <v>4215.66</v>
      </c>
      <c r="H1377" s="1">
        <f>AVERAGEIF(Table1[Customer_ID], Table1[[#This Row],[Customer_ID]], Table1[Transaction_Amount])</f>
        <v>4877.0190361445784</v>
      </c>
      <c r="I1377" t="s">
        <v>1108</v>
      </c>
      <c r="J1377" t="s">
        <v>41</v>
      </c>
      <c r="K1377" t="s">
        <v>12</v>
      </c>
      <c r="L1377">
        <v>5</v>
      </c>
      <c r="M1377" t="s">
        <v>32</v>
      </c>
      <c r="N1377" t="s">
        <v>55</v>
      </c>
      <c r="O1377" t="s">
        <v>393</v>
      </c>
      <c r="P1377" s="6" t="str">
        <f>IF(Table1[[#This Row],[Transaction_Amount]]&lt;=Table1[[#This Row],[avg_transaction_amount]], "usual transaction", "unusual transaction")</f>
        <v>usual transaction</v>
      </c>
      <c r="Q1377" s="6" t="str">
        <f>IF(AND(Table1[[#This Row],[Country_of_Residence]]&lt;&gt;Table1[[#This Row],[Country_of_Transaction]], OR(Table1[[#This Row],[Authentication_Type]]="Biometric", Table1[[#This Row],[Authentication_Type]]="OTP")), "safe location transaction", "unsafe location transaction")</f>
        <v>unsafe location transaction</v>
      </c>
      <c r="R1377" s="6" t="str">
        <f>IF(AND(Table1[[#This Row],[Country_of_Residence]]&lt;&gt;Table1[[#This Row],[Country_of_Transaction]], OR(Table1[[#This Row],[Merchant_Category]]="Electronics", Table1[[#This Row],[Merchant_Category]]="Travel")), "unsafe merchant transaction", "safe merchant transaction")</f>
        <v>safe merchant transaction</v>
      </c>
    </row>
    <row r="1378" spans="1:18">
      <c r="A1378" t="s">
        <v>3520</v>
      </c>
      <c r="B1378" t="s">
        <v>220</v>
      </c>
      <c r="C1378">
        <v>1</v>
      </c>
      <c r="D1378" t="s">
        <v>9</v>
      </c>
      <c r="E1378" t="s">
        <v>5</v>
      </c>
      <c r="F1378" s="2">
        <v>46017</v>
      </c>
      <c r="G1378">
        <v>2886.03</v>
      </c>
      <c r="H1378" s="1">
        <f>AVERAGEIF(Table1[Customer_ID], Table1[[#This Row],[Customer_ID]], Table1[Transaction_Amount])</f>
        <v>4877.0190361445784</v>
      </c>
      <c r="I1378" t="s">
        <v>1135</v>
      </c>
      <c r="J1378" t="s">
        <v>31</v>
      </c>
      <c r="K1378" t="s">
        <v>10</v>
      </c>
      <c r="L1378">
        <v>0</v>
      </c>
      <c r="M1378" t="s">
        <v>412</v>
      </c>
      <c r="N1378" t="s">
        <v>56</v>
      </c>
      <c r="O1378" t="s">
        <v>392</v>
      </c>
      <c r="P1378" s="6" t="str">
        <f>IF(Table1[[#This Row],[Transaction_Amount]]&lt;=Table1[[#This Row],[avg_transaction_amount]], "usual transaction", "unusual transaction")</f>
        <v>usual transaction</v>
      </c>
      <c r="Q1378" s="6" t="str">
        <f>IF(AND(Table1[[#This Row],[Country_of_Residence]]&lt;&gt;Table1[[#This Row],[Country_of_Transaction]], OR(Table1[[#This Row],[Authentication_Type]]="Biometric", Table1[[#This Row],[Authentication_Type]]="OTP")), "safe location transaction", "unsafe location transaction")</f>
        <v>safe location transaction</v>
      </c>
      <c r="R1378" s="6" t="str">
        <f>IF(AND(Table1[[#This Row],[Country_of_Residence]]&lt;&gt;Table1[[#This Row],[Country_of_Transaction]], OR(Table1[[#This Row],[Merchant_Category]]="Electronics", Table1[[#This Row],[Merchant_Category]]="Travel")), "unsafe merchant transaction", "safe merchant transaction")</f>
        <v>safe merchant transaction</v>
      </c>
    </row>
    <row r="1379" spans="1:18">
      <c r="A1379" t="s">
        <v>3530</v>
      </c>
      <c r="B1379" t="s">
        <v>220</v>
      </c>
      <c r="C1379">
        <v>1</v>
      </c>
      <c r="D1379" t="s">
        <v>9</v>
      </c>
      <c r="E1379" t="s">
        <v>6</v>
      </c>
      <c r="F1379" s="2">
        <v>45750</v>
      </c>
      <c r="G1379">
        <v>8902.65</v>
      </c>
      <c r="H1379" s="1">
        <f>AVERAGEIF(Table1[Customer_ID], Table1[[#This Row],[Customer_ID]], Table1[Transaction_Amount])</f>
        <v>4877.0190361445784</v>
      </c>
      <c r="I1379" t="s">
        <v>1145</v>
      </c>
      <c r="J1379" t="s">
        <v>46</v>
      </c>
      <c r="K1379" t="s">
        <v>10</v>
      </c>
      <c r="L1379">
        <v>0</v>
      </c>
      <c r="M1379" t="s">
        <v>51</v>
      </c>
      <c r="N1379" t="s">
        <v>51</v>
      </c>
      <c r="O1379" t="s">
        <v>393</v>
      </c>
      <c r="P1379" s="6" t="str">
        <f>IF(Table1[[#This Row],[Transaction_Amount]]&lt;=Table1[[#This Row],[avg_transaction_amount]], "usual transaction", "unusual transaction")</f>
        <v>unusual transaction</v>
      </c>
      <c r="Q1379" s="6" t="str">
        <f>IF(AND(Table1[[#This Row],[Country_of_Residence]]&lt;&gt;Table1[[#This Row],[Country_of_Transaction]], OR(Table1[[#This Row],[Authentication_Type]]="Biometric", Table1[[#This Row],[Authentication_Type]]="OTP")), "safe location transaction", "unsafe location transaction")</f>
        <v>unsafe location transaction</v>
      </c>
      <c r="R1379" s="6" t="str">
        <f>IF(AND(Table1[[#This Row],[Country_of_Residence]]&lt;&gt;Table1[[#This Row],[Country_of_Transaction]], OR(Table1[[#This Row],[Merchant_Category]]="Electronics", Table1[[#This Row],[Merchant_Category]]="Travel")), "unsafe merchant transaction", "safe merchant transaction")</f>
        <v>safe merchant transaction</v>
      </c>
    </row>
    <row r="1380" spans="1:18">
      <c r="A1380" t="s">
        <v>3560</v>
      </c>
      <c r="B1380" t="s">
        <v>220</v>
      </c>
      <c r="C1380">
        <v>1</v>
      </c>
      <c r="D1380" t="s">
        <v>9</v>
      </c>
      <c r="E1380" t="s">
        <v>6</v>
      </c>
      <c r="F1380" s="2">
        <v>45793</v>
      </c>
      <c r="G1380">
        <v>6405.4</v>
      </c>
      <c r="H1380" s="1">
        <f>AVERAGEIF(Table1[Customer_ID], Table1[[#This Row],[Customer_ID]], Table1[Transaction_Amount])</f>
        <v>4877.0190361445784</v>
      </c>
      <c r="I1380" t="s">
        <v>1173</v>
      </c>
      <c r="J1380" t="s">
        <v>50</v>
      </c>
      <c r="K1380" t="s">
        <v>8</v>
      </c>
      <c r="L1380">
        <v>4</v>
      </c>
      <c r="M1380" t="s">
        <v>56</v>
      </c>
      <c r="N1380" t="s">
        <v>37</v>
      </c>
      <c r="O1380" t="s">
        <v>393</v>
      </c>
      <c r="P1380" s="6" t="str">
        <f>IF(Table1[[#This Row],[Transaction_Amount]]&lt;=Table1[[#This Row],[avg_transaction_amount]], "usual transaction", "unusual transaction")</f>
        <v>unusual transaction</v>
      </c>
      <c r="Q1380" s="6" t="str">
        <f>IF(AND(Table1[[#This Row],[Country_of_Residence]]&lt;&gt;Table1[[#This Row],[Country_of_Transaction]], OR(Table1[[#This Row],[Authentication_Type]]="Biometric", Table1[[#This Row],[Authentication_Type]]="OTP")), "safe location transaction", "unsafe location transaction")</f>
        <v>safe location transaction</v>
      </c>
      <c r="R1380" s="6" t="str">
        <f>IF(AND(Table1[[#This Row],[Country_of_Residence]]&lt;&gt;Table1[[#This Row],[Country_of_Transaction]], OR(Table1[[#This Row],[Merchant_Category]]="Electronics", Table1[[#This Row],[Merchant_Category]]="Travel")), "unsafe merchant transaction", "safe merchant transaction")</f>
        <v>unsafe merchant transaction</v>
      </c>
    </row>
    <row r="1381" spans="1:18">
      <c r="A1381" t="s">
        <v>3599</v>
      </c>
      <c r="B1381" t="s">
        <v>220</v>
      </c>
      <c r="C1381">
        <v>1</v>
      </c>
      <c r="D1381" t="s">
        <v>15</v>
      </c>
      <c r="E1381" t="s">
        <v>6</v>
      </c>
      <c r="F1381" s="2">
        <v>45665</v>
      </c>
      <c r="G1381">
        <v>4699.96</v>
      </c>
      <c r="H1381" s="1">
        <f>AVERAGEIF(Table1[Customer_ID], Table1[[#This Row],[Customer_ID]], Table1[Transaction_Amount])</f>
        <v>4877.0190361445784</v>
      </c>
      <c r="I1381" t="s">
        <v>1208</v>
      </c>
      <c r="J1381" t="s">
        <v>31</v>
      </c>
      <c r="K1381" t="s">
        <v>12</v>
      </c>
      <c r="L1381">
        <v>4</v>
      </c>
      <c r="M1381" t="s">
        <v>37</v>
      </c>
      <c r="N1381" t="s">
        <v>51</v>
      </c>
      <c r="O1381" t="s">
        <v>393</v>
      </c>
      <c r="P1381" s="6" t="str">
        <f>IF(Table1[[#This Row],[Transaction_Amount]]&lt;=Table1[[#This Row],[avg_transaction_amount]], "usual transaction", "unusual transaction")</f>
        <v>usual transaction</v>
      </c>
      <c r="Q1381" s="6" t="str">
        <f>IF(AND(Table1[[#This Row],[Country_of_Residence]]&lt;&gt;Table1[[#This Row],[Country_of_Transaction]], OR(Table1[[#This Row],[Authentication_Type]]="Biometric", Table1[[#This Row],[Authentication_Type]]="OTP")), "safe location transaction", "unsafe location transaction")</f>
        <v>unsafe location transaction</v>
      </c>
      <c r="R1381" s="6" t="str">
        <f>IF(AND(Table1[[#This Row],[Country_of_Residence]]&lt;&gt;Table1[[#This Row],[Country_of_Transaction]], OR(Table1[[#This Row],[Merchant_Category]]="Electronics", Table1[[#This Row],[Merchant_Category]]="Travel")), "unsafe merchant transaction", "safe merchant transaction")</f>
        <v>safe merchant transaction</v>
      </c>
    </row>
    <row r="1382" spans="1:18">
      <c r="A1382" t="s">
        <v>3607</v>
      </c>
      <c r="B1382" t="s">
        <v>220</v>
      </c>
      <c r="C1382">
        <v>1</v>
      </c>
      <c r="D1382" t="s">
        <v>15</v>
      </c>
      <c r="E1382" t="s">
        <v>6</v>
      </c>
      <c r="F1382" s="2">
        <v>45947</v>
      </c>
      <c r="G1382">
        <v>7637.99</v>
      </c>
      <c r="H1382" s="1">
        <f>AVERAGEIF(Table1[Customer_ID], Table1[[#This Row],[Customer_ID]], Table1[Transaction_Amount])</f>
        <v>4877.0190361445784</v>
      </c>
      <c r="I1382" t="s">
        <v>1215</v>
      </c>
      <c r="J1382" t="s">
        <v>36</v>
      </c>
      <c r="K1382" t="s">
        <v>10</v>
      </c>
      <c r="L1382">
        <v>4</v>
      </c>
      <c r="M1382" t="s">
        <v>412</v>
      </c>
      <c r="N1382" t="s">
        <v>47</v>
      </c>
      <c r="O1382" t="s">
        <v>393</v>
      </c>
      <c r="P1382" s="6" t="str">
        <f>IF(Table1[[#This Row],[Transaction_Amount]]&lt;=Table1[[#This Row],[avg_transaction_amount]], "usual transaction", "unusual transaction")</f>
        <v>unusual transaction</v>
      </c>
      <c r="Q1382" s="6" t="str">
        <f>IF(AND(Table1[[#This Row],[Country_of_Residence]]&lt;&gt;Table1[[#This Row],[Country_of_Transaction]], OR(Table1[[#This Row],[Authentication_Type]]="Biometric", Table1[[#This Row],[Authentication_Type]]="OTP")), "safe location transaction", "unsafe location transaction")</f>
        <v>safe location transaction</v>
      </c>
      <c r="R1382" s="6" t="str">
        <f>IF(AND(Table1[[#This Row],[Country_of_Residence]]&lt;&gt;Table1[[#This Row],[Country_of_Transaction]], OR(Table1[[#This Row],[Merchant_Category]]="Electronics", Table1[[#This Row],[Merchant_Category]]="Travel")), "unsafe merchant transaction", "safe merchant transaction")</f>
        <v>safe merchant transaction</v>
      </c>
    </row>
    <row r="1383" spans="1:18">
      <c r="A1383" t="s">
        <v>3615</v>
      </c>
      <c r="B1383" t="s">
        <v>220</v>
      </c>
      <c r="C1383">
        <v>1</v>
      </c>
      <c r="D1383" t="s">
        <v>9</v>
      </c>
      <c r="E1383" t="s">
        <v>3</v>
      </c>
      <c r="F1383" s="2">
        <v>45776</v>
      </c>
      <c r="G1383">
        <v>3238.35</v>
      </c>
      <c r="H1383" s="1">
        <f>AVERAGEIF(Table1[Customer_ID], Table1[[#This Row],[Customer_ID]], Table1[Transaction_Amount])</f>
        <v>4877.0190361445784</v>
      </c>
      <c r="I1383" t="s">
        <v>1221</v>
      </c>
      <c r="J1383" t="s">
        <v>50</v>
      </c>
      <c r="K1383" t="s">
        <v>10</v>
      </c>
      <c r="L1383">
        <v>4</v>
      </c>
      <c r="M1383" t="s">
        <v>33</v>
      </c>
      <c r="N1383" t="s">
        <v>33</v>
      </c>
      <c r="O1383" t="s">
        <v>393</v>
      </c>
      <c r="P1383" s="6" t="str">
        <f>IF(Table1[[#This Row],[Transaction_Amount]]&lt;=Table1[[#This Row],[avg_transaction_amount]], "usual transaction", "unusual transaction")</f>
        <v>usual transaction</v>
      </c>
      <c r="Q1383" s="6" t="str">
        <f>IF(AND(Table1[[#This Row],[Country_of_Residence]]&lt;&gt;Table1[[#This Row],[Country_of_Transaction]], OR(Table1[[#This Row],[Authentication_Type]]="Biometric", Table1[[#This Row],[Authentication_Type]]="OTP")), "safe location transaction", "unsafe location transaction")</f>
        <v>unsafe location transaction</v>
      </c>
      <c r="R1383" s="6" t="str">
        <f>IF(AND(Table1[[#This Row],[Country_of_Residence]]&lt;&gt;Table1[[#This Row],[Country_of_Transaction]], OR(Table1[[#This Row],[Merchant_Category]]="Electronics", Table1[[#This Row],[Merchant_Category]]="Travel")), "unsafe merchant transaction", "safe merchant transaction")</f>
        <v>safe merchant transaction</v>
      </c>
    </row>
    <row r="1384" spans="1:18">
      <c r="A1384" t="s">
        <v>3714</v>
      </c>
      <c r="B1384" t="s">
        <v>220</v>
      </c>
      <c r="C1384">
        <v>1</v>
      </c>
      <c r="D1384" t="s">
        <v>15</v>
      </c>
      <c r="E1384" t="s">
        <v>6</v>
      </c>
      <c r="F1384" s="2">
        <v>45974</v>
      </c>
      <c r="G1384">
        <v>3290.57</v>
      </c>
      <c r="H1384" s="1">
        <f>AVERAGEIF(Table1[Customer_ID], Table1[[#This Row],[Customer_ID]], Table1[Transaction_Amount])</f>
        <v>4877.0190361445784</v>
      </c>
      <c r="I1384" t="s">
        <v>1311</v>
      </c>
      <c r="J1384" t="s">
        <v>50</v>
      </c>
      <c r="K1384" t="s">
        <v>10</v>
      </c>
      <c r="L1384">
        <v>0</v>
      </c>
      <c r="M1384" t="s">
        <v>55</v>
      </c>
      <c r="N1384" t="s">
        <v>42</v>
      </c>
      <c r="O1384" t="s">
        <v>393</v>
      </c>
      <c r="P1384" s="6" t="str">
        <f>IF(Table1[[#This Row],[Transaction_Amount]]&lt;=Table1[[#This Row],[avg_transaction_amount]], "usual transaction", "unusual transaction")</f>
        <v>usual transaction</v>
      </c>
      <c r="Q1384" s="6" t="str">
        <f>IF(AND(Table1[[#This Row],[Country_of_Residence]]&lt;&gt;Table1[[#This Row],[Country_of_Transaction]], OR(Table1[[#This Row],[Authentication_Type]]="Biometric", Table1[[#This Row],[Authentication_Type]]="OTP")), "safe location transaction", "unsafe location transaction")</f>
        <v>safe location transaction</v>
      </c>
      <c r="R1384" s="6" t="str">
        <f>IF(AND(Table1[[#This Row],[Country_of_Residence]]&lt;&gt;Table1[[#This Row],[Country_of_Transaction]], OR(Table1[[#This Row],[Merchant_Category]]="Electronics", Table1[[#This Row],[Merchant_Category]]="Travel")), "unsafe merchant transaction", "safe merchant transaction")</f>
        <v>unsafe merchant transaction</v>
      </c>
    </row>
    <row r="1385" spans="1:18">
      <c r="A1385" t="s">
        <v>3771</v>
      </c>
      <c r="B1385" t="s">
        <v>220</v>
      </c>
      <c r="C1385">
        <v>1</v>
      </c>
      <c r="D1385" t="s">
        <v>9</v>
      </c>
      <c r="E1385" t="s">
        <v>3</v>
      </c>
      <c r="F1385" s="2">
        <v>45746</v>
      </c>
      <c r="G1385">
        <v>3097.33</v>
      </c>
      <c r="H1385" s="1">
        <f>AVERAGEIF(Table1[Customer_ID], Table1[[#This Row],[Customer_ID]], Table1[Transaction_Amount])</f>
        <v>4877.0190361445784</v>
      </c>
      <c r="I1385" t="s">
        <v>1361</v>
      </c>
      <c r="J1385" t="s">
        <v>46</v>
      </c>
      <c r="K1385" t="s">
        <v>12</v>
      </c>
      <c r="L1385">
        <v>2</v>
      </c>
      <c r="M1385" t="s">
        <v>32</v>
      </c>
      <c r="N1385" t="s">
        <v>42</v>
      </c>
      <c r="O1385" t="s">
        <v>393</v>
      </c>
      <c r="P1385" s="6" t="str">
        <f>IF(Table1[[#This Row],[Transaction_Amount]]&lt;=Table1[[#This Row],[avg_transaction_amount]], "usual transaction", "unusual transaction")</f>
        <v>usual transaction</v>
      </c>
      <c r="Q1385" s="6" t="str">
        <f>IF(AND(Table1[[#This Row],[Country_of_Residence]]&lt;&gt;Table1[[#This Row],[Country_of_Transaction]], OR(Table1[[#This Row],[Authentication_Type]]="Biometric", Table1[[#This Row],[Authentication_Type]]="OTP")), "safe location transaction", "unsafe location transaction")</f>
        <v>unsafe location transaction</v>
      </c>
      <c r="R1385" s="6" t="str">
        <f>IF(AND(Table1[[#This Row],[Country_of_Residence]]&lt;&gt;Table1[[#This Row],[Country_of_Transaction]], OR(Table1[[#This Row],[Merchant_Category]]="Electronics", Table1[[#This Row],[Merchant_Category]]="Travel")), "unsafe merchant transaction", "safe merchant transaction")</f>
        <v>safe merchant transaction</v>
      </c>
    </row>
    <row r="1386" spans="1:18">
      <c r="A1386" t="s">
        <v>3790</v>
      </c>
      <c r="B1386" t="s">
        <v>220</v>
      </c>
      <c r="C1386">
        <v>1</v>
      </c>
      <c r="D1386" t="s">
        <v>15</v>
      </c>
      <c r="E1386" t="s">
        <v>3</v>
      </c>
      <c r="F1386" s="2">
        <v>45946</v>
      </c>
      <c r="G1386">
        <v>7698.52</v>
      </c>
      <c r="H1386" s="1">
        <f>AVERAGEIF(Table1[Customer_ID], Table1[[#This Row],[Customer_ID]], Table1[Transaction_Amount])</f>
        <v>4877.0190361445784</v>
      </c>
      <c r="I1386" t="s">
        <v>1377</v>
      </c>
      <c r="J1386" t="s">
        <v>31</v>
      </c>
      <c r="K1386" t="s">
        <v>8</v>
      </c>
      <c r="L1386">
        <v>4</v>
      </c>
      <c r="M1386" t="s">
        <v>56</v>
      </c>
      <c r="N1386" t="s">
        <v>37</v>
      </c>
      <c r="O1386" t="s">
        <v>393</v>
      </c>
      <c r="P1386" s="6" t="str">
        <f>IF(Table1[[#This Row],[Transaction_Amount]]&lt;=Table1[[#This Row],[avg_transaction_amount]], "usual transaction", "unusual transaction")</f>
        <v>unusual transaction</v>
      </c>
      <c r="Q1386" s="6" t="str">
        <f>IF(AND(Table1[[#This Row],[Country_of_Residence]]&lt;&gt;Table1[[#This Row],[Country_of_Transaction]], OR(Table1[[#This Row],[Authentication_Type]]="Biometric", Table1[[#This Row],[Authentication_Type]]="OTP")), "safe location transaction", "unsafe location transaction")</f>
        <v>safe location transaction</v>
      </c>
      <c r="R1386" s="6" t="str">
        <f>IF(AND(Table1[[#This Row],[Country_of_Residence]]&lt;&gt;Table1[[#This Row],[Country_of_Transaction]], OR(Table1[[#This Row],[Merchant_Category]]="Electronics", Table1[[#This Row],[Merchant_Category]]="Travel")), "unsafe merchant transaction", "safe merchant transaction")</f>
        <v>safe merchant transaction</v>
      </c>
    </row>
    <row r="1387" spans="1:18">
      <c r="A1387" t="s">
        <v>3794</v>
      </c>
      <c r="B1387" t="s">
        <v>220</v>
      </c>
      <c r="C1387">
        <v>1</v>
      </c>
      <c r="D1387" t="s">
        <v>9</v>
      </c>
      <c r="E1387" t="s">
        <v>6</v>
      </c>
      <c r="F1387" s="2">
        <v>45929</v>
      </c>
      <c r="G1387">
        <v>4662</v>
      </c>
      <c r="H1387" s="1">
        <f>AVERAGEIF(Table1[Customer_ID], Table1[[#This Row],[Customer_ID]], Table1[Transaction_Amount])</f>
        <v>4877.0190361445784</v>
      </c>
      <c r="I1387" t="s">
        <v>1380</v>
      </c>
      <c r="J1387" t="s">
        <v>46</v>
      </c>
      <c r="K1387" t="s">
        <v>12</v>
      </c>
      <c r="L1387">
        <v>4</v>
      </c>
      <c r="M1387" t="s">
        <v>55</v>
      </c>
      <c r="N1387" t="s">
        <v>51</v>
      </c>
      <c r="O1387" t="s">
        <v>393</v>
      </c>
      <c r="P1387" s="6" t="str">
        <f>IF(Table1[[#This Row],[Transaction_Amount]]&lt;=Table1[[#This Row],[avg_transaction_amount]], "usual transaction", "unusual transaction")</f>
        <v>usual transaction</v>
      </c>
      <c r="Q1387" s="6" t="str">
        <f>IF(AND(Table1[[#This Row],[Country_of_Residence]]&lt;&gt;Table1[[#This Row],[Country_of_Transaction]], OR(Table1[[#This Row],[Authentication_Type]]="Biometric", Table1[[#This Row],[Authentication_Type]]="OTP")), "safe location transaction", "unsafe location transaction")</f>
        <v>unsafe location transaction</v>
      </c>
      <c r="R1387" s="6" t="str">
        <f>IF(AND(Table1[[#This Row],[Country_of_Residence]]&lt;&gt;Table1[[#This Row],[Country_of_Transaction]], OR(Table1[[#This Row],[Merchant_Category]]="Electronics", Table1[[#This Row],[Merchant_Category]]="Travel")), "unsafe merchant transaction", "safe merchant transaction")</f>
        <v>safe merchant transaction</v>
      </c>
    </row>
    <row r="1388" spans="1:18">
      <c r="A1388" t="s">
        <v>3818</v>
      </c>
      <c r="B1388" t="s">
        <v>220</v>
      </c>
      <c r="C1388">
        <v>1</v>
      </c>
      <c r="D1388" t="s">
        <v>9</v>
      </c>
      <c r="E1388" t="s">
        <v>5</v>
      </c>
      <c r="F1388" s="2">
        <v>45665</v>
      </c>
      <c r="G1388">
        <v>9898.1299999999992</v>
      </c>
      <c r="H1388" s="1">
        <f>AVERAGEIF(Table1[Customer_ID], Table1[[#This Row],[Customer_ID]], Table1[Transaction_Amount])</f>
        <v>4877.0190361445784</v>
      </c>
      <c r="I1388" t="s">
        <v>1400</v>
      </c>
      <c r="J1388" t="s">
        <v>46</v>
      </c>
      <c r="K1388" t="s">
        <v>12</v>
      </c>
      <c r="L1388">
        <v>1</v>
      </c>
      <c r="M1388" t="s">
        <v>32</v>
      </c>
      <c r="N1388" t="s">
        <v>412</v>
      </c>
      <c r="O1388" t="s">
        <v>393</v>
      </c>
      <c r="P1388" s="6" t="str">
        <f>IF(Table1[[#This Row],[Transaction_Amount]]&lt;=Table1[[#This Row],[avg_transaction_amount]], "usual transaction", "unusual transaction")</f>
        <v>unusual transaction</v>
      </c>
      <c r="Q1388" s="6" t="str">
        <f>IF(AND(Table1[[#This Row],[Country_of_Residence]]&lt;&gt;Table1[[#This Row],[Country_of_Transaction]], OR(Table1[[#This Row],[Authentication_Type]]="Biometric", Table1[[#This Row],[Authentication_Type]]="OTP")), "safe location transaction", "unsafe location transaction")</f>
        <v>unsafe location transaction</v>
      </c>
      <c r="R1388" s="6" t="str">
        <f>IF(AND(Table1[[#This Row],[Country_of_Residence]]&lt;&gt;Table1[[#This Row],[Country_of_Transaction]], OR(Table1[[#This Row],[Merchant_Category]]="Electronics", Table1[[#This Row],[Merchant_Category]]="Travel")), "unsafe merchant transaction", "safe merchant transaction")</f>
        <v>safe merchant transaction</v>
      </c>
    </row>
    <row r="1389" spans="1:18">
      <c r="A1389" t="s">
        <v>3887</v>
      </c>
      <c r="B1389" t="s">
        <v>220</v>
      </c>
      <c r="C1389">
        <v>1</v>
      </c>
      <c r="D1389" t="s">
        <v>15</v>
      </c>
      <c r="E1389" t="s">
        <v>420</v>
      </c>
      <c r="F1389" s="2">
        <v>45881</v>
      </c>
      <c r="G1389">
        <v>5737.98</v>
      </c>
      <c r="H1389" s="1">
        <f>AVERAGEIF(Table1[Customer_ID], Table1[[#This Row],[Customer_ID]], Table1[Transaction_Amount])</f>
        <v>4877.0190361445784</v>
      </c>
      <c r="I1389" t="s">
        <v>1455</v>
      </c>
      <c r="J1389" t="s">
        <v>36</v>
      </c>
      <c r="K1389" t="s">
        <v>10</v>
      </c>
      <c r="L1389">
        <v>3</v>
      </c>
      <c r="M1389" t="s">
        <v>37</v>
      </c>
      <c r="N1389" t="s">
        <v>51</v>
      </c>
      <c r="O1389" t="s">
        <v>392</v>
      </c>
      <c r="P1389" s="6" t="str">
        <f>IF(Table1[[#This Row],[Transaction_Amount]]&lt;=Table1[[#This Row],[avg_transaction_amount]], "usual transaction", "unusual transaction")</f>
        <v>unusual transaction</v>
      </c>
      <c r="Q1389" s="6" t="str">
        <f>IF(AND(Table1[[#This Row],[Country_of_Residence]]&lt;&gt;Table1[[#This Row],[Country_of_Transaction]], OR(Table1[[#This Row],[Authentication_Type]]="Biometric", Table1[[#This Row],[Authentication_Type]]="OTP")), "safe location transaction", "unsafe location transaction")</f>
        <v>safe location transaction</v>
      </c>
      <c r="R1389" s="6" t="str">
        <f>IF(AND(Table1[[#This Row],[Country_of_Residence]]&lt;&gt;Table1[[#This Row],[Country_of_Transaction]], OR(Table1[[#This Row],[Merchant_Category]]="Electronics", Table1[[#This Row],[Merchant_Category]]="Travel")), "unsafe merchant transaction", "safe merchant transaction")</f>
        <v>safe merchant transaction</v>
      </c>
    </row>
    <row r="1390" spans="1:18">
      <c r="A1390" t="s">
        <v>3931</v>
      </c>
      <c r="B1390" t="s">
        <v>220</v>
      </c>
      <c r="C1390">
        <v>1</v>
      </c>
      <c r="D1390" t="s">
        <v>9</v>
      </c>
      <c r="E1390" t="s">
        <v>6</v>
      </c>
      <c r="F1390" s="2">
        <v>45743</v>
      </c>
      <c r="G1390">
        <v>7937.02</v>
      </c>
      <c r="H1390" s="1">
        <f>AVERAGEIF(Table1[Customer_ID], Table1[[#This Row],[Customer_ID]], Table1[Transaction_Amount])</f>
        <v>4877.0190361445784</v>
      </c>
      <c r="I1390" t="s">
        <v>1495</v>
      </c>
      <c r="J1390" t="s">
        <v>41</v>
      </c>
      <c r="K1390" t="s">
        <v>10</v>
      </c>
      <c r="L1390">
        <v>5</v>
      </c>
      <c r="M1390" t="s">
        <v>55</v>
      </c>
      <c r="N1390" t="s">
        <v>47</v>
      </c>
      <c r="O1390" t="s">
        <v>393</v>
      </c>
      <c r="P1390" s="6" t="str">
        <f>IF(Table1[[#This Row],[Transaction_Amount]]&lt;=Table1[[#This Row],[avg_transaction_amount]], "usual transaction", "unusual transaction")</f>
        <v>unusual transaction</v>
      </c>
      <c r="Q1390" s="6" t="str">
        <f>IF(AND(Table1[[#This Row],[Country_of_Residence]]&lt;&gt;Table1[[#This Row],[Country_of_Transaction]], OR(Table1[[#This Row],[Authentication_Type]]="Biometric", Table1[[#This Row],[Authentication_Type]]="OTP")), "safe location transaction", "unsafe location transaction")</f>
        <v>safe location transaction</v>
      </c>
      <c r="R1390" s="6" t="str">
        <f>IF(AND(Table1[[#This Row],[Country_of_Residence]]&lt;&gt;Table1[[#This Row],[Country_of_Transaction]], OR(Table1[[#This Row],[Merchant_Category]]="Electronics", Table1[[#This Row],[Merchant_Category]]="Travel")), "unsafe merchant transaction", "safe merchant transaction")</f>
        <v>safe merchant transaction</v>
      </c>
    </row>
    <row r="1391" spans="1:18">
      <c r="A1391" t="s">
        <v>3932</v>
      </c>
      <c r="B1391" t="s">
        <v>220</v>
      </c>
      <c r="C1391">
        <v>1</v>
      </c>
      <c r="D1391" t="s">
        <v>15</v>
      </c>
      <c r="E1391" t="s">
        <v>3</v>
      </c>
      <c r="F1391" s="2">
        <v>45889</v>
      </c>
      <c r="G1391">
        <v>3256.03</v>
      </c>
      <c r="H1391" s="1">
        <f>AVERAGEIF(Table1[Customer_ID], Table1[[#This Row],[Customer_ID]], Table1[Transaction_Amount])</f>
        <v>4877.0190361445784</v>
      </c>
      <c r="I1391" t="s">
        <v>1496</v>
      </c>
      <c r="J1391" t="s">
        <v>41</v>
      </c>
      <c r="K1391" t="s">
        <v>14</v>
      </c>
      <c r="L1391">
        <v>0</v>
      </c>
      <c r="M1391" t="s">
        <v>51</v>
      </c>
      <c r="N1391" t="s">
        <v>51</v>
      </c>
      <c r="O1391" t="s">
        <v>393</v>
      </c>
      <c r="P1391" s="6" t="str">
        <f>IF(Table1[[#This Row],[Transaction_Amount]]&lt;=Table1[[#This Row],[avg_transaction_amount]], "usual transaction", "unusual transaction")</f>
        <v>usual transaction</v>
      </c>
      <c r="Q1391" s="6" t="str">
        <f>IF(AND(Table1[[#This Row],[Country_of_Residence]]&lt;&gt;Table1[[#This Row],[Country_of_Transaction]], OR(Table1[[#This Row],[Authentication_Type]]="Biometric", Table1[[#This Row],[Authentication_Type]]="OTP")), "safe location transaction", "unsafe location transaction")</f>
        <v>unsafe location transaction</v>
      </c>
      <c r="R1391" s="6" t="str">
        <f>IF(AND(Table1[[#This Row],[Country_of_Residence]]&lt;&gt;Table1[[#This Row],[Country_of_Transaction]], OR(Table1[[#This Row],[Merchant_Category]]="Electronics", Table1[[#This Row],[Merchant_Category]]="Travel")), "unsafe merchant transaction", "safe merchant transaction")</f>
        <v>safe merchant transaction</v>
      </c>
    </row>
    <row r="1392" spans="1:18">
      <c r="A1392" t="s">
        <v>3947</v>
      </c>
      <c r="B1392" t="s">
        <v>220</v>
      </c>
      <c r="C1392">
        <v>1</v>
      </c>
      <c r="D1392" t="s">
        <v>15</v>
      </c>
      <c r="E1392" t="s">
        <v>420</v>
      </c>
      <c r="F1392" s="2">
        <v>45908</v>
      </c>
      <c r="G1392">
        <v>3564.12</v>
      </c>
      <c r="H1392" s="1">
        <f>AVERAGEIF(Table1[Customer_ID], Table1[[#This Row],[Customer_ID]], Table1[Transaction_Amount])</f>
        <v>4877.0190361445784</v>
      </c>
      <c r="I1392" t="s">
        <v>1511</v>
      </c>
      <c r="J1392" t="s">
        <v>31</v>
      </c>
      <c r="K1392" t="s">
        <v>14</v>
      </c>
      <c r="L1392">
        <v>0</v>
      </c>
      <c r="M1392" t="s">
        <v>56</v>
      </c>
      <c r="N1392" t="s">
        <v>47</v>
      </c>
      <c r="O1392" t="s">
        <v>392</v>
      </c>
      <c r="P1392" s="6" t="str">
        <f>IF(Table1[[#This Row],[Transaction_Amount]]&lt;=Table1[[#This Row],[avg_transaction_amount]], "usual transaction", "unusual transaction")</f>
        <v>usual transaction</v>
      </c>
      <c r="Q1392" s="6" t="str">
        <f>IF(AND(Table1[[#This Row],[Country_of_Residence]]&lt;&gt;Table1[[#This Row],[Country_of_Transaction]], OR(Table1[[#This Row],[Authentication_Type]]="Biometric", Table1[[#This Row],[Authentication_Type]]="OTP")), "safe location transaction", "unsafe location transaction")</f>
        <v>unsafe location transaction</v>
      </c>
      <c r="R1392" s="6" t="str">
        <f>IF(AND(Table1[[#This Row],[Country_of_Residence]]&lt;&gt;Table1[[#This Row],[Country_of_Transaction]], OR(Table1[[#This Row],[Merchant_Category]]="Electronics", Table1[[#This Row],[Merchant_Category]]="Travel")), "unsafe merchant transaction", "safe merchant transaction")</f>
        <v>safe merchant transaction</v>
      </c>
    </row>
    <row r="1393" spans="1:18">
      <c r="A1393" t="s">
        <v>3954</v>
      </c>
      <c r="B1393" t="s">
        <v>220</v>
      </c>
      <c r="C1393">
        <v>1</v>
      </c>
      <c r="D1393" t="s">
        <v>15</v>
      </c>
      <c r="E1393" t="s">
        <v>5</v>
      </c>
      <c r="F1393" s="2">
        <v>45681</v>
      </c>
      <c r="G1393">
        <v>4744.95</v>
      </c>
      <c r="H1393" s="1">
        <f>AVERAGEIF(Table1[Customer_ID], Table1[[#This Row],[Customer_ID]], Table1[Transaction_Amount])</f>
        <v>4877.0190361445784</v>
      </c>
      <c r="I1393" t="s">
        <v>1517</v>
      </c>
      <c r="J1393" t="s">
        <v>36</v>
      </c>
      <c r="K1393" t="s">
        <v>12</v>
      </c>
      <c r="L1393">
        <v>4</v>
      </c>
      <c r="M1393" t="s">
        <v>51</v>
      </c>
      <c r="N1393" t="s">
        <v>47</v>
      </c>
      <c r="O1393" t="s">
        <v>392</v>
      </c>
      <c r="P1393" s="6" t="str">
        <f>IF(Table1[[#This Row],[Transaction_Amount]]&lt;=Table1[[#This Row],[avg_transaction_amount]], "usual transaction", "unusual transaction")</f>
        <v>usual transaction</v>
      </c>
      <c r="Q1393" s="6" t="str">
        <f>IF(AND(Table1[[#This Row],[Country_of_Residence]]&lt;&gt;Table1[[#This Row],[Country_of_Transaction]], OR(Table1[[#This Row],[Authentication_Type]]="Biometric", Table1[[#This Row],[Authentication_Type]]="OTP")), "safe location transaction", "unsafe location transaction")</f>
        <v>unsafe location transaction</v>
      </c>
      <c r="R1393" s="6" t="str">
        <f>IF(AND(Table1[[#This Row],[Country_of_Residence]]&lt;&gt;Table1[[#This Row],[Country_of_Transaction]], OR(Table1[[#This Row],[Merchant_Category]]="Electronics", Table1[[#This Row],[Merchant_Category]]="Travel")), "unsafe merchant transaction", "safe merchant transaction")</f>
        <v>safe merchant transaction</v>
      </c>
    </row>
    <row r="1394" spans="1:18">
      <c r="A1394" t="s">
        <v>3977</v>
      </c>
      <c r="B1394" t="s">
        <v>220</v>
      </c>
      <c r="C1394">
        <v>1</v>
      </c>
      <c r="D1394" t="s">
        <v>15</v>
      </c>
      <c r="E1394" t="s">
        <v>420</v>
      </c>
      <c r="F1394" s="2">
        <v>45795</v>
      </c>
      <c r="G1394">
        <v>7195.9</v>
      </c>
      <c r="H1394" s="1">
        <f>AVERAGEIF(Table1[Customer_ID], Table1[[#This Row],[Customer_ID]], Table1[Transaction_Amount])</f>
        <v>4877.0190361445784</v>
      </c>
      <c r="I1394" t="s">
        <v>1536</v>
      </c>
      <c r="J1394" t="s">
        <v>31</v>
      </c>
      <c r="K1394" t="s">
        <v>12</v>
      </c>
      <c r="L1394">
        <v>5</v>
      </c>
      <c r="M1394" t="s">
        <v>56</v>
      </c>
      <c r="N1394" t="s">
        <v>37</v>
      </c>
      <c r="O1394" t="s">
        <v>392</v>
      </c>
      <c r="P1394" s="6" t="str">
        <f>IF(Table1[[#This Row],[Transaction_Amount]]&lt;=Table1[[#This Row],[avg_transaction_amount]], "usual transaction", "unusual transaction")</f>
        <v>unusual transaction</v>
      </c>
      <c r="Q1394" s="6" t="str">
        <f>IF(AND(Table1[[#This Row],[Country_of_Residence]]&lt;&gt;Table1[[#This Row],[Country_of_Transaction]], OR(Table1[[#This Row],[Authentication_Type]]="Biometric", Table1[[#This Row],[Authentication_Type]]="OTP")), "safe location transaction", "unsafe location transaction")</f>
        <v>unsafe location transaction</v>
      </c>
      <c r="R1394" s="6" t="str">
        <f>IF(AND(Table1[[#This Row],[Country_of_Residence]]&lt;&gt;Table1[[#This Row],[Country_of_Transaction]], OR(Table1[[#This Row],[Merchant_Category]]="Electronics", Table1[[#This Row],[Merchant_Category]]="Travel")), "unsafe merchant transaction", "safe merchant transaction")</f>
        <v>safe merchant transaction</v>
      </c>
    </row>
    <row r="1395" spans="1:18">
      <c r="A1395" t="s">
        <v>3981</v>
      </c>
      <c r="B1395" t="s">
        <v>220</v>
      </c>
      <c r="C1395">
        <v>1</v>
      </c>
      <c r="D1395" t="s">
        <v>9</v>
      </c>
      <c r="E1395" t="s">
        <v>3</v>
      </c>
      <c r="F1395" s="2">
        <v>45773</v>
      </c>
      <c r="G1395">
        <v>3111.91</v>
      </c>
      <c r="H1395" s="1">
        <f>AVERAGEIF(Table1[Customer_ID], Table1[[#This Row],[Customer_ID]], Table1[Transaction_Amount])</f>
        <v>4877.0190361445784</v>
      </c>
      <c r="I1395" t="s">
        <v>1540</v>
      </c>
      <c r="J1395" t="s">
        <v>50</v>
      </c>
      <c r="K1395" t="s">
        <v>12</v>
      </c>
      <c r="L1395">
        <v>4</v>
      </c>
      <c r="M1395" t="s">
        <v>33</v>
      </c>
      <c r="N1395" t="s">
        <v>33</v>
      </c>
      <c r="O1395" t="s">
        <v>392</v>
      </c>
      <c r="P1395" s="6" t="str">
        <f>IF(Table1[[#This Row],[Transaction_Amount]]&lt;=Table1[[#This Row],[avg_transaction_amount]], "usual transaction", "unusual transaction")</f>
        <v>usual transaction</v>
      </c>
      <c r="Q1395" s="6" t="str">
        <f>IF(AND(Table1[[#This Row],[Country_of_Residence]]&lt;&gt;Table1[[#This Row],[Country_of_Transaction]], OR(Table1[[#This Row],[Authentication_Type]]="Biometric", Table1[[#This Row],[Authentication_Type]]="OTP")), "safe location transaction", "unsafe location transaction")</f>
        <v>unsafe location transaction</v>
      </c>
      <c r="R1395" s="6" t="str">
        <f>IF(AND(Table1[[#This Row],[Country_of_Residence]]&lt;&gt;Table1[[#This Row],[Country_of_Transaction]], OR(Table1[[#This Row],[Merchant_Category]]="Electronics", Table1[[#This Row],[Merchant_Category]]="Travel")), "unsafe merchant transaction", "safe merchant transaction")</f>
        <v>safe merchant transaction</v>
      </c>
    </row>
    <row r="1396" spans="1:18">
      <c r="A1396" t="s">
        <v>3993</v>
      </c>
      <c r="B1396" t="s">
        <v>220</v>
      </c>
      <c r="C1396">
        <v>1</v>
      </c>
      <c r="D1396" t="s">
        <v>9</v>
      </c>
      <c r="E1396" t="s">
        <v>6</v>
      </c>
      <c r="F1396" s="2">
        <v>45709</v>
      </c>
      <c r="G1396">
        <v>1582.22</v>
      </c>
      <c r="H1396" s="1">
        <f>AVERAGEIF(Table1[Customer_ID], Table1[[#This Row],[Customer_ID]], Table1[Transaction_Amount])</f>
        <v>4877.0190361445784</v>
      </c>
      <c r="I1396" t="s">
        <v>1552</v>
      </c>
      <c r="J1396" t="s">
        <v>50</v>
      </c>
      <c r="K1396" t="s">
        <v>14</v>
      </c>
      <c r="L1396">
        <v>2</v>
      </c>
      <c r="M1396" t="s">
        <v>412</v>
      </c>
      <c r="N1396" t="s">
        <v>56</v>
      </c>
      <c r="O1396" t="s">
        <v>392</v>
      </c>
      <c r="P1396" s="6" t="str">
        <f>IF(Table1[[#This Row],[Transaction_Amount]]&lt;=Table1[[#This Row],[avg_transaction_amount]], "usual transaction", "unusual transaction")</f>
        <v>usual transaction</v>
      </c>
      <c r="Q1396" s="6" t="str">
        <f>IF(AND(Table1[[#This Row],[Country_of_Residence]]&lt;&gt;Table1[[#This Row],[Country_of_Transaction]], OR(Table1[[#This Row],[Authentication_Type]]="Biometric", Table1[[#This Row],[Authentication_Type]]="OTP")), "safe location transaction", "unsafe location transaction")</f>
        <v>unsafe location transaction</v>
      </c>
      <c r="R1396" s="6" t="str">
        <f>IF(AND(Table1[[#This Row],[Country_of_Residence]]&lt;&gt;Table1[[#This Row],[Country_of_Transaction]], OR(Table1[[#This Row],[Merchant_Category]]="Electronics", Table1[[#This Row],[Merchant_Category]]="Travel")), "unsafe merchant transaction", "safe merchant transaction")</f>
        <v>unsafe merchant transaction</v>
      </c>
    </row>
    <row r="1397" spans="1:18">
      <c r="A1397" t="s">
        <v>4006</v>
      </c>
      <c r="B1397" t="s">
        <v>220</v>
      </c>
      <c r="C1397">
        <v>1</v>
      </c>
      <c r="D1397" t="s">
        <v>9</v>
      </c>
      <c r="E1397" t="s">
        <v>6</v>
      </c>
      <c r="F1397" s="2">
        <v>45696</v>
      </c>
      <c r="G1397">
        <v>672.92</v>
      </c>
      <c r="H1397" s="1">
        <f>AVERAGEIF(Table1[Customer_ID], Table1[[#This Row],[Customer_ID]], Table1[Transaction_Amount])</f>
        <v>4877.0190361445784</v>
      </c>
      <c r="I1397" t="s">
        <v>1564</v>
      </c>
      <c r="J1397" t="s">
        <v>41</v>
      </c>
      <c r="K1397" t="s">
        <v>14</v>
      </c>
      <c r="L1397">
        <v>0</v>
      </c>
      <c r="M1397" t="s">
        <v>412</v>
      </c>
      <c r="N1397" t="s">
        <v>32</v>
      </c>
      <c r="O1397" t="s">
        <v>393</v>
      </c>
      <c r="P1397" s="6" t="str">
        <f>IF(Table1[[#This Row],[Transaction_Amount]]&lt;=Table1[[#This Row],[avg_transaction_amount]], "usual transaction", "unusual transaction")</f>
        <v>usual transaction</v>
      </c>
      <c r="Q1397" s="6" t="str">
        <f>IF(AND(Table1[[#This Row],[Country_of_Residence]]&lt;&gt;Table1[[#This Row],[Country_of_Transaction]], OR(Table1[[#This Row],[Authentication_Type]]="Biometric", Table1[[#This Row],[Authentication_Type]]="OTP")), "safe location transaction", "unsafe location transaction")</f>
        <v>unsafe location transaction</v>
      </c>
      <c r="R1397" s="6" t="str">
        <f>IF(AND(Table1[[#This Row],[Country_of_Residence]]&lt;&gt;Table1[[#This Row],[Country_of_Transaction]], OR(Table1[[#This Row],[Merchant_Category]]="Electronics", Table1[[#This Row],[Merchant_Category]]="Travel")), "unsafe merchant transaction", "safe merchant transaction")</f>
        <v>safe merchant transaction</v>
      </c>
    </row>
    <row r="1398" spans="1:18">
      <c r="A1398" t="s">
        <v>4027</v>
      </c>
      <c r="B1398" t="s">
        <v>220</v>
      </c>
      <c r="C1398">
        <v>1</v>
      </c>
      <c r="D1398" t="s">
        <v>9</v>
      </c>
      <c r="E1398" t="s">
        <v>420</v>
      </c>
      <c r="F1398" s="2">
        <v>45736</v>
      </c>
      <c r="G1398">
        <v>5442.67</v>
      </c>
      <c r="H1398" s="1">
        <f>AVERAGEIF(Table1[Customer_ID], Table1[[#This Row],[Customer_ID]], Table1[Transaction_Amount])</f>
        <v>4877.0190361445784</v>
      </c>
      <c r="I1398" t="s">
        <v>1583</v>
      </c>
      <c r="J1398" t="s">
        <v>41</v>
      </c>
      <c r="K1398" t="s">
        <v>12</v>
      </c>
      <c r="L1398">
        <v>3</v>
      </c>
      <c r="M1398" t="s">
        <v>412</v>
      </c>
      <c r="N1398" t="s">
        <v>33</v>
      </c>
      <c r="O1398" t="s">
        <v>393</v>
      </c>
      <c r="P1398" s="6" t="str">
        <f>IF(Table1[[#This Row],[Transaction_Amount]]&lt;=Table1[[#This Row],[avg_transaction_amount]], "usual transaction", "unusual transaction")</f>
        <v>unusual transaction</v>
      </c>
      <c r="Q1398" s="6" t="str">
        <f>IF(AND(Table1[[#This Row],[Country_of_Residence]]&lt;&gt;Table1[[#This Row],[Country_of_Transaction]], OR(Table1[[#This Row],[Authentication_Type]]="Biometric", Table1[[#This Row],[Authentication_Type]]="OTP")), "safe location transaction", "unsafe location transaction")</f>
        <v>unsafe location transaction</v>
      </c>
      <c r="R1398" s="6" t="str">
        <f>IF(AND(Table1[[#This Row],[Country_of_Residence]]&lt;&gt;Table1[[#This Row],[Country_of_Transaction]], OR(Table1[[#This Row],[Merchant_Category]]="Electronics", Table1[[#This Row],[Merchant_Category]]="Travel")), "unsafe merchant transaction", "safe merchant transaction")</f>
        <v>safe merchant transaction</v>
      </c>
    </row>
    <row r="1399" spans="1:18">
      <c r="A1399" t="s">
        <v>4139</v>
      </c>
      <c r="B1399" t="s">
        <v>220</v>
      </c>
      <c r="C1399">
        <v>1</v>
      </c>
      <c r="D1399" t="s">
        <v>15</v>
      </c>
      <c r="E1399" t="s">
        <v>5</v>
      </c>
      <c r="F1399" s="2">
        <v>45729</v>
      </c>
      <c r="G1399">
        <v>196.19</v>
      </c>
      <c r="H1399" s="1">
        <f>AVERAGEIF(Table1[Customer_ID], Table1[[#This Row],[Customer_ID]], Table1[Transaction_Amount])</f>
        <v>4877.0190361445784</v>
      </c>
      <c r="I1399" t="s">
        <v>822</v>
      </c>
      <c r="J1399" t="s">
        <v>50</v>
      </c>
      <c r="K1399" t="s">
        <v>14</v>
      </c>
      <c r="L1399">
        <v>4</v>
      </c>
      <c r="M1399" t="s">
        <v>51</v>
      </c>
      <c r="N1399" t="s">
        <v>32</v>
      </c>
      <c r="O1399" t="s">
        <v>393</v>
      </c>
      <c r="P1399" s="6" t="str">
        <f>IF(Table1[[#This Row],[Transaction_Amount]]&lt;=Table1[[#This Row],[avg_transaction_amount]], "usual transaction", "unusual transaction")</f>
        <v>usual transaction</v>
      </c>
      <c r="Q1399" s="6" t="str">
        <f>IF(AND(Table1[[#This Row],[Country_of_Residence]]&lt;&gt;Table1[[#This Row],[Country_of_Transaction]], OR(Table1[[#This Row],[Authentication_Type]]="Biometric", Table1[[#This Row],[Authentication_Type]]="OTP")), "safe location transaction", "unsafe location transaction")</f>
        <v>unsafe location transaction</v>
      </c>
      <c r="R1399" s="6" t="str">
        <f>IF(AND(Table1[[#This Row],[Country_of_Residence]]&lt;&gt;Table1[[#This Row],[Country_of_Transaction]], OR(Table1[[#This Row],[Merchant_Category]]="Electronics", Table1[[#This Row],[Merchant_Category]]="Travel")), "unsafe merchant transaction", "safe merchant transaction")</f>
        <v>unsafe merchant transaction</v>
      </c>
    </row>
    <row r="1400" spans="1:18">
      <c r="A1400" t="s">
        <v>4195</v>
      </c>
      <c r="B1400" t="s">
        <v>220</v>
      </c>
      <c r="C1400">
        <v>1</v>
      </c>
      <c r="D1400" t="s">
        <v>9</v>
      </c>
      <c r="E1400" t="s">
        <v>3</v>
      </c>
      <c r="F1400" s="2">
        <v>45878</v>
      </c>
      <c r="G1400">
        <v>9315.3700000000008</v>
      </c>
      <c r="H1400" s="1">
        <f>AVERAGEIF(Table1[Customer_ID], Table1[[#This Row],[Customer_ID]], Table1[Transaction_Amount])</f>
        <v>4877.0190361445784</v>
      </c>
      <c r="I1400" t="s">
        <v>1715</v>
      </c>
      <c r="J1400" t="s">
        <v>46</v>
      </c>
      <c r="K1400" t="s">
        <v>10</v>
      </c>
      <c r="L1400">
        <v>1</v>
      </c>
      <c r="M1400" t="s">
        <v>51</v>
      </c>
      <c r="N1400" t="s">
        <v>37</v>
      </c>
      <c r="O1400" t="s">
        <v>393</v>
      </c>
      <c r="P1400" s="6" t="str">
        <f>IF(Table1[[#This Row],[Transaction_Amount]]&lt;=Table1[[#This Row],[avg_transaction_amount]], "usual transaction", "unusual transaction")</f>
        <v>unusual transaction</v>
      </c>
      <c r="Q1400" s="6" t="str">
        <f>IF(AND(Table1[[#This Row],[Country_of_Residence]]&lt;&gt;Table1[[#This Row],[Country_of_Transaction]], OR(Table1[[#This Row],[Authentication_Type]]="Biometric", Table1[[#This Row],[Authentication_Type]]="OTP")), "safe location transaction", "unsafe location transaction")</f>
        <v>safe location transaction</v>
      </c>
      <c r="R1400" s="6" t="str">
        <f>IF(AND(Table1[[#This Row],[Country_of_Residence]]&lt;&gt;Table1[[#This Row],[Country_of_Transaction]], OR(Table1[[#This Row],[Merchant_Category]]="Electronics", Table1[[#This Row],[Merchant_Category]]="Travel")), "unsafe merchant transaction", "safe merchant transaction")</f>
        <v>safe merchant transaction</v>
      </c>
    </row>
    <row r="1401" spans="1:18">
      <c r="A1401" t="s">
        <v>4211</v>
      </c>
      <c r="B1401" t="s">
        <v>220</v>
      </c>
      <c r="C1401">
        <v>1</v>
      </c>
      <c r="D1401" t="s">
        <v>15</v>
      </c>
      <c r="E1401" t="s">
        <v>6</v>
      </c>
      <c r="F1401" s="2">
        <v>45860</v>
      </c>
      <c r="G1401">
        <v>433.82</v>
      </c>
      <c r="H1401" s="1">
        <f>AVERAGEIF(Table1[Customer_ID], Table1[[#This Row],[Customer_ID]], Table1[Transaction_Amount])</f>
        <v>4877.0190361445784</v>
      </c>
      <c r="I1401" t="s">
        <v>1731</v>
      </c>
      <c r="J1401" t="s">
        <v>41</v>
      </c>
      <c r="K1401" t="s">
        <v>12</v>
      </c>
      <c r="L1401">
        <v>4</v>
      </c>
      <c r="M1401" t="s">
        <v>33</v>
      </c>
      <c r="N1401" t="s">
        <v>42</v>
      </c>
      <c r="O1401" t="s">
        <v>392</v>
      </c>
      <c r="P1401" s="6" t="str">
        <f>IF(Table1[[#This Row],[Transaction_Amount]]&lt;=Table1[[#This Row],[avg_transaction_amount]], "usual transaction", "unusual transaction")</f>
        <v>usual transaction</v>
      </c>
      <c r="Q1401" s="6" t="str">
        <f>IF(AND(Table1[[#This Row],[Country_of_Residence]]&lt;&gt;Table1[[#This Row],[Country_of_Transaction]], OR(Table1[[#This Row],[Authentication_Type]]="Biometric", Table1[[#This Row],[Authentication_Type]]="OTP")), "safe location transaction", "unsafe location transaction")</f>
        <v>unsafe location transaction</v>
      </c>
      <c r="R1401" s="6" t="str">
        <f>IF(AND(Table1[[#This Row],[Country_of_Residence]]&lt;&gt;Table1[[#This Row],[Country_of_Transaction]], OR(Table1[[#This Row],[Merchant_Category]]="Electronics", Table1[[#This Row],[Merchant_Category]]="Travel")), "unsafe merchant transaction", "safe merchant transaction")</f>
        <v>safe merchant transaction</v>
      </c>
    </row>
    <row r="1402" spans="1:18">
      <c r="A1402" t="s">
        <v>4228</v>
      </c>
      <c r="B1402" t="s">
        <v>220</v>
      </c>
      <c r="C1402">
        <v>1</v>
      </c>
      <c r="D1402" t="s">
        <v>15</v>
      </c>
      <c r="E1402" t="s">
        <v>5</v>
      </c>
      <c r="F1402" s="2">
        <v>45827</v>
      </c>
      <c r="G1402">
        <v>8910.74</v>
      </c>
      <c r="H1402" s="1">
        <f>AVERAGEIF(Table1[Customer_ID], Table1[[#This Row],[Customer_ID]], Table1[Transaction_Amount])</f>
        <v>4877.0190361445784</v>
      </c>
      <c r="I1402" t="s">
        <v>1747</v>
      </c>
      <c r="J1402" t="s">
        <v>36</v>
      </c>
      <c r="K1402" t="s">
        <v>12</v>
      </c>
      <c r="L1402">
        <v>2</v>
      </c>
      <c r="M1402" t="s">
        <v>51</v>
      </c>
      <c r="N1402" t="s">
        <v>55</v>
      </c>
      <c r="O1402" t="s">
        <v>393</v>
      </c>
      <c r="P1402" s="6" t="str">
        <f>IF(Table1[[#This Row],[Transaction_Amount]]&lt;=Table1[[#This Row],[avg_transaction_amount]], "usual transaction", "unusual transaction")</f>
        <v>unusual transaction</v>
      </c>
      <c r="Q1402" s="6" t="str">
        <f>IF(AND(Table1[[#This Row],[Country_of_Residence]]&lt;&gt;Table1[[#This Row],[Country_of_Transaction]], OR(Table1[[#This Row],[Authentication_Type]]="Biometric", Table1[[#This Row],[Authentication_Type]]="OTP")), "safe location transaction", "unsafe location transaction")</f>
        <v>unsafe location transaction</v>
      </c>
      <c r="R1402" s="6" t="str">
        <f>IF(AND(Table1[[#This Row],[Country_of_Residence]]&lt;&gt;Table1[[#This Row],[Country_of_Transaction]], OR(Table1[[#This Row],[Merchant_Category]]="Electronics", Table1[[#This Row],[Merchant_Category]]="Travel")), "unsafe merchant transaction", "safe merchant transaction")</f>
        <v>safe merchant transaction</v>
      </c>
    </row>
    <row r="1403" spans="1:18">
      <c r="A1403" t="s">
        <v>4240</v>
      </c>
      <c r="B1403" t="s">
        <v>220</v>
      </c>
      <c r="C1403">
        <v>1</v>
      </c>
      <c r="D1403" t="s">
        <v>9</v>
      </c>
      <c r="E1403" t="s">
        <v>3</v>
      </c>
      <c r="F1403" s="2">
        <v>45762</v>
      </c>
      <c r="G1403">
        <v>2251.81</v>
      </c>
      <c r="H1403" s="1">
        <f>AVERAGEIF(Table1[Customer_ID], Table1[[#This Row],[Customer_ID]], Table1[Transaction_Amount])</f>
        <v>4877.0190361445784</v>
      </c>
      <c r="I1403" t="s">
        <v>1756</v>
      </c>
      <c r="J1403" t="s">
        <v>46</v>
      </c>
      <c r="K1403" t="s">
        <v>8</v>
      </c>
      <c r="L1403">
        <v>1</v>
      </c>
      <c r="M1403" t="s">
        <v>42</v>
      </c>
      <c r="N1403" t="s">
        <v>412</v>
      </c>
      <c r="O1403" t="s">
        <v>392</v>
      </c>
      <c r="P1403" s="6" t="str">
        <f>IF(Table1[[#This Row],[Transaction_Amount]]&lt;=Table1[[#This Row],[avg_transaction_amount]], "usual transaction", "unusual transaction")</f>
        <v>usual transaction</v>
      </c>
      <c r="Q1403" s="6" t="str">
        <f>IF(AND(Table1[[#This Row],[Country_of_Residence]]&lt;&gt;Table1[[#This Row],[Country_of_Transaction]], OR(Table1[[#This Row],[Authentication_Type]]="Biometric", Table1[[#This Row],[Authentication_Type]]="OTP")), "safe location transaction", "unsafe location transaction")</f>
        <v>safe location transaction</v>
      </c>
      <c r="R1403" s="6" t="str">
        <f>IF(AND(Table1[[#This Row],[Country_of_Residence]]&lt;&gt;Table1[[#This Row],[Country_of_Transaction]], OR(Table1[[#This Row],[Merchant_Category]]="Electronics", Table1[[#This Row],[Merchant_Category]]="Travel")), "unsafe merchant transaction", "safe merchant transaction")</f>
        <v>safe merchant transaction</v>
      </c>
    </row>
    <row r="1404" spans="1:18">
      <c r="A1404" t="s">
        <v>4324</v>
      </c>
      <c r="B1404" t="s">
        <v>220</v>
      </c>
      <c r="C1404">
        <v>1</v>
      </c>
      <c r="D1404" t="s">
        <v>15</v>
      </c>
      <c r="E1404" t="s">
        <v>6</v>
      </c>
      <c r="F1404" s="2">
        <v>45918</v>
      </c>
      <c r="G1404">
        <v>2937.26</v>
      </c>
      <c r="H1404" s="1">
        <f>AVERAGEIF(Table1[Customer_ID], Table1[[#This Row],[Customer_ID]], Table1[Transaction_Amount])</f>
        <v>4877.0190361445784</v>
      </c>
      <c r="I1404" t="s">
        <v>1831</v>
      </c>
      <c r="J1404" t="s">
        <v>36</v>
      </c>
      <c r="K1404" t="s">
        <v>12</v>
      </c>
      <c r="L1404">
        <v>3</v>
      </c>
      <c r="M1404" t="s">
        <v>412</v>
      </c>
      <c r="N1404" t="s">
        <v>42</v>
      </c>
      <c r="O1404" t="s">
        <v>393</v>
      </c>
      <c r="P1404" s="6" t="str">
        <f>IF(Table1[[#This Row],[Transaction_Amount]]&lt;=Table1[[#This Row],[avg_transaction_amount]], "usual transaction", "unusual transaction")</f>
        <v>usual transaction</v>
      </c>
      <c r="Q1404" s="6" t="str">
        <f>IF(AND(Table1[[#This Row],[Country_of_Residence]]&lt;&gt;Table1[[#This Row],[Country_of_Transaction]], OR(Table1[[#This Row],[Authentication_Type]]="Biometric", Table1[[#This Row],[Authentication_Type]]="OTP")), "safe location transaction", "unsafe location transaction")</f>
        <v>unsafe location transaction</v>
      </c>
      <c r="R1404" s="6" t="str">
        <f>IF(AND(Table1[[#This Row],[Country_of_Residence]]&lt;&gt;Table1[[#This Row],[Country_of_Transaction]], OR(Table1[[#This Row],[Merchant_Category]]="Electronics", Table1[[#This Row],[Merchant_Category]]="Travel")), "unsafe merchant transaction", "safe merchant transaction")</f>
        <v>safe merchant transaction</v>
      </c>
    </row>
    <row r="1405" spans="1:18">
      <c r="A1405" t="s">
        <v>4347</v>
      </c>
      <c r="B1405" t="s">
        <v>220</v>
      </c>
      <c r="C1405">
        <v>1</v>
      </c>
      <c r="D1405" t="s">
        <v>15</v>
      </c>
      <c r="E1405" t="s">
        <v>420</v>
      </c>
      <c r="F1405" s="2">
        <v>45986</v>
      </c>
      <c r="G1405">
        <v>6189.39</v>
      </c>
      <c r="H1405" s="1">
        <f>AVERAGEIF(Table1[Customer_ID], Table1[[#This Row],[Customer_ID]], Table1[Transaction_Amount])</f>
        <v>4877.0190361445784</v>
      </c>
      <c r="I1405" t="s">
        <v>1853</v>
      </c>
      <c r="J1405" t="s">
        <v>50</v>
      </c>
      <c r="K1405" t="s">
        <v>10</v>
      </c>
      <c r="L1405">
        <v>1</v>
      </c>
      <c r="M1405" t="s">
        <v>42</v>
      </c>
      <c r="N1405" t="s">
        <v>47</v>
      </c>
      <c r="O1405" t="s">
        <v>393</v>
      </c>
      <c r="P1405" s="6" t="str">
        <f>IF(Table1[[#This Row],[Transaction_Amount]]&lt;=Table1[[#This Row],[avg_transaction_amount]], "usual transaction", "unusual transaction")</f>
        <v>unusual transaction</v>
      </c>
      <c r="Q1405" s="6" t="str">
        <f>IF(AND(Table1[[#This Row],[Country_of_Residence]]&lt;&gt;Table1[[#This Row],[Country_of_Transaction]], OR(Table1[[#This Row],[Authentication_Type]]="Biometric", Table1[[#This Row],[Authentication_Type]]="OTP")), "safe location transaction", "unsafe location transaction")</f>
        <v>safe location transaction</v>
      </c>
      <c r="R1405" s="6" t="str">
        <f>IF(AND(Table1[[#This Row],[Country_of_Residence]]&lt;&gt;Table1[[#This Row],[Country_of_Transaction]], OR(Table1[[#This Row],[Merchant_Category]]="Electronics", Table1[[#This Row],[Merchant_Category]]="Travel")), "unsafe merchant transaction", "safe merchant transaction")</f>
        <v>unsafe merchant transaction</v>
      </c>
    </row>
    <row r="1406" spans="1:18">
      <c r="A1406" t="s">
        <v>4349</v>
      </c>
      <c r="B1406" t="s">
        <v>220</v>
      </c>
      <c r="C1406">
        <v>1</v>
      </c>
      <c r="D1406" t="s">
        <v>15</v>
      </c>
      <c r="E1406" t="s">
        <v>5</v>
      </c>
      <c r="F1406" s="2">
        <v>45932</v>
      </c>
      <c r="G1406">
        <v>418.7</v>
      </c>
      <c r="H1406" s="1">
        <f>AVERAGEIF(Table1[Customer_ID], Table1[[#This Row],[Customer_ID]], Table1[Transaction_Amount])</f>
        <v>4877.0190361445784</v>
      </c>
      <c r="I1406" t="s">
        <v>1855</v>
      </c>
      <c r="J1406" t="s">
        <v>46</v>
      </c>
      <c r="K1406" t="s">
        <v>8</v>
      </c>
      <c r="L1406">
        <v>4</v>
      </c>
      <c r="M1406" t="s">
        <v>56</v>
      </c>
      <c r="N1406" t="s">
        <v>37</v>
      </c>
      <c r="O1406" t="s">
        <v>393</v>
      </c>
      <c r="P1406" s="6" t="str">
        <f>IF(Table1[[#This Row],[Transaction_Amount]]&lt;=Table1[[#This Row],[avg_transaction_amount]], "usual transaction", "unusual transaction")</f>
        <v>usual transaction</v>
      </c>
      <c r="Q1406" s="6" t="str">
        <f>IF(AND(Table1[[#This Row],[Country_of_Residence]]&lt;&gt;Table1[[#This Row],[Country_of_Transaction]], OR(Table1[[#This Row],[Authentication_Type]]="Biometric", Table1[[#This Row],[Authentication_Type]]="OTP")), "safe location transaction", "unsafe location transaction")</f>
        <v>safe location transaction</v>
      </c>
      <c r="R1406" s="6" t="str">
        <f>IF(AND(Table1[[#This Row],[Country_of_Residence]]&lt;&gt;Table1[[#This Row],[Country_of_Transaction]], OR(Table1[[#This Row],[Merchant_Category]]="Electronics", Table1[[#This Row],[Merchant_Category]]="Travel")), "unsafe merchant transaction", "safe merchant transaction")</f>
        <v>safe merchant transaction</v>
      </c>
    </row>
    <row r="1407" spans="1:18">
      <c r="A1407" t="s">
        <v>4401</v>
      </c>
      <c r="B1407" t="s">
        <v>220</v>
      </c>
      <c r="C1407">
        <v>1</v>
      </c>
      <c r="D1407" t="s">
        <v>9</v>
      </c>
      <c r="E1407" t="s">
        <v>5</v>
      </c>
      <c r="F1407" s="2">
        <v>45859</v>
      </c>
      <c r="G1407">
        <v>545.61</v>
      </c>
      <c r="H1407" s="1">
        <f>AVERAGEIF(Table1[Customer_ID], Table1[[#This Row],[Customer_ID]], Table1[Transaction_Amount])</f>
        <v>4877.0190361445784</v>
      </c>
      <c r="I1407" t="s">
        <v>1901</v>
      </c>
      <c r="J1407" t="s">
        <v>36</v>
      </c>
      <c r="K1407" t="s">
        <v>12</v>
      </c>
      <c r="L1407">
        <v>3</v>
      </c>
      <c r="M1407" t="s">
        <v>42</v>
      </c>
      <c r="N1407" t="s">
        <v>33</v>
      </c>
      <c r="O1407" t="s">
        <v>393</v>
      </c>
      <c r="P1407" s="6" t="str">
        <f>IF(Table1[[#This Row],[Transaction_Amount]]&lt;=Table1[[#This Row],[avg_transaction_amount]], "usual transaction", "unusual transaction")</f>
        <v>usual transaction</v>
      </c>
      <c r="Q1407" s="6" t="str">
        <f>IF(AND(Table1[[#This Row],[Country_of_Residence]]&lt;&gt;Table1[[#This Row],[Country_of_Transaction]], OR(Table1[[#This Row],[Authentication_Type]]="Biometric", Table1[[#This Row],[Authentication_Type]]="OTP")), "safe location transaction", "unsafe location transaction")</f>
        <v>unsafe location transaction</v>
      </c>
      <c r="R1407" s="6" t="str">
        <f>IF(AND(Table1[[#This Row],[Country_of_Residence]]&lt;&gt;Table1[[#This Row],[Country_of_Transaction]], OR(Table1[[#This Row],[Merchant_Category]]="Electronics", Table1[[#This Row],[Merchant_Category]]="Travel")), "unsafe merchant transaction", "safe merchant transaction")</f>
        <v>safe merchant transaction</v>
      </c>
    </row>
    <row r="1408" spans="1:18">
      <c r="A1408" t="s">
        <v>4416</v>
      </c>
      <c r="B1408" t="s">
        <v>220</v>
      </c>
      <c r="C1408">
        <v>1</v>
      </c>
      <c r="D1408" t="s">
        <v>9</v>
      </c>
      <c r="E1408" t="s">
        <v>420</v>
      </c>
      <c r="F1408" s="2">
        <v>45688</v>
      </c>
      <c r="G1408">
        <v>2260.98</v>
      </c>
      <c r="H1408" s="1">
        <f>AVERAGEIF(Table1[Customer_ID], Table1[[#This Row],[Customer_ID]], Table1[Transaction_Amount])</f>
        <v>4877.0190361445784</v>
      </c>
      <c r="I1408" t="s">
        <v>1915</v>
      </c>
      <c r="J1408" t="s">
        <v>36</v>
      </c>
      <c r="K1408" t="s">
        <v>8</v>
      </c>
      <c r="L1408">
        <v>3</v>
      </c>
      <c r="M1408" t="s">
        <v>51</v>
      </c>
      <c r="N1408" t="s">
        <v>42</v>
      </c>
      <c r="O1408" t="s">
        <v>393</v>
      </c>
      <c r="P1408" s="6" t="str">
        <f>IF(Table1[[#This Row],[Transaction_Amount]]&lt;=Table1[[#This Row],[avg_transaction_amount]], "usual transaction", "unusual transaction")</f>
        <v>usual transaction</v>
      </c>
      <c r="Q1408" s="6" t="str">
        <f>IF(AND(Table1[[#This Row],[Country_of_Residence]]&lt;&gt;Table1[[#This Row],[Country_of_Transaction]], OR(Table1[[#This Row],[Authentication_Type]]="Biometric", Table1[[#This Row],[Authentication_Type]]="OTP")), "safe location transaction", "unsafe location transaction")</f>
        <v>safe location transaction</v>
      </c>
      <c r="R1408" s="6" t="str">
        <f>IF(AND(Table1[[#This Row],[Country_of_Residence]]&lt;&gt;Table1[[#This Row],[Country_of_Transaction]], OR(Table1[[#This Row],[Merchant_Category]]="Electronics", Table1[[#This Row],[Merchant_Category]]="Travel")), "unsafe merchant transaction", "safe merchant transaction")</f>
        <v>safe merchant transaction</v>
      </c>
    </row>
    <row r="1409" spans="1:18">
      <c r="A1409" t="s">
        <v>4468</v>
      </c>
      <c r="B1409" t="s">
        <v>220</v>
      </c>
      <c r="C1409">
        <v>1</v>
      </c>
      <c r="D1409" t="s">
        <v>15</v>
      </c>
      <c r="E1409" t="s">
        <v>3</v>
      </c>
      <c r="F1409" s="2">
        <v>45826</v>
      </c>
      <c r="G1409">
        <v>6522.39</v>
      </c>
      <c r="H1409" s="1">
        <f>AVERAGEIF(Table1[Customer_ID], Table1[[#This Row],[Customer_ID]], Table1[Transaction_Amount])</f>
        <v>4877.0190361445784</v>
      </c>
      <c r="I1409" t="s">
        <v>1960</v>
      </c>
      <c r="J1409" t="s">
        <v>36</v>
      </c>
      <c r="K1409" t="s">
        <v>10</v>
      </c>
      <c r="L1409">
        <v>0</v>
      </c>
      <c r="M1409" t="s">
        <v>47</v>
      </c>
      <c r="N1409" t="s">
        <v>412</v>
      </c>
      <c r="O1409" t="s">
        <v>392</v>
      </c>
      <c r="P1409" s="6" t="str">
        <f>IF(Table1[[#This Row],[Transaction_Amount]]&lt;=Table1[[#This Row],[avg_transaction_amount]], "usual transaction", "unusual transaction")</f>
        <v>unusual transaction</v>
      </c>
      <c r="Q1409" s="6" t="str">
        <f>IF(AND(Table1[[#This Row],[Country_of_Residence]]&lt;&gt;Table1[[#This Row],[Country_of_Transaction]], OR(Table1[[#This Row],[Authentication_Type]]="Biometric", Table1[[#This Row],[Authentication_Type]]="OTP")), "safe location transaction", "unsafe location transaction")</f>
        <v>safe location transaction</v>
      </c>
      <c r="R1409" s="6" t="str">
        <f>IF(AND(Table1[[#This Row],[Country_of_Residence]]&lt;&gt;Table1[[#This Row],[Country_of_Transaction]], OR(Table1[[#This Row],[Merchant_Category]]="Electronics", Table1[[#This Row],[Merchant_Category]]="Travel")), "unsafe merchant transaction", "safe merchant transaction")</f>
        <v>safe merchant transaction</v>
      </c>
    </row>
    <row r="1410" spans="1:18">
      <c r="A1410" t="s">
        <v>4504</v>
      </c>
      <c r="B1410" t="s">
        <v>220</v>
      </c>
      <c r="C1410">
        <v>1</v>
      </c>
      <c r="D1410" t="s">
        <v>9</v>
      </c>
      <c r="E1410" t="s">
        <v>5</v>
      </c>
      <c r="F1410" s="2">
        <v>45945</v>
      </c>
      <c r="G1410">
        <v>1047.5899999999999</v>
      </c>
      <c r="H1410" s="1">
        <f>AVERAGEIF(Table1[Customer_ID], Table1[[#This Row],[Customer_ID]], Table1[Transaction_Amount])</f>
        <v>4877.0190361445784</v>
      </c>
      <c r="I1410" t="s">
        <v>993</v>
      </c>
      <c r="J1410" t="s">
        <v>46</v>
      </c>
      <c r="K1410" t="s">
        <v>8</v>
      </c>
      <c r="L1410">
        <v>1</v>
      </c>
      <c r="M1410" t="s">
        <v>42</v>
      </c>
      <c r="N1410" t="s">
        <v>32</v>
      </c>
      <c r="O1410" t="s">
        <v>392</v>
      </c>
      <c r="P1410" s="6" t="str">
        <f>IF(Table1[[#This Row],[Transaction_Amount]]&lt;=Table1[[#This Row],[avg_transaction_amount]], "usual transaction", "unusual transaction")</f>
        <v>usual transaction</v>
      </c>
      <c r="Q1410" s="6" t="str">
        <f>IF(AND(Table1[[#This Row],[Country_of_Residence]]&lt;&gt;Table1[[#This Row],[Country_of_Transaction]], OR(Table1[[#This Row],[Authentication_Type]]="Biometric", Table1[[#This Row],[Authentication_Type]]="OTP")), "safe location transaction", "unsafe location transaction")</f>
        <v>safe location transaction</v>
      </c>
      <c r="R1410" s="6" t="str">
        <f>IF(AND(Table1[[#This Row],[Country_of_Residence]]&lt;&gt;Table1[[#This Row],[Country_of_Transaction]], OR(Table1[[#This Row],[Merchant_Category]]="Electronics", Table1[[#This Row],[Merchant_Category]]="Travel")), "unsafe merchant transaction", "safe merchant transaction")</f>
        <v>safe merchant transaction</v>
      </c>
    </row>
    <row r="1411" spans="1:18">
      <c r="A1411" t="s">
        <v>4529</v>
      </c>
      <c r="B1411" t="s">
        <v>220</v>
      </c>
      <c r="C1411">
        <v>1</v>
      </c>
      <c r="D1411" t="s">
        <v>9</v>
      </c>
      <c r="E1411" t="s">
        <v>420</v>
      </c>
      <c r="F1411" s="2">
        <v>45949</v>
      </c>
      <c r="G1411">
        <v>622.91</v>
      </c>
      <c r="H1411" s="1">
        <f>AVERAGEIF(Table1[Customer_ID], Table1[[#This Row],[Customer_ID]], Table1[Transaction_Amount])</f>
        <v>4877.0190361445784</v>
      </c>
      <c r="I1411" t="s">
        <v>2008</v>
      </c>
      <c r="J1411" t="s">
        <v>46</v>
      </c>
      <c r="K1411" t="s">
        <v>12</v>
      </c>
      <c r="L1411">
        <v>0</v>
      </c>
      <c r="M1411" t="s">
        <v>412</v>
      </c>
      <c r="N1411" t="s">
        <v>412</v>
      </c>
      <c r="O1411" t="s">
        <v>393</v>
      </c>
      <c r="P1411" s="6" t="str">
        <f>IF(Table1[[#This Row],[Transaction_Amount]]&lt;=Table1[[#This Row],[avg_transaction_amount]], "usual transaction", "unusual transaction")</f>
        <v>usual transaction</v>
      </c>
      <c r="Q1411" s="6" t="str">
        <f>IF(AND(Table1[[#This Row],[Country_of_Residence]]&lt;&gt;Table1[[#This Row],[Country_of_Transaction]], OR(Table1[[#This Row],[Authentication_Type]]="Biometric", Table1[[#This Row],[Authentication_Type]]="OTP")), "safe location transaction", "unsafe location transaction")</f>
        <v>unsafe location transaction</v>
      </c>
      <c r="R1411" s="6" t="str">
        <f>IF(AND(Table1[[#This Row],[Country_of_Residence]]&lt;&gt;Table1[[#This Row],[Country_of_Transaction]], OR(Table1[[#This Row],[Merchant_Category]]="Electronics", Table1[[#This Row],[Merchant_Category]]="Travel")), "unsafe merchant transaction", "safe merchant transaction")</f>
        <v>safe merchant transaction</v>
      </c>
    </row>
    <row r="1412" spans="1:18">
      <c r="A1412" t="s">
        <v>4546</v>
      </c>
      <c r="B1412" t="s">
        <v>220</v>
      </c>
      <c r="C1412">
        <v>1</v>
      </c>
      <c r="D1412" t="s">
        <v>9</v>
      </c>
      <c r="E1412" t="s">
        <v>6</v>
      </c>
      <c r="F1412" s="2">
        <v>45807</v>
      </c>
      <c r="G1412">
        <v>5261.56</v>
      </c>
      <c r="H1412" s="1">
        <f>AVERAGEIF(Table1[Customer_ID], Table1[[#This Row],[Customer_ID]], Table1[Transaction_Amount])</f>
        <v>4877.0190361445784</v>
      </c>
      <c r="I1412" t="s">
        <v>2025</v>
      </c>
      <c r="J1412" t="s">
        <v>50</v>
      </c>
      <c r="K1412" t="s">
        <v>10</v>
      </c>
      <c r="L1412">
        <v>3</v>
      </c>
      <c r="M1412" t="s">
        <v>56</v>
      </c>
      <c r="N1412" t="s">
        <v>51</v>
      </c>
      <c r="O1412" t="s">
        <v>393</v>
      </c>
      <c r="P1412" s="6" t="str">
        <f>IF(Table1[[#This Row],[Transaction_Amount]]&lt;=Table1[[#This Row],[avg_transaction_amount]], "usual transaction", "unusual transaction")</f>
        <v>unusual transaction</v>
      </c>
      <c r="Q1412" s="6" t="str">
        <f>IF(AND(Table1[[#This Row],[Country_of_Residence]]&lt;&gt;Table1[[#This Row],[Country_of_Transaction]], OR(Table1[[#This Row],[Authentication_Type]]="Biometric", Table1[[#This Row],[Authentication_Type]]="OTP")), "safe location transaction", "unsafe location transaction")</f>
        <v>safe location transaction</v>
      </c>
      <c r="R1412" s="6" t="str">
        <f>IF(AND(Table1[[#This Row],[Country_of_Residence]]&lt;&gt;Table1[[#This Row],[Country_of_Transaction]], OR(Table1[[#This Row],[Merchant_Category]]="Electronics", Table1[[#This Row],[Merchant_Category]]="Travel")), "unsafe merchant transaction", "safe merchant transaction")</f>
        <v>unsafe merchant transaction</v>
      </c>
    </row>
    <row r="1413" spans="1:18">
      <c r="A1413" t="s">
        <v>4579</v>
      </c>
      <c r="B1413" t="s">
        <v>220</v>
      </c>
      <c r="C1413">
        <v>1</v>
      </c>
      <c r="D1413" t="s">
        <v>15</v>
      </c>
      <c r="E1413" t="s">
        <v>5</v>
      </c>
      <c r="F1413" s="2">
        <v>45978</v>
      </c>
      <c r="G1413">
        <v>8552.64</v>
      </c>
      <c r="H1413" s="1">
        <f>AVERAGEIF(Table1[Customer_ID], Table1[[#This Row],[Customer_ID]], Table1[Transaction_Amount])</f>
        <v>4877.0190361445784</v>
      </c>
      <c r="I1413" t="s">
        <v>2049</v>
      </c>
      <c r="J1413" t="s">
        <v>41</v>
      </c>
      <c r="K1413" t="s">
        <v>12</v>
      </c>
      <c r="L1413">
        <v>4</v>
      </c>
      <c r="M1413" t="s">
        <v>56</v>
      </c>
      <c r="N1413" t="s">
        <v>56</v>
      </c>
      <c r="O1413" t="s">
        <v>392</v>
      </c>
      <c r="P1413" s="6" t="str">
        <f>IF(Table1[[#This Row],[Transaction_Amount]]&lt;=Table1[[#This Row],[avg_transaction_amount]], "usual transaction", "unusual transaction")</f>
        <v>unusual transaction</v>
      </c>
      <c r="Q1413" s="6" t="str">
        <f>IF(AND(Table1[[#This Row],[Country_of_Residence]]&lt;&gt;Table1[[#This Row],[Country_of_Transaction]], OR(Table1[[#This Row],[Authentication_Type]]="Biometric", Table1[[#This Row],[Authentication_Type]]="OTP")), "safe location transaction", "unsafe location transaction")</f>
        <v>unsafe location transaction</v>
      </c>
      <c r="R1413" s="6" t="str">
        <f>IF(AND(Table1[[#This Row],[Country_of_Residence]]&lt;&gt;Table1[[#This Row],[Country_of_Transaction]], OR(Table1[[#This Row],[Merchant_Category]]="Electronics", Table1[[#This Row],[Merchant_Category]]="Travel")), "unsafe merchant transaction", "safe merchant transaction")</f>
        <v>safe merchant transaction</v>
      </c>
    </row>
    <row r="1414" spans="1:18">
      <c r="A1414" t="s">
        <v>4608</v>
      </c>
      <c r="B1414" t="s">
        <v>220</v>
      </c>
      <c r="C1414">
        <v>1</v>
      </c>
      <c r="D1414" t="s">
        <v>9</v>
      </c>
      <c r="E1414" t="s">
        <v>3</v>
      </c>
      <c r="F1414" s="2">
        <v>45794</v>
      </c>
      <c r="G1414">
        <v>9819.27</v>
      </c>
      <c r="H1414" s="1">
        <f>AVERAGEIF(Table1[Customer_ID], Table1[[#This Row],[Customer_ID]], Table1[Transaction_Amount])</f>
        <v>4877.0190361445784</v>
      </c>
      <c r="I1414" t="s">
        <v>2072</v>
      </c>
      <c r="J1414" t="s">
        <v>46</v>
      </c>
      <c r="K1414" t="s">
        <v>14</v>
      </c>
      <c r="L1414">
        <v>1</v>
      </c>
      <c r="M1414" t="s">
        <v>33</v>
      </c>
      <c r="N1414" t="s">
        <v>412</v>
      </c>
      <c r="O1414" t="s">
        <v>393</v>
      </c>
      <c r="P1414" s="6" t="str">
        <f>IF(Table1[[#This Row],[Transaction_Amount]]&lt;=Table1[[#This Row],[avg_transaction_amount]], "usual transaction", "unusual transaction")</f>
        <v>unusual transaction</v>
      </c>
      <c r="Q1414" s="6" t="str">
        <f>IF(AND(Table1[[#This Row],[Country_of_Residence]]&lt;&gt;Table1[[#This Row],[Country_of_Transaction]], OR(Table1[[#This Row],[Authentication_Type]]="Biometric", Table1[[#This Row],[Authentication_Type]]="OTP")), "safe location transaction", "unsafe location transaction")</f>
        <v>unsafe location transaction</v>
      </c>
      <c r="R1414" s="6" t="str">
        <f>IF(AND(Table1[[#This Row],[Country_of_Residence]]&lt;&gt;Table1[[#This Row],[Country_of_Transaction]], OR(Table1[[#This Row],[Merchant_Category]]="Electronics", Table1[[#This Row],[Merchant_Category]]="Travel")), "unsafe merchant transaction", "safe merchant transaction")</f>
        <v>safe merchant transaction</v>
      </c>
    </row>
    <row r="1415" spans="1:18">
      <c r="A1415" t="s">
        <v>4660</v>
      </c>
      <c r="B1415" t="s">
        <v>220</v>
      </c>
      <c r="C1415">
        <v>1</v>
      </c>
      <c r="D1415" t="s">
        <v>9</v>
      </c>
      <c r="E1415" t="s">
        <v>3</v>
      </c>
      <c r="F1415" s="2">
        <v>45921</v>
      </c>
      <c r="G1415">
        <v>7169.64</v>
      </c>
      <c r="H1415" s="1">
        <f>AVERAGEIF(Table1[Customer_ID], Table1[[#This Row],[Customer_ID]], Table1[Transaction_Amount])</f>
        <v>4877.0190361445784</v>
      </c>
      <c r="I1415" t="s">
        <v>2118</v>
      </c>
      <c r="J1415" t="s">
        <v>50</v>
      </c>
      <c r="K1415" t="s">
        <v>14</v>
      </c>
      <c r="L1415">
        <v>0</v>
      </c>
      <c r="M1415" t="s">
        <v>47</v>
      </c>
      <c r="N1415" t="s">
        <v>42</v>
      </c>
      <c r="O1415" t="s">
        <v>392</v>
      </c>
      <c r="P1415" s="6" t="str">
        <f>IF(Table1[[#This Row],[Transaction_Amount]]&lt;=Table1[[#This Row],[avg_transaction_amount]], "usual transaction", "unusual transaction")</f>
        <v>unusual transaction</v>
      </c>
      <c r="Q1415" s="6" t="str">
        <f>IF(AND(Table1[[#This Row],[Country_of_Residence]]&lt;&gt;Table1[[#This Row],[Country_of_Transaction]], OR(Table1[[#This Row],[Authentication_Type]]="Biometric", Table1[[#This Row],[Authentication_Type]]="OTP")), "safe location transaction", "unsafe location transaction")</f>
        <v>unsafe location transaction</v>
      </c>
      <c r="R1415" s="6" t="str">
        <f>IF(AND(Table1[[#This Row],[Country_of_Residence]]&lt;&gt;Table1[[#This Row],[Country_of_Transaction]], OR(Table1[[#This Row],[Merchant_Category]]="Electronics", Table1[[#This Row],[Merchant_Category]]="Travel")), "unsafe merchant transaction", "safe merchant transaction")</f>
        <v>unsafe merchant transaction</v>
      </c>
    </row>
    <row r="1416" spans="1:18">
      <c r="A1416" t="s">
        <v>4662</v>
      </c>
      <c r="B1416" t="s">
        <v>220</v>
      </c>
      <c r="C1416">
        <v>1</v>
      </c>
      <c r="D1416" t="s">
        <v>15</v>
      </c>
      <c r="E1416" t="s">
        <v>420</v>
      </c>
      <c r="F1416" s="2">
        <v>45664</v>
      </c>
      <c r="G1416">
        <v>2931.77</v>
      </c>
      <c r="H1416" s="1">
        <f>AVERAGEIF(Table1[Customer_ID], Table1[[#This Row],[Customer_ID]], Table1[Transaction_Amount])</f>
        <v>4877.0190361445784</v>
      </c>
      <c r="I1416" t="s">
        <v>2120</v>
      </c>
      <c r="J1416" t="s">
        <v>41</v>
      </c>
      <c r="K1416" t="s">
        <v>14</v>
      </c>
      <c r="L1416">
        <v>2</v>
      </c>
      <c r="M1416" t="s">
        <v>55</v>
      </c>
      <c r="N1416" t="s">
        <v>32</v>
      </c>
      <c r="O1416" t="s">
        <v>392</v>
      </c>
      <c r="P1416" s="6" t="str">
        <f>IF(Table1[[#This Row],[Transaction_Amount]]&lt;=Table1[[#This Row],[avg_transaction_amount]], "usual transaction", "unusual transaction")</f>
        <v>usual transaction</v>
      </c>
      <c r="Q1416" s="6" t="str">
        <f>IF(AND(Table1[[#This Row],[Country_of_Residence]]&lt;&gt;Table1[[#This Row],[Country_of_Transaction]], OR(Table1[[#This Row],[Authentication_Type]]="Biometric", Table1[[#This Row],[Authentication_Type]]="OTP")), "safe location transaction", "unsafe location transaction")</f>
        <v>unsafe location transaction</v>
      </c>
      <c r="R1416" s="6" t="str">
        <f>IF(AND(Table1[[#This Row],[Country_of_Residence]]&lt;&gt;Table1[[#This Row],[Country_of_Transaction]], OR(Table1[[#This Row],[Merchant_Category]]="Electronics", Table1[[#This Row],[Merchant_Category]]="Travel")), "unsafe merchant transaction", "safe merchant transaction")</f>
        <v>safe merchant transaction</v>
      </c>
    </row>
    <row r="1417" spans="1:18">
      <c r="A1417" t="s">
        <v>4669</v>
      </c>
      <c r="B1417" t="s">
        <v>220</v>
      </c>
      <c r="C1417">
        <v>1</v>
      </c>
      <c r="D1417" t="s">
        <v>9</v>
      </c>
      <c r="E1417" t="s">
        <v>5</v>
      </c>
      <c r="F1417" s="2">
        <v>45710</v>
      </c>
      <c r="G1417">
        <v>6145.43</v>
      </c>
      <c r="H1417" s="1">
        <f>AVERAGEIF(Table1[Customer_ID], Table1[[#This Row],[Customer_ID]], Table1[Transaction_Amount])</f>
        <v>4877.0190361445784</v>
      </c>
      <c r="I1417" t="s">
        <v>741</v>
      </c>
      <c r="J1417" t="s">
        <v>36</v>
      </c>
      <c r="K1417" t="s">
        <v>8</v>
      </c>
      <c r="L1417">
        <v>2</v>
      </c>
      <c r="M1417" t="s">
        <v>32</v>
      </c>
      <c r="N1417" t="s">
        <v>51</v>
      </c>
      <c r="O1417" t="s">
        <v>392</v>
      </c>
      <c r="P1417" s="6" t="str">
        <f>IF(Table1[[#This Row],[Transaction_Amount]]&lt;=Table1[[#This Row],[avg_transaction_amount]], "usual transaction", "unusual transaction")</f>
        <v>unusual transaction</v>
      </c>
      <c r="Q1417" s="6" t="str">
        <f>IF(AND(Table1[[#This Row],[Country_of_Residence]]&lt;&gt;Table1[[#This Row],[Country_of_Transaction]], OR(Table1[[#This Row],[Authentication_Type]]="Biometric", Table1[[#This Row],[Authentication_Type]]="OTP")), "safe location transaction", "unsafe location transaction")</f>
        <v>safe location transaction</v>
      </c>
      <c r="R1417" s="6" t="str">
        <f>IF(AND(Table1[[#This Row],[Country_of_Residence]]&lt;&gt;Table1[[#This Row],[Country_of_Transaction]], OR(Table1[[#This Row],[Merchant_Category]]="Electronics", Table1[[#This Row],[Merchant_Category]]="Travel")), "unsafe merchant transaction", "safe merchant transaction")</f>
        <v>safe merchant transaction</v>
      </c>
    </row>
    <row r="1418" spans="1:18">
      <c r="A1418" t="s">
        <v>4727</v>
      </c>
      <c r="B1418" t="s">
        <v>220</v>
      </c>
      <c r="C1418">
        <v>1</v>
      </c>
      <c r="D1418" t="s">
        <v>9</v>
      </c>
      <c r="E1418" t="s">
        <v>6</v>
      </c>
      <c r="F1418" s="2">
        <v>45668</v>
      </c>
      <c r="G1418">
        <v>1723.07</v>
      </c>
      <c r="H1418" s="1">
        <f>AVERAGEIF(Table1[Customer_ID], Table1[[#This Row],[Customer_ID]], Table1[Transaction_Amount])</f>
        <v>4877.0190361445784</v>
      </c>
      <c r="I1418" t="s">
        <v>2167</v>
      </c>
      <c r="J1418" t="s">
        <v>46</v>
      </c>
      <c r="K1418" t="s">
        <v>8</v>
      </c>
      <c r="L1418">
        <v>5</v>
      </c>
      <c r="M1418" t="s">
        <v>56</v>
      </c>
      <c r="N1418" t="s">
        <v>42</v>
      </c>
      <c r="O1418" t="s">
        <v>393</v>
      </c>
      <c r="P1418" s="6" t="str">
        <f>IF(Table1[[#This Row],[Transaction_Amount]]&lt;=Table1[[#This Row],[avg_transaction_amount]], "usual transaction", "unusual transaction")</f>
        <v>usual transaction</v>
      </c>
      <c r="Q1418" s="6" t="str">
        <f>IF(AND(Table1[[#This Row],[Country_of_Residence]]&lt;&gt;Table1[[#This Row],[Country_of_Transaction]], OR(Table1[[#This Row],[Authentication_Type]]="Biometric", Table1[[#This Row],[Authentication_Type]]="OTP")), "safe location transaction", "unsafe location transaction")</f>
        <v>safe location transaction</v>
      </c>
      <c r="R1418" s="6" t="str">
        <f>IF(AND(Table1[[#This Row],[Country_of_Residence]]&lt;&gt;Table1[[#This Row],[Country_of_Transaction]], OR(Table1[[#This Row],[Merchant_Category]]="Electronics", Table1[[#This Row],[Merchant_Category]]="Travel")), "unsafe merchant transaction", "safe merchant transaction")</f>
        <v>safe merchant transaction</v>
      </c>
    </row>
    <row r="1419" spans="1:18">
      <c r="A1419" t="s">
        <v>4766</v>
      </c>
      <c r="B1419" t="s">
        <v>220</v>
      </c>
      <c r="C1419">
        <v>1</v>
      </c>
      <c r="D1419" t="s">
        <v>9</v>
      </c>
      <c r="E1419" t="s">
        <v>420</v>
      </c>
      <c r="F1419" s="2">
        <v>45913</v>
      </c>
      <c r="G1419">
        <v>8235.89</v>
      </c>
      <c r="H1419" s="1">
        <f>AVERAGEIF(Table1[Customer_ID], Table1[[#This Row],[Customer_ID]], Table1[Transaction_Amount])</f>
        <v>4877.0190361445784</v>
      </c>
      <c r="I1419" t="s">
        <v>516</v>
      </c>
      <c r="J1419" t="s">
        <v>36</v>
      </c>
      <c r="K1419" t="s">
        <v>8</v>
      </c>
      <c r="L1419">
        <v>5</v>
      </c>
      <c r="M1419" t="s">
        <v>32</v>
      </c>
      <c r="N1419" t="s">
        <v>33</v>
      </c>
      <c r="O1419" t="s">
        <v>393</v>
      </c>
      <c r="P1419" s="6" t="str">
        <f>IF(Table1[[#This Row],[Transaction_Amount]]&lt;=Table1[[#This Row],[avg_transaction_amount]], "usual transaction", "unusual transaction")</f>
        <v>unusual transaction</v>
      </c>
      <c r="Q1419" s="6" t="str">
        <f>IF(AND(Table1[[#This Row],[Country_of_Residence]]&lt;&gt;Table1[[#This Row],[Country_of_Transaction]], OR(Table1[[#This Row],[Authentication_Type]]="Biometric", Table1[[#This Row],[Authentication_Type]]="OTP")), "safe location transaction", "unsafe location transaction")</f>
        <v>safe location transaction</v>
      </c>
      <c r="R1419" s="6" t="str">
        <f>IF(AND(Table1[[#This Row],[Country_of_Residence]]&lt;&gt;Table1[[#This Row],[Country_of_Transaction]], OR(Table1[[#This Row],[Merchant_Category]]="Electronics", Table1[[#This Row],[Merchant_Category]]="Travel")), "unsafe merchant transaction", "safe merchant transaction")</f>
        <v>safe merchant transaction</v>
      </c>
    </row>
    <row r="1420" spans="1:18">
      <c r="A1420" t="s">
        <v>4799</v>
      </c>
      <c r="B1420" t="s">
        <v>220</v>
      </c>
      <c r="C1420">
        <v>1</v>
      </c>
      <c r="D1420" t="s">
        <v>15</v>
      </c>
      <c r="E1420" t="s">
        <v>5</v>
      </c>
      <c r="F1420" s="2">
        <v>45867</v>
      </c>
      <c r="G1420">
        <v>4275.17</v>
      </c>
      <c r="H1420" s="1">
        <f>AVERAGEIF(Table1[Customer_ID], Table1[[#This Row],[Customer_ID]], Table1[Transaction_Amount])</f>
        <v>4877.0190361445784</v>
      </c>
      <c r="I1420" t="s">
        <v>2222</v>
      </c>
      <c r="J1420" t="s">
        <v>50</v>
      </c>
      <c r="K1420" t="s">
        <v>12</v>
      </c>
      <c r="L1420">
        <v>1</v>
      </c>
      <c r="M1420" t="s">
        <v>37</v>
      </c>
      <c r="N1420" t="s">
        <v>55</v>
      </c>
      <c r="O1420" t="s">
        <v>393</v>
      </c>
      <c r="P1420" s="6" t="str">
        <f>IF(Table1[[#This Row],[Transaction_Amount]]&lt;=Table1[[#This Row],[avg_transaction_amount]], "usual transaction", "unusual transaction")</f>
        <v>usual transaction</v>
      </c>
      <c r="Q1420" s="6" t="str">
        <f>IF(AND(Table1[[#This Row],[Country_of_Residence]]&lt;&gt;Table1[[#This Row],[Country_of_Transaction]], OR(Table1[[#This Row],[Authentication_Type]]="Biometric", Table1[[#This Row],[Authentication_Type]]="OTP")), "safe location transaction", "unsafe location transaction")</f>
        <v>unsafe location transaction</v>
      </c>
      <c r="R1420" s="6" t="str">
        <f>IF(AND(Table1[[#This Row],[Country_of_Residence]]&lt;&gt;Table1[[#This Row],[Country_of_Transaction]], OR(Table1[[#This Row],[Merchant_Category]]="Electronics", Table1[[#This Row],[Merchant_Category]]="Travel")), "unsafe merchant transaction", "safe merchant transaction")</f>
        <v>unsafe merchant transaction</v>
      </c>
    </row>
    <row r="1421" spans="1:18">
      <c r="A1421" t="s">
        <v>4892</v>
      </c>
      <c r="B1421" t="s">
        <v>220</v>
      </c>
      <c r="C1421">
        <v>1</v>
      </c>
      <c r="D1421" t="s">
        <v>9</v>
      </c>
      <c r="E1421" t="s">
        <v>6</v>
      </c>
      <c r="F1421" s="2">
        <v>46000</v>
      </c>
      <c r="G1421">
        <v>8252.4</v>
      </c>
      <c r="H1421" s="1">
        <f>AVERAGEIF(Table1[Customer_ID], Table1[[#This Row],[Customer_ID]], Table1[Transaction_Amount])</f>
        <v>4877.0190361445784</v>
      </c>
      <c r="I1421" t="s">
        <v>1996</v>
      </c>
      <c r="J1421" t="s">
        <v>36</v>
      </c>
      <c r="K1421" t="s">
        <v>14</v>
      </c>
      <c r="L1421">
        <v>5</v>
      </c>
      <c r="M1421" t="s">
        <v>32</v>
      </c>
      <c r="N1421" t="s">
        <v>42</v>
      </c>
      <c r="O1421" t="s">
        <v>393</v>
      </c>
      <c r="P1421" s="6" t="str">
        <f>IF(Table1[[#This Row],[Transaction_Amount]]&lt;=Table1[[#This Row],[avg_transaction_amount]], "usual transaction", "unusual transaction")</f>
        <v>unusual transaction</v>
      </c>
      <c r="Q1421" s="6" t="str">
        <f>IF(AND(Table1[[#This Row],[Country_of_Residence]]&lt;&gt;Table1[[#This Row],[Country_of_Transaction]], OR(Table1[[#This Row],[Authentication_Type]]="Biometric", Table1[[#This Row],[Authentication_Type]]="OTP")), "safe location transaction", "unsafe location transaction")</f>
        <v>unsafe location transaction</v>
      </c>
      <c r="R1421" s="6" t="str">
        <f>IF(AND(Table1[[#This Row],[Country_of_Residence]]&lt;&gt;Table1[[#This Row],[Country_of_Transaction]], OR(Table1[[#This Row],[Merchant_Category]]="Electronics", Table1[[#This Row],[Merchant_Category]]="Travel")), "unsafe merchant transaction", "safe merchant transaction")</f>
        <v>safe merchant transaction</v>
      </c>
    </row>
    <row r="1422" spans="1:18">
      <c r="A1422" t="s">
        <v>4924</v>
      </c>
      <c r="B1422" t="s">
        <v>220</v>
      </c>
      <c r="C1422">
        <v>1</v>
      </c>
      <c r="D1422" t="s">
        <v>15</v>
      </c>
      <c r="E1422" t="s">
        <v>3</v>
      </c>
      <c r="F1422" s="2">
        <v>45862</v>
      </c>
      <c r="G1422">
        <v>5681.69</v>
      </c>
      <c r="H1422" s="1">
        <f>AVERAGEIF(Table1[Customer_ID], Table1[[#This Row],[Customer_ID]], Table1[Transaction_Amount])</f>
        <v>4877.0190361445784</v>
      </c>
      <c r="I1422" t="s">
        <v>2319</v>
      </c>
      <c r="J1422" t="s">
        <v>46</v>
      </c>
      <c r="K1422" t="s">
        <v>12</v>
      </c>
      <c r="L1422">
        <v>2</v>
      </c>
      <c r="M1422" t="s">
        <v>47</v>
      </c>
      <c r="N1422" t="s">
        <v>33</v>
      </c>
      <c r="O1422" t="s">
        <v>393</v>
      </c>
      <c r="P1422" s="6" t="str">
        <f>IF(Table1[[#This Row],[Transaction_Amount]]&lt;=Table1[[#This Row],[avg_transaction_amount]], "usual transaction", "unusual transaction")</f>
        <v>unusual transaction</v>
      </c>
      <c r="Q1422" s="6" t="str">
        <f>IF(AND(Table1[[#This Row],[Country_of_Residence]]&lt;&gt;Table1[[#This Row],[Country_of_Transaction]], OR(Table1[[#This Row],[Authentication_Type]]="Biometric", Table1[[#This Row],[Authentication_Type]]="OTP")), "safe location transaction", "unsafe location transaction")</f>
        <v>unsafe location transaction</v>
      </c>
      <c r="R1422" s="6" t="str">
        <f>IF(AND(Table1[[#This Row],[Country_of_Residence]]&lt;&gt;Table1[[#This Row],[Country_of_Transaction]], OR(Table1[[#This Row],[Merchant_Category]]="Electronics", Table1[[#This Row],[Merchant_Category]]="Travel")), "unsafe merchant transaction", "safe merchant transaction")</f>
        <v>safe merchant transaction</v>
      </c>
    </row>
    <row r="1423" spans="1:18">
      <c r="A1423" t="s">
        <v>4971</v>
      </c>
      <c r="B1423" t="s">
        <v>220</v>
      </c>
      <c r="C1423">
        <v>1</v>
      </c>
      <c r="D1423" t="s">
        <v>15</v>
      </c>
      <c r="E1423" t="s">
        <v>420</v>
      </c>
      <c r="F1423" s="2">
        <v>45737</v>
      </c>
      <c r="G1423">
        <v>4812.3999999999996</v>
      </c>
      <c r="H1423" s="1">
        <f>AVERAGEIF(Table1[Customer_ID], Table1[[#This Row],[Customer_ID]], Table1[Transaction_Amount])</f>
        <v>4877.0190361445784</v>
      </c>
      <c r="I1423" t="s">
        <v>2355</v>
      </c>
      <c r="J1423" t="s">
        <v>46</v>
      </c>
      <c r="K1423" t="s">
        <v>10</v>
      </c>
      <c r="L1423">
        <v>5</v>
      </c>
      <c r="M1423" t="s">
        <v>33</v>
      </c>
      <c r="N1423" t="s">
        <v>32</v>
      </c>
      <c r="O1423" t="s">
        <v>393</v>
      </c>
      <c r="P1423" s="6" t="str">
        <f>IF(Table1[[#This Row],[Transaction_Amount]]&lt;=Table1[[#This Row],[avg_transaction_amount]], "usual transaction", "unusual transaction")</f>
        <v>usual transaction</v>
      </c>
      <c r="Q1423" s="6" t="str">
        <f>IF(AND(Table1[[#This Row],[Country_of_Residence]]&lt;&gt;Table1[[#This Row],[Country_of_Transaction]], OR(Table1[[#This Row],[Authentication_Type]]="Biometric", Table1[[#This Row],[Authentication_Type]]="OTP")), "safe location transaction", "unsafe location transaction")</f>
        <v>safe location transaction</v>
      </c>
      <c r="R1423" s="6" t="str">
        <f>IF(AND(Table1[[#This Row],[Country_of_Residence]]&lt;&gt;Table1[[#This Row],[Country_of_Transaction]], OR(Table1[[#This Row],[Merchant_Category]]="Electronics", Table1[[#This Row],[Merchant_Category]]="Travel")), "unsafe merchant transaction", "safe merchant transaction")</f>
        <v>safe merchant transaction</v>
      </c>
    </row>
    <row r="1424" spans="1:18">
      <c r="A1424" t="s">
        <v>4974</v>
      </c>
      <c r="B1424" t="s">
        <v>220</v>
      </c>
      <c r="C1424">
        <v>1</v>
      </c>
      <c r="D1424" t="s">
        <v>9</v>
      </c>
      <c r="E1424" t="s">
        <v>420</v>
      </c>
      <c r="F1424" s="2">
        <v>45927</v>
      </c>
      <c r="G1424">
        <v>4834.0200000000004</v>
      </c>
      <c r="H1424" s="1">
        <f>AVERAGEIF(Table1[Customer_ID], Table1[[#This Row],[Customer_ID]], Table1[Transaction_Amount])</f>
        <v>4877.0190361445784</v>
      </c>
      <c r="I1424" t="s">
        <v>2358</v>
      </c>
      <c r="J1424" t="s">
        <v>36</v>
      </c>
      <c r="K1424" t="s">
        <v>14</v>
      </c>
      <c r="L1424">
        <v>0</v>
      </c>
      <c r="M1424" t="s">
        <v>33</v>
      </c>
      <c r="N1424" t="s">
        <v>51</v>
      </c>
      <c r="O1424" t="s">
        <v>393</v>
      </c>
      <c r="P1424" s="6" t="str">
        <f>IF(Table1[[#This Row],[Transaction_Amount]]&lt;=Table1[[#This Row],[avg_transaction_amount]], "usual transaction", "unusual transaction")</f>
        <v>usual transaction</v>
      </c>
      <c r="Q1424" s="6" t="str">
        <f>IF(AND(Table1[[#This Row],[Country_of_Residence]]&lt;&gt;Table1[[#This Row],[Country_of_Transaction]], OR(Table1[[#This Row],[Authentication_Type]]="Biometric", Table1[[#This Row],[Authentication_Type]]="OTP")), "safe location transaction", "unsafe location transaction")</f>
        <v>unsafe location transaction</v>
      </c>
      <c r="R1424" s="6" t="str">
        <f>IF(AND(Table1[[#This Row],[Country_of_Residence]]&lt;&gt;Table1[[#This Row],[Country_of_Transaction]], OR(Table1[[#This Row],[Merchant_Category]]="Electronics", Table1[[#This Row],[Merchant_Category]]="Travel")), "unsafe merchant transaction", "safe merchant transaction")</f>
        <v>safe merchant transaction</v>
      </c>
    </row>
    <row r="1425" spans="1:18">
      <c r="A1425" t="s">
        <v>4985</v>
      </c>
      <c r="B1425" t="s">
        <v>220</v>
      </c>
      <c r="C1425">
        <v>1</v>
      </c>
      <c r="D1425" t="s">
        <v>15</v>
      </c>
      <c r="E1425" t="s">
        <v>6</v>
      </c>
      <c r="F1425" s="2">
        <v>45842</v>
      </c>
      <c r="G1425">
        <v>7448.4</v>
      </c>
      <c r="H1425" s="1">
        <f>AVERAGEIF(Table1[Customer_ID], Table1[[#This Row],[Customer_ID]], Table1[Transaction_Amount])</f>
        <v>4877.0190361445784</v>
      </c>
      <c r="I1425" t="s">
        <v>2368</v>
      </c>
      <c r="J1425" t="s">
        <v>41</v>
      </c>
      <c r="K1425" t="s">
        <v>10</v>
      </c>
      <c r="L1425">
        <v>2</v>
      </c>
      <c r="M1425" t="s">
        <v>32</v>
      </c>
      <c r="N1425" t="s">
        <v>33</v>
      </c>
      <c r="O1425" t="s">
        <v>392</v>
      </c>
      <c r="P1425" s="6" t="str">
        <f>IF(Table1[[#This Row],[Transaction_Amount]]&lt;=Table1[[#This Row],[avg_transaction_amount]], "usual transaction", "unusual transaction")</f>
        <v>unusual transaction</v>
      </c>
      <c r="Q1425" s="6" t="str">
        <f>IF(AND(Table1[[#This Row],[Country_of_Residence]]&lt;&gt;Table1[[#This Row],[Country_of_Transaction]], OR(Table1[[#This Row],[Authentication_Type]]="Biometric", Table1[[#This Row],[Authentication_Type]]="OTP")), "safe location transaction", "unsafe location transaction")</f>
        <v>safe location transaction</v>
      </c>
      <c r="R1425" s="6" t="str">
        <f>IF(AND(Table1[[#This Row],[Country_of_Residence]]&lt;&gt;Table1[[#This Row],[Country_of_Transaction]], OR(Table1[[#This Row],[Merchant_Category]]="Electronics", Table1[[#This Row],[Merchant_Category]]="Travel")), "unsafe merchant transaction", "safe merchant transaction")</f>
        <v>safe merchant transaction</v>
      </c>
    </row>
    <row r="1426" spans="1:18">
      <c r="A1426" t="s">
        <v>4991</v>
      </c>
      <c r="B1426" t="s">
        <v>220</v>
      </c>
      <c r="C1426">
        <v>1</v>
      </c>
      <c r="D1426" t="s">
        <v>15</v>
      </c>
      <c r="E1426" t="s">
        <v>3</v>
      </c>
      <c r="F1426" s="2">
        <v>45710</v>
      </c>
      <c r="G1426">
        <v>898.43</v>
      </c>
      <c r="H1426" s="1">
        <f>AVERAGEIF(Table1[Customer_ID], Table1[[#This Row],[Customer_ID]], Table1[Transaction_Amount])</f>
        <v>4877.0190361445784</v>
      </c>
      <c r="I1426" t="s">
        <v>2373</v>
      </c>
      <c r="J1426" t="s">
        <v>50</v>
      </c>
      <c r="K1426" t="s">
        <v>8</v>
      </c>
      <c r="L1426">
        <v>5</v>
      </c>
      <c r="M1426" t="s">
        <v>42</v>
      </c>
      <c r="N1426" t="s">
        <v>37</v>
      </c>
      <c r="O1426" t="s">
        <v>393</v>
      </c>
      <c r="P1426" s="6" t="str">
        <f>IF(Table1[[#This Row],[Transaction_Amount]]&lt;=Table1[[#This Row],[avg_transaction_amount]], "usual transaction", "unusual transaction")</f>
        <v>usual transaction</v>
      </c>
      <c r="Q1426" s="6" t="str">
        <f>IF(AND(Table1[[#This Row],[Country_of_Residence]]&lt;&gt;Table1[[#This Row],[Country_of_Transaction]], OR(Table1[[#This Row],[Authentication_Type]]="Biometric", Table1[[#This Row],[Authentication_Type]]="OTP")), "safe location transaction", "unsafe location transaction")</f>
        <v>safe location transaction</v>
      </c>
      <c r="R1426" s="6" t="str">
        <f>IF(AND(Table1[[#This Row],[Country_of_Residence]]&lt;&gt;Table1[[#This Row],[Country_of_Transaction]], OR(Table1[[#This Row],[Merchant_Category]]="Electronics", Table1[[#This Row],[Merchant_Category]]="Travel")), "unsafe merchant transaction", "safe merchant transaction")</f>
        <v>unsafe merchant transaction</v>
      </c>
    </row>
    <row r="1427" spans="1:18">
      <c r="A1427" t="s">
        <v>5056</v>
      </c>
      <c r="B1427" t="s">
        <v>220</v>
      </c>
      <c r="C1427">
        <v>1</v>
      </c>
      <c r="D1427" t="s">
        <v>9</v>
      </c>
      <c r="E1427" t="s">
        <v>6</v>
      </c>
      <c r="F1427" s="2">
        <v>45810</v>
      </c>
      <c r="G1427">
        <v>6420.48</v>
      </c>
      <c r="H1427" s="1">
        <f>AVERAGEIF(Table1[Customer_ID], Table1[[#This Row],[Customer_ID]], Table1[Transaction_Amount])</f>
        <v>4877.0190361445784</v>
      </c>
      <c r="I1427" t="s">
        <v>2419</v>
      </c>
      <c r="J1427" t="s">
        <v>41</v>
      </c>
      <c r="K1427" t="s">
        <v>10</v>
      </c>
      <c r="L1427">
        <v>5</v>
      </c>
      <c r="M1427" t="s">
        <v>56</v>
      </c>
      <c r="N1427" t="s">
        <v>412</v>
      </c>
      <c r="O1427" t="s">
        <v>393</v>
      </c>
      <c r="P1427" s="6" t="str">
        <f>IF(Table1[[#This Row],[Transaction_Amount]]&lt;=Table1[[#This Row],[avg_transaction_amount]], "usual transaction", "unusual transaction")</f>
        <v>unusual transaction</v>
      </c>
      <c r="Q1427" s="6" t="str">
        <f>IF(AND(Table1[[#This Row],[Country_of_Residence]]&lt;&gt;Table1[[#This Row],[Country_of_Transaction]], OR(Table1[[#This Row],[Authentication_Type]]="Biometric", Table1[[#This Row],[Authentication_Type]]="OTP")), "safe location transaction", "unsafe location transaction")</f>
        <v>safe location transaction</v>
      </c>
      <c r="R1427" s="6" t="str">
        <f>IF(AND(Table1[[#This Row],[Country_of_Residence]]&lt;&gt;Table1[[#This Row],[Country_of_Transaction]], OR(Table1[[#This Row],[Merchant_Category]]="Electronics", Table1[[#This Row],[Merchant_Category]]="Travel")), "unsafe merchant transaction", "safe merchant transaction")</f>
        <v>safe merchant transaction</v>
      </c>
    </row>
    <row r="1428" spans="1:18">
      <c r="A1428" t="s">
        <v>5092</v>
      </c>
      <c r="B1428" t="s">
        <v>220</v>
      </c>
      <c r="C1428">
        <v>1</v>
      </c>
      <c r="D1428" t="s">
        <v>9</v>
      </c>
      <c r="E1428" t="s">
        <v>3</v>
      </c>
      <c r="F1428" s="2">
        <v>45929</v>
      </c>
      <c r="G1428">
        <v>5359.05</v>
      </c>
      <c r="H1428" s="1">
        <f>AVERAGEIF(Table1[Customer_ID], Table1[[#This Row],[Customer_ID]], Table1[Transaction_Amount])</f>
        <v>4877.0190361445784</v>
      </c>
      <c r="I1428" t="s">
        <v>2443</v>
      </c>
      <c r="J1428" t="s">
        <v>36</v>
      </c>
      <c r="K1428" t="s">
        <v>10</v>
      </c>
      <c r="L1428">
        <v>3</v>
      </c>
      <c r="M1428" t="s">
        <v>37</v>
      </c>
      <c r="N1428" t="s">
        <v>412</v>
      </c>
      <c r="O1428" t="s">
        <v>393</v>
      </c>
      <c r="P1428" s="6" t="str">
        <f>IF(Table1[[#This Row],[Transaction_Amount]]&lt;=Table1[[#This Row],[avg_transaction_amount]], "usual transaction", "unusual transaction")</f>
        <v>unusual transaction</v>
      </c>
      <c r="Q1428" s="6" t="str">
        <f>IF(AND(Table1[[#This Row],[Country_of_Residence]]&lt;&gt;Table1[[#This Row],[Country_of_Transaction]], OR(Table1[[#This Row],[Authentication_Type]]="Biometric", Table1[[#This Row],[Authentication_Type]]="OTP")), "safe location transaction", "unsafe location transaction")</f>
        <v>safe location transaction</v>
      </c>
      <c r="R1428" s="6" t="str">
        <f>IF(AND(Table1[[#This Row],[Country_of_Residence]]&lt;&gt;Table1[[#This Row],[Country_of_Transaction]], OR(Table1[[#This Row],[Merchant_Category]]="Electronics", Table1[[#This Row],[Merchant_Category]]="Travel")), "unsafe merchant transaction", "safe merchant transaction")</f>
        <v>safe merchant transaction</v>
      </c>
    </row>
    <row r="1429" spans="1:18">
      <c r="A1429" t="s">
        <v>5120</v>
      </c>
      <c r="B1429" t="s">
        <v>220</v>
      </c>
      <c r="C1429">
        <v>1</v>
      </c>
      <c r="D1429" t="s">
        <v>9</v>
      </c>
      <c r="E1429" t="s">
        <v>5</v>
      </c>
      <c r="F1429" s="2">
        <v>46001</v>
      </c>
      <c r="G1429">
        <v>6106.79</v>
      </c>
      <c r="H1429" s="1">
        <f>AVERAGEIF(Table1[Customer_ID], Table1[[#This Row],[Customer_ID]], Table1[Transaction_Amount])</f>
        <v>4877.0190361445784</v>
      </c>
      <c r="I1429" t="s">
        <v>2466</v>
      </c>
      <c r="J1429" t="s">
        <v>46</v>
      </c>
      <c r="K1429" t="s">
        <v>12</v>
      </c>
      <c r="L1429">
        <v>1</v>
      </c>
      <c r="M1429" t="s">
        <v>42</v>
      </c>
      <c r="N1429" t="s">
        <v>32</v>
      </c>
      <c r="O1429" t="s">
        <v>392</v>
      </c>
      <c r="P1429" s="6" t="str">
        <f>IF(Table1[[#This Row],[Transaction_Amount]]&lt;=Table1[[#This Row],[avg_transaction_amount]], "usual transaction", "unusual transaction")</f>
        <v>unusual transaction</v>
      </c>
      <c r="Q1429" s="6" t="str">
        <f>IF(AND(Table1[[#This Row],[Country_of_Residence]]&lt;&gt;Table1[[#This Row],[Country_of_Transaction]], OR(Table1[[#This Row],[Authentication_Type]]="Biometric", Table1[[#This Row],[Authentication_Type]]="OTP")), "safe location transaction", "unsafe location transaction")</f>
        <v>unsafe location transaction</v>
      </c>
      <c r="R1429" s="6" t="str">
        <f>IF(AND(Table1[[#This Row],[Country_of_Residence]]&lt;&gt;Table1[[#This Row],[Country_of_Transaction]], OR(Table1[[#This Row],[Merchant_Category]]="Electronics", Table1[[#This Row],[Merchant_Category]]="Travel")), "unsafe merchant transaction", "safe merchant transaction")</f>
        <v>safe merchant transaction</v>
      </c>
    </row>
    <row r="1430" spans="1:18">
      <c r="A1430" t="s">
        <v>5156</v>
      </c>
      <c r="B1430" t="s">
        <v>220</v>
      </c>
      <c r="C1430">
        <v>1</v>
      </c>
      <c r="D1430" t="s">
        <v>15</v>
      </c>
      <c r="E1430" t="s">
        <v>420</v>
      </c>
      <c r="F1430" s="2">
        <v>45889</v>
      </c>
      <c r="G1430">
        <v>5090.24</v>
      </c>
      <c r="H1430" s="1">
        <f>AVERAGEIF(Table1[Customer_ID], Table1[[#This Row],[Customer_ID]], Table1[Transaction_Amount])</f>
        <v>4877.0190361445784</v>
      </c>
      <c r="I1430" t="s">
        <v>2493</v>
      </c>
      <c r="J1430" t="s">
        <v>31</v>
      </c>
      <c r="K1430" t="s">
        <v>12</v>
      </c>
      <c r="L1430">
        <v>2</v>
      </c>
      <c r="M1430" t="s">
        <v>37</v>
      </c>
      <c r="N1430" t="s">
        <v>51</v>
      </c>
      <c r="O1430" t="s">
        <v>393</v>
      </c>
      <c r="P1430" s="6" t="str">
        <f>IF(Table1[[#This Row],[Transaction_Amount]]&lt;=Table1[[#This Row],[avg_transaction_amount]], "usual transaction", "unusual transaction")</f>
        <v>unusual transaction</v>
      </c>
      <c r="Q1430" s="6" t="str">
        <f>IF(AND(Table1[[#This Row],[Country_of_Residence]]&lt;&gt;Table1[[#This Row],[Country_of_Transaction]], OR(Table1[[#This Row],[Authentication_Type]]="Biometric", Table1[[#This Row],[Authentication_Type]]="OTP")), "safe location transaction", "unsafe location transaction")</f>
        <v>unsafe location transaction</v>
      </c>
      <c r="R1430" s="6" t="str">
        <f>IF(AND(Table1[[#This Row],[Country_of_Residence]]&lt;&gt;Table1[[#This Row],[Country_of_Transaction]], OR(Table1[[#This Row],[Merchant_Category]]="Electronics", Table1[[#This Row],[Merchant_Category]]="Travel")), "unsafe merchant transaction", "safe merchant transaction")</f>
        <v>safe merchant transaction</v>
      </c>
    </row>
    <row r="1431" spans="1:18">
      <c r="A1431" t="s">
        <v>5268</v>
      </c>
      <c r="B1431" t="s">
        <v>220</v>
      </c>
      <c r="C1431">
        <v>1</v>
      </c>
      <c r="D1431" t="s">
        <v>9</v>
      </c>
      <c r="E1431" t="s">
        <v>420</v>
      </c>
      <c r="F1431" s="2">
        <v>45999</v>
      </c>
      <c r="G1431">
        <v>4569.18</v>
      </c>
      <c r="H1431" s="1">
        <f>AVERAGEIF(Table1[Customer_ID], Table1[[#This Row],[Customer_ID]], Table1[Transaction_Amount])</f>
        <v>4877.0190361445784</v>
      </c>
      <c r="I1431" t="s">
        <v>1707</v>
      </c>
      <c r="J1431" t="s">
        <v>36</v>
      </c>
      <c r="K1431" t="s">
        <v>12</v>
      </c>
      <c r="L1431">
        <v>0</v>
      </c>
      <c r="M1431" t="s">
        <v>56</v>
      </c>
      <c r="N1431" t="s">
        <v>32</v>
      </c>
      <c r="O1431" t="s">
        <v>392</v>
      </c>
      <c r="P1431" s="6" t="str">
        <f>IF(Table1[[#This Row],[Transaction_Amount]]&lt;=Table1[[#This Row],[avg_transaction_amount]], "usual transaction", "unusual transaction")</f>
        <v>usual transaction</v>
      </c>
      <c r="Q1431" s="6" t="str">
        <f>IF(AND(Table1[[#This Row],[Country_of_Residence]]&lt;&gt;Table1[[#This Row],[Country_of_Transaction]], OR(Table1[[#This Row],[Authentication_Type]]="Biometric", Table1[[#This Row],[Authentication_Type]]="OTP")), "safe location transaction", "unsafe location transaction")</f>
        <v>unsafe location transaction</v>
      </c>
      <c r="R1431" s="6" t="str">
        <f>IF(AND(Table1[[#This Row],[Country_of_Residence]]&lt;&gt;Table1[[#This Row],[Country_of_Transaction]], OR(Table1[[#This Row],[Merchant_Category]]="Electronics", Table1[[#This Row],[Merchant_Category]]="Travel")), "unsafe merchant transaction", "safe merchant transaction")</f>
        <v>safe merchant transaction</v>
      </c>
    </row>
    <row r="1432" spans="1:18">
      <c r="A1432" t="s">
        <v>5302</v>
      </c>
      <c r="B1432" t="s">
        <v>220</v>
      </c>
      <c r="C1432">
        <v>1</v>
      </c>
      <c r="D1432" t="s">
        <v>15</v>
      </c>
      <c r="E1432" t="s">
        <v>5</v>
      </c>
      <c r="F1432" s="2">
        <v>45920</v>
      </c>
      <c r="G1432">
        <v>1077.98</v>
      </c>
      <c r="H1432" s="1">
        <f>AVERAGEIF(Table1[Customer_ID], Table1[[#This Row],[Customer_ID]], Table1[Transaction_Amount])</f>
        <v>4877.0190361445784</v>
      </c>
      <c r="I1432" t="s">
        <v>1276</v>
      </c>
      <c r="J1432" t="s">
        <v>41</v>
      </c>
      <c r="K1432" t="s">
        <v>10</v>
      </c>
      <c r="L1432">
        <v>5</v>
      </c>
      <c r="M1432" t="s">
        <v>51</v>
      </c>
      <c r="N1432" t="s">
        <v>412</v>
      </c>
      <c r="O1432" t="s">
        <v>392</v>
      </c>
      <c r="P1432" s="6" t="str">
        <f>IF(Table1[[#This Row],[Transaction_Amount]]&lt;=Table1[[#This Row],[avg_transaction_amount]], "usual transaction", "unusual transaction")</f>
        <v>usual transaction</v>
      </c>
      <c r="Q1432" s="6" t="str">
        <f>IF(AND(Table1[[#This Row],[Country_of_Residence]]&lt;&gt;Table1[[#This Row],[Country_of_Transaction]], OR(Table1[[#This Row],[Authentication_Type]]="Biometric", Table1[[#This Row],[Authentication_Type]]="OTP")), "safe location transaction", "unsafe location transaction")</f>
        <v>safe location transaction</v>
      </c>
      <c r="R1432" s="6" t="str">
        <f>IF(AND(Table1[[#This Row],[Country_of_Residence]]&lt;&gt;Table1[[#This Row],[Country_of_Transaction]], OR(Table1[[#This Row],[Merchant_Category]]="Electronics", Table1[[#This Row],[Merchant_Category]]="Travel")), "unsafe merchant transaction", "safe merchant transaction")</f>
        <v>safe merchant transaction</v>
      </c>
    </row>
    <row r="1433" spans="1:18">
      <c r="A1433" t="s">
        <v>5378</v>
      </c>
      <c r="B1433" t="s">
        <v>220</v>
      </c>
      <c r="C1433">
        <v>1</v>
      </c>
      <c r="D1433" t="s">
        <v>9</v>
      </c>
      <c r="E1433" t="s">
        <v>5</v>
      </c>
      <c r="F1433" s="2">
        <v>45899</v>
      </c>
      <c r="G1433">
        <v>3861.1</v>
      </c>
      <c r="H1433" s="1">
        <f>AVERAGEIF(Table1[Customer_ID], Table1[[#This Row],[Customer_ID]], Table1[Transaction_Amount])</f>
        <v>4877.0190361445784</v>
      </c>
      <c r="I1433" t="s">
        <v>2662</v>
      </c>
      <c r="J1433" t="s">
        <v>31</v>
      </c>
      <c r="K1433" t="s">
        <v>8</v>
      </c>
      <c r="L1433">
        <v>0</v>
      </c>
      <c r="M1433" t="s">
        <v>55</v>
      </c>
      <c r="N1433" t="s">
        <v>33</v>
      </c>
      <c r="O1433" t="s">
        <v>392</v>
      </c>
      <c r="P1433" s="6" t="str">
        <f>IF(Table1[[#This Row],[Transaction_Amount]]&lt;=Table1[[#This Row],[avg_transaction_amount]], "usual transaction", "unusual transaction")</f>
        <v>usual transaction</v>
      </c>
      <c r="Q1433" s="6" t="str">
        <f>IF(AND(Table1[[#This Row],[Country_of_Residence]]&lt;&gt;Table1[[#This Row],[Country_of_Transaction]], OR(Table1[[#This Row],[Authentication_Type]]="Biometric", Table1[[#This Row],[Authentication_Type]]="OTP")), "safe location transaction", "unsafe location transaction")</f>
        <v>safe location transaction</v>
      </c>
      <c r="R1433" s="6" t="str">
        <f>IF(AND(Table1[[#This Row],[Country_of_Residence]]&lt;&gt;Table1[[#This Row],[Country_of_Transaction]], OR(Table1[[#This Row],[Merchant_Category]]="Electronics", Table1[[#This Row],[Merchant_Category]]="Travel")), "unsafe merchant transaction", "safe merchant transaction")</f>
        <v>safe merchant transaction</v>
      </c>
    </row>
    <row r="1434" spans="1:18">
      <c r="A1434" t="s">
        <v>5396</v>
      </c>
      <c r="B1434" t="s">
        <v>220</v>
      </c>
      <c r="C1434">
        <v>1</v>
      </c>
      <c r="D1434" t="s">
        <v>15</v>
      </c>
      <c r="E1434" t="s">
        <v>420</v>
      </c>
      <c r="F1434" s="2">
        <v>45939</v>
      </c>
      <c r="G1434">
        <v>6498.64</v>
      </c>
      <c r="H1434" s="1">
        <f>AVERAGEIF(Table1[Customer_ID], Table1[[#This Row],[Customer_ID]], Table1[Transaction_Amount])</f>
        <v>4877.0190361445784</v>
      </c>
      <c r="I1434" t="s">
        <v>2676</v>
      </c>
      <c r="J1434" t="s">
        <v>41</v>
      </c>
      <c r="K1434" t="s">
        <v>10</v>
      </c>
      <c r="L1434">
        <v>3</v>
      </c>
      <c r="M1434" t="s">
        <v>412</v>
      </c>
      <c r="N1434" t="s">
        <v>37</v>
      </c>
      <c r="O1434" t="s">
        <v>392</v>
      </c>
      <c r="P1434" s="6" t="str">
        <f>IF(Table1[[#This Row],[Transaction_Amount]]&lt;=Table1[[#This Row],[avg_transaction_amount]], "usual transaction", "unusual transaction")</f>
        <v>unusual transaction</v>
      </c>
      <c r="Q1434" s="6" t="str">
        <f>IF(AND(Table1[[#This Row],[Country_of_Residence]]&lt;&gt;Table1[[#This Row],[Country_of_Transaction]], OR(Table1[[#This Row],[Authentication_Type]]="Biometric", Table1[[#This Row],[Authentication_Type]]="OTP")), "safe location transaction", "unsafe location transaction")</f>
        <v>safe location transaction</v>
      </c>
      <c r="R1434" s="6" t="str">
        <f>IF(AND(Table1[[#This Row],[Country_of_Residence]]&lt;&gt;Table1[[#This Row],[Country_of_Transaction]], OR(Table1[[#This Row],[Merchant_Category]]="Electronics", Table1[[#This Row],[Merchant_Category]]="Travel")), "unsafe merchant transaction", "safe merchant transaction")</f>
        <v>safe merchant transaction</v>
      </c>
    </row>
    <row r="1435" spans="1:18">
      <c r="A1435" t="s">
        <v>5432</v>
      </c>
      <c r="B1435" t="s">
        <v>220</v>
      </c>
      <c r="C1435">
        <v>1</v>
      </c>
      <c r="D1435" t="s">
        <v>15</v>
      </c>
      <c r="E1435" t="s">
        <v>5</v>
      </c>
      <c r="F1435" s="2">
        <v>45765</v>
      </c>
      <c r="G1435">
        <v>8070.35</v>
      </c>
      <c r="H1435" s="1">
        <f>AVERAGEIF(Table1[Customer_ID], Table1[[#This Row],[Customer_ID]], Table1[Transaction_Amount])</f>
        <v>4877.0190361445784</v>
      </c>
      <c r="I1435" t="s">
        <v>558</v>
      </c>
      <c r="J1435" t="s">
        <v>50</v>
      </c>
      <c r="K1435" t="s">
        <v>10</v>
      </c>
      <c r="L1435">
        <v>5</v>
      </c>
      <c r="M1435" t="s">
        <v>42</v>
      </c>
      <c r="N1435" t="s">
        <v>55</v>
      </c>
      <c r="O1435" t="s">
        <v>392</v>
      </c>
      <c r="P1435" s="6" t="str">
        <f>IF(Table1[[#This Row],[Transaction_Amount]]&lt;=Table1[[#This Row],[avg_transaction_amount]], "usual transaction", "unusual transaction")</f>
        <v>unusual transaction</v>
      </c>
      <c r="Q1435" s="6" t="str">
        <f>IF(AND(Table1[[#This Row],[Country_of_Residence]]&lt;&gt;Table1[[#This Row],[Country_of_Transaction]], OR(Table1[[#This Row],[Authentication_Type]]="Biometric", Table1[[#This Row],[Authentication_Type]]="OTP")), "safe location transaction", "unsafe location transaction")</f>
        <v>safe location transaction</v>
      </c>
      <c r="R1435" s="6" t="str">
        <f>IF(AND(Table1[[#This Row],[Country_of_Residence]]&lt;&gt;Table1[[#This Row],[Country_of_Transaction]], OR(Table1[[#This Row],[Merchant_Category]]="Electronics", Table1[[#This Row],[Merchant_Category]]="Travel")), "unsafe merchant transaction", "safe merchant transaction")</f>
        <v>unsafe merchant transaction</v>
      </c>
    </row>
    <row r="1436" spans="1:18">
      <c r="A1436" t="s">
        <v>5476</v>
      </c>
      <c r="B1436" t="s">
        <v>220</v>
      </c>
      <c r="C1436">
        <v>1</v>
      </c>
      <c r="D1436" t="s">
        <v>15</v>
      </c>
      <c r="E1436" t="s">
        <v>6</v>
      </c>
      <c r="F1436" s="2">
        <v>45885</v>
      </c>
      <c r="G1436">
        <v>1038.17</v>
      </c>
      <c r="H1436" s="1">
        <f>AVERAGEIF(Table1[Customer_ID], Table1[[#This Row],[Customer_ID]], Table1[Transaction_Amount])</f>
        <v>4877.0190361445784</v>
      </c>
      <c r="I1436" t="s">
        <v>2735</v>
      </c>
      <c r="J1436" t="s">
        <v>50</v>
      </c>
      <c r="K1436" t="s">
        <v>10</v>
      </c>
      <c r="L1436">
        <v>5</v>
      </c>
      <c r="M1436" t="s">
        <v>47</v>
      </c>
      <c r="N1436" t="s">
        <v>37</v>
      </c>
      <c r="O1436" t="s">
        <v>393</v>
      </c>
      <c r="P1436" s="6" t="str">
        <f>IF(Table1[[#This Row],[Transaction_Amount]]&lt;=Table1[[#This Row],[avg_transaction_amount]], "usual transaction", "unusual transaction")</f>
        <v>usual transaction</v>
      </c>
      <c r="Q1436" s="6" t="str">
        <f>IF(AND(Table1[[#This Row],[Country_of_Residence]]&lt;&gt;Table1[[#This Row],[Country_of_Transaction]], OR(Table1[[#This Row],[Authentication_Type]]="Biometric", Table1[[#This Row],[Authentication_Type]]="OTP")), "safe location transaction", "unsafe location transaction")</f>
        <v>safe location transaction</v>
      </c>
      <c r="R1436" s="6" t="str">
        <f>IF(AND(Table1[[#This Row],[Country_of_Residence]]&lt;&gt;Table1[[#This Row],[Country_of_Transaction]], OR(Table1[[#This Row],[Merchant_Category]]="Electronics", Table1[[#This Row],[Merchant_Category]]="Travel")), "unsafe merchant transaction", "safe merchant transaction")</f>
        <v>unsafe merchant transaction</v>
      </c>
    </row>
    <row r="1437" spans="1:18">
      <c r="A1437" t="s">
        <v>5484</v>
      </c>
      <c r="B1437" t="s">
        <v>220</v>
      </c>
      <c r="C1437">
        <v>1</v>
      </c>
      <c r="D1437" t="s">
        <v>9</v>
      </c>
      <c r="E1437" t="s">
        <v>3</v>
      </c>
      <c r="F1437" s="2">
        <v>45945</v>
      </c>
      <c r="G1437">
        <v>4038.66</v>
      </c>
      <c r="H1437" s="1">
        <f>AVERAGEIF(Table1[Customer_ID], Table1[[#This Row],[Customer_ID]], Table1[Transaction_Amount])</f>
        <v>4877.0190361445784</v>
      </c>
      <c r="I1437" t="s">
        <v>2495</v>
      </c>
      <c r="J1437" t="s">
        <v>31</v>
      </c>
      <c r="K1437" t="s">
        <v>14</v>
      </c>
      <c r="L1437">
        <v>5</v>
      </c>
      <c r="M1437" t="s">
        <v>42</v>
      </c>
      <c r="N1437" t="s">
        <v>56</v>
      </c>
      <c r="O1437" t="s">
        <v>393</v>
      </c>
      <c r="P1437" s="6" t="str">
        <f>IF(Table1[[#This Row],[Transaction_Amount]]&lt;=Table1[[#This Row],[avg_transaction_amount]], "usual transaction", "unusual transaction")</f>
        <v>usual transaction</v>
      </c>
      <c r="Q1437" s="6" t="str">
        <f>IF(AND(Table1[[#This Row],[Country_of_Residence]]&lt;&gt;Table1[[#This Row],[Country_of_Transaction]], OR(Table1[[#This Row],[Authentication_Type]]="Biometric", Table1[[#This Row],[Authentication_Type]]="OTP")), "safe location transaction", "unsafe location transaction")</f>
        <v>unsafe location transaction</v>
      </c>
      <c r="R1437" s="6" t="str">
        <f>IF(AND(Table1[[#This Row],[Country_of_Residence]]&lt;&gt;Table1[[#This Row],[Country_of_Transaction]], OR(Table1[[#This Row],[Merchant_Category]]="Electronics", Table1[[#This Row],[Merchant_Category]]="Travel")), "unsafe merchant transaction", "safe merchant transaction")</f>
        <v>safe merchant transaction</v>
      </c>
    </row>
    <row r="1438" spans="1:18">
      <c r="A1438" t="s">
        <v>238</v>
      </c>
      <c r="B1438" t="s">
        <v>232</v>
      </c>
      <c r="C1438">
        <v>1</v>
      </c>
      <c r="D1438" t="s">
        <v>9</v>
      </c>
      <c r="E1438" t="s">
        <v>3</v>
      </c>
      <c r="F1438" s="2">
        <v>45879.237500000003</v>
      </c>
      <c r="G1438">
        <v>5230.7</v>
      </c>
      <c r="H1438" s="1">
        <f>AVERAGEIF(Table1[Customer_ID], Table1[[#This Row],[Customer_ID]], Table1[Transaction_Amount])</f>
        <v>5421.9623728813567</v>
      </c>
      <c r="I1438" t="s">
        <v>239</v>
      </c>
      <c r="J1438" t="s">
        <v>41</v>
      </c>
      <c r="K1438" t="s">
        <v>8</v>
      </c>
      <c r="L1438">
        <v>1</v>
      </c>
      <c r="M1438" t="s">
        <v>69</v>
      </c>
      <c r="N1438" t="s">
        <v>240</v>
      </c>
      <c r="O1438" t="s">
        <v>392</v>
      </c>
      <c r="P1438" t="str">
        <f>IF(Table1[[#This Row],[Transaction_Amount]]&lt;=Table1[[#This Row],[avg_transaction_amount]], "usual transaction", "unusual transaction")</f>
        <v>usual transaction</v>
      </c>
      <c r="Q1438" t="str">
        <f>IF(AND(Table1[[#This Row],[Country_of_Residence]]&lt;&gt;Table1[[#This Row],[Country_of_Transaction]], OR(Table1[[#This Row],[Authentication_Type]]="Biometric", Table1[[#This Row],[Authentication_Type]]="OTP")), "safe location transaction", "unsafe location transaction")</f>
        <v>safe location transaction</v>
      </c>
      <c r="R1438" t="str">
        <f>IF(AND(Table1[[#This Row],[Country_of_Residence]]&lt;&gt;Table1[[#This Row],[Country_of_Transaction]], OR(Table1[[#This Row],[Merchant_Category]]="Electronics", Table1[[#This Row],[Merchant_Category]]="Travel")), "unsafe merchant transaction", "safe merchant transaction")</f>
        <v>safe merchant transaction</v>
      </c>
    </row>
    <row r="1439" spans="1:18">
      <c r="A1439" t="s">
        <v>235</v>
      </c>
      <c r="B1439" t="s">
        <v>232</v>
      </c>
      <c r="C1439">
        <v>1</v>
      </c>
      <c r="D1439" t="s">
        <v>11</v>
      </c>
      <c r="E1439" t="s">
        <v>4</v>
      </c>
      <c r="F1439" s="2">
        <v>45689.738888888904</v>
      </c>
      <c r="G1439">
        <v>3937.69</v>
      </c>
      <c r="H1439" s="1">
        <f>AVERAGEIF(Table1[Customer_ID], Table1[[#This Row],[Customer_ID]], Table1[Transaction_Amount])</f>
        <v>5421.9623728813567</v>
      </c>
      <c r="I1439" t="s">
        <v>236</v>
      </c>
      <c r="J1439" t="s">
        <v>31</v>
      </c>
      <c r="K1439" t="s">
        <v>12</v>
      </c>
      <c r="L1439">
        <v>0</v>
      </c>
      <c r="M1439" t="s">
        <v>69</v>
      </c>
      <c r="N1439" t="s">
        <v>237</v>
      </c>
      <c r="O1439" t="s">
        <v>392</v>
      </c>
      <c r="P1439" t="str">
        <f>IF(Table1[[#This Row],[Transaction_Amount]]&lt;=Table1[[#This Row],[avg_transaction_amount]], "usual transaction", "unusual transaction")</f>
        <v>usual transaction</v>
      </c>
      <c r="Q1439" t="str">
        <f>IF(AND(Table1[[#This Row],[Country_of_Residence]]&lt;&gt;Table1[[#This Row],[Country_of_Transaction]], OR(Table1[[#This Row],[Authentication_Type]]="Biometric", Table1[[#This Row],[Authentication_Type]]="OTP")), "safe location transaction", "unsafe location transaction")</f>
        <v>unsafe location transaction</v>
      </c>
      <c r="R1439" t="str">
        <f>IF(AND(Table1[[#This Row],[Country_of_Residence]]&lt;&gt;Table1[[#This Row],[Country_of_Transaction]], OR(Table1[[#This Row],[Merchant_Category]]="Electronics", Table1[[#This Row],[Merchant_Category]]="Travel")), "unsafe merchant transaction", "safe merchant transaction")</f>
        <v>safe merchant transaction</v>
      </c>
    </row>
    <row r="1440" spans="1:18">
      <c r="A1440" t="s">
        <v>231</v>
      </c>
      <c r="B1440" t="s">
        <v>232</v>
      </c>
      <c r="C1440">
        <v>1</v>
      </c>
      <c r="D1440" t="s">
        <v>11</v>
      </c>
      <c r="E1440" t="s">
        <v>4</v>
      </c>
      <c r="F1440" s="2">
        <v>45739.652777777803</v>
      </c>
      <c r="G1440">
        <v>5609.23</v>
      </c>
      <c r="H1440" s="1">
        <f>AVERAGEIF(Table1[Customer_ID], Table1[[#This Row],[Customer_ID]], Table1[Transaction_Amount])</f>
        <v>5421.9623728813567</v>
      </c>
      <c r="I1440" t="s">
        <v>233</v>
      </c>
      <c r="J1440" t="s">
        <v>46</v>
      </c>
      <c r="K1440" t="s">
        <v>14</v>
      </c>
      <c r="L1440">
        <v>3</v>
      </c>
      <c r="M1440" t="s">
        <v>69</v>
      </c>
      <c r="N1440" t="s">
        <v>234</v>
      </c>
      <c r="O1440" t="s">
        <v>393</v>
      </c>
      <c r="P1440" t="str">
        <f>IF(Table1[[#This Row],[Transaction_Amount]]&lt;=Table1[[#This Row],[avg_transaction_amount]], "usual transaction", "unusual transaction")</f>
        <v>unusual transaction</v>
      </c>
      <c r="Q1440" t="str">
        <f>IF(AND(Table1[[#This Row],[Country_of_Residence]]&lt;&gt;Table1[[#This Row],[Country_of_Transaction]], OR(Table1[[#This Row],[Authentication_Type]]="Biometric", Table1[[#This Row],[Authentication_Type]]="OTP")), "safe location transaction", "unsafe location transaction")</f>
        <v>unsafe location transaction</v>
      </c>
      <c r="R1440" t="str">
        <f>IF(AND(Table1[[#This Row],[Country_of_Residence]]&lt;&gt;Table1[[#This Row],[Country_of_Transaction]], OR(Table1[[#This Row],[Merchant_Category]]="Electronics", Table1[[#This Row],[Merchant_Category]]="Travel")), "unsafe merchant transaction", "safe merchant transaction")</f>
        <v>safe merchant transaction</v>
      </c>
    </row>
    <row r="1441" spans="1:18">
      <c r="A1441" t="s">
        <v>2777</v>
      </c>
      <c r="B1441" t="s">
        <v>232</v>
      </c>
      <c r="C1441">
        <v>1</v>
      </c>
      <c r="D1441" t="s">
        <v>9</v>
      </c>
      <c r="E1441" t="s">
        <v>420</v>
      </c>
      <c r="F1441" s="2">
        <v>45719</v>
      </c>
      <c r="G1441">
        <v>9951.74</v>
      </c>
      <c r="H1441" s="1">
        <f>AVERAGEIF(Table1[Customer_ID], Table1[[#This Row],[Customer_ID]], Table1[Transaction_Amount])</f>
        <v>5421.9623728813567</v>
      </c>
      <c r="I1441" t="s">
        <v>426</v>
      </c>
      <c r="J1441" t="s">
        <v>31</v>
      </c>
      <c r="K1441" t="s">
        <v>14</v>
      </c>
      <c r="L1441">
        <v>0</v>
      </c>
      <c r="M1441" t="s">
        <v>33</v>
      </c>
      <c r="N1441" t="s">
        <v>55</v>
      </c>
      <c r="O1441" t="s">
        <v>392</v>
      </c>
      <c r="P1441" s="6" t="str">
        <f>IF(Table1[[#This Row],[Transaction_Amount]]&lt;=Table1[[#This Row],[avg_transaction_amount]], "usual transaction", "unusual transaction")</f>
        <v>unusual transaction</v>
      </c>
      <c r="Q1441" s="6" t="str">
        <f>IF(AND(Table1[[#This Row],[Country_of_Residence]]&lt;&gt;Table1[[#This Row],[Country_of_Transaction]], OR(Table1[[#This Row],[Authentication_Type]]="Biometric", Table1[[#This Row],[Authentication_Type]]="OTP")), "safe location transaction", "unsafe location transaction")</f>
        <v>unsafe location transaction</v>
      </c>
      <c r="R1441" s="6" t="str">
        <f>IF(AND(Table1[[#This Row],[Country_of_Residence]]&lt;&gt;Table1[[#This Row],[Country_of_Transaction]], OR(Table1[[#This Row],[Merchant_Category]]="Electronics", Table1[[#This Row],[Merchant_Category]]="Travel")), "unsafe merchant transaction", "safe merchant transaction")</f>
        <v>safe merchant transaction</v>
      </c>
    </row>
    <row r="1442" spans="1:18">
      <c r="A1442" t="s">
        <v>2851</v>
      </c>
      <c r="B1442" t="s">
        <v>232</v>
      </c>
      <c r="C1442">
        <v>1</v>
      </c>
      <c r="D1442" t="s">
        <v>9</v>
      </c>
      <c r="E1442" t="s">
        <v>3</v>
      </c>
      <c r="F1442" s="2">
        <v>45699</v>
      </c>
      <c r="G1442">
        <v>4291.42</v>
      </c>
      <c r="H1442" s="1">
        <f>AVERAGEIF(Table1[Customer_ID], Table1[[#This Row],[Customer_ID]], Table1[Transaction_Amount])</f>
        <v>5421.9623728813567</v>
      </c>
      <c r="I1442" t="s">
        <v>503</v>
      </c>
      <c r="J1442" t="s">
        <v>31</v>
      </c>
      <c r="K1442" t="s">
        <v>12</v>
      </c>
      <c r="L1442">
        <v>2</v>
      </c>
      <c r="M1442" t="s">
        <v>33</v>
      </c>
      <c r="N1442" t="s">
        <v>51</v>
      </c>
      <c r="O1442" t="s">
        <v>393</v>
      </c>
      <c r="P1442" s="6" t="str">
        <f>IF(Table1[[#This Row],[Transaction_Amount]]&lt;=Table1[[#This Row],[avg_transaction_amount]], "usual transaction", "unusual transaction")</f>
        <v>usual transaction</v>
      </c>
      <c r="Q1442" s="6" t="str">
        <f>IF(AND(Table1[[#This Row],[Country_of_Residence]]&lt;&gt;Table1[[#This Row],[Country_of_Transaction]], OR(Table1[[#This Row],[Authentication_Type]]="Biometric", Table1[[#This Row],[Authentication_Type]]="OTP")), "safe location transaction", "unsafe location transaction")</f>
        <v>unsafe location transaction</v>
      </c>
      <c r="R1442" s="6" t="str">
        <f>IF(AND(Table1[[#This Row],[Country_of_Residence]]&lt;&gt;Table1[[#This Row],[Country_of_Transaction]], OR(Table1[[#This Row],[Merchant_Category]]="Electronics", Table1[[#This Row],[Merchant_Category]]="Travel")), "unsafe merchant transaction", "safe merchant transaction")</f>
        <v>safe merchant transaction</v>
      </c>
    </row>
    <row r="1443" spans="1:18">
      <c r="A1443" t="s">
        <v>2853</v>
      </c>
      <c r="B1443" t="s">
        <v>232</v>
      </c>
      <c r="C1443">
        <v>1</v>
      </c>
      <c r="D1443" t="s">
        <v>9</v>
      </c>
      <c r="E1443" t="s">
        <v>5</v>
      </c>
      <c r="F1443" s="2">
        <v>45998</v>
      </c>
      <c r="G1443">
        <v>4189.1000000000004</v>
      </c>
      <c r="H1443" s="1">
        <f>AVERAGEIF(Table1[Customer_ID], Table1[[#This Row],[Customer_ID]], Table1[Transaction_Amount])</f>
        <v>5421.9623728813567</v>
      </c>
      <c r="I1443" t="s">
        <v>505</v>
      </c>
      <c r="J1443" t="s">
        <v>46</v>
      </c>
      <c r="K1443" t="s">
        <v>8</v>
      </c>
      <c r="L1443">
        <v>0</v>
      </c>
      <c r="M1443" t="s">
        <v>32</v>
      </c>
      <c r="N1443" t="s">
        <v>32</v>
      </c>
      <c r="O1443" t="s">
        <v>392</v>
      </c>
      <c r="P1443" s="6" t="str">
        <f>IF(Table1[[#This Row],[Transaction_Amount]]&lt;=Table1[[#This Row],[avg_transaction_amount]], "usual transaction", "unusual transaction")</f>
        <v>usual transaction</v>
      </c>
      <c r="Q1443" s="6" t="str">
        <f>IF(AND(Table1[[#This Row],[Country_of_Residence]]&lt;&gt;Table1[[#This Row],[Country_of_Transaction]], OR(Table1[[#This Row],[Authentication_Type]]="Biometric", Table1[[#This Row],[Authentication_Type]]="OTP")), "safe location transaction", "unsafe location transaction")</f>
        <v>unsafe location transaction</v>
      </c>
      <c r="R1443" s="6" t="str">
        <f>IF(AND(Table1[[#This Row],[Country_of_Residence]]&lt;&gt;Table1[[#This Row],[Country_of_Transaction]], OR(Table1[[#This Row],[Merchant_Category]]="Electronics", Table1[[#This Row],[Merchant_Category]]="Travel")), "unsafe merchant transaction", "safe merchant transaction")</f>
        <v>safe merchant transaction</v>
      </c>
    </row>
    <row r="1444" spans="1:18">
      <c r="A1444" t="s">
        <v>2860</v>
      </c>
      <c r="B1444" t="s">
        <v>232</v>
      </c>
      <c r="C1444">
        <v>1</v>
      </c>
      <c r="D1444" t="s">
        <v>15</v>
      </c>
      <c r="E1444" t="s">
        <v>5</v>
      </c>
      <c r="F1444" s="2">
        <v>45766</v>
      </c>
      <c r="G1444">
        <v>9845.23</v>
      </c>
      <c r="H1444" s="1">
        <f>AVERAGEIF(Table1[Customer_ID], Table1[[#This Row],[Customer_ID]], Table1[Transaction_Amount])</f>
        <v>5421.9623728813567</v>
      </c>
      <c r="I1444" t="s">
        <v>512</v>
      </c>
      <c r="J1444" t="s">
        <v>50</v>
      </c>
      <c r="K1444" t="s">
        <v>14</v>
      </c>
      <c r="L1444">
        <v>0</v>
      </c>
      <c r="M1444" t="s">
        <v>412</v>
      </c>
      <c r="N1444" t="s">
        <v>47</v>
      </c>
      <c r="O1444" t="s">
        <v>393</v>
      </c>
      <c r="P1444" s="6" t="str">
        <f>IF(Table1[[#This Row],[Transaction_Amount]]&lt;=Table1[[#This Row],[avg_transaction_amount]], "usual transaction", "unusual transaction")</f>
        <v>unusual transaction</v>
      </c>
      <c r="Q1444" s="6" t="str">
        <f>IF(AND(Table1[[#This Row],[Country_of_Residence]]&lt;&gt;Table1[[#This Row],[Country_of_Transaction]], OR(Table1[[#This Row],[Authentication_Type]]="Biometric", Table1[[#This Row],[Authentication_Type]]="OTP")), "safe location transaction", "unsafe location transaction")</f>
        <v>unsafe location transaction</v>
      </c>
      <c r="R1444" s="6" t="str">
        <f>IF(AND(Table1[[#This Row],[Country_of_Residence]]&lt;&gt;Table1[[#This Row],[Country_of_Transaction]], OR(Table1[[#This Row],[Merchant_Category]]="Electronics", Table1[[#This Row],[Merchant_Category]]="Travel")), "unsafe merchant transaction", "safe merchant transaction")</f>
        <v>unsafe merchant transaction</v>
      </c>
    </row>
    <row r="1445" spans="1:18">
      <c r="A1445" t="s">
        <v>2893</v>
      </c>
      <c r="B1445" t="s">
        <v>232</v>
      </c>
      <c r="C1445">
        <v>1</v>
      </c>
      <c r="D1445" t="s">
        <v>9</v>
      </c>
      <c r="E1445" t="s">
        <v>420</v>
      </c>
      <c r="F1445" s="2">
        <v>45952</v>
      </c>
      <c r="G1445">
        <v>9995.9699999999993</v>
      </c>
      <c r="H1445" s="1">
        <f>AVERAGEIF(Table1[Customer_ID], Table1[[#This Row],[Customer_ID]], Table1[Transaction_Amount])</f>
        <v>5421.9623728813567</v>
      </c>
      <c r="I1445" t="s">
        <v>543</v>
      </c>
      <c r="J1445" t="s">
        <v>50</v>
      </c>
      <c r="K1445" t="s">
        <v>10</v>
      </c>
      <c r="L1445">
        <v>3</v>
      </c>
      <c r="M1445" t="s">
        <v>47</v>
      </c>
      <c r="N1445" t="s">
        <v>33</v>
      </c>
      <c r="O1445" t="s">
        <v>393</v>
      </c>
      <c r="P1445" s="6" t="str">
        <f>IF(Table1[[#This Row],[Transaction_Amount]]&lt;=Table1[[#This Row],[avg_transaction_amount]], "usual transaction", "unusual transaction")</f>
        <v>unusual transaction</v>
      </c>
      <c r="Q1445" s="6" t="str">
        <f>IF(AND(Table1[[#This Row],[Country_of_Residence]]&lt;&gt;Table1[[#This Row],[Country_of_Transaction]], OR(Table1[[#This Row],[Authentication_Type]]="Biometric", Table1[[#This Row],[Authentication_Type]]="OTP")), "safe location transaction", "unsafe location transaction")</f>
        <v>safe location transaction</v>
      </c>
      <c r="R1445" s="6" t="str">
        <f>IF(AND(Table1[[#This Row],[Country_of_Residence]]&lt;&gt;Table1[[#This Row],[Country_of_Transaction]], OR(Table1[[#This Row],[Merchant_Category]]="Electronics", Table1[[#This Row],[Merchant_Category]]="Travel")), "unsafe merchant transaction", "safe merchant transaction")</f>
        <v>unsafe merchant transaction</v>
      </c>
    </row>
    <row r="1446" spans="1:18">
      <c r="A1446" t="s">
        <v>2915</v>
      </c>
      <c r="B1446" t="s">
        <v>232</v>
      </c>
      <c r="C1446">
        <v>1</v>
      </c>
      <c r="D1446" t="s">
        <v>9</v>
      </c>
      <c r="E1446" t="s">
        <v>3</v>
      </c>
      <c r="F1446" s="2">
        <v>45662</v>
      </c>
      <c r="G1446">
        <v>7890.21</v>
      </c>
      <c r="H1446" s="1">
        <f>AVERAGEIF(Table1[Customer_ID], Table1[[#This Row],[Customer_ID]], Table1[Transaction_Amount])</f>
        <v>5421.9623728813567</v>
      </c>
      <c r="I1446" t="s">
        <v>564</v>
      </c>
      <c r="J1446" t="s">
        <v>50</v>
      </c>
      <c r="K1446" t="s">
        <v>14</v>
      </c>
      <c r="L1446">
        <v>3</v>
      </c>
      <c r="M1446" t="s">
        <v>33</v>
      </c>
      <c r="N1446" t="s">
        <v>33</v>
      </c>
      <c r="O1446" t="s">
        <v>393</v>
      </c>
      <c r="P1446" s="6" t="str">
        <f>IF(Table1[[#This Row],[Transaction_Amount]]&lt;=Table1[[#This Row],[avg_transaction_amount]], "usual transaction", "unusual transaction")</f>
        <v>unusual transaction</v>
      </c>
      <c r="Q1446" s="6" t="str">
        <f>IF(AND(Table1[[#This Row],[Country_of_Residence]]&lt;&gt;Table1[[#This Row],[Country_of_Transaction]], OR(Table1[[#This Row],[Authentication_Type]]="Biometric", Table1[[#This Row],[Authentication_Type]]="OTP")), "safe location transaction", "unsafe location transaction")</f>
        <v>unsafe location transaction</v>
      </c>
      <c r="R1446" s="6" t="str">
        <f>IF(AND(Table1[[#This Row],[Country_of_Residence]]&lt;&gt;Table1[[#This Row],[Country_of_Transaction]], OR(Table1[[#This Row],[Merchant_Category]]="Electronics", Table1[[#This Row],[Merchant_Category]]="Travel")), "unsafe merchant transaction", "safe merchant transaction")</f>
        <v>safe merchant transaction</v>
      </c>
    </row>
    <row r="1447" spans="1:18">
      <c r="A1447" t="s">
        <v>2993</v>
      </c>
      <c r="B1447" t="s">
        <v>232</v>
      </c>
      <c r="C1447">
        <v>1</v>
      </c>
      <c r="D1447" t="s">
        <v>9</v>
      </c>
      <c r="E1447" t="s">
        <v>420</v>
      </c>
      <c r="F1447" s="2">
        <v>45797</v>
      </c>
      <c r="G1447">
        <v>7022.22</v>
      </c>
      <c r="H1447" s="1">
        <f>AVERAGEIF(Table1[Customer_ID], Table1[[#This Row],[Customer_ID]], Table1[Transaction_Amount])</f>
        <v>5421.9623728813567</v>
      </c>
      <c r="I1447" t="s">
        <v>640</v>
      </c>
      <c r="J1447" t="s">
        <v>46</v>
      </c>
      <c r="K1447" t="s">
        <v>12</v>
      </c>
      <c r="L1447">
        <v>4</v>
      </c>
      <c r="M1447" t="s">
        <v>32</v>
      </c>
      <c r="N1447" t="s">
        <v>42</v>
      </c>
      <c r="O1447" t="s">
        <v>392</v>
      </c>
      <c r="P1447" s="6" t="str">
        <f>IF(Table1[[#This Row],[Transaction_Amount]]&lt;=Table1[[#This Row],[avg_transaction_amount]], "usual transaction", "unusual transaction")</f>
        <v>unusual transaction</v>
      </c>
      <c r="Q1447" s="6" t="str">
        <f>IF(AND(Table1[[#This Row],[Country_of_Residence]]&lt;&gt;Table1[[#This Row],[Country_of_Transaction]], OR(Table1[[#This Row],[Authentication_Type]]="Biometric", Table1[[#This Row],[Authentication_Type]]="OTP")), "safe location transaction", "unsafe location transaction")</f>
        <v>unsafe location transaction</v>
      </c>
      <c r="R1447" s="6" t="str">
        <f>IF(AND(Table1[[#This Row],[Country_of_Residence]]&lt;&gt;Table1[[#This Row],[Country_of_Transaction]], OR(Table1[[#This Row],[Merchant_Category]]="Electronics", Table1[[#This Row],[Merchant_Category]]="Travel")), "unsafe merchant transaction", "safe merchant transaction")</f>
        <v>safe merchant transaction</v>
      </c>
    </row>
    <row r="1448" spans="1:18">
      <c r="A1448" t="s">
        <v>3013</v>
      </c>
      <c r="B1448" t="s">
        <v>232</v>
      </c>
      <c r="C1448">
        <v>1</v>
      </c>
      <c r="D1448" t="s">
        <v>15</v>
      </c>
      <c r="E1448" t="s">
        <v>3</v>
      </c>
      <c r="F1448" s="2">
        <v>45842</v>
      </c>
      <c r="G1448">
        <v>5739.11</v>
      </c>
      <c r="H1448" s="1">
        <f>AVERAGEIF(Table1[Customer_ID], Table1[[#This Row],[Customer_ID]], Table1[Transaction_Amount])</f>
        <v>5421.9623728813567</v>
      </c>
      <c r="I1448" t="s">
        <v>660</v>
      </c>
      <c r="J1448" t="s">
        <v>31</v>
      </c>
      <c r="K1448" t="s">
        <v>14</v>
      </c>
      <c r="L1448">
        <v>5</v>
      </c>
      <c r="M1448" t="s">
        <v>47</v>
      </c>
      <c r="N1448" t="s">
        <v>55</v>
      </c>
      <c r="O1448" t="s">
        <v>392</v>
      </c>
      <c r="P1448" s="6" t="str">
        <f>IF(Table1[[#This Row],[Transaction_Amount]]&lt;=Table1[[#This Row],[avg_transaction_amount]], "usual transaction", "unusual transaction")</f>
        <v>unusual transaction</v>
      </c>
      <c r="Q1448" s="6" t="str">
        <f>IF(AND(Table1[[#This Row],[Country_of_Residence]]&lt;&gt;Table1[[#This Row],[Country_of_Transaction]], OR(Table1[[#This Row],[Authentication_Type]]="Biometric", Table1[[#This Row],[Authentication_Type]]="OTP")), "safe location transaction", "unsafe location transaction")</f>
        <v>unsafe location transaction</v>
      </c>
      <c r="R1448" s="6" t="str">
        <f>IF(AND(Table1[[#This Row],[Country_of_Residence]]&lt;&gt;Table1[[#This Row],[Country_of_Transaction]], OR(Table1[[#This Row],[Merchant_Category]]="Electronics", Table1[[#This Row],[Merchant_Category]]="Travel")), "unsafe merchant transaction", "safe merchant transaction")</f>
        <v>safe merchant transaction</v>
      </c>
    </row>
    <row r="1449" spans="1:18">
      <c r="A1449" t="s">
        <v>3184</v>
      </c>
      <c r="B1449" t="s">
        <v>232</v>
      </c>
      <c r="C1449">
        <v>1</v>
      </c>
      <c r="D1449" t="s">
        <v>9</v>
      </c>
      <c r="E1449" t="s">
        <v>5</v>
      </c>
      <c r="F1449" s="2">
        <v>45817</v>
      </c>
      <c r="G1449">
        <v>1830.88</v>
      </c>
      <c r="H1449" s="1">
        <f>AVERAGEIF(Table1[Customer_ID], Table1[[#This Row],[Customer_ID]], Table1[Transaction_Amount])</f>
        <v>5421.9623728813567</v>
      </c>
      <c r="I1449" t="s">
        <v>819</v>
      </c>
      <c r="J1449" t="s">
        <v>41</v>
      </c>
      <c r="K1449" t="s">
        <v>10</v>
      </c>
      <c r="L1449">
        <v>3</v>
      </c>
      <c r="M1449" t="s">
        <v>42</v>
      </c>
      <c r="N1449" t="s">
        <v>32</v>
      </c>
      <c r="O1449" t="s">
        <v>393</v>
      </c>
      <c r="P1449" s="6" t="str">
        <f>IF(Table1[[#This Row],[Transaction_Amount]]&lt;=Table1[[#This Row],[avg_transaction_amount]], "usual transaction", "unusual transaction")</f>
        <v>usual transaction</v>
      </c>
      <c r="Q1449" s="6" t="str">
        <f>IF(AND(Table1[[#This Row],[Country_of_Residence]]&lt;&gt;Table1[[#This Row],[Country_of_Transaction]], OR(Table1[[#This Row],[Authentication_Type]]="Biometric", Table1[[#This Row],[Authentication_Type]]="OTP")), "safe location transaction", "unsafe location transaction")</f>
        <v>safe location transaction</v>
      </c>
      <c r="R1449" s="6" t="str">
        <f>IF(AND(Table1[[#This Row],[Country_of_Residence]]&lt;&gt;Table1[[#This Row],[Country_of_Transaction]], OR(Table1[[#This Row],[Merchant_Category]]="Electronics", Table1[[#This Row],[Merchant_Category]]="Travel")), "unsafe merchant transaction", "safe merchant transaction")</f>
        <v>safe merchant transaction</v>
      </c>
    </row>
    <row r="1450" spans="1:18">
      <c r="A1450" t="s">
        <v>3187</v>
      </c>
      <c r="B1450" t="s">
        <v>232</v>
      </c>
      <c r="C1450">
        <v>1</v>
      </c>
      <c r="D1450" t="s">
        <v>9</v>
      </c>
      <c r="E1450" t="s">
        <v>3</v>
      </c>
      <c r="F1450" s="2">
        <v>45812</v>
      </c>
      <c r="G1450">
        <v>8184.65</v>
      </c>
      <c r="H1450" s="1">
        <f>AVERAGEIF(Table1[Customer_ID], Table1[[#This Row],[Customer_ID]], Table1[Transaction_Amount])</f>
        <v>5421.9623728813567</v>
      </c>
      <c r="I1450" t="s">
        <v>822</v>
      </c>
      <c r="J1450" t="s">
        <v>36</v>
      </c>
      <c r="K1450" t="s">
        <v>8</v>
      </c>
      <c r="L1450">
        <v>1</v>
      </c>
      <c r="M1450" t="s">
        <v>55</v>
      </c>
      <c r="N1450" t="s">
        <v>33</v>
      </c>
      <c r="O1450" t="s">
        <v>392</v>
      </c>
      <c r="P1450" s="6" t="str">
        <f>IF(Table1[[#This Row],[Transaction_Amount]]&lt;=Table1[[#This Row],[avg_transaction_amount]], "usual transaction", "unusual transaction")</f>
        <v>unusual transaction</v>
      </c>
      <c r="Q1450" s="6" t="str">
        <f>IF(AND(Table1[[#This Row],[Country_of_Residence]]&lt;&gt;Table1[[#This Row],[Country_of_Transaction]], OR(Table1[[#This Row],[Authentication_Type]]="Biometric", Table1[[#This Row],[Authentication_Type]]="OTP")), "safe location transaction", "unsafe location transaction")</f>
        <v>safe location transaction</v>
      </c>
      <c r="R1450" s="6" t="str">
        <f>IF(AND(Table1[[#This Row],[Country_of_Residence]]&lt;&gt;Table1[[#This Row],[Country_of_Transaction]], OR(Table1[[#This Row],[Merchant_Category]]="Electronics", Table1[[#This Row],[Merchant_Category]]="Travel")), "unsafe merchant transaction", "safe merchant transaction")</f>
        <v>safe merchant transaction</v>
      </c>
    </row>
    <row r="1451" spans="1:18">
      <c r="A1451" t="s">
        <v>3212</v>
      </c>
      <c r="B1451" t="s">
        <v>232</v>
      </c>
      <c r="C1451">
        <v>1</v>
      </c>
      <c r="D1451" t="s">
        <v>15</v>
      </c>
      <c r="E1451" t="s">
        <v>6</v>
      </c>
      <c r="F1451" s="2">
        <v>45659</v>
      </c>
      <c r="G1451">
        <v>8448.2900000000009</v>
      </c>
      <c r="H1451" s="1">
        <f>AVERAGEIF(Table1[Customer_ID], Table1[[#This Row],[Customer_ID]], Table1[Transaction_Amount])</f>
        <v>5421.9623728813567</v>
      </c>
      <c r="I1451" t="s">
        <v>728</v>
      </c>
      <c r="J1451" t="s">
        <v>31</v>
      </c>
      <c r="K1451" t="s">
        <v>14</v>
      </c>
      <c r="L1451">
        <v>2</v>
      </c>
      <c r="M1451" t="s">
        <v>37</v>
      </c>
      <c r="N1451" t="s">
        <v>56</v>
      </c>
      <c r="O1451" t="s">
        <v>392</v>
      </c>
      <c r="P1451" s="6" t="str">
        <f>IF(Table1[[#This Row],[Transaction_Amount]]&lt;=Table1[[#This Row],[avg_transaction_amount]], "usual transaction", "unusual transaction")</f>
        <v>unusual transaction</v>
      </c>
      <c r="Q1451" s="6" t="str">
        <f>IF(AND(Table1[[#This Row],[Country_of_Residence]]&lt;&gt;Table1[[#This Row],[Country_of_Transaction]], OR(Table1[[#This Row],[Authentication_Type]]="Biometric", Table1[[#This Row],[Authentication_Type]]="OTP")), "safe location transaction", "unsafe location transaction")</f>
        <v>unsafe location transaction</v>
      </c>
      <c r="R1451" s="6" t="str">
        <f>IF(AND(Table1[[#This Row],[Country_of_Residence]]&lt;&gt;Table1[[#This Row],[Country_of_Transaction]], OR(Table1[[#This Row],[Merchant_Category]]="Electronics", Table1[[#This Row],[Merchant_Category]]="Travel")), "unsafe merchant transaction", "safe merchant transaction")</f>
        <v>safe merchant transaction</v>
      </c>
    </row>
    <row r="1452" spans="1:18">
      <c r="A1452" t="s">
        <v>3248</v>
      </c>
      <c r="B1452" t="s">
        <v>232</v>
      </c>
      <c r="C1452">
        <v>1</v>
      </c>
      <c r="D1452" t="s">
        <v>9</v>
      </c>
      <c r="E1452" t="s">
        <v>420</v>
      </c>
      <c r="F1452" s="2">
        <v>45848</v>
      </c>
      <c r="G1452">
        <v>1522.06</v>
      </c>
      <c r="H1452" s="1">
        <f>AVERAGEIF(Table1[Customer_ID], Table1[[#This Row],[Customer_ID]], Table1[Transaction_Amount])</f>
        <v>5421.9623728813567</v>
      </c>
      <c r="I1452" t="s">
        <v>879</v>
      </c>
      <c r="J1452" t="s">
        <v>50</v>
      </c>
      <c r="K1452" t="s">
        <v>14</v>
      </c>
      <c r="L1452">
        <v>2</v>
      </c>
      <c r="M1452" t="s">
        <v>47</v>
      </c>
      <c r="N1452" t="s">
        <v>33</v>
      </c>
      <c r="O1452" t="s">
        <v>392</v>
      </c>
      <c r="P1452" s="6" t="str">
        <f>IF(Table1[[#This Row],[Transaction_Amount]]&lt;=Table1[[#This Row],[avg_transaction_amount]], "usual transaction", "unusual transaction")</f>
        <v>usual transaction</v>
      </c>
      <c r="Q1452" s="6" t="str">
        <f>IF(AND(Table1[[#This Row],[Country_of_Residence]]&lt;&gt;Table1[[#This Row],[Country_of_Transaction]], OR(Table1[[#This Row],[Authentication_Type]]="Biometric", Table1[[#This Row],[Authentication_Type]]="OTP")), "safe location transaction", "unsafe location transaction")</f>
        <v>unsafe location transaction</v>
      </c>
      <c r="R1452" s="6" t="str">
        <f>IF(AND(Table1[[#This Row],[Country_of_Residence]]&lt;&gt;Table1[[#This Row],[Country_of_Transaction]], OR(Table1[[#This Row],[Merchant_Category]]="Electronics", Table1[[#This Row],[Merchant_Category]]="Travel")), "unsafe merchant transaction", "safe merchant transaction")</f>
        <v>unsafe merchant transaction</v>
      </c>
    </row>
    <row r="1453" spans="1:18">
      <c r="A1453" t="s">
        <v>3285</v>
      </c>
      <c r="B1453" t="s">
        <v>232</v>
      </c>
      <c r="C1453">
        <v>1</v>
      </c>
      <c r="D1453" t="s">
        <v>15</v>
      </c>
      <c r="E1453" t="s">
        <v>6</v>
      </c>
      <c r="F1453" s="2">
        <v>45715</v>
      </c>
      <c r="G1453">
        <v>9434.4599999999991</v>
      </c>
      <c r="H1453" s="1">
        <f>AVERAGEIF(Table1[Customer_ID], Table1[[#This Row],[Customer_ID]], Table1[Transaction_Amount])</f>
        <v>5421.9623728813567</v>
      </c>
      <c r="I1453" t="s">
        <v>913</v>
      </c>
      <c r="J1453" t="s">
        <v>31</v>
      </c>
      <c r="K1453" t="s">
        <v>14</v>
      </c>
      <c r="L1453">
        <v>3</v>
      </c>
      <c r="M1453" t="s">
        <v>32</v>
      </c>
      <c r="N1453" t="s">
        <v>55</v>
      </c>
      <c r="O1453" t="s">
        <v>392</v>
      </c>
      <c r="P1453" s="6" t="str">
        <f>IF(Table1[[#This Row],[Transaction_Amount]]&lt;=Table1[[#This Row],[avg_transaction_amount]], "usual transaction", "unusual transaction")</f>
        <v>unusual transaction</v>
      </c>
      <c r="Q1453" s="6" t="str">
        <f>IF(AND(Table1[[#This Row],[Country_of_Residence]]&lt;&gt;Table1[[#This Row],[Country_of_Transaction]], OR(Table1[[#This Row],[Authentication_Type]]="Biometric", Table1[[#This Row],[Authentication_Type]]="OTP")), "safe location transaction", "unsafe location transaction")</f>
        <v>unsafe location transaction</v>
      </c>
      <c r="R1453" s="6" t="str">
        <f>IF(AND(Table1[[#This Row],[Country_of_Residence]]&lt;&gt;Table1[[#This Row],[Country_of_Transaction]], OR(Table1[[#This Row],[Merchant_Category]]="Electronics", Table1[[#This Row],[Merchant_Category]]="Travel")), "unsafe merchant transaction", "safe merchant transaction")</f>
        <v>safe merchant transaction</v>
      </c>
    </row>
    <row r="1454" spans="1:18">
      <c r="A1454" t="s">
        <v>3314</v>
      </c>
      <c r="B1454" t="s">
        <v>232</v>
      </c>
      <c r="C1454">
        <v>1</v>
      </c>
      <c r="D1454" t="s">
        <v>9</v>
      </c>
      <c r="E1454" t="s">
        <v>5</v>
      </c>
      <c r="F1454" s="2">
        <v>45958</v>
      </c>
      <c r="G1454">
        <v>500.32</v>
      </c>
      <c r="H1454" s="1">
        <f>AVERAGEIF(Table1[Customer_ID], Table1[[#This Row],[Customer_ID]], Table1[Transaction_Amount])</f>
        <v>5421.9623728813567</v>
      </c>
      <c r="I1454" t="s">
        <v>941</v>
      </c>
      <c r="J1454" t="s">
        <v>36</v>
      </c>
      <c r="K1454" t="s">
        <v>14</v>
      </c>
      <c r="L1454">
        <v>2</v>
      </c>
      <c r="M1454" t="s">
        <v>42</v>
      </c>
      <c r="N1454" t="s">
        <v>55</v>
      </c>
      <c r="O1454" t="s">
        <v>392</v>
      </c>
      <c r="P1454" s="6" t="str">
        <f>IF(Table1[[#This Row],[Transaction_Amount]]&lt;=Table1[[#This Row],[avg_transaction_amount]], "usual transaction", "unusual transaction")</f>
        <v>usual transaction</v>
      </c>
      <c r="Q1454" s="6" t="str">
        <f>IF(AND(Table1[[#This Row],[Country_of_Residence]]&lt;&gt;Table1[[#This Row],[Country_of_Transaction]], OR(Table1[[#This Row],[Authentication_Type]]="Biometric", Table1[[#This Row],[Authentication_Type]]="OTP")), "safe location transaction", "unsafe location transaction")</f>
        <v>unsafe location transaction</v>
      </c>
      <c r="R1454" s="6" t="str">
        <f>IF(AND(Table1[[#This Row],[Country_of_Residence]]&lt;&gt;Table1[[#This Row],[Country_of_Transaction]], OR(Table1[[#This Row],[Merchant_Category]]="Electronics", Table1[[#This Row],[Merchant_Category]]="Travel")), "unsafe merchant transaction", "safe merchant transaction")</f>
        <v>safe merchant transaction</v>
      </c>
    </row>
    <row r="1455" spans="1:18">
      <c r="A1455" t="s">
        <v>3388</v>
      </c>
      <c r="B1455" t="s">
        <v>232</v>
      </c>
      <c r="C1455">
        <v>1</v>
      </c>
      <c r="D1455" t="s">
        <v>9</v>
      </c>
      <c r="E1455" t="s">
        <v>3</v>
      </c>
      <c r="F1455" s="2">
        <v>45826</v>
      </c>
      <c r="G1455">
        <v>683.91</v>
      </c>
      <c r="H1455" s="1">
        <f>AVERAGEIF(Table1[Customer_ID], Table1[[#This Row],[Customer_ID]], Table1[Transaction_Amount])</f>
        <v>5421.9623728813567</v>
      </c>
      <c r="I1455" t="s">
        <v>1009</v>
      </c>
      <c r="J1455" t="s">
        <v>50</v>
      </c>
      <c r="K1455" t="s">
        <v>10</v>
      </c>
      <c r="L1455">
        <v>1</v>
      </c>
      <c r="M1455" t="s">
        <v>32</v>
      </c>
      <c r="N1455" t="s">
        <v>33</v>
      </c>
      <c r="O1455" t="s">
        <v>392</v>
      </c>
      <c r="P1455" s="6" t="str">
        <f>IF(Table1[[#This Row],[Transaction_Amount]]&lt;=Table1[[#This Row],[avg_transaction_amount]], "usual transaction", "unusual transaction")</f>
        <v>usual transaction</v>
      </c>
      <c r="Q1455" s="6" t="str">
        <f>IF(AND(Table1[[#This Row],[Country_of_Residence]]&lt;&gt;Table1[[#This Row],[Country_of_Transaction]], OR(Table1[[#This Row],[Authentication_Type]]="Biometric", Table1[[#This Row],[Authentication_Type]]="OTP")), "safe location transaction", "unsafe location transaction")</f>
        <v>safe location transaction</v>
      </c>
      <c r="R1455" s="6" t="str">
        <f>IF(AND(Table1[[#This Row],[Country_of_Residence]]&lt;&gt;Table1[[#This Row],[Country_of_Transaction]], OR(Table1[[#This Row],[Merchant_Category]]="Electronics", Table1[[#This Row],[Merchant_Category]]="Travel")), "unsafe merchant transaction", "safe merchant transaction")</f>
        <v>unsafe merchant transaction</v>
      </c>
    </row>
    <row r="1456" spans="1:18">
      <c r="A1456" t="s">
        <v>3586</v>
      </c>
      <c r="B1456" t="s">
        <v>232</v>
      </c>
      <c r="C1456">
        <v>1</v>
      </c>
      <c r="D1456" t="s">
        <v>15</v>
      </c>
      <c r="E1456" t="s">
        <v>420</v>
      </c>
      <c r="F1456" s="2">
        <v>45792</v>
      </c>
      <c r="G1456">
        <v>6205.52</v>
      </c>
      <c r="H1456" s="1">
        <f>AVERAGEIF(Table1[Customer_ID], Table1[[#This Row],[Customer_ID]], Table1[Transaction_Amount])</f>
        <v>5421.9623728813567</v>
      </c>
      <c r="I1456" t="s">
        <v>1195</v>
      </c>
      <c r="J1456" t="s">
        <v>31</v>
      </c>
      <c r="K1456" t="s">
        <v>14</v>
      </c>
      <c r="L1456">
        <v>3</v>
      </c>
      <c r="M1456" t="s">
        <v>37</v>
      </c>
      <c r="N1456" t="s">
        <v>55</v>
      </c>
      <c r="O1456" t="s">
        <v>393</v>
      </c>
      <c r="P1456" s="6" t="str">
        <f>IF(Table1[[#This Row],[Transaction_Amount]]&lt;=Table1[[#This Row],[avg_transaction_amount]], "usual transaction", "unusual transaction")</f>
        <v>unusual transaction</v>
      </c>
      <c r="Q1456" s="6" t="str">
        <f>IF(AND(Table1[[#This Row],[Country_of_Residence]]&lt;&gt;Table1[[#This Row],[Country_of_Transaction]], OR(Table1[[#This Row],[Authentication_Type]]="Biometric", Table1[[#This Row],[Authentication_Type]]="OTP")), "safe location transaction", "unsafe location transaction")</f>
        <v>unsafe location transaction</v>
      </c>
      <c r="R1456" s="6" t="str">
        <f>IF(AND(Table1[[#This Row],[Country_of_Residence]]&lt;&gt;Table1[[#This Row],[Country_of_Transaction]], OR(Table1[[#This Row],[Merchant_Category]]="Electronics", Table1[[#This Row],[Merchant_Category]]="Travel")), "unsafe merchant transaction", "safe merchant transaction")</f>
        <v>safe merchant transaction</v>
      </c>
    </row>
    <row r="1457" spans="1:18">
      <c r="A1457" t="s">
        <v>3669</v>
      </c>
      <c r="B1457" t="s">
        <v>232</v>
      </c>
      <c r="C1457">
        <v>1</v>
      </c>
      <c r="D1457" t="s">
        <v>9</v>
      </c>
      <c r="E1457" t="s">
        <v>420</v>
      </c>
      <c r="F1457" s="2">
        <v>45931</v>
      </c>
      <c r="G1457">
        <v>7743.94</v>
      </c>
      <c r="H1457" s="1">
        <f>AVERAGEIF(Table1[Customer_ID], Table1[[#This Row],[Customer_ID]], Table1[Transaction_Amount])</f>
        <v>5421.9623728813567</v>
      </c>
      <c r="I1457" t="s">
        <v>1271</v>
      </c>
      <c r="J1457" t="s">
        <v>36</v>
      </c>
      <c r="K1457" t="s">
        <v>10</v>
      </c>
      <c r="L1457">
        <v>1</v>
      </c>
      <c r="M1457" t="s">
        <v>42</v>
      </c>
      <c r="N1457" t="s">
        <v>55</v>
      </c>
      <c r="O1457" t="s">
        <v>393</v>
      </c>
      <c r="P1457" s="6" t="str">
        <f>IF(Table1[[#This Row],[Transaction_Amount]]&lt;=Table1[[#This Row],[avg_transaction_amount]], "usual transaction", "unusual transaction")</f>
        <v>unusual transaction</v>
      </c>
      <c r="Q1457" s="6" t="str">
        <f>IF(AND(Table1[[#This Row],[Country_of_Residence]]&lt;&gt;Table1[[#This Row],[Country_of_Transaction]], OR(Table1[[#This Row],[Authentication_Type]]="Biometric", Table1[[#This Row],[Authentication_Type]]="OTP")), "safe location transaction", "unsafe location transaction")</f>
        <v>safe location transaction</v>
      </c>
      <c r="R1457" s="6" t="str">
        <f>IF(AND(Table1[[#This Row],[Country_of_Residence]]&lt;&gt;Table1[[#This Row],[Country_of_Transaction]], OR(Table1[[#This Row],[Merchant_Category]]="Electronics", Table1[[#This Row],[Merchant_Category]]="Travel")), "unsafe merchant transaction", "safe merchant transaction")</f>
        <v>safe merchant transaction</v>
      </c>
    </row>
    <row r="1458" spans="1:18">
      <c r="A1458" t="s">
        <v>3672</v>
      </c>
      <c r="B1458" t="s">
        <v>232</v>
      </c>
      <c r="C1458">
        <v>1</v>
      </c>
      <c r="D1458" t="s">
        <v>9</v>
      </c>
      <c r="E1458" t="s">
        <v>3</v>
      </c>
      <c r="F1458" s="2">
        <v>45835</v>
      </c>
      <c r="G1458">
        <v>6839.28</v>
      </c>
      <c r="H1458" s="1">
        <f>AVERAGEIF(Table1[Customer_ID], Table1[[#This Row],[Customer_ID]], Table1[Transaction_Amount])</f>
        <v>5421.9623728813567</v>
      </c>
      <c r="I1458" t="s">
        <v>1273</v>
      </c>
      <c r="J1458" t="s">
        <v>36</v>
      </c>
      <c r="K1458" t="s">
        <v>10</v>
      </c>
      <c r="L1458">
        <v>1</v>
      </c>
      <c r="M1458" t="s">
        <v>51</v>
      </c>
      <c r="N1458" t="s">
        <v>42</v>
      </c>
      <c r="O1458" t="s">
        <v>393</v>
      </c>
      <c r="P1458" s="6" t="str">
        <f>IF(Table1[[#This Row],[Transaction_Amount]]&lt;=Table1[[#This Row],[avg_transaction_amount]], "usual transaction", "unusual transaction")</f>
        <v>unusual transaction</v>
      </c>
      <c r="Q1458" s="6" t="str">
        <f>IF(AND(Table1[[#This Row],[Country_of_Residence]]&lt;&gt;Table1[[#This Row],[Country_of_Transaction]], OR(Table1[[#This Row],[Authentication_Type]]="Biometric", Table1[[#This Row],[Authentication_Type]]="OTP")), "safe location transaction", "unsafe location transaction")</f>
        <v>safe location transaction</v>
      </c>
      <c r="R1458" s="6" t="str">
        <f>IF(AND(Table1[[#This Row],[Country_of_Residence]]&lt;&gt;Table1[[#This Row],[Country_of_Transaction]], OR(Table1[[#This Row],[Merchant_Category]]="Electronics", Table1[[#This Row],[Merchant_Category]]="Travel")), "unsafe merchant transaction", "safe merchant transaction")</f>
        <v>safe merchant transaction</v>
      </c>
    </row>
    <row r="1459" spans="1:18">
      <c r="A1459" t="s">
        <v>3833</v>
      </c>
      <c r="B1459" t="s">
        <v>232</v>
      </c>
      <c r="C1459">
        <v>1</v>
      </c>
      <c r="D1459" t="s">
        <v>9</v>
      </c>
      <c r="E1459" t="s">
        <v>6</v>
      </c>
      <c r="F1459" s="2">
        <v>45938</v>
      </c>
      <c r="G1459">
        <v>5473.86</v>
      </c>
      <c r="H1459" s="1">
        <f>AVERAGEIF(Table1[Customer_ID], Table1[[#This Row],[Customer_ID]], Table1[Transaction_Amount])</f>
        <v>5421.9623728813567</v>
      </c>
      <c r="I1459" t="s">
        <v>1412</v>
      </c>
      <c r="J1459" t="s">
        <v>36</v>
      </c>
      <c r="K1459" t="s">
        <v>12</v>
      </c>
      <c r="L1459">
        <v>0</v>
      </c>
      <c r="M1459" t="s">
        <v>37</v>
      </c>
      <c r="N1459" t="s">
        <v>55</v>
      </c>
      <c r="O1459" t="s">
        <v>392</v>
      </c>
      <c r="P1459" s="6" t="str">
        <f>IF(Table1[[#This Row],[Transaction_Amount]]&lt;=Table1[[#This Row],[avg_transaction_amount]], "usual transaction", "unusual transaction")</f>
        <v>unusual transaction</v>
      </c>
      <c r="Q1459" s="6" t="str">
        <f>IF(AND(Table1[[#This Row],[Country_of_Residence]]&lt;&gt;Table1[[#This Row],[Country_of_Transaction]], OR(Table1[[#This Row],[Authentication_Type]]="Biometric", Table1[[#This Row],[Authentication_Type]]="OTP")), "safe location transaction", "unsafe location transaction")</f>
        <v>unsafe location transaction</v>
      </c>
      <c r="R1459" s="6" t="str">
        <f>IF(AND(Table1[[#This Row],[Country_of_Residence]]&lt;&gt;Table1[[#This Row],[Country_of_Transaction]], OR(Table1[[#This Row],[Merchant_Category]]="Electronics", Table1[[#This Row],[Merchant_Category]]="Travel")), "unsafe merchant transaction", "safe merchant transaction")</f>
        <v>safe merchant transaction</v>
      </c>
    </row>
    <row r="1460" spans="1:18">
      <c r="A1460" t="s">
        <v>3915</v>
      </c>
      <c r="B1460" t="s">
        <v>232</v>
      </c>
      <c r="C1460">
        <v>1</v>
      </c>
      <c r="D1460" t="s">
        <v>9</v>
      </c>
      <c r="E1460" t="s">
        <v>420</v>
      </c>
      <c r="F1460" s="2">
        <v>45841</v>
      </c>
      <c r="G1460">
        <v>8528.9599999999991</v>
      </c>
      <c r="H1460" s="1">
        <f>AVERAGEIF(Table1[Customer_ID], Table1[[#This Row],[Customer_ID]], Table1[Transaction_Amount])</f>
        <v>5421.9623728813567</v>
      </c>
      <c r="I1460" t="s">
        <v>1480</v>
      </c>
      <c r="J1460" t="s">
        <v>50</v>
      </c>
      <c r="K1460" t="s">
        <v>8</v>
      </c>
      <c r="L1460">
        <v>3</v>
      </c>
      <c r="M1460" t="s">
        <v>55</v>
      </c>
      <c r="N1460" t="s">
        <v>37</v>
      </c>
      <c r="O1460" t="s">
        <v>393</v>
      </c>
      <c r="P1460" s="6" t="str">
        <f>IF(Table1[[#This Row],[Transaction_Amount]]&lt;=Table1[[#This Row],[avg_transaction_amount]], "usual transaction", "unusual transaction")</f>
        <v>unusual transaction</v>
      </c>
      <c r="Q1460" s="6" t="str">
        <f>IF(AND(Table1[[#This Row],[Country_of_Residence]]&lt;&gt;Table1[[#This Row],[Country_of_Transaction]], OR(Table1[[#This Row],[Authentication_Type]]="Biometric", Table1[[#This Row],[Authentication_Type]]="OTP")), "safe location transaction", "unsafe location transaction")</f>
        <v>safe location transaction</v>
      </c>
      <c r="R1460" s="6" t="str">
        <f>IF(AND(Table1[[#This Row],[Country_of_Residence]]&lt;&gt;Table1[[#This Row],[Country_of_Transaction]], OR(Table1[[#This Row],[Merchant_Category]]="Electronics", Table1[[#This Row],[Merchant_Category]]="Travel")), "unsafe merchant transaction", "safe merchant transaction")</f>
        <v>unsafe merchant transaction</v>
      </c>
    </row>
    <row r="1461" spans="1:18">
      <c r="A1461" t="s">
        <v>3924</v>
      </c>
      <c r="B1461" t="s">
        <v>232</v>
      </c>
      <c r="C1461">
        <v>1</v>
      </c>
      <c r="D1461" t="s">
        <v>15</v>
      </c>
      <c r="E1461" t="s">
        <v>6</v>
      </c>
      <c r="F1461" s="2">
        <v>45888</v>
      </c>
      <c r="G1461">
        <v>2690.39</v>
      </c>
      <c r="H1461" s="1">
        <f>AVERAGEIF(Table1[Customer_ID], Table1[[#This Row],[Customer_ID]], Table1[Transaction_Amount])</f>
        <v>5421.9623728813567</v>
      </c>
      <c r="I1461" t="s">
        <v>1488</v>
      </c>
      <c r="J1461" t="s">
        <v>31</v>
      </c>
      <c r="K1461" t="s">
        <v>8</v>
      </c>
      <c r="L1461">
        <v>0</v>
      </c>
      <c r="M1461" t="s">
        <v>32</v>
      </c>
      <c r="N1461" t="s">
        <v>37</v>
      </c>
      <c r="O1461" t="s">
        <v>393</v>
      </c>
      <c r="P1461" s="6" t="str">
        <f>IF(Table1[[#This Row],[Transaction_Amount]]&lt;=Table1[[#This Row],[avg_transaction_amount]], "usual transaction", "unusual transaction")</f>
        <v>usual transaction</v>
      </c>
      <c r="Q1461" s="6" t="str">
        <f>IF(AND(Table1[[#This Row],[Country_of_Residence]]&lt;&gt;Table1[[#This Row],[Country_of_Transaction]], OR(Table1[[#This Row],[Authentication_Type]]="Biometric", Table1[[#This Row],[Authentication_Type]]="OTP")), "safe location transaction", "unsafe location transaction")</f>
        <v>safe location transaction</v>
      </c>
      <c r="R1461" s="6" t="str">
        <f>IF(AND(Table1[[#This Row],[Country_of_Residence]]&lt;&gt;Table1[[#This Row],[Country_of_Transaction]], OR(Table1[[#This Row],[Merchant_Category]]="Electronics", Table1[[#This Row],[Merchant_Category]]="Travel")), "unsafe merchant transaction", "safe merchant transaction")</f>
        <v>safe merchant transaction</v>
      </c>
    </row>
    <row r="1462" spans="1:18">
      <c r="A1462" t="s">
        <v>4009</v>
      </c>
      <c r="B1462" t="s">
        <v>232</v>
      </c>
      <c r="C1462">
        <v>1</v>
      </c>
      <c r="D1462" t="s">
        <v>9</v>
      </c>
      <c r="E1462" t="s">
        <v>6</v>
      </c>
      <c r="F1462" s="2">
        <v>45864</v>
      </c>
      <c r="G1462">
        <v>1665.01</v>
      </c>
      <c r="H1462" s="1">
        <f>AVERAGEIF(Table1[Customer_ID], Table1[[#This Row],[Customer_ID]], Table1[Transaction_Amount])</f>
        <v>5421.9623728813567</v>
      </c>
      <c r="I1462" t="s">
        <v>1566</v>
      </c>
      <c r="J1462" t="s">
        <v>41</v>
      </c>
      <c r="K1462" t="s">
        <v>12</v>
      </c>
      <c r="L1462">
        <v>2</v>
      </c>
      <c r="M1462" t="s">
        <v>412</v>
      </c>
      <c r="N1462" t="s">
        <v>33</v>
      </c>
      <c r="O1462" t="s">
        <v>392</v>
      </c>
      <c r="P1462" s="6" t="str">
        <f>IF(Table1[[#This Row],[Transaction_Amount]]&lt;=Table1[[#This Row],[avg_transaction_amount]], "usual transaction", "unusual transaction")</f>
        <v>usual transaction</v>
      </c>
      <c r="Q1462" s="6" t="str">
        <f>IF(AND(Table1[[#This Row],[Country_of_Residence]]&lt;&gt;Table1[[#This Row],[Country_of_Transaction]], OR(Table1[[#This Row],[Authentication_Type]]="Biometric", Table1[[#This Row],[Authentication_Type]]="OTP")), "safe location transaction", "unsafe location transaction")</f>
        <v>unsafe location transaction</v>
      </c>
      <c r="R1462" s="6" t="str">
        <f>IF(AND(Table1[[#This Row],[Country_of_Residence]]&lt;&gt;Table1[[#This Row],[Country_of_Transaction]], OR(Table1[[#This Row],[Merchant_Category]]="Electronics", Table1[[#This Row],[Merchant_Category]]="Travel")), "unsafe merchant transaction", "safe merchant transaction")</f>
        <v>safe merchant transaction</v>
      </c>
    </row>
    <row r="1463" spans="1:18">
      <c r="A1463" t="s">
        <v>4022</v>
      </c>
      <c r="B1463" t="s">
        <v>232</v>
      </c>
      <c r="C1463">
        <v>1</v>
      </c>
      <c r="D1463" t="s">
        <v>15</v>
      </c>
      <c r="E1463" t="s">
        <v>3</v>
      </c>
      <c r="F1463" s="2">
        <v>45950</v>
      </c>
      <c r="G1463">
        <v>5715.85</v>
      </c>
      <c r="H1463" s="1">
        <f>AVERAGEIF(Table1[Customer_ID], Table1[[#This Row],[Customer_ID]], Table1[Transaction_Amount])</f>
        <v>5421.9623728813567</v>
      </c>
      <c r="I1463" t="s">
        <v>1578</v>
      </c>
      <c r="J1463" t="s">
        <v>41</v>
      </c>
      <c r="K1463" t="s">
        <v>8</v>
      </c>
      <c r="L1463">
        <v>3</v>
      </c>
      <c r="M1463" t="s">
        <v>412</v>
      </c>
      <c r="N1463" t="s">
        <v>33</v>
      </c>
      <c r="O1463" t="s">
        <v>393</v>
      </c>
      <c r="P1463" s="6" t="str">
        <f>IF(Table1[[#This Row],[Transaction_Amount]]&lt;=Table1[[#This Row],[avg_transaction_amount]], "usual transaction", "unusual transaction")</f>
        <v>unusual transaction</v>
      </c>
      <c r="Q1463" s="6" t="str">
        <f>IF(AND(Table1[[#This Row],[Country_of_Residence]]&lt;&gt;Table1[[#This Row],[Country_of_Transaction]], OR(Table1[[#This Row],[Authentication_Type]]="Biometric", Table1[[#This Row],[Authentication_Type]]="OTP")), "safe location transaction", "unsafe location transaction")</f>
        <v>safe location transaction</v>
      </c>
      <c r="R1463" s="6" t="str">
        <f>IF(AND(Table1[[#This Row],[Country_of_Residence]]&lt;&gt;Table1[[#This Row],[Country_of_Transaction]], OR(Table1[[#This Row],[Merchant_Category]]="Electronics", Table1[[#This Row],[Merchant_Category]]="Travel")), "unsafe merchant transaction", "safe merchant transaction")</f>
        <v>safe merchant transaction</v>
      </c>
    </row>
    <row r="1464" spans="1:18">
      <c r="A1464" t="s">
        <v>4039</v>
      </c>
      <c r="B1464" t="s">
        <v>232</v>
      </c>
      <c r="C1464">
        <v>1</v>
      </c>
      <c r="D1464" t="s">
        <v>9</v>
      </c>
      <c r="E1464" t="s">
        <v>420</v>
      </c>
      <c r="F1464" s="2">
        <v>45871</v>
      </c>
      <c r="G1464">
        <v>1669.76</v>
      </c>
      <c r="H1464" s="1">
        <f>AVERAGEIF(Table1[Customer_ID], Table1[[#This Row],[Customer_ID]], Table1[Transaction_Amount])</f>
        <v>5421.9623728813567</v>
      </c>
      <c r="I1464" t="s">
        <v>1594</v>
      </c>
      <c r="J1464" t="s">
        <v>41</v>
      </c>
      <c r="K1464" t="s">
        <v>8</v>
      </c>
      <c r="L1464">
        <v>3</v>
      </c>
      <c r="M1464" t="s">
        <v>33</v>
      </c>
      <c r="N1464" t="s">
        <v>47</v>
      </c>
      <c r="O1464" t="s">
        <v>393</v>
      </c>
      <c r="P1464" s="6" t="str">
        <f>IF(Table1[[#This Row],[Transaction_Amount]]&lt;=Table1[[#This Row],[avg_transaction_amount]], "usual transaction", "unusual transaction")</f>
        <v>usual transaction</v>
      </c>
      <c r="Q1464" s="6" t="str">
        <f>IF(AND(Table1[[#This Row],[Country_of_Residence]]&lt;&gt;Table1[[#This Row],[Country_of_Transaction]], OR(Table1[[#This Row],[Authentication_Type]]="Biometric", Table1[[#This Row],[Authentication_Type]]="OTP")), "safe location transaction", "unsafe location transaction")</f>
        <v>safe location transaction</v>
      </c>
      <c r="R1464" s="6" t="str">
        <f>IF(AND(Table1[[#This Row],[Country_of_Residence]]&lt;&gt;Table1[[#This Row],[Country_of_Transaction]], OR(Table1[[#This Row],[Merchant_Category]]="Electronics", Table1[[#This Row],[Merchant_Category]]="Travel")), "unsafe merchant transaction", "safe merchant transaction")</f>
        <v>safe merchant transaction</v>
      </c>
    </row>
    <row r="1465" spans="1:18">
      <c r="A1465" t="s">
        <v>4079</v>
      </c>
      <c r="B1465" t="s">
        <v>232</v>
      </c>
      <c r="C1465">
        <v>1</v>
      </c>
      <c r="D1465" t="s">
        <v>9</v>
      </c>
      <c r="E1465" t="s">
        <v>3</v>
      </c>
      <c r="F1465" s="2">
        <v>45926</v>
      </c>
      <c r="G1465">
        <v>4396.25</v>
      </c>
      <c r="H1465" s="1">
        <f>AVERAGEIF(Table1[Customer_ID], Table1[[#This Row],[Customer_ID]], Table1[Transaction_Amount])</f>
        <v>5421.9623728813567</v>
      </c>
      <c r="I1465" t="s">
        <v>1623</v>
      </c>
      <c r="J1465" t="s">
        <v>36</v>
      </c>
      <c r="K1465" t="s">
        <v>10</v>
      </c>
      <c r="L1465">
        <v>0</v>
      </c>
      <c r="M1465" t="s">
        <v>412</v>
      </c>
      <c r="N1465" t="s">
        <v>37</v>
      </c>
      <c r="O1465" t="s">
        <v>393</v>
      </c>
      <c r="P1465" s="6" t="str">
        <f>IF(Table1[[#This Row],[Transaction_Amount]]&lt;=Table1[[#This Row],[avg_transaction_amount]], "usual transaction", "unusual transaction")</f>
        <v>usual transaction</v>
      </c>
      <c r="Q1465" s="6" t="str">
        <f>IF(AND(Table1[[#This Row],[Country_of_Residence]]&lt;&gt;Table1[[#This Row],[Country_of_Transaction]], OR(Table1[[#This Row],[Authentication_Type]]="Biometric", Table1[[#This Row],[Authentication_Type]]="OTP")), "safe location transaction", "unsafe location transaction")</f>
        <v>safe location transaction</v>
      </c>
      <c r="R1465" s="6" t="str">
        <f>IF(AND(Table1[[#This Row],[Country_of_Residence]]&lt;&gt;Table1[[#This Row],[Country_of_Transaction]], OR(Table1[[#This Row],[Merchant_Category]]="Electronics", Table1[[#This Row],[Merchant_Category]]="Travel")), "unsafe merchant transaction", "safe merchant transaction")</f>
        <v>safe merchant transaction</v>
      </c>
    </row>
    <row r="1466" spans="1:18">
      <c r="A1466" t="s">
        <v>4099</v>
      </c>
      <c r="B1466" t="s">
        <v>232</v>
      </c>
      <c r="C1466">
        <v>1</v>
      </c>
      <c r="D1466" t="s">
        <v>15</v>
      </c>
      <c r="E1466" t="s">
        <v>6</v>
      </c>
      <c r="F1466" s="2">
        <v>45842</v>
      </c>
      <c r="G1466">
        <v>3357.88</v>
      </c>
      <c r="H1466" s="1">
        <f>AVERAGEIF(Table1[Customer_ID], Table1[[#This Row],[Customer_ID]], Table1[Transaction_Amount])</f>
        <v>5421.9623728813567</v>
      </c>
      <c r="I1466" t="s">
        <v>1610</v>
      </c>
      <c r="J1466" t="s">
        <v>36</v>
      </c>
      <c r="K1466" t="s">
        <v>12</v>
      </c>
      <c r="L1466">
        <v>2</v>
      </c>
      <c r="M1466" t="s">
        <v>32</v>
      </c>
      <c r="N1466" t="s">
        <v>32</v>
      </c>
      <c r="O1466" t="s">
        <v>393</v>
      </c>
      <c r="P1466" s="6" t="str">
        <f>IF(Table1[[#This Row],[Transaction_Amount]]&lt;=Table1[[#This Row],[avg_transaction_amount]], "usual transaction", "unusual transaction")</f>
        <v>usual transaction</v>
      </c>
      <c r="Q1466" s="6" t="str">
        <f>IF(AND(Table1[[#This Row],[Country_of_Residence]]&lt;&gt;Table1[[#This Row],[Country_of_Transaction]], OR(Table1[[#This Row],[Authentication_Type]]="Biometric", Table1[[#This Row],[Authentication_Type]]="OTP")), "safe location transaction", "unsafe location transaction")</f>
        <v>unsafe location transaction</v>
      </c>
      <c r="R1466" s="6" t="str">
        <f>IF(AND(Table1[[#This Row],[Country_of_Residence]]&lt;&gt;Table1[[#This Row],[Country_of_Transaction]], OR(Table1[[#This Row],[Merchant_Category]]="Electronics", Table1[[#This Row],[Merchant_Category]]="Travel")), "unsafe merchant transaction", "safe merchant transaction")</f>
        <v>safe merchant transaction</v>
      </c>
    </row>
    <row r="1467" spans="1:18">
      <c r="A1467" t="s">
        <v>4153</v>
      </c>
      <c r="B1467" t="s">
        <v>232</v>
      </c>
      <c r="C1467">
        <v>1</v>
      </c>
      <c r="D1467" t="s">
        <v>9</v>
      </c>
      <c r="E1467" t="s">
        <v>3</v>
      </c>
      <c r="F1467" s="2">
        <v>45877</v>
      </c>
      <c r="G1467">
        <v>8627.34</v>
      </c>
      <c r="H1467" s="1">
        <f>AVERAGEIF(Table1[Customer_ID], Table1[[#This Row],[Customer_ID]], Table1[Transaction_Amount])</f>
        <v>5421.9623728813567</v>
      </c>
      <c r="I1467" t="s">
        <v>1681</v>
      </c>
      <c r="J1467" t="s">
        <v>41</v>
      </c>
      <c r="K1467" t="s">
        <v>12</v>
      </c>
      <c r="L1467">
        <v>5</v>
      </c>
      <c r="M1467" t="s">
        <v>37</v>
      </c>
      <c r="N1467" t="s">
        <v>37</v>
      </c>
      <c r="O1467" t="s">
        <v>392</v>
      </c>
      <c r="P1467" s="6" t="str">
        <f>IF(Table1[[#This Row],[Transaction_Amount]]&lt;=Table1[[#This Row],[avg_transaction_amount]], "usual transaction", "unusual transaction")</f>
        <v>unusual transaction</v>
      </c>
      <c r="Q1467" s="6" t="str">
        <f>IF(AND(Table1[[#This Row],[Country_of_Residence]]&lt;&gt;Table1[[#This Row],[Country_of_Transaction]], OR(Table1[[#This Row],[Authentication_Type]]="Biometric", Table1[[#This Row],[Authentication_Type]]="OTP")), "safe location transaction", "unsafe location transaction")</f>
        <v>unsafe location transaction</v>
      </c>
      <c r="R1467" s="6" t="str">
        <f>IF(AND(Table1[[#This Row],[Country_of_Residence]]&lt;&gt;Table1[[#This Row],[Country_of_Transaction]], OR(Table1[[#This Row],[Merchant_Category]]="Electronics", Table1[[#This Row],[Merchant_Category]]="Travel")), "unsafe merchant transaction", "safe merchant transaction")</f>
        <v>safe merchant transaction</v>
      </c>
    </row>
    <row r="1468" spans="1:18">
      <c r="A1468" t="s">
        <v>4183</v>
      </c>
      <c r="B1468" t="s">
        <v>232</v>
      </c>
      <c r="C1468">
        <v>1</v>
      </c>
      <c r="D1468" t="s">
        <v>15</v>
      </c>
      <c r="E1468" t="s">
        <v>5</v>
      </c>
      <c r="F1468" s="2">
        <v>45962</v>
      </c>
      <c r="G1468">
        <v>2010.56</v>
      </c>
      <c r="H1468" s="1">
        <f>AVERAGEIF(Table1[Customer_ID], Table1[[#This Row],[Customer_ID]], Table1[Transaction_Amount])</f>
        <v>5421.9623728813567</v>
      </c>
      <c r="I1468" t="s">
        <v>1705</v>
      </c>
      <c r="J1468" t="s">
        <v>36</v>
      </c>
      <c r="K1468" t="s">
        <v>8</v>
      </c>
      <c r="L1468">
        <v>2</v>
      </c>
      <c r="M1468" t="s">
        <v>56</v>
      </c>
      <c r="N1468" t="s">
        <v>32</v>
      </c>
      <c r="O1468" t="s">
        <v>392</v>
      </c>
      <c r="P1468" s="6" t="str">
        <f>IF(Table1[[#This Row],[Transaction_Amount]]&lt;=Table1[[#This Row],[avg_transaction_amount]], "usual transaction", "unusual transaction")</f>
        <v>usual transaction</v>
      </c>
      <c r="Q1468" s="6" t="str">
        <f>IF(AND(Table1[[#This Row],[Country_of_Residence]]&lt;&gt;Table1[[#This Row],[Country_of_Transaction]], OR(Table1[[#This Row],[Authentication_Type]]="Biometric", Table1[[#This Row],[Authentication_Type]]="OTP")), "safe location transaction", "unsafe location transaction")</f>
        <v>safe location transaction</v>
      </c>
      <c r="R1468" s="6" t="str">
        <f>IF(AND(Table1[[#This Row],[Country_of_Residence]]&lt;&gt;Table1[[#This Row],[Country_of_Transaction]], OR(Table1[[#This Row],[Merchant_Category]]="Electronics", Table1[[#This Row],[Merchant_Category]]="Travel")), "unsafe merchant transaction", "safe merchant transaction")</f>
        <v>safe merchant transaction</v>
      </c>
    </row>
    <row r="1469" spans="1:18">
      <c r="A1469" t="s">
        <v>4203</v>
      </c>
      <c r="B1469" t="s">
        <v>232</v>
      </c>
      <c r="C1469">
        <v>1</v>
      </c>
      <c r="D1469" t="s">
        <v>15</v>
      </c>
      <c r="E1469" t="s">
        <v>420</v>
      </c>
      <c r="F1469" s="2">
        <v>45659</v>
      </c>
      <c r="G1469">
        <v>6835.59</v>
      </c>
      <c r="H1469" s="1">
        <f>AVERAGEIF(Table1[Customer_ID], Table1[[#This Row],[Customer_ID]], Table1[Transaction_Amount])</f>
        <v>5421.9623728813567</v>
      </c>
      <c r="I1469" t="s">
        <v>1723</v>
      </c>
      <c r="J1469" t="s">
        <v>31</v>
      </c>
      <c r="K1469" t="s">
        <v>10</v>
      </c>
      <c r="L1469">
        <v>5</v>
      </c>
      <c r="M1469" t="s">
        <v>51</v>
      </c>
      <c r="N1469" t="s">
        <v>42</v>
      </c>
      <c r="O1469" t="s">
        <v>393</v>
      </c>
      <c r="P1469" s="6" t="str">
        <f>IF(Table1[[#This Row],[Transaction_Amount]]&lt;=Table1[[#This Row],[avg_transaction_amount]], "usual transaction", "unusual transaction")</f>
        <v>unusual transaction</v>
      </c>
      <c r="Q1469" s="6" t="str">
        <f>IF(AND(Table1[[#This Row],[Country_of_Residence]]&lt;&gt;Table1[[#This Row],[Country_of_Transaction]], OR(Table1[[#This Row],[Authentication_Type]]="Biometric", Table1[[#This Row],[Authentication_Type]]="OTP")), "safe location transaction", "unsafe location transaction")</f>
        <v>safe location transaction</v>
      </c>
      <c r="R1469" s="6" t="str">
        <f>IF(AND(Table1[[#This Row],[Country_of_Residence]]&lt;&gt;Table1[[#This Row],[Country_of_Transaction]], OR(Table1[[#This Row],[Merchant_Category]]="Electronics", Table1[[#This Row],[Merchant_Category]]="Travel")), "unsafe merchant transaction", "safe merchant transaction")</f>
        <v>safe merchant transaction</v>
      </c>
    </row>
    <row r="1470" spans="1:18">
      <c r="A1470" t="s">
        <v>4321</v>
      </c>
      <c r="B1470" t="s">
        <v>232</v>
      </c>
      <c r="C1470">
        <v>1</v>
      </c>
      <c r="D1470" t="s">
        <v>9</v>
      </c>
      <c r="E1470" t="s">
        <v>6</v>
      </c>
      <c r="F1470" s="2">
        <v>45852</v>
      </c>
      <c r="G1470">
        <v>743.3</v>
      </c>
      <c r="H1470" s="1">
        <f>AVERAGEIF(Table1[Customer_ID], Table1[[#This Row],[Customer_ID]], Table1[Transaction_Amount])</f>
        <v>5421.9623728813567</v>
      </c>
      <c r="I1470" t="s">
        <v>1829</v>
      </c>
      <c r="J1470" t="s">
        <v>36</v>
      </c>
      <c r="K1470" t="s">
        <v>10</v>
      </c>
      <c r="L1470">
        <v>1</v>
      </c>
      <c r="M1470" t="s">
        <v>51</v>
      </c>
      <c r="N1470" t="s">
        <v>33</v>
      </c>
      <c r="O1470" t="s">
        <v>393</v>
      </c>
      <c r="P1470" s="6" t="str">
        <f>IF(Table1[[#This Row],[Transaction_Amount]]&lt;=Table1[[#This Row],[avg_transaction_amount]], "usual transaction", "unusual transaction")</f>
        <v>usual transaction</v>
      </c>
      <c r="Q1470" s="6" t="str">
        <f>IF(AND(Table1[[#This Row],[Country_of_Residence]]&lt;&gt;Table1[[#This Row],[Country_of_Transaction]], OR(Table1[[#This Row],[Authentication_Type]]="Biometric", Table1[[#This Row],[Authentication_Type]]="OTP")), "safe location transaction", "unsafe location transaction")</f>
        <v>safe location transaction</v>
      </c>
      <c r="R1470" s="6" t="str">
        <f>IF(AND(Table1[[#This Row],[Country_of_Residence]]&lt;&gt;Table1[[#This Row],[Country_of_Transaction]], OR(Table1[[#This Row],[Merchant_Category]]="Electronics", Table1[[#This Row],[Merchant_Category]]="Travel")), "unsafe merchant transaction", "safe merchant transaction")</f>
        <v>safe merchant transaction</v>
      </c>
    </row>
    <row r="1471" spans="1:18">
      <c r="A1471" t="s">
        <v>4435</v>
      </c>
      <c r="B1471" t="s">
        <v>232</v>
      </c>
      <c r="C1471">
        <v>1</v>
      </c>
      <c r="D1471" t="s">
        <v>15</v>
      </c>
      <c r="E1471" t="s">
        <v>5</v>
      </c>
      <c r="F1471" s="2">
        <v>45814</v>
      </c>
      <c r="G1471">
        <v>4848.4399999999996</v>
      </c>
      <c r="H1471" s="1">
        <f>AVERAGEIF(Table1[Customer_ID], Table1[[#This Row],[Customer_ID]], Table1[Transaction_Amount])</f>
        <v>5421.9623728813567</v>
      </c>
      <c r="I1471" t="s">
        <v>1929</v>
      </c>
      <c r="J1471" t="s">
        <v>50</v>
      </c>
      <c r="K1471" t="s">
        <v>10</v>
      </c>
      <c r="L1471">
        <v>4</v>
      </c>
      <c r="M1471" t="s">
        <v>56</v>
      </c>
      <c r="N1471" t="s">
        <v>42</v>
      </c>
      <c r="O1471" t="s">
        <v>392</v>
      </c>
      <c r="P1471" s="6" t="str">
        <f>IF(Table1[[#This Row],[Transaction_Amount]]&lt;=Table1[[#This Row],[avg_transaction_amount]], "usual transaction", "unusual transaction")</f>
        <v>usual transaction</v>
      </c>
      <c r="Q1471" s="6" t="str">
        <f>IF(AND(Table1[[#This Row],[Country_of_Residence]]&lt;&gt;Table1[[#This Row],[Country_of_Transaction]], OR(Table1[[#This Row],[Authentication_Type]]="Biometric", Table1[[#This Row],[Authentication_Type]]="OTP")), "safe location transaction", "unsafe location transaction")</f>
        <v>safe location transaction</v>
      </c>
      <c r="R1471" s="6" t="str">
        <f>IF(AND(Table1[[#This Row],[Country_of_Residence]]&lt;&gt;Table1[[#This Row],[Country_of_Transaction]], OR(Table1[[#This Row],[Merchant_Category]]="Electronics", Table1[[#This Row],[Merchant_Category]]="Travel")), "unsafe merchant transaction", "safe merchant transaction")</f>
        <v>unsafe merchant transaction</v>
      </c>
    </row>
    <row r="1472" spans="1:18">
      <c r="A1472" t="s">
        <v>4540</v>
      </c>
      <c r="B1472" t="s">
        <v>232</v>
      </c>
      <c r="C1472">
        <v>1</v>
      </c>
      <c r="D1472" t="s">
        <v>9</v>
      </c>
      <c r="E1472" t="s">
        <v>3</v>
      </c>
      <c r="F1472" s="2">
        <v>45920</v>
      </c>
      <c r="G1472">
        <v>7165.57</v>
      </c>
      <c r="H1472" s="1">
        <f>AVERAGEIF(Table1[Customer_ID], Table1[[#This Row],[Customer_ID]], Table1[Transaction_Amount])</f>
        <v>5421.9623728813567</v>
      </c>
      <c r="I1472" t="s">
        <v>2019</v>
      </c>
      <c r="J1472" t="s">
        <v>46</v>
      </c>
      <c r="K1472" t="s">
        <v>12</v>
      </c>
      <c r="L1472">
        <v>1</v>
      </c>
      <c r="M1472" t="s">
        <v>47</v>
      </c>
      <c r="N1472" t="s">
        <v>33</v>
      </c>
      <c r="O1472" t="s">
        <v>393</v>
      </c>
      <c r="P1472" s="6" t="str">
        <f>IF(Table1[[#This Row],[Transaction_Amount]]&lt;=Table1[[#This Row],[avg_transaction_amount]], "usual transaction", "unusual transaction")</f>
        <v>unusual transaction</v>
      </c>
      <c r="Q1472" s="6" t="str">
        <f>IF(AND(Table1[[#This Row],[Country_of_Residence]]&lt;&gt;Table1[[#This Row],[Country_of_Transaction]], OR(Table1[[#This Row],[Authentication_Type]]="Biometric", Table1[[#This Row],[Authentication_Type]]="OTP")), "safe location transaction", "unsafe location transaction")</f>
        <v>unsafe location transaction</v>
      </c>
      <c r="R1472" s="6" t="str">
        <f>IF(AND(Table1[[#This Row],[Country_of_Residence]]&lt;&gt;Table1[[#This Row],[Country_of_Transaction]], OR(Table1[[#This Row],[Merchant_Category]]="Electronics", Table1[[#This Row],[Merchant_Category]]="Travel")), "unsafe merchant transaction", "safe merchant transaction")</f>
        <v>safe merchant transaction</v>
      </c>
    </row>
    <row r="1473" spans="1:18">
      <c r="A1473" t="s">
        <v>4542</v>
      </c>
      <c r="B1473" t="s">
        <v>232</v>
      </c>
      <c r="C1473">
        <v>1</v>
      </c>
      <c r="D1473" t="s">
        <v>9</v>
      </c>
      <c r="E1473" t="s">
        <v>420</v>
      </c>
      <c r="F1473" s="2">
        <v>45670</v>
      </c>
      <c r="G1473">
        <v>3094.18</v>
      </c>
      <c r="H1473" s="1">
        <f>AVERAGEIF(Table1[Customer_ID], Table1[[#This Row],[Customer_ID]], Table1[Transaction_Amount])</f>
        <v>5421.9623728813567</v>
      </c>
      <c r="I1473" t="s">
        <v>2021</v>
      </c>
      <c r="J1473" t="s">
        <v>41</v>
      </c>
      <c r="K1473" t="s">
        <v>8</v>
      </c>
      <c r="L1473">
        <v>5</v>
      </c>
      <c r="M1473" t="s">
        <v>47</v>
      </c>
      <c r="N1473" t="s">
        <v>37</v>
      </c>
      <c r="O1473" t="s">
        <v>393</v>
      </c>
      <c r="P1473" s="6" t="str">
        <f>IF(Table1[[#This Row],[Transaction_Amount]]&lt;=Table1[[#This Row],[avg_transaction_amount]], "usual transaction", "unusual transaction")</f>
        <v>usual transaction</v>
      </c>
      <c r="Q1473" s="6" t="str">
        <f>IF(AND(Table1[[#This Row],[Country_of_Residence]]&lt;&gt;Table1[[#This Row],[Country_of_Transaction]], OR(Table1[[#This Row],[Authentication_Type]]="Biometric", Table1[[#This Row],[Authentication_Type]]="OTP")), "safe location transaction", "unsafe location transaction")</f>
        <v>safe location transaction</v>
      </c>
      <c r="R1473" s="6" t="str">
        <f>IF(AND(Table1[[#This Row],[Country_of_Residence]]&lt;&gt;Table1[[#This Row],[Country_of_Transaction]], OR(Table1[[#This Row],[Merchant_Category]]="Electronics", Table1[[#This Row],[Merchant_Category]]="Travel")), "unsafe merchant transaction", "safe merchant transaction")</f>
        <v>safe merchant transaction</v>
      </c>
    </row>
    <row r="1474" spans="1:18">
      <c r="A1474" t="s">
        <v>4574</v>
      </c>
      <c r="B1474" t="s">
        <v>232</v>
      </c>
      <c r="C1474">
        <v>1</v>
      </c>
      <c r="D1474" t="s">
        <v>9</v>
      </c>
      <c r="E1474" t="s">
        <v>420</v>
      </c>
      <c r="F1474" s="2">
        <v>45931</v>
      </c>
      <c r="G1474">
        <v>5380.75</v>
      </c>
      <c r="H1474" s="1">
        <f>AVERAGEIF(Table1[Customer_ID], Table1[[#This Row],[Customer_ID]], Table1[Transaction_Amount])</f>
        <v>5421.9623728813567</v>
      </c>
      <c r="I1474" t="s">
        <v>640</v>
      </c>
      <c r="J1474" t="s">
        <v>31</v>
      </c>
      <c r="K1474" t="s">
        <v>8</v>
      </c>
      <c r="L1474">
        <v>3</v>
      </c>
      <c r="M1474" t="s">
        <v>47</v>
      </c>
      <c r="N1474" t="s">
        <v>33</v>
      </c>
      <c r="O1474" t="s">
        <v>392</v>
      </c>
      <c r="P1474" s="6" t="str">
        <f>IF(Table1[[#This Row],[Transaction_Amount]]&lt;=Table1[[#This Row],[avg_transaction_amount]], "usual transaction", "unusual transaction")</f>
        <v>usual transaction</v>
      </c>
      <c r="Q1474" s="6" t="str">
        <f>IF(AND(Table1[[#This Row],[Country_of_Residence]]&lt;&gt;Table1[[#This Row],[Country_of_Transaction]], OR(Table1[[#This Row],[Authentication_Type]]="Biometric", Table1[[#This Row],[Authentication_Type]]="OTP")), "safe location transaction", "unsafe location transaction")</f>
        <v>safe location transaction</v>
      </c>
      <c r="R1474" s="6" t="str">
        <f>IF(AND(Table1[[#This Row],[Country_of_Residence]]&lt;&gt;Table1[[#This Row],[Country_of_Transaction]], OR(Table1[[#This Row],[Merchant_Category]]="Electronics", Table1[[#This Row],[Merchant_Category]]="Travel")), "unsafe merchant transaction", "safe merchant transaction")</f>
        <v>safe merchant transaction</v>
      </c>
    </row>
    <row r="1475" spans="1:18">
      <c r="A1475" t="s">
        <v>4588</v>
      </c>
      <c r="B1475" t="s">
        <v>232</v>
      </c>
      <c r="C1475">
        <v>1</v>
      </c>
      <c r="D1475" t="s">
        <v>15</v>
      </c>
      <c r="E1475" t="s">
        <v>6</v>
      </c>
      <c r="F1475" s="2">
        <v>45783</v>
      </c>
      <c r="G1475">
        <v>1246.96</v>
      </c>
      <c r="H1475" s="1">
        <f>AVERAGEIF(Table1[Customer_ID], Table1[[#This Row],[Customer_ID]], Table1[Transaction_Amount])</f>
        <v>5421.9623728813567</v>
      </c>
      <c r="I1475" t="s">
        <v>2057</v>
      </c>
      <c r="J1475" t="s">
        <v>36</v>
      </c>
      <c r="K1475" t="s">
        <v>14</v>
      </c>
      <c r="L1475">
        <v>3</v>
      </c>
      <c r="M1475" t="s">
        <v>51</v>
      </c>
      <c r="N1475" t="s">
        <v>56</v>
      </c>
      <c r="O1475" t="s">
        <v>393</v>
      </c>
      <c r="P1475" s="6" t="str">
        <f>IF(Table1[[#This Row],[Transaction_Amount]]&lt;=Table1[[#This Row],[avg_transaction_amount]], "usual transaction", "unusual transaction")</f>
        <v>usual transaction</v>
      </c>
      <c r="Q1475" s="6" t="str">
        <f>IF(AND(Table1[[#This Row],[Country_of_Residence]]&lt;&gt;Table1[[#This Row],[Country_of_Transaction]], OR(Table1[[#This Row],[Authentication_Type]]="Biometric", Table1[[#This Row],[Authentication_Type]]="OTP")), "safe location transaction", "unsafe location transaction")</f>
        <v>unsafe location transaction</v>
      </c>
      <c r="R1475" s="6" t="str">
        <f>IF(AND(Table1[[#This Row],[Country_of_Residence]]&lt;&gt;Table1[[#This Row],[Country_of_Transaction]], OR(Table1[[#This Row],[Merchant_Category]]="Electronics", Table1[[#This Row],[Merchant_Category]]="Travel")), "unsafe merchant transaction", "safe merchant transaction")</f>
        <v>safe merchant transaction</v>
      </c>
    </row>
    <row r="1476" spans="1:18">
      <c r="A1476" t="s">
        <v>4616</v>
      </c>
      <c r="B1476" t="s">
        <v>232</v>
      </c>
      <c r="C1476">
        <v>1</v>
      </c>
      <c r="D1476" t="s">
        <v>9</v>
      </c>
      <c r="E1476" t="s">
        <v>420</v>
      </c>
      <c r="F1476" s="2">
        <v>45861</v>
      </c>
      <c r="G1476">
        <v>7848.36</v>
      </c>
      <c r="H1476" s="1">
        <f>AVERAGEIF(Table1[Customer_ID], Table1[[#This Row],[Customer_ID]], Table1[Transaction_Amount])</f>
        <v>5421.9623728813567</v>
      </c>
      <c r="I1476" t="s">
        <v>2080</v>
      </c>
      <c r="J1476" t="s">
        <v>50</v>
      </c>
      <c r="K1476" t="s">
        <v>12</v>
      </c>
      <c r="L1476">
        <v>5</v>
      </c>
      <c r="M1476" t="s">
        <v>42</v>
      </c>
      <c r="N1476" t="s">
        <v>56</v>
      </c>
      <c r="O1476" t="s">
        <v>393</v>
      </c>
      <c r="P1476" s="6" t="str">
        <f>IF(Table1[[#This Row],[Transaction_Amount]]&lt;=Table1[[#This Row],[avg_transaction_amount]], "usual transaction", "unusual transaction")</f>
        <v>unusual transaction</v>
      </c>
      <c r="Q1476" s="6" t="str">
        <f>IF(AND(Table1[[#This Row],[Country_of_Residence]]&lt;&gt;Table1[[#This Row],[Country_of_Transaction]], OR(Table1[[#This Row],[Authentication_Type]]="Biometric", Table1[[#This Row],[Authentication_Type]]="OTP")), "safe location transaction", "unsafe location transaction")</f>
        <v>unsafe location transaction</v>
      </c>
      <c r="R1476" s="6" t="str">
        <f>IF(AND(Table1[[#This Row],[Country_of_Residence]]&lt;&gt;Table1[[#This Row],[Country_of_Transaction]], OR(Table1[[#This Row],[Merchant_Category]]="Electronics", Table1[[#This Row],[Merchant_Category]]="Travel")), "unsafe merchant transaction", "safe merchant transaction")</f>
        <v>unsafe merchant transaction</v>
      </c>
    </row>
    <row r="1477" spans="1:18">
      <c r="A1477" t="s">
        <v>4703</v>
      </c>
      <c r="B1477" t="s">
        <v>232</v>
      </c>
      <c r="C1477">
        <v>1</v>
      </c>
      <c r="D1477" t="s">
        <v>9</v>
      </c>
      <c r="E1477" t="s">
        <v>3</v>
      </c>
      <c r="F1477" s="2">
        <v>45673</v>
      </c>
      <c r="G1477">
        <v>7102.95</v>
      </c>
      <c r="H1477" s="1">
        <f>AVERAGEIF(Table1[Customer_ID], Table1[[#This Row],[Customer_ID]], Table1[Transaction_Amount])</f>
        <v>5421.9623728813567</v>
      </c>
      <c r="I1477" t="s">
        <v>1138</v>
      </c>
      <c r="J1477" t="s">
        <v>46</v>
      </c>
      <c r="K1477" t="s">
        <v>8</v>
      </c>
      <c r="L1477">
        <v>2</v>
      </c>
      <c r="M1477" t="s">
        <v>33</v>
      </c>
      <c r="N1477" t="s">
        <v>55</v>
      </c>
      <c r="O1477" t="s">
        <v>393</v>
      </c>
      <c r="P1477" s="6" t="str">
        <f>IF(Table1[[#This Row],[Transaction_Amount]]&lt;=Table1[[#This Row],[avg_transaction_amount]], "usual transaction", "unusual transaction")</f>
        <v>unusual transaction</v>
      </c>
      <c r="Q1477" s="6" t="str">
        <f>IF(AND(Table1[[#This Row],[Country_of_Residence]]&lt;&gt;Table1[[#This Row],[Country_of_Transaction]], OR(Table1[[#This Row],[Authentication_Type]]="Biometric", Table1[[#This Row],[Authentication_Type]]="OTP")), "safe location transaction", "unsafe location transaction")</f>
        <v>safe location transaction</v>
      </c>
      <c r="R1477" s="6" t="str">
        <f>IF(AND(Table1[[#This Row],[Country_of_Residence]]&lt;&gt;Table1[[#This Row],[Country_of_Transaction]], OR(Table1[[#This Row],[Merchant_Category]]="Electronics", Table1[[#This Row],[Merchant_Category]]="Travel")), "unsafe merchant transaction", "safe merchant transaction")</f>
        <v>safe merchant transaction</v>
      </c>
    </row>
    <row r="1478" spans="1:18">
      <c r="A1478" t="s">
        <v>4729</v>
      </c>
      <c r="B1478" t="s">
        <v>232</v>
      </c>
      <c r="C1478">
        <v>1</v>
      </c>
      <c r="D1478" t="s">
        <v>9</v>
      </c>
      <c r="E1478" t="s">
        <v>420</v>
      </c>
      <c r="F1478" s="2">
        <v>46005</v>
      </c>
      <c r="G1478">
        <v>9463.07</v>
      </c>
      <c r="H1478" s="1">
        <f>AVERAGEIF(Table1[Customer_ID], Table1[[#This Row],[Customer_ID]], Table1[Transaction_Amount])</f>
        <v>5421.9623728813567</v>
      </c>
      <c r="I1478" t="s">
        <v>2169</v>
      </c>
      <c r="J1478" t="s">
        <v>31</v>
      </c>
      <c r="K1478" t="s">
        <v>8</v>
      </c>
      <c r="L1478">
        <v>4</v>
      </c>
      <c r="M1478" t="s">
        <v>47</v>
      </c>
      <c r="N1478" t="s">
        <v>55</v>
      </c>
      <c r="O1478" t="s">
        <v>393</v>
      </c>
      <c r="P1478" s="6" t="str">
        <f>IF(Table1[[#This Row],[Transaction_Amount]]&lt;=Table1[[#This Row],[avg_transaction_amount]], "usual transaction", "unusual transaction")</f>
        <v>unusual transaction</v>
      </c>
      <c r="Q1478" s="6" t="str">
        <f>IF(AND(Table1[[#This Row],[Country_of_Residence]]&lt;&gt;Table1[[#This Row],[Country_of_Transaction]], OR(Table1[[#This Row],[Authentication_Type]]="Biometric", Table1[[#This Row],[Authentication_Type]]="OTP")), "safe location transaction", "unsafe location transaction")</f>
        <v>safe location transaction</v>
      </c>
      <c r="R1478" s="6" t="str">
        <f>IF(AND(Table1[[#This Row],[Country_of_Residence]]&lt;&gt;Table1[[#This Row],[Country_of_Transaction]], OR(Table1[[#This Row],[Merchant_Category]]="Electronics", Table1[[#This Row],[Merchant_Category]]="Travel")), "unsafe merchant transaction", "safe merchant transaction")</f>
        <v>safe merchant transaction</v>
      </c>
    </row>
    <row r="1479" spans="1:18">
      <c r="A1479" t="s">
        <v>4844</v>
      </c>
      <c r="B1479" t="s">
        <v>232</v>
      </c>
      <c r="C1479">
        <v>1</v>
      </c>
      <c r="D1479" t="s">
        <v>15</v>
      </c>
      <c r="E1479" t="s">
        <v>6</v>
      </c>
      <c r="F1479" s="2">
        <v>46009</v>
      </c>
      <c r="G1479">
        <v>5378.69</v>
      </c>
      <c r="H1479" s="1">
        <f>AVERAGEIF(Table1[Customer_ID], Table1[[#This Row],[Customer_ID]], Table1[Transaction_Amount])</f>
        <v>5421.9623728813567</v>
      </c>
      <c r="I1479" t="s">
        <v>1106</v>
      </c>
      <c r="J1479" t="s">
        <v>50</v>
      </c>
      <c r="K1479" t="s">
        <v>8</v>
      </c>
      <c r="L1479">
        <v>1</v>
      </c>
      <c r="M1479" t="s">
        <v>56</v>
      </c>
      <c r="N1479" t="s">
        <v>56</v>
      </c>
      <c r="O1479" t="s">
        <v>392</v>
      </c>
      <c r="P1479" s="6" t="str">
        <f>IF(Table1[[#This Row],[Transaction_Amount]]&lt;=Table1[[#This Row],[avg_transaction_amount]], "usual transaction", "unusual transaction")</f>
        <v>usual transaction</v>
      </c>
      <c r="Q1479" s="6" t="str">
        <f>IF(AND(Table1[[#This Row],[Country_of_Residence]]&lt;&gt;Table1[[#This Row],[Country_of_Transaction]], OR(Table1[[#This Row],[Authentication_Type]]="Biometric", Table1[[#This Row],[Authentication_Type]]="OTP")), "safe location transaction", "unsafe location transaction")</f>
        <v>unsafe location transaction</v>
      </c>
      <c r="R1479" s="6" t="str">
        <f>IF(AND(Table1[[#This Row],[Country_of_Residence]]&lt;&gt;Table1[[#This Row],[Country_of_Transaction]], OR(Table1[[#This Row],[Merchant_Category]]="Electronics", Table1[[#This Row],[Merchant_Category]]="Travel")), "unsafe merchant transaction", "safe merchant transaction")</f>
        <v>safe merchant transaction</v>
      </c>
    </row>
    <row r="1480" spans="1:18">
      <c r="A1480" t="s">
        <v>4877</v>
      </c>
      <c r="B1480" t="s">
        <v>232</v>
      </c>
      <c r="C1480">
        <v>1</v>
      </c>
      <c r="D1480" t="s">
        <v>9</v>
      </c>
      <c r="E1480" t="s">
        <v>3</v>
      </c>
      <c r="F1480" s="2">
        <v>45835</v>
      </c>
      <c r="G1480">
        <v>9468.76</v>
      </c>
      <c r="H1480" s="1">
        <f>AVERAGEIF(Table1[Customer_ID], Table1[[#This Row],[Customer_ID]], Table1[Transaction_Amount])</f>
        <v>5421.9623728813567</v>
      </c>
      <c r="I1480" t="s">
        <v>2282</v>
      </c>
      <c r="J1480" t="s">
        <v>41</v>
      </c>
      <c r="K1480" t="s">
        <v>8</v>
      </c>
      <c r="L1480">
        <v>3</v>
      </c>
      <c r="M1480" t="s">
        <v>32</v>
      </c>
      <c r="N1480" t="s">
        <v>412</v>
      </c>
      <c r="O1480" t="s">
        <v>392</v>
      </c>
      <c r="P1480" s="6" t="str">
        <f>IF(Table1[[#This Row],[Transaction_Amount]]&lt;=Table1[[#This Row],[avg_transaction_amount]], "usual transaction", "unusual transaction")</f>
        <v>unusual transaction</v>
      </c>
      <c r="Q1480" s="6" t="str">
        <f>IF(AND(Table1[[#This Row],[Country_of_Residence]]&lt;&gt;Table1[[#This Row],[Country_of_Transaction]], OR(Table1[[#This Row],[Authentication_Type]]="Biometric", Table1[[#This Row],[Authentication_Type]]="OTP")), "safe location transaction", "unsafe location transaction")</f>
        <v>safe location transaction</v>
      </c>
      <c r="R1480" s="6" t="str">
        <f>IF(AND(Table1[[#This Row],[Country_of_Residence]]&lt;&gt;Table1[[#This Row],[Country_of_Transaction]], OR(Table1[[#This Row],[Merchant_Category]]="Electronics", Table1[[#This Row],[Merchant_Category]]="Travel")), "unsafe merchant transaction", "safe merchant transaction")</f>
        <v>safe merchant transaction</v>
      </c>
    </row>
    <row r="1481" spans="1:18">
      <c r="A1481" t="s">
        <v>4880</v>
      </c>
      <c r="B1481" t="s">
        <v>232</v>
      </c>
      <c r="C1481">
        <v>1</v>
      </c>
      <c r="D1481" t="s">
        <v>9</v>
      </c>
      <c r="E1481" t="s">
        <v>420</v>
      </c>
      <c r="F1481" s="2">
        <v>45767</v>
      </c>
      <c r="G1481">
        <v>5362.97</v>
      </c>
      <c r="H1481" s="1">
        <f>AVERAGEIF(Table1[Customer_ID], Table1[[#This Row],[Customer_ID]], Table1[Transaction_Amount])</f>
        <v>5421.9623728813567</v>
      </c>
      <c r="I1481" t="s">
        <v>2284</v>
      </c>
      <c r="J1481" t="s">
        <v>46</v>
      </c>
      <c r="K1481" t="s">
        <v>12</v>
      </c>
      <c r="L1481">
        <v>1</v>
      </c>
      <c r="M1481" t="s">
        <v>33</v>
      </c>
      <c r="N1481" t="s">
        <v>51</v>
      </c>
      <c r="O1481" t="s">
        <v>393</v>
      </c>
      <c r="P1481" s="6" t="str">
        <f>IF(Table1[[#This Row],[Transaction_Amount]]&lt;=Table1[[#This Row],[avg_transaction_amount]], "usual transaction", "unusual transaction")</f>
        <v>usual transaction</v>
      </c>
      <c r="Q1481" s="6" t="str">
        <f>IF(AND(Table1[[#This Row],[Country_of_Residence]]&lt;&gt;Table1[[#This Row],[Country_of_Transaction]], OR(Table1[[#This Row],[Authentication_Type]]="Biometric", Table1[[#This Row],[Authentication_Type]]="OTP")), "safe location transaction", "unsafe location transaction")</f>
        <v>unsafe location transaction</v>
      </c>
      <c r="R1481" s="6" t="str">
        <f>IF(AND(Table1[[#This Row],[Country_of_Residence]]&lt;&gt;Table1[[#This Row],[Country_of_Transaction]], OR(Table1[[#This Row],[Merchant_Category]]="Electronics", Table1[[#This Row],[Merchant_Category]]="Travel")), "unsafe merchant transaction", "safe merchant transaction")</f>
        <v>safe merchant transaction</v>
      </c>
    </row>
    <row r="1482" spans="1:18">
      <c r="A1482" t="s">
        <v>4887</v>
      </c>
      <c r="B1482" t="s">
        <v>232</v>
      </c>
      <c r="C1482">
        <v>1</v>
      </c>
      <c r="D1482" t="s">
        <v>9</v>
      </c>
      <c r="E1482" t="s">
        <v>6</v>
      </c>
      <c r="F1482" s="2">
        <v>45998</v>
      </c>
      <c r="G1482">
        <v>9043.4599999999991</v>
      </c>
      <c r="H1482" s="1">
        <f>AVERAGEIF(Table1[Customer_ID], Table1[[#This Row],[Customer_ID]], Table1[Transaction_Amount])</f>
        <v>5421.9623728813567</v>
      </c>
      <c r="I1482" t="s">
        <v>2290</v>
      </c>
      <c r="J1482" t="s">
        <v>36</v>
      </c>
      <c r="K1482" t="s">
        <v>8</v>
      </c>
      <c r="L1482">
        <v>5</v>
      </c>
      <c r="M1482" t="s">
        <v>55</v>
      </c>
      <c r="N1482" t="s">
        <v>51</v>
      </c>
      <c r="O1482" t="s">
        <v>392</v>
      </c>
      <c r="P1482" s="6" t="str">
        <f>IF(Table1[[#This Row],[Transaction_Amount]]&lt;=Table1[[#This Row],[avg_transaction_amount]], "usual transaction", "unusual transaction")</f>
        <v>unusual transaction</v>
      </c>
      <c r="Q1482" s="6" t="str">
        <f>IF(AND(Table1[[#This Row],[Country_of_Residence]]&lt;&gt;Table1[[#This Row],[Country_of_Transaction]], OR(Table1[[#This Row],[Authentication_Type]]="Biometric", Table1[[#This Row],[Authentication_Type]]="OTP")), "safe location transaction", "unsafe location transaction")</f>
        <v>safe location transaction</v>
      </c>
      <c r="R1482" s="6" t="str">
        <f>IF(AND(Table1[[#This Row],[Country_of_Residence]]&lt;&gt;Table1[[#This Row],[Country_of_Transaction]], OR(Table1[[#This Row],[Merchant_Category]]="Electronics", Table1[[#This Row],[Merchant_Category]]="Travel")), "unsafe merchant transaction", "safe merchant transaction")</f>
        <v>safe merchant transaction</v>
      </c>
    </row>
    <row r="1483" spans="1:18">
      <c r="A1483" t="s">
        <v>4937</v>
      </c>
      <c r="B1483" t="s">
        <v>232</v>
      </c>
      <c r="C1483">
        <v>1</v>
      </c>
      <c r="D1483" t="s">
        <v>9</v>
      </c>
      <c r="E1483" t="s">
        <v>3</v>
      </c>
      <c r="F1483" s="2">
        <v>45703</v>
      </c>
      <c r="G1483">
        <v>5372.34</v>
      </c>
      <c r="H1483" s="1">
        <f>AVERAGEIF(Table1[Customer_ID], Table1[[#This Row],[Customer_ID]], Table1[Transaction_Amount])</f>
        <v>5421.9623728813567</v>
      </c>
      <c r="I1483" t="s">
        <v>2330</v>
      </c>
      <c r="J1483" t="s">
        <v>36</v>
      </c>
      <c r="K1483" t="s">
        <v>12</v>
      </c>
      <c r="L1483">
        <v>1</v>
      </c>
      <c r="M1483" t="s">
        <v>42</v>
      </c>
      <c r="N1483" t="s">
        <v>56</v>
      </c>
      <c r="O1483" t="s">
        <v>393</v>
      </c>
      <c r="P1483" s="6" t="str">
        <f>IF(Table1[[#This Row],[Transaction_Amount]]&lt;=Table1[[#This Row],[avg_transaction_amount]], "usual transaction", "unusual transaction")</f>
        <v>usual transaction</v>
      </c>
      <c r="Q1483" s="6" t="str">
        <f>IF(AND(Table1[[#This Row],[Country_of_Residence]]&lt;&gt;Table1[[#This Row],[Country_of_Transaction]], OR(Table1[[#This Row],[Authentication_Type]]="Biometric", Table1[[#This Row],[Authentication_Type]]="OTP")), "safe location transaction", "unsafe location transaction")</f>
        <v>unsafe location transaction</v>
      </c>
      <c r="R1483" s="6" t="str">
        <f>IF(AND(Table1[[#This Row],[Country_of_Residence]]&lt;&gt;Table1[[#This Row],[Country_of_Transaction]], OR(Table1[[#This Row],[Merchant_Category]]="Electronics", Table1[[#This Row],[Merchant_Category]]="Travel")), "unsafe merchant transaction", "safe merchant transaction")</f>
        <v>safe merchant transaction</v>
      </c>
    </row>
    <row r="1484" spans="1:18">
      <c r="A1484" t="s">
        <v>4981</v>
      </c>
      <c r="B1484" t="s">
        <v>232</v>
      </c>
      <c r="C1484">
        <v>1</v>
      </c>
      <c r="D1484" t="s">
        <v>9</v>
      </c>
      <c r="E1484" t="s">
        <v>6</v>
      </c>
      <c r="F1484" s="2">
        <v>45927</v>
      </c>
      <c r="G1484">
        <v>2184.8200000000002</v>
      </c>
      <c r="H1484" s="1">
        <f>AVERAGEIF(Table1[Customer_ID], Table1[[#This Row],[Customer_ID]], Table1[Transaction_Amount])</f>
        <v>5421.9623728813567</v>
      </c>
      <c r="I1484" t="s">
        <v>2365</v>
      </c>
      <c r="J1484" t="s">
        <v>31</v>
      </c>
      <c r="K1484" t="s">
        <v>10</v>
      </c>
      <c r="L1484">
        <v>4</v>
      </c>
      <c r="M1484" t="s">
        <v>32</v>
      </c>
      <c r="N1484" t="s">
        <v>37</v>
      </c>
      <c r="O1484" t="s">
        <v>392</v>
      </c>
      <c r="P1484" s="6" t="str">
        <f>IF(Table1[[#This Row],[Transaction_Amount]]&lt;=Table1[[#This Row],[avg_transaction_amount]], "usual transaction", "unusual transaction")</f>
        <v>usual transaction</v>
      </c>
      <c r="Q1484" s="6" t="str">
        <f>IF(AND(Table1[[#This Row],[Country_of_Residence]]&lt;&gt;Table1[[#This Row],[Country_of_Transaction]], OR(Table1[[#This Row],[Authentication_Type]]="Biometric", Table1[[#This Row],[Authentication_Type]]="OTP")), "safe location transaction", "unsafe location transaction")</f>
        <v>safe location transaction</v>
      </c>
      <c r="R1484" s="6" t="str">
        <f>IF(AND(Table1[[#This Row],[Country_of_Residence]]&lt;&gt;Table1[[#This Row],[Country_of_Transaction]], OR(Table1[[#This Row],[Merchant_Category]]="Electronics", Table1[[#This Row],[Merchant_Category]]="Travel")), "unsafe merchant transaction", "safe merchant transaction")</f>
        <v>safe merchant transaction</v>
      </c>
    </row>
    <row r="1485" spans="1:18">
      <c r="A1485" t="s">
        <v>5011</v>
      </c>
      <c r="B1485" t="s">
        <v>232</v>
      </c>
      <c r="C1485">
        <v>1</v>
      </c>
      <c r="D1485" t="s">
        <v>15</v>
      </c>
      <c r="E1485" t="s">
        <v>5</v>
      </c>
      <c r="F1485" s="2">
        <v>45792</v>
      </c>
      <c r="G1485">
        <v>6989.99</v>
      </c>
      <c r="H1485" s="1">
        <f>AVERAGEIF(Table1[Customer_ID], Table1[[#This Row],[Customer_ID]], Table1[Transaction_Amount])</f>
        <v>5421.9623728813567</v>
      </c>
      <c r="I1485" t="s">
        <v>2390</v>
      </c>
      <c r="J1485" t="s">
        <v>36</v>
      </c>
      <c r="K1485" t="s">
        <v>12</v>
      </c>
      <c r="L1485">
        <v>4</v>
      </c>
      <c r="M1485" t="s">
        <v>33</v>
      </c>
      <c r="N1485" t="s">
        <v>47</v>
      </c>
      <c r="O1485" t="s">
        <v>392</v>
      </c>
      <c r="P1485" s="6" t="str">
        <f>IF(Table1[[#This Row],[Transaction_Amount]]&lt;=Table1[[#This Row],[avg_transaction_amount]], "usual transaction", "unusual transaction")</f>
        <v>unusual transaction</v>
      </c>
      <c r="Q1485" s="6" t="str">
        <f>IF(AND(Table1[[#This Row],[Country_of_Residence]]&lt;&gt;Table1[[#This Row],[Country_of_Transaction]], OR(Table1[[#This Row],[Authentication_Type]]="Biometric", Table1[[#This Row],[Authentication_Type]]="OTP")), "safe location transaction", "unsafe location transaction")</f>
        <v>unsafe location transaction</v>
      </c>
      <c r="R1485" s="6" t="str">
        <f>IF(AND(Table1[[#This Row],[Country_of_Residence]]&lt;&gt;Table1[[#This Row],[Country_of_Transaction]], OR(Table1[[#This Row],[Merchant_Category]]="Electronics", Table1[[#This Row],[Merchant_Category]]="Travel")), "unsafe merchant transaction", "safe merchant transaction")</f>
        <v>safe merchant transaction</v>
      </c>
    </row>
    <row r="1486" spans="1:18">
      <c r="A1486" t="s">
        <v>5044</v>
      </c>
      <c r="B1486" t="s">
        <v>232</v>
      </c>
      <c r="C1486">
        <v>1</v>
      </c>
      <c r="D1486" t="s">
        <v>15</v>
      </c>
      <c r="E1486" t="s">
        <v>5</v>
      </c>
      <c r="F1486" s="2">
        <v>45681</v>
      </c>
      <c r="G1486">
        <v>1784.85</v>
      </c>
      <c r="H1486" s="1">
        <f>AVERAGEIF(Table1[Customer_ID], Table1[[#This Row],[Customer_ID]], Table1[Transaction_Amount])</f>
        <v>5421.9623728813567</v>
      </c>
      <c r="I1486" t="s">
        <v>2412</v>
      </c>
      <c r="J1486" t="s">
        <v>31</v>
      </c>
      <c r="K1486" t="s">
        <v>14</v>
      </c>
      <c r="L1486">
        <v>1</v>
      </c>
      <c r="M1486" t="s">
        <v>51</v>
      </c>
      <c r="N1486" t="s">
        <v>51</v>
      </c>
      <c r="O1486" t="s">
        <v>393</v>
      </c>
      <c r="P1486" s="6" t="str">
        <f>IF(Table1[[#This Row],[Transaction_Amount]]&lt;=Table1[[#This Row],[avg_transaction_amount]], "usual transaction", "unusual transaction")</f>
        <v>usual transaction</v>
      </c>
      <c r="Q1486" s="6" t="str">
        <f>IF(AND(Table1[[#This Row],[Country_of_Residence]]&lt;&gt;Table1[[#This Row],[Country_of_Transaction]], OR(Table1[[#This Row],[Authentication_Type]]="Biometric", Table1[[#This Row],[Authentication_Type]]="OTP")), "safe location transaction", "unsafe location transaction")</f>
        <v>unsafe location transaction</v>
      </c>
      <c r="R1486" s="6" t="str">
        <f>IF(AND(Table1[[#This Row],[Country_of_Residence]]&lt;&gt;Table1[[#This Row],[Country_of_Transaction]], OR(Table1[[#This Row],[Merchant_Category]]="Electronics", Table1[[#This Row],[Merchant_Category]]="Travel")), "unsafe merchant transaction", "safe merchant transaction")</f>
        <v>safe merchant transaction</v>
      </c>
    </row>
    <row r="1487" spans="1:18">
      <c r="A1487" t="s">
        <v>5054</v>
      </c>
      <c r="B1487" t="s">
        <v>232</v>
      </c>
      <c r="C1487">
        <v>1</v>
      </c>
      <c r="D1487" t="s">
        <v>15</v>
      </c>
      <c r="E1487" t="s">
        <v>3</v>
      </c>
      <c r="F1487" s="2">
        <v>45898</v>
      </c>
      <c r="G1487">
        <v>6981.93</v>
      </c>
      <c r="H1487" s="1">
        <f>AVERAGEIF(Table1[Customer_ID], Table1[[#This Row],[Customer_ID]], Table1[Transaction_Amount])</f>
        <v>5421.9623728813567</v>
      </c>
      <c r="I1487" t="s">
        <v>2418</v>
      </c>
      <c r="J1487" t="s">
        <v>41</v>
      </c>
      <c r="K1487" t="s">
        <v>14</v>
      </c>
      <c r="L1487">
        <v>4</v>
      </c>
      <c r="M1487" t="s">
        <v>37</v>
      </c>
      <c r="N1487" t="s">
        <v>37</v>
      </c>
      <c r="O1487" t="s">
        <v>393</v>
      </c>
      <c r="P1487" s="6" t="str">
        <f>IF(Table1[[#This Row],[Transaction_Amount]]&lt;=Table1[[#This Row],[avg_transaction_amount]], "usual transaction", "unusual transaction")</f>
        <v>unusual transaction</v>
      </c>
      <c r="Q1487" s="6" t="str">
        <f>IF(AND(Table1[[#This Row],[Country_of_Residence]]&lt;&gt;Table1[[#This Row],[Country_of_Transaction]], OR(Table1[[#This Row],[Authentication_Type]]="Biometric", Table1[[#This Row],[Authentication_Type]]="OTP")), "safe location transaction", "unsafe location transaction")</f>
        <v>unsafe location transaction</v>
      </c>
      <c r="R1487" s="6" t="str">
        <f>IF(AND(Table1[[#This Row],[Country_of_Residence]]&lt;&gt;Table1[[#This Row],[Country_of_Transaction]], OR(Table1[[#This Row],[Merchant_Category]]="Electronics", Table1[[#This Row],[Merchant_Category]]="Travel")), "unsafe merchant transaction", "safe merchant transaction")</f>
        <v>safe merchant transaction</v>
      </c>
    </row>
    <row r="1488" spans="1:18">
      <c r="A1488" t="s">
        <v>5081</v>
      </c>
      <c r="B1488" t="s">
        <v>232</v>
      </c>
      <c r="C1488">
        <v>1</v>
      </c>
      <c r="D1488" t="s">
        <v>9</v>
      </c>
      <c r="E1488" t="s">
        <v>5</v>
      </c>
      <c r="F1488" s="2">
        <v>45719</v>
      </c>
      <c r="G1488">
        <v>6885.82</v>
      </c>
      <c r="H1488" s="1">
        <f>AVERAGEIF(Table1[Customer_ID], Table1[[#This Row],[Customer_ID]], Table1[Transaction_Amount])</f>
        <v>5421.9623728813567</v>
      </c>
      <c r="I1488" t="s">
        <v>2435</v>
      </c>
      <c r="J1488" t="s">
        <v>31</v>
      </c>
      <c r="K1488" t="s">
        <v>14</v>
      </c>
      <c r="L1488">
        <v>1</v>
      </c>
      <c r="M1488" t="s">
        <v>47</v>
      </c>
      <c r="N1488" t="s">
        <v>32</v>
      </c>
      <c r="O1488" t="s">
        <v>393</v>
      </c>
      <c r="P1488" s="6" t="str">
        <f>IF(Table1[[#This Row],[Transaction_Amount]]&lt;=Table1[[#This Row],[avg_transaction_amount]], "usual transaction", "unusual transaction")</f>
        <v>unusual transaction</v>
      </c>
      <c r="Q1488" s="6" t="str">
        <f>IF(AND(Table1[[#This Row],[Country_of_Residence]]&lt;&gt;Table1[[#This Row],[Country_of_Transaction]], OR(Table1[[#This Row],[Authentication_Type]]="Biometric", Table1[[#This Row],[Authentication_Type]]="OTP")), "safe location transaction", "unsafe location transaction")</f>
        <v>unsafe location transaction</v>
      </c>
      <c r="R1488" s="6" t="str">
        <f>IF(AND(Table1[[#This Row],[Country_of_Residence]]&lt;&gt;Table1[[#This Row],[Country_of_Transaction]], OR(Table1[[#This Row],[Merchant_Category]]="Electronics", Table1[[#This Row],[Merchant_Category]]="Travel")), "unsafe merchant transaction", "safe merchant transaction")</f>
        <v>safe merchant transaction</v>
      </c>
    </row>
    <row r="1489" spans="1:18">
      <c r="A1489" t="s">
        <v>5143</v>
      </c>
      <c r="B1489" t="s">
        <v>232</v>
      </c>
      <c r="C1489">
        <v>1</v>
      </c>
      <c r="D1489" t="s">
        <v>9</v>
      </c>
      <c r="E1489" t="s">
        <v>3</v>
      </c>
      <c r="F1489" s="2">
        <v>45705</v>
      </c>
      <c r="G1489">
        <v>309.67</v>
      </c>
      <c r="H1489" s="1">
        <f>AVERAGEIF(Table1[Customer_ID], Table1[[#This Row],[Customer_ID]], Table1[Transaction_Amount])</f>
        <v>5421.9623728813567</v>
      </c>
      <c r="I1489" t="s">
        <v>2482</v>
      </c>
      <c r="J1489" t="s">
        <v>50</v>
      </c>
      <c r="K1489" t="s">
        <v>8</v>
      </c>
      <c r="L1489">
        <v>0</v>
      </c>
      <c r="M1489" t="s">
        <v>55</v>
      </c>
      <c r="N1489" t="s">
        <v>56</v>
      </c>
      <c r="O1489" t="s">
        <v>392</v>
      </c>
      <c r="P1489" s="6" t="str">
        <f>IF(Table1[[#This Row],[Transaction_Amount]]&lt;=Table1[[#This Row],[avg_transaction_amount]], "usual transaction", "unusual transaction")</f>
        <v>usual transaction</v>
      </c>
      <c r="Q1489" s="6" t="str">
        <f>IF(AND(Table1[[#This Row],[Country_of_Residence]]&lt;&gt;Table1[[#This Row],[Country_of_Transaction]], OR(Table1[[#This Row],[Authentication_Type]]="Biometric", Table1[[#This Row],[Authentication_Type]]="OTP")), "safe location transaction", "unsafe location transaction")</f>
        <v>safe location transaction</v>
      </c>
      <c r="R1489" s="6" t="str">
        <f>IF(AND(Table1[[#This Row],[Country_of_Residence]]&lt;&gt;Table1[[#This Row],[Country_of_Transaction]], OR(Table1[[#This Row],[Merchant_Category]]="Electronics", Table1[[#This Row],[Merchant_Category]]="Travel")), "unsafe merchant transaction", "safe merchant transaction")</f>
        <v>unsafe merchant transaction</v>
      </c>
    </row>
    <row r="1490" spans="1:18">
      <c r="A1490" t="s">
        <v>5152</v>
      </c>
      <c r="B1490" t="s">
        <v>232</v>
      </c>
      <c r="C1490">
        <v>1</v>
      </c>
      <c r="D1490" t="s">
        <v>9</v>
      </c>
      <c r="E1490" t="s">
        <v>6</v>
      </c>
      <c r="F1490" s="2">
        <v>45952</v>
      </c>
      <c r="G1490">
        <v>2318.4499999999998</v>
      </c>
      <c r="H1490" s="1">
        <f>AVERAGEIF(Table1[Customer_ID], Table1[[#This Row],[Customer_ID]], Table1[Transaction_Amount])</f>
        <v>5421.9623728813567</v>
      </c>
      <c r="I1490" t="s">
        <v>1530</v>
      </c>
      <c r="J1490" t="s">
        <v>36</v>
      </c>
      <c r="K1490" t="s">
        <v>10</v>
      </c>
      <c r="L1490">
        <v>0</v>
      </c>
      <c r="M1490" t="s">
        <v>37</v>
      </c>
      <c r="N1490" t="s">
        <v>51</v>
      </c>
      <c r="O1490" t="s">
        <v>393</v>
      </c>
      <c r="P1490" s="6" t="str">
        <f>IF(Table1[[#This Row],[Transaction_Amount]]&lt;=Table1[[#This Row],[avg_transaction_amount]], "usual transaction", "unusual transaction")</f>
        <v>usual transaction</v>
      </c>
      <c r="Q1490" s="6" t="str">
        <f>IF(AND(Table1[[#This Row],[Country_of_Residence]]&lt;&gt;Table1[[#This Row],[Country_of_Transaction]], OR(Table1[[#This Row],[Authentication_Type]]="Biometric", Table1[[#This Row],[Authentication_Type]]="OTP")), "safe location transaction", "unsafe location transaction")</f>
        <v>safe location transaction</v>
      </c>
      <c r="R1490" s="6" t="str">
        <f>IF(AND(Table1[[#This Row],[Country_of_Residence]]&lt;&gt;Table1[[#This Row],[Country_of_Transaction]], OR(Table1[[#This Row],[Merchant_Category]]="Electronics", Table1[[#This Row],[Merchant_Category]]="Travel")), "unsafe merchant transaction", "safe merchant transaction")</f>
        <v>safe merchant transaction</v>
      </c>
    </row>
    <row r="1491" spans="1:18">
      <c r="A1491" t="s">
        <v>5155</v>
      </c>
      <c r="B1491" t="s">
        <v>232</v>
      </c>
      <c r="C1491">
        <v>1</v>
      </c>
      <c r="D1491" t="s">
        <v>9</v>
      </c>
      <c r="E1491" t="s">
        <v>5</v>
      </c>
      <c r="F1491" s="2">
        <v>45831</v>
      </c>
      <c r="G1491">
        <v>7497.73</v>
      </c>
      <c r="H1491" s="1">
        <f>AVERAGEIF(Table1[Customer_ID], Table1[[#This Row],[Customer_ID]], Table1[Transaction_Amount])</f>
        <v>5421.9623728813567</v>
      </c>
      <c r="I1491" t="s">
        <v>2492</v>
      </c>
      <c r="J1491" t="s">
        <v>36</v>
      </c>
      <c r="K1491" t="s">
        <v>14</v>
      </c>
      <c r="L1491">
        <v>2</v>
      </c>
      <c r="M1491" t="s">
        <v>42</v>
      </c>
      <c r="N1491" t="s">
        <v>56</v>
      </c>
      <c r="O1491" t="s">
        <v>392</v>
      </c>
      <c r="P1491" s="6" t="str">
        <f>IF(Table1[[#This Row],[Transaction_Amount]]&lt;=Table1[[#This Row],[avg_transaction_amount]], "usual transaction", "unusual transaction")</f>
        <v>unusual transaction</v>
      </c>
      <c r="Q1491" s="6" t="str">
        <f>IF(AND(Table1[[#This Row],[Country_of_Residence]]&lt;&gt;Table1[[#This Row],[Country_of_Transaction]], OR(Table1[[#This Row],[Authentication_Type]]="Biometric", Table1[[#This Row],[Authentication_Type]]="OTP")), "safe location transaction", "unsafe location transaction")</f>
        <v>unsafe location transaction</v>
      </c>
      <c r="R1491" s="6" t="str">
        <f>IF(AND(Table1[[#This Row],[Country_of_Residence]]&lt;&gt;Table1[[#This Row],[Country_of_Transaction]], OR(Table1[[#This Row],[Merchant_Category]]="Electronics", Table1[[#This Row],[Merchant_Category]]="Travel")), "unsafe merchant transaction", "safe merchant transaction")</f>
        <v>safe merchant transaction</v>
      </c>
    </row>
    <row r="1492" spans="1:18">
      <c r="A1492" t="s">
        <v>5216</v>
      </c>
      <c r="B1492" t="s">
        <v>232</v>
      </c>
      <c r="C1492">
        <v>1</v>
      </c>
      <c r="D1492" t="s">
        <v>15</v>
      </c>
      <c r="E1492" t="s">
        <v>5</v>
      </c>
      <c r="F1492" s="2">
        <v>45830</v>
      </c>
      <c r="G1492">
        <v>6273.45</v>
      </c>
      <c r="H1492" s="1">
        <f>AVERAGEIF(Table1[Customer_ID], Table1[[#This Row],[Customer_ID]], Table1[Transaction_Amount])</f>
        <v>5421.9623728813567</v>
      </c>
      <c r="I1492" t="s">
        <v>2542</v>
      </c>
      <c r="J1492" t="s">
        <v>41</v>
      </c>
      <c r="K1492" t="s">
        <v>12</v>
      </c>
      <c r="L1492">
        <v>4</v>
      </c>
      <c r="M1492" t="s">
        <v>56</v>
      </c>
      <c r="N1492" t="s">
        <v>33</v>
      </c>
      <c r="O1492" t="s">
        <v>393</v>
      </c>
      <c r="P1492" s="6" t="str">
        <f>IF(Table1[[#This Row],[Transaction_Amount]]&lt;=Table1[[#This Row],[avg_transaction_amount]], "usual transaction", "unusual transaction")</f>
        <v>unusual transaction</v>
      </c>
      <c r="Q1492" s="6" t="str">
        <f>IF(AND(Table1[[#This Row],[Country_of_Residence]]&lt;&gt;Table1[[#This Row],[Country_of_Transaction]], OR(Table1[[#This Row],[Authentication_Type]]="Biometric", Table1[[#This Row],[Authentication_Type]]="OTP")), "safe location transaction", "unsafe location transaction")</f>
        <v>unsafe location transaction</v>
      </c>
      <c r="R1492" s="6" t="str">
        <f>IF(AND(Table1[[#This Row],[Country_of_Residence]]&lt;&gt;Table1[[#This Row],[Country_of_Transaction]], OR(Table1[[#This Row],[Merchant_Category]]="Electronics", Table1[[#This Row],[Merchant_Category]]="Travel")), "unsafe merchant transaction", "safe merchant transaction")</f>
        <v>safe merchant transaction</v>
      </c>
    </row>
    <row r="1493" spans="1:18">
      <c r="A1493" t="s">
        <v>5344</v>
      </c>
      <c r="B1493" t="s">
        <v>232</v>
      </c>
      <c r="C1493">
        <v>1</v>
      </c>
      <c r="D1493" t="s">
        <v>9</v>
      </c>
      <c r="E1493" t="s">
        <v>5</v>
      </c>
      <c r="F1493" s="2">
        <v>45714</v>
      </c>
      <c r="G1493">
        <v>6849.87</v>
      </c>
      <c r="H1493" s="1">
        <f>AVERAGEIF(Table1[Customer_ID], Table1[[#This Row],[Customer_ID]], Table1[Transaction_Amount])</f>
        <v>5421.9623728813567</v>
      </c>
      <c r="I1493" t="s">
        <v>2638</v>
      </c>
      <c r="J1493" t="s">
        <v>46</v>
      </c>
      <c r="K1493" t="s">
        <v>10</v>
      </c>
      <c r="L1493">
        <v>2</v>
      </c>
      <c r="M1493" t="s">
        <v>32</v>
      </c>
      <c r="N1493" t="s">
        <v>32</v>
      </c>
      <c r="O1493" t="s">
        <v>393</v>
      </c>
      <c r="P1493" s="6" t="str">
        <f>IF(Table1[[#This Row],[Transaction_Amount]]&lt;=Table1[[#This Row],[avg_transaction_amount]], "usual transaction", "unusual transaction")</f>
        <v>unusual transaction</v>
      </c>
      <c r="Q1493" s="6" t="str">
        <f>IF(AND(Table1[[#This Row],[Country_of_Residence]]&lt;&gt;Table1[[#This Row],[Country_of_Transaction]], OR(Table1[[#This Row],[Authentication_Type]]="Biometric", Table1[[#This Row],[Authentication_Type]]="OTP")), "safe location transaction", "unsafe location transaction")</f>
        <v>unsafe location transaction</v>
      </c>
      <c r="R1493" s="6" t="str">
        <f>IF(AND(Table1[[#This Row],[Country_of_Residence]]&lt;&gt;Table1[[#This Row],[Country_of_Transaction]], OR(Table1[[#This Row],[Merchant_Category]]="Electronics", Table1[[#This Row],[Merchant_Category]]="Travel")), "unsafe merchant transaction", "safe merchant transaction")</f>
        <v>safe merchant transaction</v>
      </c>
    </row>
    <row r="1494" spans="1:18">
      <c r="A1494" t="s">
        <v>5389</v>
      </c>
      <c r="B1494" t="s">
        <v>232</v>
      </c>
      <c r="C1494">
        <v>1</v>
      </c>
      <c r="D1494" t="s">
        <v>15</v>
      </c>
      <c r="E1494" t="s">
        <v>6</v>
      </c>
      <c r="F1494" s="2">
        <v>45806</v>
      </c>
      <c r="G1494">
        <v>8296.77</v>
      </c>
      <c r="H1494" s="1">
        <f>AVERAGEIF(Table1[Customer_ID], Table1[[#This Row],[Customer_ID]], Table1[Transaction_Amount])</f>
        <v>5421.9623728813567</v>
      </c>
      <c r="I1494" t="s">
        <v>103</v>
      </c>
      <c r="J1494" t="s">
        <v>50</v>
      </c>
      <c r="K1494" t="s">
        <v>10</v>
      </c>
      <c r="L1494">
        <v>5</v>
      </c>
      <c r="M1494" t="s">
        <v>42</v>
      </c>
      <c r="N1494" t="s">
        <v>42</v>
      </c>
      <c r="O1494" t="s">
        <v>393</v>
      </c>
      <c r="P1494" s="6" t="str">
        <f>IF(Table1[[#This Row],[Transaction_Amount]]&lt;=Table1[[#This Row],[avg_transaction_amount]], "usual transaction", "unusual transaction")</f>
        <v>unusual transaction</v>
      </c>
      <c r="Q1494" s="6" t="str">
        <f>IF(AND(Table1[[#This Row],[Country_of_Residence]]&lt;&gt;Table1[[#This Row],[Country_of_Transaction]], OR(Table1[[#This Row],[Authentication_Type]]="Biometric", Table1[[#This Row],[Authentication_Type]]="OTP")), "safe location transaction", "unsafe location transaction")</f>
        <v>unsafe location transaction</v>
      </c>
      <c r="R1494" s="6" t="str">
        <f>IF(AND(Table1[[#This Row],[Country_of_Residence]]&lt;&gt;Table1[[#This Row],[Country_of_Transaction]], OR(Table1[[#This Row],[Merchant_Category]]="Electronics", Table1[[#This Row],[Merchant_Category]]="Travel")), "unsafe merchant transaction", "safe merchant transaction")</f>
        <v>safe merchant transaction</v>
      </c>
    </row>
    <row r="1495" spans="1:18">
      <c r="A1495" t="s">
        <v>5390</v>
      </c>
      <c r="B1495" t="s">
        <v>232</v>
      </c>
      <c r="C1495">
        <v>1</v>
      </c>
      <c r="D1495" t="s">
        <v>15</v>
      </c>
      <c r="E1495" t="s">
        <v>6</v>
      </c>
      <c r="F1495" s="2">
        <v>45738</v>
      </c>
      <c r="G1495">
        <v>1782.85</v>
      </c>
      <c r="H1495" s="1">
        <f>AVERAGEIF(Table1[Customer_ID], Table1[[#This Row],[Customer_ID]], Table1[Transaction_Amount])</f>
        <v>5421.9623728813567</v>
      </c>
      <c r="I1495" t="s">
        <v>2672</v>
      </c>
      <c r="J1495" t="s">
        <v>50</v>
      </c>
      <c r="K1495" t="s">
        <v>12</v>
      </c>
      <c r="L1495">
        <v>2</v>
      </c>
      <c r="M1495" t="s">
        <v>42</v>
      </c>
      <c r="N1495" t="s">
        <v>55</v>
      </c>
      <c r="O1495" t="s">
        <v>393</v>
      </c>
      <c r="P1495" s="6" t="str">
        <f>IF(Table1[[#This Row],[Transaction_Amount]]&lt;=Table1[[#This Row],[avg_transaction_amount]], "usual transaction", "unusual transaction")</f>
        <v>usual transaction</v>
      </c>
      <c r="Q1495" s="6" t="str">
        <f>IF(AND(Table1[[#This Row],[Country_of_Residence]]&lt;&gt;Table1[[#This Row],[Country_of_Transaction]], OR(Table1[[#This Row],[Authentication_Type]]="Biometric", Table1[[#This Row],[Authentication_Type]]="OTP")), "safe location transaction", "unsafe location transaction")</f>
        <v>unsafe location transaction</v>
      </c>
      <c r="R1495" s="6" t="str">
        <f>IF(AND(Table1[[#This Row],[Country_of_Residence]]&lt;&gt;Table1[[#This Row],[Country_of_Transaction]], OR(Table1[[#This Row],[Merchant_Category]]="Electronics", Table1[[#This Row],[Merchant_Category]]="Travel")), "unsafe merchant transaction", "safe merchant transaction")</f>
        <v>unsafe merchant transaction</v>
      </c>
    </row>
    <row r="1496" spans="1:18">
      <c r="A1496" t="s">
        <v>5464</v>
      </c>
      <c r="B1496" t="s">
        <v>232</v>
      </c>
      <c r="C1496">
        <v>1</v>
      </c>
      <c r="D1496" t="s">
        <v>9</v>
      </c>
      <c r="E1496" t="s">
        <v>6</v>
      </c>
      <c r="F1496" s="2">
        <v>45886</v>
      </c>
      <c r="G1496">
        <v>4152.3999999999996</v>
      </c>
      <c r="H1496" s="1">
        <f>AVERAGEIF(Table1[Customer_ID], Table1[[#This Row],[Customer_ID]], Table1[Transaction_Amount])</f>
        <v>5421.9623728813567</v>
      </c>
      <c r="I1496" t="s">
        <v>2726</v>
      </c>
      <c r="J1496" t="s">
        <v>36</v>
      </c>
      <c r="K1496" t="s">
        <v>14</v>
      </c>
      <c r="L1496">
        <v>0</v>
      </c>
      <c r="M1496" t="s">
        <v>33</v>
      </c>
      <c r="N1496" t="s">
        <v>32</v>
      </c>
      <c r="O1496" t="s">
        <v>393</v>
      </c>
      <c r="P1496" s="6" t="str">
        <f>IF(Table1[[#This Row],[Transaction_Amount]]&lt;=Table1[[#This Row],[avg_transaction_amount]], "usual transaction", "unusual transaction")</f>
        <v>usual transaction</v>
      </c>
      <c r="Q1496" s="6" t="str">
        <f>IF(AND(Table1[[#This Row],[Country_of_Residence]]&lt;&gt;Table1[[#This Row],[Country_of_Transaction]], OR(Table1[[#This Row],[Authentication_Type]]="Biometric", Table1[[#This Row],[Authentication_Type]]="OTP")), "safe location transaction", "unsafe location transaction")</f>
        <v>unsafe location transaction</v>
      </c>
      <c r="R1496" s="6" t="str">
        <f>IF(AND(Table1[[#This Row],[Country_of_Residence]]&lt;&gt;Table1[[#This Row],[Country_of_Transaction]], OR(Table1[[#This Row],[Merchant_Category]]="Electronics", Table1[[#This Row],[Merchant_Category]]="Travel")), "unsafe merchant transaction", "safe merchant transaction")</f>
        <v>safe merchant transaction</v>
      </c>
    </row>
    <row r="1497" spans="1:18">
      <c r="A1497" t="s">
        <v>249</v>
      </c>
      <c r="B1497" t="s">
        <v>242</v>
      </c>
      <c r="C1497">
        <v>1</v>
      </c>
      <c r="D1497" t="s">
        <v>11</v>
      </c>
      <c r="E1497" t="s">
        <v>4</v>
      </c>
      <c r="F1497" s="2">
        <v>45897.668749999997</v>
      </c>
      <c r="G1497">
        <v>4800.62</v>
      </c>
      <c r="H1497" s="1">
        <f>AVERAGEIF(Table1[Customer_ID], Table1[[#This Row],[Customer_ID]], Table1[Transaction_Amount])</f>
        <v>5094.5936065573751</v>
      </c>
      <c r="I1497" t="s">
        <v>250</v>
      </c>
      <c r="J1497" t="s">
        <v>36</v>
      </c>
      <c r="K1497" t="s">
        <v>12</v>
      </c>
      <c r="L1497">
        <v>0</v>
      </c>
      <c r="M1497" t="s">
        <v>244</v>
      </c>
      <c r="N1497" t="s">
        <v>119</v>
      </c>
      <c r="O1497" t="s">
        <v>392</v>
      </c>
      <c r="P1497" t="str">
        <f>IF(Table1[[#This Row],[Transaction_Amount]]&lt;=Table1[[#This Row],[avg_transaction_amount]], "usual transaction", "unusual transaction")</f>
        <v>usual transaction</v>
      </c>
      <c r="Q1497" t="str">
        <f>IF(AND(Table1[[#This Row],[Country_of_Residence]]&lt;&gt;Table1[[#This Row],[Country_of_Transaction]], OR(Table1[[#This Row],[Authentication_Type]]="Biometric", Table1[[#This Row],[Authentication_Type]]="OTP")), "safe location transaction", "unsafe location transaction")</f>
        <v>unsafe location transaction</v>
      </c>
      <c r="R1497" t="str">
        <f>IF(AND(Table1[[#This Row],[Country_of_Residence]]&lt;&gt;Table1[[#This Row],[Country_of_Transaction]], OR(Table1[[#This Row],[Merchant_Category]]="Electronics", Table1[[#This Row],[Merchant_Category]]="Travel")), "unsafe merchant transaction", "safe merchant transaction")</f>
        <v>safe merchant transaction</v>
      </c>
    </row>
    <row r="1498" spans="1:18">
      <c r="A1498" t="s">
        <v>246</v>
      </c>
      <c r="B1498" t="s">
        <v>242</v>
      </c>
      <c r="C1498">
        <v>1</v>
      </c>
      <c r="D1498" t="s">
        <v>13</v>
      </c>
      <c r="E1498" t="s">
        <v>6</v>
      </c>
      <c r="F1498" s="2">
        <v>45743.780555555597</v>
      </c>
      <c r="G1498">
        <v>365.39</v>
      </c>
      <c r="H1498" s="1">
        <f>AVERAGEIF(Table1[Customer_ID], Table1[[#This Row],[Customer_ID]], Table1[Transaction_Amount])</f>
        <v>5094.5936065573751</v>
      </c>
      <c r="I1498" t="s">
        <v>247</v>
      </c>
      <c r="J1498" t="s">
        <v>59</v>
      </c>
      <c r="K1498" t="s">
        <v>14</v>
      </c>
      <c r="L1498">
        <v>5</v>
      </c>
      <c r="M1498" t="s">
        <v>244</v>
      </c>
      <c r="N1498" t="s">
        <v>248</v>
      </c>
      <c r="O1498" t="s">
        <v>392</v>
      </c>
      <c r="P1498" t="str">
        <f>IF(Table1[[#This Row],[Transaction_Amount]]&lt;=Table1[[#This Row],[avg_transaction_amount]], "usual transaction", "unusual transaction")</f>
        <v>usual transaction</v>
      </c>
      <c r="Q1498" t="str">
        <f>IF(AND(Table1[[#This Row],[Country_of_Residence]]&lt;&gt;Table1[[#This Row],[Country_of_Transaction]], OR(Table1[[#This Row],[Authentication_Type]]="Biometric", Table1[[#This Row],[Authentication_Type]]="OTP")), "safe location transaction", "unsafe location transaction")</f>
        <v>unsafe location transaction</v>
      </c>
      <c r="R1498" t="str">
        <f>IF(AND(Table1[[#This Row],[Country_of_Residence]]&lt;&gt;Table1[[#This Row],[Country_of_Transaction]], OR(Table1[[#This Row],[Merchant_Category]]="Electronics", Table1[[#This Row],[Merchant_Category]]="Travel")), "unsafe merchant transaction", "safe merchant transaction")</f>
        <v>unsafe merchant transaction</v>
      </c>
    </row>
    <row r="1499" spans="1:18">
      <c r="A1499" t="s">
        <v>241</v>
      </c>
      <c r="B1499" t="s">
        <v>242</v>
      </c>
      <c r="C1499">
        <v>1</v>
      </c>
      <c r="D1499" t="s">
        <v>13</v>
      </c>
      <c r="E1499" t="s">
        <v>5</v>
      </c>
      <c r="F1499" s="2">
        <v>45665.6743055556</v>
      </c>
      <c r="G1499">
        <v>8635.92</v>
      </c>
      <c r="H1499" s="1">
        <f>AVERAGEIF(Table1[Customer_ID], Table1[[#This Row],[Customer_ID]], Table1[Transaction_Amount])</f>
        <v>5094.5936065573751</v>
      </c>
      <c r="I1499" t="s">
        <v>243</v>
      </c>
      <c r="J1499" t="s">
        <v>31</v>
      </c>
      <c r="K1499" t="s">
        <v>10</v>
      </c>
      <c r="L1499">
        <v>5</v>
      </c>
      <c r="M1499" t="s">
        <v>244</v>
      </c>
      <c r="N1499" t="s">
        <v>245</v>
      </c>
      <c r="O1499" t="s">
        <v>392</v>
      </c>
      <c r="P1499" t="str">
        <f>IF(Table1[[#This Row],[Transaction_Amount]]&lt;=Table1[[#This Row],[avg_transaction_amount]], "usual transaction", "unusual transaction")</f>
        <v>unusual transaction</v>
      </c>
      <c r="Q1499" t="str">
        <f>IF(AND(Table1[[#This Row],[Country_of_Residence]]&lt;&gt;Table1[[#This Row],[Country_of_Transaction]], OR(Table1[[#This Row],[Authentication_Type]]="Biometric", Table1[[#This Row],[Authentication_Type]]="OTP")), "safe location transaction", "unsafe location transaction")</f>
        <v>safe location transaction</v>
      </c>
      <c r="R1499" t="str">
        <f>IF(AND(Table1[[#This Row],[Country_of_Residence]]&lt;&gt;Table1[[#This Row],[Country_of_Transaction]], OR(Table1[[#This Row],[Merchant_Category]]="Electronics", Table1[[#This Row],[Merchant_Category]]="Travel")), "unsafe merchant transaction", "safe merchant transaction")</f>
        <v>safe merchant transaction</v>
      </c>
    </row>
    <row r="1500" spans="1:18">
      <c r="A1500" t="s">
        <v>2780</v>
      </c>
      <c r="B1500" t="s">
        <v>242</v>
      </c>
      <c r="C1500">
        <v>1</v>
      </c>
      <c r="D1500" t="s">
        <v>15</v>
      </c>
      <c r="E1500" t="s">
        <v>3</v>
      </c>
      <c r="F1500" s="2">
        <v>45864</v>
      </c>
      <c r="G1500">
        <v>4696.8999999999996</v>
      </c>
      <c r="H1500" s="1">
        <f>AVERAGEIF(Table1[Customer_ID], Table1[[#This Row],[Customer_ID]], Table1[Transaction_Amount])</f>
        <v>5094.5936065573751</v>
      </c>
      <c r="I1500" t="s">
        <v>429</v>
      </c>
      <c r="J1500" t="s">
        <v>31</v>
      </c>
      <c r="K1500" t="s">
        <v>12</v>
      </c>
      <c r="L1500">
        <v>1</v>
      </c>
      <c r="M1500" t="s">
        <v>55</v>
      </c>
      <c r="N1500" t="s">
        <v>33</v>
      </c>
      <c r="O1500" t="s">
        <v>393</v>
      </c>
      <c r="P1500" s="6" t="str">
        <f>IF(Table1[[#This Row],[Transaction_Amount]]&lt;=Table1[[#This Row],[avg_transaction_amount]], "usual transaction", "unusual transaction")</f>
        <v>usual transaction</v>
      </c>
      <c r="Q1500" s="6" t="str">
        <f>IF(AND(Table1[[#This Row],[Country_of_Residence]]&lt;&gt;Table1[[#This Row],[Country_of_Transaction]], OR(Table1[[#This Row],[Authentication_Type]]="Biometric", Table1[[#This Row],[Authentication_Type]]="OTP")), "safe location transaction", "unsafe location transaction")</f>
        <v>unsafe location transaction</v>
      </c>
      <c r="R1500" s="6" t="str">
        <f>IF(AND(Table1[[#This Row],[Country_of_Residence]]&lt;&gt;Table1[[#This Row],[Country_of_Transaction]], OR(Table1[[#This Row],[Merchant_Category]]="Electronics", Table1[[#This Row],[Merchant_Category]]="Travel")), "unsafe merchant transaction", "safe merchant transaction")</f>
        <v>safe merchant transaction</v>
      </c>
    </row>
    <row r="1501" spans="1:18">
      <c r="A1501" t="s">
        <v>2859</v>
      </c>
      <c r="B1501" t="s">
        <v>242</v>
      </c>
      <c r="C1501">
        <v>1</v>
      </c>
      <c r="D1501" t="s">
        <v>15</v>
      </c>
      <c r="E1501" t="s">
        <v>5</v>
      </c>
      <c r="F1501" s="2">
        <v>45878</v>
      </c>
      <c r="G1501">
        <v>2768.01</v>
      </c>
      <c r="H1501" s="1">
        <f>AVERAGEIF(Table1[Customer_ID], Table1[[#This Row],[Customer_ID]], Table1[Transaction_Amount])</f>
        <v>5094.5936065573751</v>
      </c>
      <c r="I1501" t="s">
        <v>511</v>
      </c>
      <c r="J1501" t="s">
        <v>41</v>
      </c>
      <c r="K1501" t="s">
        <v>8</v>
      </c>
      <c r="L1501">
        <v>4</v>
      </c>
      <c r="M1501" t="s">
        <v>37</v>
      </c>
      <c r="N1501" t="s">
        <v>412</v>
      </c>
      <c r="O1501" t="s">
        <v>392</v>
      </c>
      <c r="P1501" s="6" t="str">
        <f>IF(Table1[[#This Row],[Transaction_Amount]]&lt;=Table1[[#This Row],[avg_transaction_amount]], "usual transaction", "unusual transaction")</f>
        <v>usual transaction</v>
      </c>
      <c r="Q1501" s="6" t="str">
        <f>IF(AND(Table1[[#This Row],[Country_of_Residence]]&lt;&gt;Table1[[#This Row],[Country_of_Transaction]], OR(Table1[[#This Row],[Authentication_Type]]="Biometric", Table1[[#This Row],[Authentication_Type]]="OTP")), "safe location transaction", "unsafe location transaction")</f>
        <v>safe location transaction</v>
      </c>
      <c r="R1501" s="6" t="str">
        <f>IF(AND(Table1[[#This Row],[Country_of_Residence]]&lt;&gt;Table1[[#This Row],[Country_of_Transaction]], OR(Table1[[#This Row],[Merchant_Category]]="Electronics", Table1[[#This Row],[Merchant_Category]]="Travel")), "unsafe merchant transaction", "safe merchant transaction")</f>
        <v>safe merchant transaction</v>
      </c>
    </row>
    <row r="1502" spans="1:18">
      <c r="A1502" t="s">
        <v>2898</v>
      </c>
      <c r="B1502" t="s">
        <v>242</v>
      </c>
      <c r="C1502">
        <v>1</v>
      </c>
      <c r="D1502" t="s">
        <v>15</v>
      </c>
      <c r="E1502" t="s">
        <v>5</v>
      </c>
      <c r="F1502" s="2">
        <v>45821</v>
      </c>
      <c r="G1502">
        <v>4868.3</v>
      </c>
      <c r="H1502" s="1">
        <f>AVERAGEIF(Table1[Customer_ID], Table1[[#This Row],[Customer_ID]], Table1[Transaction_Amount])</f>
        <v>5094.5936065573751</v>
      </c>
      <c r="I1502" t="s">
        <v>548</v>
      </c>
      <c r="J1502" t="s">
        <v>36</v>
      </c>
      <c r="K1502" t="s">
        <v>12</v>
      </c>
      <c r="L1502">
        <v>2</v>
      </c>
      <c r="M1502" t="s">
        <v>33</v>
      </c>
      <c r="N1502" t="s">
        <v>33</v>
      </c>
      <c r="O1502" t="s">
        <v>392</v>
      </c>
      <c r="P1502" s="6" t="str">
        <f>IF(Table1[[#This Row],[Transaction_Amount]]&lt;=Table1[[#This Row],[avg_transaction_amount]], "usual transaction", "unusual transaction")</f>
        <v>usual transaction</v>
      </c>
      <c r="Q1502" s="6" t="str">
        <f>IF(AND(Table1[[#This Row],[Country_of_Residence]]&lt;&gt;Table1[[#This Row],[Country_of_Transaction]], OR(Table1[[#This Row],[Authentication_Type]]="Biometric", Table1[[#This Row],[Authentication_Type]]="OTP")), "safe location transaction", "unsafe location transaction")</f>
        <v>unsafe location transaction</v>
      </c>
      <c r="R1502" s="6" t="str">
        <f>IF(AND(Table1[[#This Row],[Country_of_Residence]]&lt;&gt;Table1[[#This Row],[Country_of_Transaction]], OR(Table1[[#This Row],[Merchant_Category]]="Electronics", Table1[[#This Row],[Merchant_Category]]="Travel")), "unsafe merchant transaction", "safe merchant transaction")</f>
        <v>safe merchant transaction</v>
      </c>
    </row>
    <row r="1503" spans="1:18">
      <c r="A1503" t="s">
        <v>2908</v>
      </c>
      <c r="B1503" t="s">
        <v>242</v>
      </c>
      <c r="C1503">
        <v>1</v>
      </c>
      <c r="D1503" t="s">
        <v>9</v>
      </c>
      <c r="E1503" t="s">
        <v>420</v>
      </c>
      <c r="F1503" s="2">
        <v>45689</v>
      </c>
      <c r="G1503">
        <v>1556.74</v>
      </c>
      <c r="H1503" s="1">
        <f>AVERAGEIF(Table1[Customer_ID], Table1[[#This Row],[Customer_ID]], Table1[Transaction_Amount])</f>
        <v>5094.5936065573751</v>
      </c>
      <c r="I1503" t="s">
        <v>558</v>
      </c>
      <c r="J1503" t="s">
        <v>41</v>
      </c>
      <c r="K1503" t="s">
        <v>12</v>
      </c>
      <c r="L1503">
        <v>4</v>
      </c>
      <c r="M1503" t="s">
        <v>51</v>
      </c>
      <c r="N1503" t="s">
        <v>47</v>
      </c>
      <c r="O1503" t="s">
        <v>393</v>
      </c>
      <c r="P1503" s="6" t="str">
        <f>IF(Table1[[#This Row],[Transaction_Amount]]&lt;=Table1[[#This Row],[avg_transaction_amount]], "usual transaction", "unusual transaction")</f>
        <v>usual transaction</v>
      </c>
      <c r="Q1503" s="6" t="str">
        <f>IF(AND(Table1[[#This Row],[Country_of_Residence]]&lt;&gt;Table1[[#This Row],[Country_of_Transaction]], OR(Table1[[#This Row],[Authentication_Type]]="Biometric", Table1[[#This Row],[Authentication_Type]]="OTP")), "safe location transaction", "unsafe location transaction")</f>
        <v>unsafe location transaction</v>
      </c>
      <c r="R1503" s="6" t="str">
        <f>IF(AND(Table1[[#This Row],[Country_of_Residence]]&lt;&gt;Table1[[#This Row],[Country_of_Transaction]], OR(Table1[[#This Row],[Merchant_Category]]="Electronics", Table1[[#This Row],[Merchant_Category]]="Travel")), "unsafe merchant transaction", "safe merchant transaction")</f>
        <v>safe merchant transaction</v>
      </c>
    </row>
    <row r="1504" spans="1:18">
      <c r="A1504" t="s">
        <v>2924</v>
      </c>
      <c r="B1504" t="s">
        <v>242</v>
      </c>
      <c r="C1504">
        <v>1</v>
      </c>
      <c r="D1504" t="s">
        <v>9</v>
      </c>
      <c r="E1504" t="s">
        <v>5</v>
      </c>
      <c r="F1504" s="2">
        <v>45853</v>
      </c>
      <c r="G1504">
        <v>1840.81</v>
      </c>
      <c r="H1504" s="1">
        <f>AVERAGEIF(Table1[Customer_ID], Table1[[#This Row],[Customer_ID]], Table1[Transaction_Amount])</f>
        <v>5094.5936065573751</v>
      </c>
      <c r="I1504" t="s">
        <v>573</v>
      </c>
      <c r="J1504" t="s">
        <v>36</v>
      </c>
      <c r="K1504" t="s">
        <v>10</v>
      </c>
      <c r="L1504">
        <v>5</v>
      </c>
      <c r="M1504" t="s">
        <v>33</v>
      </c>
      <c r="N1504" t="s">
        <v>42</v>
      </c>
      <c r="O1504" t="s">
        <v>393</v>
      </c>
      <c r="P1504" s="6" t="str">
        <f>IF(Table1[[#This Row],[Transaction_Amount]]&lt;=Table1[[#This Row],[avg_transaction_amount]], "usual transaction", "unusual transaction")</f>
        <v>usual transaction</v>
      </c>
      <c r="Q1504" s="6" t="str">
        <f>IF(AND(Table1[[#This Row],[Country_of_Residence]]&lt;&gt;Table1[[#This Row],[Country_of_Transaction]], OR(Table1[[#This Row],[Authentication_Type]]="Biometric", Table1[[#This Row],[Authentication_Type]]="OTP")), "safe location transaction", "unsafe location transaction")</f>
        <v>safe location transaction</v>
      </c>
      <c r="R1504" s="6" t="str">
        <f>IF(AND(Table1[[#This Row],[Country_of_Residence]]&lt;&gt;Table1[[#This Row],[Country_of_Transaction]], OR(Table1[[#This Row],[Merchant_Category]]="Electronics", Table1[[#This Row],[Merchant_Category]]="Travel")), "unsafe merchant transaction", "safe merchant transaction")</f>
        <v>safe merchant transaction</v>
      </c>
    </row>
    <row r="1505" spans="1:18">
      <c r="A1505" t="s">
        <v>2963</v>
      </c>
      <c r="B1505" t="s">
        <v>242</v>
      </c>
      <c r="C1505">
        <v>1</v>
      </c>
      <c r="D1505" t="s">
        <v>9</v>
      </c>
      <c r="E1505" t="s">
        <v>6</v>
      </c>
      <c r="F1505" s="2">
        <v>45907</v>
      </c>
      <c r="G1505">
        <v>5984.44</v>
      </c>
      <c r="H1505" s="1">
        <f>AVERAGEIF(Table1[Customer_ID], Table1[[#This Row],[Customer_ID]], Table1[Transaction_Amount])</f>
        <v>5094.5936065573751</v>
      </c>
      <c r="I1505" t="s">
        <v>611</v>
      </c>
      <c r="J1505" t="s">
        <v>46</v>
      </c>
      <c r="K1505" t="s">
        <v>12</v>
      </c>
      <c r="L1505">
        <v>3</v>
      </c>
      <c r="M1505" t="s">
        <v>37</v>
      </c>
      <c r="N1505" t="s">
        <v>42</v>
      </c>
      <c r="O1505" t="s">
        <v>392</v>
      </c>
      <c r="P1505" s="6" t="str">
        <f>IF(Table1[[#This Row],[Transaction_Amount]]&lt;=Table1[[#This Row],[avg_transaction_amount]], "usual transaction", "unusual transaction")</f>
        <v>unusual transaction</v>
      </c>
      <c r="Q1505" s="6" t="str">
        <f>IF(AND(Table1[[#This Row],[Country_of_Residence]]&lt;&gt;Table1[[#This Row],[Country_of_Transaction]], OR(Table1[[#This Row],[Authentication_Type]]="Biometric", Table1[[#This Row],[Authentication_Type]]="OTP")), "safe location transaction", "unsafe location transaction")</f>
        <v>unsafe location transaction</v>
      </c>
      <c r="R1505" s="6" t="str">
        <f>IF(AND(Table1[[#This Row],[Country_of_Residence]]&lt;&gt;Table1[[#This Row],[Country_of_Transaction]], OR(Table1[[#This Row],[Merchant_Category]]="Electronics", Table1[[#This Row],[Merchant_Category]]="Travel")), "unsafe merchant transaction", "safe merchant transaction")</f>
        <v>safe merchant transaction</v>
      </c>
    </row>
    <row r="1506" spans="1:18">
      <c r="A1506" t="s">
        <v>3020</v>
      </c>
      <c r="B1506" t="s">
        <v>242</v>
      </c>
      <c r="C1506">
        <v>1</v>
      </c>
      <c r="D1506" t="s">
        <v>9</v>
      </c>
      <c r="E1506" t="s">
        <v>3</v>
      </c>
      <c r="F1506" s="2">
        <v>45746</v>
      </c>
      <c r="G1506">
        <v>2678.16</v>
      </c>
      <c r="H1506" s="1">
        <f>AVERAGEIF(Table1[Customer_ID], Table1[[#This Row],[Customer_ID]], Table1[Transaction_Amount])</f>
        <v>5094.5936065573751</v>
      </c>
      <c r="I1506" t="s">
        <v>667</v>
      </c>
      <c r="J1506" t="s">
        <v>46</v>
      </c>
      <c r="K1506" t="s">
        <v>8</v>
      </c>
      <c r="L1506">
        <v>0</v>
      </c>
      <c r="M1506" t="s">
        <v>56</v>
      </c>
      <c r="N1506" t="s">
        <v>51</v>
      </c>
      <c r="O1506" t="s">
        <v>392</v>
      </c>
      <c r="P1506" s="6" t="str">
        <f>IF(Table1[[#This Row],[Transaction_Amount]]&lt;=Table1[[#This Row],[avg_transaction_amount]], "usual transaction", "unusual transaction")</f>
        <v>usual transaction</v>
      </c>
      <c r="Q1506" s="6" t="str">
        <f>IF(AND(Table1[[#This Row],[Country_of_Residence]]&lt;&gt;Table1[[#This Row],[Country_of_Transaction]], OR(Table1[[#This Row],[Authentication_Type]]="Biometric", Table1[[#This Row],[Authentication_Type]]="OTP")), "safe location transaction", "unsafe location transaction")</f>
        <v>safe location transaction</v>
      </c>
      <c r="R1506" s="6" t="str">
        <f>IF(AND(Table1[[#This Row],[Country_of_Residence]]&lt;&gt;Table1[[#This Row],[Country_of_Transaction]], OR(Table1[[#This Row],[Merchant_Category]]="Electronics", Table1[[#This Row],[Merchant_Category]]="Travel")), "unsafe merchant transaction", "safe merchant transaction")</f>
        <v>safe merchant transaction</v>
      </c>
    </row>
    <row r="1507" spans="1:18">
      <c r="A1507" t="s">
        <v>3034</v>
      </c>
      <c r="B1507" t="s">
        <v>242</v>
      </c>
      <c r="C1507">
        <v>1</v>
      </c>
      <c r="D1507" t="s">
        <v>15</v>
      </c>
      <c r="E1507" t="s">
        <v>6</v>
      </c>
      <c r="F1507" s="2">
        <v>45833</v>
      </c>
      <c r="G1507">
        <v>587.91999999999996</v>
      </c>
      <c r="H1507" s="1">
        <f>AVERAGEIF(Table1[Customer_ID], Table1[[#This Row],[Customer_ID]], Table1[Transaction_Amount])</f>
        <v>5094.5936065573751</v>
      </c>
      <c r="I1507" t="s">
        <v>680</v>
      </c>
      <c r="J1507" t="s">
        <v>46</v>
      </c>
      <c r="K1507" t="s">
        <v>14</v>
      </c>
      <c r="L1507">
        <v>5</v>
      </c>
      <c r="M1507" t="s">
        <v>42</v>
      </c>
      <c r="N1507" t="s">
        <v>32</v>
      </c>
      <c r="O1507" t="s">
        <v>393</v>
      </c>
      <c r="P1507" s="6" t="str">
        <f>IF(Table1[[#This Row],[Transaction_Amount]]&lt;=Table1[[#This Row],[avg_transaction_amount]], "usual transaction", "unusual transaction")</f>
        <v>usual transaction</v>
      </c>
      <c r="Q1507" s="6" t="str">
        <f>IF(AND(Table1[[#This Row],[Country_of_Residence]]&lt;&gt;Table1[[#This Row],[Country_of_Transaction]], OR(Table1[[#This Row],[Authentication_Type]]="Biometric", Table1[[#This Row],[Authentication_Type]]="OTP")), "safe location transaction", "unsafe location transaction")</f>
        <v>unsafe location transaction</v>
      </c>
      <c r="R1507" s="6" t="str">
        <f>IF(AND(Table1[[#This Row],[Country_of_Residence]]&lt;&gt;Table1[[#This Row],[Country_of_Transaction]], OR(Table1[[#This Row],[Merchant_Category]]="Electronics", Table1[[#This Row],[Merchant_Category]]="Travel")), "unsafe merchant transaction", "safe merchant transaction")</f>
        <v>safe merchant transaction</v>
      </c>
    </row>
    <row r="1508" spans="1:18">
      <c r="A1508" t="s">
        <v>3071</v>
      </c>
      <c r="B1508" t="s">
        <v>242</v>
      </c>
      <c r="C1508">
        <v>1</v>
      </c>
      <c r="D1508" t="s">
        <v>9</v>
      </c>
      <c r="E1508" t="s">
        <v>5</v>
      </c>
      <c r="F1508" s="2">
        <v>45666</v>
      </c>
      <c r="G1508">
        <v>3910.92</v>
      </c>
      <c r="H1508" s="1">
        <f>AVERAGEIF(Table1[Customer_ID], Table1[[#This Row],[Customer_ID]], Table1[Transaction_Amount])</f>
        <v>5094.5936065573751</v>
      </c>
      <c r="I1508" t="s">
        <v>715</v>
      </c>
      <c r="J1508" t="s">
        <v>41</v>
      </c>
      <c r="K1508" t="s">
        <v>10</v>
      </c>
      <c r="L1508">
        <v>5</v>
      </c>
      <c r="M1508" t="s">
        <v>32</v>
      </c>
      <c r="N1508" t="s">
        <v>412</v>
      </c>
      <c r="O1508" t="s">
        <v>392</v>
      </c>
      <c r="P1508" s="6" t="str">
        <f>IF(Table1[[#This Row],[Transaction_Amount]]&lt;=Table1[[#This Row],[avg_transaction_amount]], "usual transaction", "unusual transaction")</f>
        <v>usual transaction</v>
      </c>
      <c r="Q1508" s="6" t="str">
        <f>IF(AND(Table1[[#This Row],[Country_of_Residence]]&lt;&gt;Table1[[#This Row],[Country_of_Transaction]], OR(Table1[[#This Row],[Authentication_Type]]="Biometric", Table1[[#This Row],[Authentication_Type]]="OTP")), "safe location transaction", "unsafe location transaction")</f>
        <v>safe location transaction</v>
      </c>
      <c r="R1508" s="6" t="str">
        <f>IF(AND(Table1[[#This Row],[Country_of_Residence]]&lt;&gt;Table1[[#This Row],[Country_of_Transaction]], OR(Table1[[#This Row],[Merchant_Category]]="Electronics", Table1[[#This Row],[Merchant_Category]]="Travel")), "unsafe merchant transaction", "safe merchant transaction")</f>
        <v>safe merchant transaction</v>
      </c>
    </row>
    <row r="1509" spans="1:18">
      <c r="A1509" t="s">
        <v>3114</v>
      </c>
      <c r="B1509" t="s">
        <v>242</v>
      </c>
      <c r="C1509">
        <v>1</v>
      </c>
      <c r="D1509" t="s">
        <v>15</v>
      </c>
      <c r="E1509" t="s">
        <v>6</v>
      </c>
      <c r="F1509" s="2">
        <v>45996</v>
      </c>
      <c r="G1509">
        <v>1714.82</v>
      </c>
      <c r="H1509" s="1">
        <f>AVERAGEIF(Table1[Customer_ID], Table1[[#This Row],[Customer_ID]], Table1[Transaction_Amount])</f>
        <v>5094.5936065573751</v>
      </c>
      <c r="I1509" t="s">
        <v>756</v>
      </c>
      <c r="J1509" t="s">
        <v>46</v>
      </c>
      <c r="K1509" t="s">
        <v>12</v>
      </c>
      <c r="L1509">
        <v>3</v>
      </c>
      <c r="M1509" t="s">
        <v>32</v>
      </c>
      <c r="N1509" t="s">
        <v>32</v>
      </c>
      <c r="O1509" t="s">
        <v>392</v>
      </c>
      <c r="P1509" s="6" t="str">
        <f>IF(Table1[[#This Row],[Transaction_Amount]]&lt;=Table1[[#This Row],[avg_transaction_amount]], "usual transaction", "unusual transaction")</f>
        <v>usual transaction</v>
      </c>
      <c r="Q1509" s="6" t="str">
        <f>IF(AND(Table1[[#This Row],[Country_of_Residence]]&lt;&gt;Table1[[#This Row],[Country_of_Transaction]], OR(Table1[[#This Row],[Authentication_Type]]="Biometric", Table1[[#This Row],[Authentication_Type]]="OTP")), "safe location transaction", "unsafe location transaction")</f>
        <v>unsafe location transaction</v>
      </c>
      <c r="R1509" s="6" t="str">
        <f>IF(AND(Table1[[#This Row],[Country_of_Residence]]&lt;&gt;Table1[[#This Row],[Country_of_Transaction]], OR(Table1[[#This Row],[Merchant_Category]]="Electronics", Table1[[#This Row],[Merchant_Category]]="Travel")), "unsafe merchant transaction", "safe merchant transaction")</f>
        <v>safe merchant transaction</v>
      </c>
    </row>
    <row r="1510" spans="1:18">
      <c r="A1510" t="s">
        <v>3120</v>
      </c>
      <c r="B1510" t="s">
        <v>242</v>
      </c>
      <c r="C1510">
        <v>1</v>
      </c>
      <c r="D1510" t="s">
        <v>15</v>
      </c>
      <c r="E1510" t="s">
        <v>6</v>
      </c>
      <c r="F1510" s="2">
        <v>45988</v>
      </c>
      <c r="G1510">
        <v>8827.51</v>
      </c>
      <c r="H1510" s="1">
        <f>AVERAGEIF(Table1[Customer_ID], Table1[[#This Row],[Customer_ID]], Table1[Transaction_Amount])</f>
        <v>5094.5936065573751</v>
      </c>
      <c r="I1510" t="s">
        <v>761</v>
      </c>
      <c r="J1510" t="s">
        <v>46</v>
      </c>
      <c r="K1510" t="s">
        <v>14</v>
      </c>
      <c r="L1510">
        <v>0</v>
      </c>
      <c r="M1510" t="s">
        <v>56</v>
      </c>
      <c r="N1510" t="s">
        <v>55</v>
      </c>
      <c r="O1510" t="s">
        <v>393</v>
      </c>
      <c r="P1510" s="6" t="str">
        <f>IF(Table1[[#This Row],[Transaction_Amount]]&lt;=Table1[[#This Row],[avg_transaction_amount]], "usual transaction", "unusual transaction")</f>
        <v>unusual transaction</v>
      </c>
      <c r="Q1510" s="6" t="str">
        <f>IF(AND(Table1[[#This Row],[Country_of_Residence]]&lt;&gt;Table1[[#This Row],[Country_of_Transaction]], OR(Table1[[#This Row],[Authentication_Type]]="Biometric", Table1[[#This Row],[Authentication_Type]]="OTP")), "safe location transaction", "unsafe location transaction")</f>
        <v>unsafe location transaction</v>
      </c>
      <c r="R1510" s="6" t="str">
        <f>IF(AND(Table1[[#This Row],[Country_of_Residence]]&lt;&gt;Table1[[#This Row],[Country_of_Transaction]], OR(Table1[[#This Row],[Merchant_Category]]="Electronics", Table1[[#This Row],[Merchant_Category]]="Travel")), "unsafe merchant transaction", "safe merchant transaction")</f>
        <v>safe merchant transaction</v>
      </c>
    </row>
    <row r="1511" spans="1:18">
      <c r="A1511" t="s">
        <v>3157</v>
      </c>
      <c r="B1511" t="s">
        <v>242</v>
      </c>
      <c r="C1511">
        <v>1</v>
      </c>
      <c r="D1511" t="s">
        <v>9</v>
      </c>
      <c r="E1511" t="s">
        <v>6</v>
      </c>
      <c r="F1511" s="2">
        <v>45754</v>
      </c>
      <c r="G1511">
        <v>9613.9</v>
      </c>
      <c r="H1511" s="1">
        <f>AVERAGEIF(Table1[Customer_ID], Table1[[#This Row],[Customer_ID]], Table1[Transaction_Amount])</f>
        <v>5094.5936065573751</v>
      </c>
      <c r="I1511" t="s">
        <v>795</v>
      </c>
      <c r="J1511" t="s">
        <v>46</v>
      </c>
      <c r="K1511" t="s">
        <v>10</v>
      </c>
      <c r="L1511">
        <v>4</v>
      </c>
      <c r="M1511" t="s">
        <v>37</v>
      </c>
      <c r="N1511" t="s">
        <v>55</v>
      </c>
      <c r="O1511" t="s">
        <v>392</v>
      </c>
      <c r="P1511" s="6" t="str">
        <f>IF(Table1[[#This Row],[Transaction_Amount]]&lt;=Table1[[#This Row],[avg_transaction_amount]], "usual transaction", "unusual transaction")</f>
        <v>unusual transaction</v>
      </c>
      <c r="Q1511" s="6" t="str">
        <f>IF(AND(Table1[[#This Row],[Country_of_Residence]]&lt;&gt;Table1[[#This Row],[Country_of_Transaction]], OR(Table1[[#This Row],[Authentication_Type]]="Biometric", Table1[[#This Row],[Authentication_Type]]="OTP")), "safe location transaction", "unsafe location transaction")</f>
        <v>safe location transaction</v>
      </c>
      <c r="R1511" s="6" t="str">
        <f>IF(AND(Table1[[#This Row],[Country_of_Residence]]&lt;&gt;Table1[[#This Row],[Country_of_Transaction]], OR(Table1[[#This Row],[Merchant_Category]]="Electronics", Table1[[#This Row],[Merchant_Category]]="Travel")), "unsafe merchant transaction", "safe merchant transaction")</f>
        <v>safe merchant transaction</v>
      </c>
    </row>
    <row r="1512" spans="1:18">
      <c r="A1512" t="s">
        <v>3178</v>
      </c>
      <c r="B1512" t="s">
        <v>242</v>
      </c>
      <c r="C1512">
        <v>1</v>
      </c>
      <c r="D1512" t="s">
        <v>9</v>
      </c>
      <c r="E1512" t="s">
        <v>420</v>
      </c>
      <c r="F1512" s="2">
        <v>45812</v>
      </c>
      <c r="G1512">
        <v>913.64</v>
      </c>
      <c r="H1512" s="1">
        <f>AVERAGEIF(Table1[Customer_ID], Table1[[#This Row],[Customer_ID]], Table1[Transaction_Amount])</f>
        <v>5094.5936065573751</v>
      </c>
      <c r="I1512" t="s">
        <v>813</v>
      </c>
      <c r="J1512" t="s">
        <v>50</v>
      </c>
      <c r="K1512" t="s">
        <v>12</v>
      </c>
      <c r="L1512">
        <v>0</v>
      </c>
      <c r="M1512" t="s">
        <v>51</v>
      </c>
      <c r="N1512" t="s">
        <v>412</v>
      </c>
      <c r="O1512" t="s">
        <v>392</v>
      </c>
      <c r="P1512" s="6" t="str">
        <f>IF(Table1[[#This Row],[Transaction_Amount]]&lt;=Table1[[#This Row],[avg_transaction_amount]], "usual transaction", "unusual transaction")</f>
        <v>usual transaction</v>
      </c>
      <c r="Q1512" s="6" t="str">
        <f>IF(AND(Table1[[#This Row],[Country_of_Residence]]&lt;&gt;Table1[[#This Row],[Country_of_Transaction]], OR(Table1[[#This Row],[Authentication_Type]]="Biometric", Table1[[#This Row],[Authentication_Type]]="OTP")), "safe location transaction", "unsafe location transaction")</f>
        <v>unsafe location transaction</v>
      </c>
      <c r="R1512" s="6" t="str">
        <f>IF(AND(Table1[[#This Row],[Country_of_Residence]]&lt;&gt;Table1[[#This Row],[Country_of_Transaction]], OR(Table1[[#This Row],[Merchant_Category]]="Electronics", Table1[[#This Row],[Merchant_Category]]="Travel")), "unsafe merchant transaction", "safe merchant transaction")</f>
        <v>unsafe merchant transaction</v>
      </c>
    </row>
    <row r="1513" spans="1:18">
      <c r="A1513" t="s">
        <v>3196</v>
      </c>
      <c r="B1513" t="s">
        <v>242</v>
      </c>
      <c r="C1513">
        <v>1</v>
      </c>
      <c r="D1513" t="s">
        <v>15</v>
      </c>
      <c r="E1513" t="s">
        <v>3</v>
      </c>
      <c r="F1513" s="2">
        <v>45948</v>
      </c>
      <c r="G1513">
        <v>9269.32</v>
      </c>
      <c r="H1513" s="1">
        <f>AVERAGEIF(Table1[Customer_ID], Table1[[#This Row],[Customer_ID]], Table1[Transaction_Amount])</f>
        <v>5094.5936065573751</v>
      </c>
      <c r="I1513" t="s">
        <v>831</v>
      </c>
      <c r="J1513" t="s">
        <v>31</v>
      </c>
      <c r="K1513" t="s">
        <v>8</v>
      </c>
      <c r="L1513">
        <v>5</v>
      </c>
      <c r="M1513" t="s">
        <v>32</v>
      </c>
      <c r="N1513" t="s">
        <v>42</v>
      </c>
      <c r="O1513" t="s">
        <v>393</v>
      </c>
      <c r="P1513" s="6" t="str">
        <f>IF(Table1[[#This Row],[Transaction_Amount]]&lt;=Table1[[#This Row],[avg_transaction_amount]], "usual transaction", "unusual transaction")</f>
        <v>unusual transaction</v>
      </c>
      <c r="Q1513" s="6" t="str">
        <f>IF(AND(Table1[[#This Row],[Country_of_Residence]]&lt;&gt;Table1[[#This Row],[Country_of_Transaction]], OR(Table1[[#This Row],[Authentication_Type]]="Biometric", Table1[[#This Row],[Authentication_Type]]="OTP")), "safe location transaction", "unsafe location transaction")</f>
        <v>safe location transaction</v>
      </c>
      <c r="R1513" s="6" t="str">
        <f>IF(AND(Table1[[#This Row],[Country_of_Residence]]&lt;&gt;Table1[[#This Row],[Country_of_Transaction]], OR(Table1[[#This Row],[Merchant_Category]]="Electronics", Table1[[#This Row],[Merchant_Category]]="Travel")), "unsafe merchant transaction", "safe merchant transaction")</f>
        <v>safe merchant transaction</v>
      </c>
    </row>
    <row r="1514" spans="1:18">
      <c r="A1514" t="s">
        <v>3206</v>
      </c>
      <c r="B1514" t="s">
        <v>242</v>
      </c>
      <c r="C1514">
        <v>1</v>
      </c>
      <c r="D1514" t="s">
        <v>9</v>
      </c>
      <c r="E1514" t="s">
        <v>5</v>
      </c>
      <c r="F1514" s="2">
        <v>45770</v>
      </c>
      <c r="G1514">
        <v>1022.1</v>
      </c>
      <c r="H1514" s="1">
        <f>AVERAGEIF(Table1[Customer_ID], Table1[[#This Row],[Customer_ID]], Table1[Transaction_Amount])</f>
        <v>5094.5936065573751</v>
      </c>
      <c r="I1514" t="s">
        <v>840</v>
      </c>
      <c r="J1514" t="s">
        <v>50</v>
      </c>
      <c r="K1514" t="s">
        <v>12</v>
      </c>
      <c r="L1514">
        <v>0</v>
      </c>
      <c r="M1514" t="s">
        <v>412</v>
      </c>
      <c r="N1514" t="s">
        <v>32</v>
      </c>
      <c r="O1514" t="s">
        <v>392</v>
      </c>
      <c r="P1514" s="6" t="str">
        <f>IF(Table1[[#This Row],[Transaction_Amount]]&lt;=Table1[[#This Row],[avg_transaction_amount]], "usual transaction", "unusual transaction")</f>
        <v>usual transaction</v>
      </c>
      <c r="Q1514" s="6" t="str">
        <f>IF(AND(Table1[[#This Row],[Country_of_Residence]]&lt;&gt;Table1[[#This Row],[Country_of_Transaction]], OR(Table1[[#This Row],[Authentication_Type]]="Biometric", Table1[[#This Row],[Authentication_Type]]="OTP")), "safe location transaction", "unsafe location transaction")</f>
        <v>unsafe location transaction</v>
      </c>
      <c r="R1514" s="6" t="str">
        <f>IF(AND(Table1[[#This Row],[Country_of_Residence]]&lt;&gt;Table1[[#This Row],[Country_of_Transaction]], OR(Table1[[#This Row],[Merchant_Category]]="Electronics", Table1[[#This Row],[Merchant_Category]]="Travel")), "unsafe merchant transaction", "safe merchant transaction")</f>
        <v>unsafe merchant transaction</v>
      </c>
    </row>
    <row r="1515" spans="1:18">
      <c r="A1515" t="s">
        <v>3222</v>
      </c>
      <c r="B1515" t="s">
        <v>242</v>
      </c>
      <c r="C1515">
        <v>1</v>
      </c>
      <c r="D1515" t="s">
        <v>15</v>
      </c>
      <c r="E1515" t="s">
        <v>6</v>
      </c>
      <c r="F1515" s="2">
        <v>45913</v>
      </c>
      <c r="G1515">
        <v>2430.5700000000002</v>
      </c>
      <c r="H1515" s="1">
        <f>AVERAGEIF(Table1[Customer_ID], Table1[[#This Row],[Customer_ID]], Table1[Transaction_Amount])</f>
        <v>5094.5936065573751</v>
      </c>
      <c r="I1515" t="s">
        <v>855</v>
      </c>
      <c r="J1515" t="s">
        <v>50</v>
      </c>
      <c r="K1515" t="s">
        <v>14</v>
      </c>
      <c r="L1515">
        <v>3</v>
      </c>
      <c r="M1515" t="s">
        <v>412</v>
      </c>
      <c r="N1515" t="s">
        <v>33</v>
      </c>
      <c r="O1515" t="s">
        <v>392</v>
      </c>
      <c r="P1515" s="6" t="str">
        <f>IF(Table1[[#This Row],[Transaction_Amount]]&lt;=Table1[[#This Row],[avg_transaction_amount]], "usual transaction", "unusual transaction")</f>
        <v>usual transaction</v>
      </c>
      <c r="Q1515" s="6" t="str">
        <f>IF(AND(Table1[[#This Row],[Country_of_Residence]]&lt;&gt;Table1[[#This Row],[Country_of_Transaction]], OR(Table1[[#This Row],[Authentication_Type]]="Biometric", Table1[[#This Row],[Authentication_Type]]="OTP")), "safe location transaction", "unsafe location transaction")</f>
        <v>unsafe location transaction</v>
      </c>
      <c r="R1515" s="6" t="str">
        <f>IF(AND(Table1[[#This Row],[Country_of_Residence]]&lt;&gt;Table1[[#This Row],[Country_of_Transaction]], OR(Table1[[#This Row],[Merchant_Category]]="Electronics", Table1[[#This Row],[Merchant_Category]]="Travel")), "unsafe merchant transaction", "safe merchant transaction")</f>
        <v>unsafe merchant transaction</v>
      </c>
    </row>
    <row r="1516" spans="1:18">
      <c r="A1516" t="s">
        <v>3230</v>
      </c>
      <c r="B1516" t="s">
        <v>242</v>
      </c>
      <c r="C1516">
        <v>1</v>
      </c>
      <c r="D1516" t="s">
        <v>15</v>
      </c>
      <c r="E1516" t="s">
        <v>420</v>
      </c>
      <c r="F1516" s="2">
        <v>45894</v>
      </c>
      <c r="G1516">
        <v>8576.89</v>
      </c>
      <c r="H1516" s="1">
        <f>AVERAGEIF(Table1[Customer_ID], Table1[[#This Row],[Customer_ID]], Table1[Transaction_Amount])</f>
        <v>5094.5936065573751</v>
      </c>
      <c r="I1516" t="s">
        <v>863</v>
      </c>
      <c r="J1516" t="s">
        <v>36</v>
      </c>
      <c r="K1516" t="s">
        <v>12</v>
      </c>
      <c r="L1516">
        <v>1</v>
      </c>
      <c r="M1516" t="s">
        <v>51</v>
      </c>
      <c r="N1516" t="s">
        <v>56</v>
      </c>
      <c r="O1516" t="s">
        <v>392</v>
      </c>
      <c r="P1516" s="6" t="str">
        <f>IF(Table1[[#This Row],[Transaction_Amount]]&lt;=Table1[[#This Row],[avg_transaction_amount]], "usual transaction", "unusual transaction")</f>
        <v>unusual transaction</v>
      </c>
      <c r="Q1516" s="6" t="str">
        <f>IF(AND(Table1[[#This Row],[Country_of_Residence]]&lt;&gt;Table1[[#This Row],[Country_of_Transaction]], OR(Table1[[#This Row],[Authentication_Type]]="Biometric", Table1[[#This Row],[Authentication_Type]]="OTP")), "safe location transaction", "unsafe location transaction")</f>
        <v>unsafe location transaction</v>
      </c>
      <c r="R1516" s="6" t="str">
        <f>IF(AND(Table1[[#This Row],[Country_of_Residence]]&lt;&gt;Table1[[#This Row],[Country_of_Transaction]], OR(Table1[[#This Row],[Merchant_Category]]="Electronics", Table1[[#This Row],[Merchant_Category]]="Travel")), "unsafe merchant transaction", "safe merchant transaction")</f>
        <v>safe merchant transaction</v>
      </c>
    </row>
    <row r="1517" spans="1:18">
      <c r="A1517" t="s">
        <v>3280</v>
      </c>
      <c r="B1517" t="s">
        <v>242</v>
      </c>
      <c r="C1517">
        <v>1</v>
      </c>
      <c r="D1517" t="s">
        <v>9</v>
      </c>
      <c r="E1517" t="s">
        <v>6</v>
      </c>
      <c r="F1517" s="2">
        <v>45667</v>
      </c>
      <c r="G1517">
        <v>4052.89</v>
      </c>
      <c r="H1517" s="1">
        <f>AVERAGEIF(Table1[Customer_ID], Table1[[#This Row],[Customer_ID]], Table1[Transaction_Amount])</f>
        <v>5094.5936065573751</v>
      </c>
      <c r="I1517" t="s">
        <v>908</v>
      </c>
      <c r="J1517" t="s">
        <v>46</v>
      </c>
      <c r="K1517" t="s">
        <v>8</v>
      </c>
      <c r="L1517">
        <v>1</v>
      </c>
      <c r="M1517" t="s">
        <v>47</v>
      </c>
      <c r="N1517" t="s">
        <v>37</v>
      </c>
      <c r="O1517" t="s">
        <v>393</v>
      </c>
      <c r="P1517" s="6" t="str">
        <f>IF(Table1[[#This Row],[Transaction_Amount]]&lt;=Table1[[#This Row],[avg_transaction_amount]], "usual transaction", "unusual transaction")</f>
        <v>usual transaction</v>
      </c>
      <c r="Q1517" s="6" t="str">
        <f>IF(AND(Table1[[#This Row],[Country_of_Residence]]&lt;&gt;Table1[[#This Row],[Country_of_Transaction]], OR(Table1[[#This Row],[Authentication_Type]]="Biometric", Table1[[#This Row],[Authentication_Type]]="OTP")), "safe location transaction", "unsafe location transaction")</f>
        <v>safe location transaction</v>
      </c>
      <c r="R1517" s="6" t="str">
        <f>IF(AND(Table1[[#This Row],[Country_of_Residence]]&lt;&gt;Table1[[#This Row],[Country_of_Transaction]], OR(Table1[[#This Row],[Merchant_Category]]="Electronics", Table1[[#This Row],[Merchant_Category]]="Travel")), "unsafe merchant transaction", "safe merchant transaction")</f>
        <v>safe merchant transaction</v>
      </c>
    </row>
    <row r="1518" spans="1:18">
      <c r="A1518" t="s">
        <v>3519</v>
      </c>
      <c r="B1518" t="s">
        <v>242</v>
      </c>
      <c r="C1518">
        <v>1</v>
      </c>
      <c r="D1518" t="s">
        <v>9</v>
      </c>
      <c r="E1518" t="s">
        <v>5</v>
      </c>
      <c r="F1518" s="2">
        <v>45716</v>
      </c>
      <c r="G1518">
        <v>4133.3500000000004</v>
      </c>
      <c r="H1518" s="1">
        <f>AVERAGEIF(Table1[Customer_ID], Table1[[#This Row],[Customer_ID]], Table1[Transaction_Amount])</f>
        <v>5094.5936065573751</v>
      </c>
      <c r="I1518" t="s">
        <v>1134</v>
      </c>
      <c r="J1518" t="s">
        <v>36</v>
      </c>
      <c r="K1518" t="s">
        <v>14</v>
      </c>
      <c r="L1518">
        <v>1</v>
      </c>
      <c r="M1518" t="s">
        <v>33</v>
      </c>
      <c r="N1518" t="s">
        <v>42</v>
      </c>
      <c r="O1518" t="s">
        <v>393</v>
      </c>
      <c r="P1518" s="6" t="str">
        <f>IF(Table1[[#This Row],[Transaction_Amount]]&lt;=Table1[[#This Row],[avg_transaction_amount]], "usual transaction", "unusual transaction")</f>
        <v>usual transaction</v>
      </c>
      <c r="Q1518" s="6" t="str">
        <f>IF(AND(Table1[[#This Row],[Country_of_Residence]]&lt;&gt;Table1[[#This Row],[Country_of_Transaction]], OR(Table1[[#This Row],[Authentication_Type]]="Biometric", Table1[[#This Row],[Authentication_Type]]="OTP")), "safe location transaction", "unsafe location transaction")</f>
        <v>unsafe location transaction</v>
      </c>
      <c r="R1518" s="6" t="str">
        <f>IF(AND(Table1[[#This Row],[Country_of_Residence]]&lt;&gt;Table1[[#This Row],[Country_of_Transaction]], OR(Table1[[#This Row],[Merchant_Category]]="Electronics", Table1[[#This Row],[Merchant_Category]]="Travel")), "unsafe merchant transaction", "safe merchant transaction")</f>
        <v>safe merchant transaction</v>
      </c>
    </row>
    <row r="1519" spans="1:18">
      <c r="A1519" t="s">
        <v>3663</v>
      </c>
      <c r="B1519" t="s">
        <v>242</v>
      </c>
      <c r="C1519">
        <v>1</v>
      </c>
      <c r="D1519" t="s">
        <v>15</v>
      </c>
      <c r="E1519" t="s">
        <v>6</v>
      </c>
      <c r="F1519" s="2">
        <v>45841</v>
      </c>
      <c r="G1519">
        <v>4781.18</v>
      </c>
      <c r="H1519" s="1">
        <f>AVERAGEIF(Table1[Customer_ID], Table1[[#This Row],[Customer_ID]], Table1[Transaction_Amount])</f>
        <v>5094.5936065573751</v>
      </c>
      <c r="I1519" t="s">
        <v>1115</v>
      </c>
      <c r="J1519" t="s">
        <v>36</v>
      </c>
      <c r="K1519" t="s">
        <v>12</v>
      </c>
      <c r="L1519">
        <v>0</v>
      </c>
      <c r="M1519" t="s">
        <v>47</v>
      </c>
      <c r="N1519" t="s">
        <v>47</v>
      </c>
      <c r="O1519" t="s">
        <v>393</v>
      </c>
      <c r="P1519" s="6" t="str">
        <f>IF(Table1[[#This Row],[Transaction_Amount]]&lt;=Table1[[#This Row],[avg_transaction_amount]], "usual transaction", "unusual transaction")</f>
        <v>usual transaction</v>
      </c>
      <c r="Q1519" s="6" t="str">
        <f>IF(AND(Table1[[#This Row],[Country_of_Residence]]&lt;&gt;Table1[[#This Row],[Country_of_Transaction]], OR(Table1[[#This Row],[Authentication_Type]]="Biometric", Table1[[#This Row],[Authentication_Type]]="OTP")), "safe location transaction", "unsafe location transaction")</f>
        <v>unsafe location transaction</v>
      </c>
      <c r="R1519" s="6" t="str">
        <f>IF(AND(Table1[[#This Row],[Country_of_Residence]]&lt;&gt;Table1[[#This Row],[Country_of_Transaction]], OR(Table1[[#This Row],[Merchant_Category]]="Electronics", Table1[[#This Row],[Merchant_Category]]="Travel")), "unsafe merchant transaction", "safe merchant transaction")</f>
        <v>safe merchant transaction</v>
      </c>
    </row>
    <row r="1520" spans="1:18">
      <c r="A1520" t="s">
        <v>3665</v>
      </c>
      <c r="B1520" t="s">
        <v>242</v>
      </c>
      <c r="C1520">
        <v>1</v>
      </c>
      <c r="D1520" t="s">
        <v>9</v>
      </c>
      <c r="E1520" t="s">
        <v>3</v>
      </c>
      <c r="F1520" s="2">
        <v>45741</v>
      </c>
      <c r="G1520">
        <v>4287.6499999999996</v>
      </c>
      <c r="H1520" s="1">
        <f>AVERAGEIF(Table1[Customer_ID], Table1[[#This Row],[Customer_ID]], Table1[Transaction_Amount])</f>
        <v>5094.5936065573751</v>
      </c>
      <c r="I1520" t="s">
        <v>1267</v>
      </c>
      <c r="J1520" t="s">
        <v>50</v>
      </c>
      <c r="K1520" t="s">
        <v>12</v>
      </c>
      <c r="L1520">
        <v>4</v>
      </c>
      <c r="M1520" t="s">
        <v>42</v>
      </c>
      <c r="N1520" t="s">
        <v>42</v>
      </c>
      <c r="O1520" t="s">
        <v>393</v>
      </c>
      <c r="P1520" s="6" t="str">
        <f>IF(Table1[[#This Row],[Transaction_Amount]]&lt;=Table1[[#This Row],[avg_transaction_amount]], "usual transaction", "unusual transaction")</f>
        <v>usual transaction</v>
      </c>
      <c r="Q1520" s="6" t="str">
        <f>IF(AND(Table1[[#This Row],[Country_of_Residence]]&lt;&gt;Table1[[#This Row],[Country_of_Transaction]], OR(Table1[[#This Row],[Authentication_Type]]="Biometric", Table1[[#This Row],[Authentication_Type]]="OTP")), "safe location transaction", "unsafe location transaction")</f>
        <v>unsafe location transaction</v>
      </c>
      <c r="R1520" s="6" t="str">
        <f>IF(AND(Table1[[#This Row],[Country_of_Residence]]&lt;&gt;Table1[[#This Row],[Country_of_Transaction]], OR(Table1[[#This Row],[Merchant_Category]]="Electronics", Table1[[#This Row],[Merchant_Category]]="Travel")), "unsafe merchant transaction", "safe merchant transaction")</f>
        <v>safe merchant transaction</v>
      </c>
    </row>
    <row r="1521" spans="1:18">
      <c r="A1521" t="s">
        <v>3682</v>
      </c>
      <c r="B1521" t="s">
        <v>242</v>
      </c>
      <c r="C1521">
        <v>1</v>
      </c>
      <c r="D1521" t="s">
        <v>15</v>
      </c>
      <c r="E1521" t="s">
        <v>5</v>
      </c>
      <c r="F1521" s="2">
        <v>45794</v>
      </c>
      <c r="G1521">
        <v>2111.0100000000002</v>
      </c>
      <c r="H1521" s="1">
        <f>AVERAGEIF(Table1[Customer_ID], Table1[[#This Row],[Customer_ID]], Table1[Transaction_Amount])</f>
        <v>5094.5936065573751</v>
      </c>
      <c r="I1521" t="s">
        <v>1282</v>
      </c>
      <c r="J1521" t="s">
        <v>31</v>
      </c>
      <c r="K1521" t="s">
        <v>12</v>
      </c>
      <c r="L1521">
        <v>1</v>
      </c>
      <c r="M1521" t="s">
        <v>412</v>
      </c>
      <c r="N1521" t="s">
        <v>51</v>
      </c>
      <c r="O1521" t="s">
        <v>392</v>
      </c>
      <c r="P1521" s="6" t="str">
        <f>IF(Table1[[#This Row],[Transaction_Amount]]&lt;=Table1[[#This Row],[avg_transaction_amount]], "usual transaction", "unusual transaction")</f>
        <v>usual transaction</v>
      </c>
      <c r="Q1521" s="6" t="str">
        <f>IF(AND(Table1[[#This Row],[Country_of_Residence]]&lt;&gt;Table1[[#This Row],[Country_of_Transaction]], OR(Table1[[#This Row],[Authentication_Type]]="Biometric", Table1[[#This Row],[Authentication_Type]]="OTP")), "safe location transaction", "unsafe location transaction")</f>
        <v>unsafe location transaction</v>
      </c>
      <c r="R1521" s="6" t="str">
        <f>IF(AND(Table1[[#This Row],[Country_of_Residence]]&lt;&gt;Table1[[#This Row],[Country_of_Transaction]], OR(Table1[[#This Row],[Merchant_Category]]="Electronics", Table1[[#This Row],[Merchant_Category]]="Travel")), "unsafe merchant transaction", "safe merchant transaction")</f>
        <v>safe merchant transaction</v>
      </c>
    </row>
    <row r="1522" spans="1:18">
      <c r="A1522" t="s">
        <v>3782</v>
      </c>
      <c r="B1522" t="s">
        <v>242</v>
      </c>
      <c r="C1522">
        <v>1</v>
      </c>
      <c r="D1522" t="s">
        <v>9</v>
      </c>
      <c r="E1522" t="s">
        <v>420</v>
      </c>
      <c r="F1522" s="2">
        <v>45800</v>
      </c>
      <c r="G1522">
        <v>6918.3</v>
      </c>
      <c r="H1522" s="1">
        <f>AVERAGEIF(Table1[Customer_ID], Table1[[#This Row],[Customer_ID]], Table1[Transaction_Amount])</f>
        <v>5094.5936065573751</v>
      </c>
      <c r="I1522" t="s">
        <v>1369</v>
      </c>
      <c r="J1522" t="s">
        <v>50</v>
      </c>
      <c r="K1522" t="s">
        <v>10</v>
      </c>
      <c r="L1522">
        <v>5</v>
      </c>
      <c r="M1522" t="s">
        <v>56</v>
      </c>
      <c r="N1522" t="s">
        <v>412</v>
      </c>
      <c r="O1522" t="s">
        <v>393</v>
      </c>
      <c r="P1522" s="6" t="str">
        <f>IF(Table1[[#This Row],[Transaction_Amount]]&lt;=Table1[[#This Row],[avg_transaction_amount]], "usual transaction", "unusual transaction")</f>
        <v>unusual transaction</v>
      </c>
      <c r="Q1522" s="6" t="str">
        <f>IF(AND(Table1[[#This Row],[Country_of_Residence]]&lt;&gt;Table1[[#This Row],[Country_of_Transaction]], OR(Table1[[#This Row],[Authentication_Type]]="Biometric", Table1[[#This Row],[Authentication_Type]]="OTP")), "safe location transaction", "unsafe location transaction")</f>
        <v>safe location transaction</v>
      </c>
      <c r="R1522" s="6" t="str">
        <f>IF(AND(Table1[[#This Row],[Country_of_Residence]]&lt;&gt;Table1[[#This Row],[Country_of_Transaction]], OR(Table1[[#This Row],[Merchant_Category]]="Electronics", Table1[[#This Row],[Merchant_Category]]="Travel")), "unsafe merchant transaction", "safe merchant transaction")</f>
        <v>unsafe merchant transaction</v>
      </c>
    </row>
    <row r="1523" spans="1:18">
      <c r="A1523" t="s">
        <v>3817</v>
      </c>
      <c r="B1523" t="s">
        <v>242</v>
      </c>
      <c r="C1523">
        <v>1</v>
      </c>
      <c r="D1523" t="s">
        <v>9</v>
      </c>
      <c r="E1523" t="s">
        <v>420</v>
      </c>
      <c r="F1523" s="2">
        <v>45895</v>
      </c>
      <c r="G1523">
        <v>4676.2</v>
      </c>
      <c r="H1523" s="1">
        <f>AVERAGEIF(Table1[Customer_ID], Table1[[#This Row],[Customer_ID]], Table1[Transaction_Amount])</f>
        <v>5094.5936065573751</v>
      </c>
      <c r="I1523" t="s">
        <v>1399</v>
      </c>
      <c r="J1523" t="s">
        <v>46</v>
      </c>
      <c r="K1523" t="s">
        <v>8</v>
      </c>
      <c r="L1523">
        <v>3</v>
      </c>
      <c r="M1523" t="s">
        <v>412</v>
      </c>
      <c r="N1523" t="s">
        <v>42</v>
      </c>
      <c r="O1523" t="s">
        <v>393</v>
      </c>
      <c r="P1523" s="6" t="str">
        <f>IF(Table1[[#This Row],[Transaction_Amount]]&lt;=Table1[[#This Row],[avg_transaction_amount]], "usual transaction", "unusual transaction")</f>
        <v>usual transaction</v>
      </c>
      <c r="Q1523" s="6" t="str">
        <f>IF(AND(Table1[[#This Row],[Country_of_Residence]]&lt;&gt;Table1[[#This Row],[Country_of_Transaction]], OR(Table1[[#This Row],[Authentication_Type]]="Biometric", Table1[[#This Row],[Authentication_Type]]="OTP")), "safe location transaction", "unsafe location transaction")</f>
        <v>safe location transaction</v>
      </c>
      <c r="R1523" s="6" t="str">
        <f>IF(AND(Table1[[#This Row],[Country_of_Residence]]&lt;&gt;Table1[[#This Row],[Country_of_Transaction]], OR(Table1[[#This Row],[Merchant_Category]]="Electronics", Table1[[#This Row],[Merchant_Category]]="Travel")), "unsafe merchant transaction", "safe merchant transaction")</f>
        <v>safe merchant transaction</v>
      </c>
    </row>
    <row r="1524" spans="1:18">
      <c r="A1524" t="s">
        <v>3996</v>
      </c>
      <c r="B1524" t="s">
        <v>242</v>
      </c>
      <c r="C1524">
        <v>1</v>
      </c>
      <c r="D1524" t="s">
        <v>9</v>
      </c>
      <c r="E1524" t="s">
        <v>3</v>
      </c>
      <c r="F1524" s="2">
        <v>45685</v>
      </c>
      <c r="G1524">
        <v>508.9</v>
      </c>
      <c r="H1524" s="1">
        <f>AVERAGEIF(Table1[Customer_ID], Table1[[#This Row],[Customer_ID]], Table1[Transaction_Amount])</f>
        <v>5094.5936065573751</v>
      </c>
      <c r="I1524" t="s">
        <v>1555</v>
      </c>
      <c r="J1524" t="s">
        <v>36</v>
      </c>
      <c r="K1524" t="s">
        <v>10</v>
      </c>
      <c r="L1524">
        <v>4</v>
      </c>
      <c r="M1524" t="s">
        <v>412</v>
      </c>
      <c r="N1524" t="s">
        <v>33</v>
      </c>
      <c r="O1524" t="s">
        <v>393</v>
      </c>
      <c r="P1524" s="6" t="str">
        <f>IF(Table1[[#This Row],[Transaction_Amount]]&lt;=Table1[[#This Row],[avg_transaction_amount]], "usual transaction", "unusual transaction")</f>
        <v>usual transaction</v>
      </c>
      <c r="Q1524" s="6" t="str">
        <f>IF(AND(Table1[[#This Row],[Country_of_Residence]]&lt;&gt;Table1[[#This Row],[Country_of_Transaction]], OR(Table1[[#This Row],[Authentication_Type]]="Biometric", Table1[[#This Row],[Authentication_Type]]="OTP")), "safe location transaction", "unsafe location transaction")</f>
        <v>safe location transaction</v>
      </c>
      <c r="R1524" s="6" t="str">
        <f>IF(AND(Table1[[#This Row],[Country_of_Residence]]&lt;&gt;Table1[[#This Row],[Country_of_Transaction]], OR(Table1[[#This Row],[Merchant_Category]]="Electronics", Table1[[#This Row],[Merchant_Category]]="Travel")), "unsafe merchant transaction", "safe merchant transaction")</f>
        <v>safe merchant transaction</v>
      </c>
    </row>
    <row r="1525" spans="1:18">
      <c r="A1525" t="s">
        <v>4047</v>
      </c>
      <c r="B1525" t="s">
        <v>242</v>
      </c>
      <c r="C1525">
        <v>1</v>
      </c>
      <c r="D1525" t="s">
        <v>9</v>
      </c>
      <c r="E1525" t="s">
        <v>5</v>
      </c>
      <c r="F1525" s="2">
        <v>45670</v>
      </c>
      <c r="G1525">
        <v>2660.78</v>
      </c>
      <c r="H1525" s="1">
        <f>AVERAGEIF(Table1[Customer_ID], Table1[[#This Row],[Customer_ID]], Table1[Transaction_Amount])</f>
        <v>5094.5936065573751</v>
      </c>
      <c r="I1525" t="s">
        <v>1601</v>
      </c>
      <c r="J1525" t="s">
        <v>36</v>
      </c>
      <c r="K1525" t="s">
        <v>8</v>
      </c>
      <c r="L1525">
        <v>4</v>
      </c>
      <c r="M1525" t="s">
        <v>32</v>
      </c>
      <c r="N1525" t="s">
        <v>47</v>
      </c>
      <c r="O1525" t="s">
        <v>392</v>
      </c>
      <c r="P1525" s="6" t="str">
        <f>IF(Table1[[#This Row],[Transaction_Amount]]&lt;=Table1[[#This Row],[avg_transaction_amount]], "usual transaction", "unusual transaction")</f>
        <v>usual transaction</v>
      </c>
      <c r="Q1525" s="6" t="str">
        <f>IF(AND(Table1[[#This Row],[Country_of_Residence]]&lt;&gt;Table1[[#This Row],[Country_of_Transaction]], OR(Table1[[#This Row],[Authentication_Type]]="Biometric", Table1[[#This Row],[Authentication_Type]]="OTP")), "safe location transaction", "unsafe location transaction")</f>
        <v>safe location transaction</v>
      </c>
      <c r="R1525" s="6" t="str">
        <f>IF(AND(Table1[[#This Row],[Country_of_Residence]]&lt;&gt;Table1[[#This Row],[Country_of_Transaction]], OR(Table1[[#This Row],[Merchant_Category]]="Electronics", Table1[[#This Row],[Merchant_Category]]="Travel")), "unsafe merchant transaction", "safe merchant transaction")</f>
        <v>safe merchant transaction</v>
      </c>
    </row>
    <row r="1526" spans="1:18">
      <c r="A1526" t="s">
        <v>4080</v>
      </c>
      <c r="B1526" t="s">
        <v>242</v>
      </c>
      <c r="C1526">
        <v>1</v>
      </c>
      <c r="D1526" t="s">
        <v>9</v>
      </c>
      <c r="E1526" t="s">
        <v>3</v>
      </c>
      <c r="F1526" s="2">
        <v>45692</v>
      </c>
      <c r="G1526">
        <v>4284.3599999999997</v>
      </c>
      <c r="H1526" s="1">
        <f>AVERAGEIF(Table1[Customer_ID], Table1[[#This Row],[Customer_ID]], Table1[Transaction_Amount])</f>
        <v>5094.5936065573751</v>
      </c>
      <c r="I1526" t="s">
        <v>1624</v>
      </c>
      <c r="J1526" t="s">
        <v>36</v>
      </c>
      <c r="K1526" t="s">
        <v>8</v>
      </c>
      <c r="L1526">
        <v>5</v>
      </c>
      <c r="M1526" t="s">
        <v>47</v>
      </c>
      <c r="N1526" t="s">
        <v>32</v>
      </c>
      <c r="O1526" t="s">
        <v>393</v>
      </c>
      <c r="P1526" s="6" t="str">
        <f>IF(Table1[[#This Row],[Transaction_Amount]]&lt;=Table1[[#This Row],[avg_transaction_amount]], "usual transaction", "unusual transaction")</f>
        <v>usual transaction</v>
      </c>
      <c r="Q1526" s="6" t="str">
        <f>IF(AND(Table1[[#This Row],[Country_of_Residence]]&lt;&gt;Table1[[#This Row],[Country_of_Transaction]], OR(Table1[[#This Row],[Authentication_Type]]="Biometric", Table1[[#This Row],[Authentication_Type]]="OTP")), "safe location transaction", "unsafe location transaction")</f>
        <v>safe location transaction</v>
      </c>
      <c r="R1526" s="6" t="str">
        <f>IF(AND(Table1[[#This Row],[Country_of_Residence]]&lt;&gt;Table1[[#This Row],[Country_of_Transaction]], OR(Table1[[#This Row],[Merchant_Category]]="Electronics", Table1[[#This Row],[Merchant_Category]]="Travel")), "unsafe merchant transaction", "safe merchant transaction")</f>
        <v>safe merchant transaction</v>
      </c>
    </row>
    <row r="1527" spans="1:18">
      <c r="A1527" t="s">
        <v>4186</v>
      </c>
      <c r="B1527" t="s">
        <v>242</v>
      </c>
      <c r="C1527">
        <v>1</v>
      </c>
      <c r="D1527" t="s">
        <v>9</v>
      </c>
      <c r="E1527" t="s">
        <v>420</v>
      </c>
      <c r="F1527" s="2">
        <v>45943</v>
      </c>
      <c r="G1527">
        <v>4894.1400000000003</v>
      </c>
      <c r="H1527" s="1">
        <f>AVERAGEIF(Table1[Customer_ID], Table1[[#This Row],[Customer_ID]], Table1[Transaction_Amount])</f>
        <v>5094.5936065573751</v>
      </c>
      <c r="I1527" t="s">
        <v>1708</v>
      </c>
      <c r="J1527" t="s">
        <v>36</v>
      </c>
      <c r="K1527" t="s">
        <v>8</v>
      </c>
      <c r="L1527">
        <v>0</v>
      </c>
      <c r="M1527" t="s">
        <v>56</v>
      </c>
      <c r="N1527" t="s">
        <v>55</v>
      </c>
      <c r="O1527" t="s">
        <v>393</v>
      </c>
      <c r="P1527" s="6" t="str">
        <f>IF(Table1[[#This Row],[Transaction_Amount]]&lt;=Table1[[#This Row],[avg_transaction_amount]], "usual transaction", "unusual transaction")</f>
        <v>usual transaction</v>
      </c>
      <c r="Q1527" s="6" t="str">
        <f>IF(AND(Table1[[#This Row],[Country_of_Residence]]&lt;&gt;Table1[[#This Row],[Country_of_Transaction]], OR(Table1[[#This Row],[Authentication_Type]]="Biometric", Table1[[#This Row],[Authentication_Type]]="OTP")), "safe location transaction", "unsafe location transaction")</f>
        <v>safe location transaction</v>
      </c>
      <c r="R1527" s="6" t="str">
        <f>IF(AND(Table1[[#This Row],[Country_of_Residence]]&lt;&gt;Table1[[#This Row],[Country_of_Transaction]], OR(Table1[[#This Row],[Merchant_Category]]="Electronics", Table1[[#This Row],[Merchant_Category]]="Travel")), "unsafe merchant transaction", "safe merchant transaction")</f>
        <v>safe merchant transaction</v>
      </c>
    </row>
    <row r="1528" spans="1:18">
      <c r="A1528" t="s">
        <v>4231</v>
      </c>
      <c r="B1528" t="s">
        <v>242</v>
      </c>
      <c r="C1528">
        <v>1</v>
      </c>
      <c r="D1528" t="s">
        <v>15</v>
      </c>
      <c r="E1528" t="s">
        <v>3</v>
      </c>
      <c r="F1528" s="2">
        <v>45818</v>
      </c>
      <c r="G1528">
        <v>6760.49</v>
      </c>
      <c r="H1528" s="1">
        <f>AVERAGEIF(Table1[Customer_ID], Table1[[#This Row],[Customer_ID]], Table1[Transaction_Amount])</f>
        <v>5094.5936065573751</v>
      </c>
      <c r="I1528" t="s">
        <v>1750</v>
      </c>
      <c r="J1528" t="s">
        <v>41</v>
      </c>
      <c r="K1528" t="s">
        <v>14</v>
      </c>
      <c r="L1528">
        <v>4</v>
      </c>
      <c r="M1528" t="s">
        <v>56</v>
      </c>
      <c r="N1528" t="s">
        <v>51</v>
      </c>
      <c r="O1528" t="s">
        <v>393</v>
      </c>
      <c r="P1528" s="6" t="str">
        <f>IF(Table1[[#This Row],[Transaction_Amount]]&lt;=Table1[[#This Row],[avg_transaction_amount]], "usual transaction", "unusual transaction")</f>
        <v>unusual transaction</v>
      </c>
      <c r="Q1528" s="6" t="str">
        <f>IF(AND(Table1[[#This Row],[Country_of_Residence]]&lt;&gt;Table1[[#This Row],[Country_of_Transaction]], OR(Table1[[#This Row],[Authentication_Type]]="Biometric", Table1[[#This Row],[Authentication_Type]]="OTP")), "safe location transaction", "unsafe location transaction")</f>
        <v>unsafe location transaction</v>
      </c>
      <c r="R1528" s="6" t="str">
        <f>IF(AND(Table1[[#This Row],[Country_of_Residence]]&lt;&gt;Table1[[#This Row],[Country_of_Transaction]], OR(Table1[[#This Row],[Merchant_Category]]="Electronics", Table1[[#This Row],[Merchant_Category]]="Travel")), "unsafe merchant transaction", "safe merchant transaction")</f>
        <v>safe merchant transaction</v>
      </c>
    </row>
    <row r="1529" spans="1:18">
      <c r="A1529" t="s">
        <v>4232</v>
      </c>
      <c r="B1529" t="s">
        <v>242</v>
      </c>
      <c r="C1529">
        <v>1</v>
      </c>
      <c r="D1529" t="s">
        <v>9</v>
      </c>
      <c r="E1529" t="s">
        <v>5</v>
      </c>
      <c r="F1529" s="2">
        <v>45807</v>
      </c>
      <c r="G1529">
        <v>6591.72</v>
      </c>
      <c r="H1529" s="1">
        <f>AVERAGEIF(Table1[Customer_ID], Table1[[#This Row],[Customer_ID]], Table1[Transaction_Amount])</f>
        <v>5094.5936065573751</v>
      </c>
      <c r="I1529" t="s">
        <v>1751</v>
      </c>
      <c r="J1529" t="s">
        <v>50</v>
      </c>
      <c r="K1529" t="s">
        <v>14</v>
      </c>
      <c r="L1529">
        <v>0</v>
      </c>
      <c r="M1529" t="s">
        <v>37</v>
      </c>
      <c r="N1529" t="s">
        <v>32</v>
      </c>
      <c r="O1529" t="s">
        <v>393</v>
      </c>
      <c r="P1529" s="6" t="str">
        <f>IF(Table1[[#This Row],[Transaction_Amount]]&lt;=Table1[[#This Row],[avg_transaction_amount]], "usual transaction", "unusual transaction")</f>
        <v>unusual transaction</v>
      </c>
      <c r="Q1529" s="6" t="str">
        <f>IF(AND(Table1[[#This Row],[Country_of_Residence]]&lt;&gt;Table1[[#This Row],[Country_of_Transaction]], OR(Table1[[#This Row],[Authentication_Type]]="Biometric", Table1[[#This Row],[Authentication_Type]]="OTP")), "safe location transaction", "unsafe location transaction")</f>
        <v>unsafe location transaction</v>
      </c>
      <c r="R1529" s="6" t="str">
        <f>IF(AND(Table1[[#This Row],[Country_of_Residence]]&lt;&gt;Table1[[#This Row],[Country_of_Transaction]], OR(Table1[[#This Row],[Merchant_Category]]="Electronics", Table1[[#This Row],[Merchant_Category]]="Travel")), "unsafe merchant transaction", "safe merchant transaction")</f>
        <v>unsafe merchant transaction</v>
      </c>
    </row>
    <row r="1530" spans="1:18">
      <c r="A1530" t="s">
        <v>4276</v>
      </c>
      <c r="B1530" t="s">
        <v>242</v>
      </c>
      <c r="C1530">
        <v>1</v>
      </c>
      <c r="D1530" t="s">
        <v>9</v>
      </c>
      <c r="E1530" t="s">
        <v>3</v>
      </c>
      <c r="F1530" s="2">
        <v>45981</v>
      </c>
      <c r="G1530">
        <v>9006.2800000000007</v>
      </c>
      <c r="H1530" s="1">
        <f>AVERAGEIF(Table1[Customer_ID], Table1[[#This Row],[Customer_ID]], Table1[Transaction_Amount])</f>
        <v>5094.5936065573751</v>
      </c>
      <c r="I1530" t="s">
        <v>1789</v>
      </c>
      <c r="J1530" t="s">
        <v>46</v>
      </c>
      <c r="K1530" t="s">
        <v>8</v>
      </c>
      <c r="L1530">
        <v>3</v>
      </c>
      <c r="M1530" t="s">
        <v>32</v>
      </c>
      <c r="N1530" t="s">
        <v>55</v>
      </c>
      <c r="O1530" t="s">
        <v>393</v>
      </c>
      <c r="P1530" s="6" t="str">
        <f>IF(Table1[[#This Row],[Transaction_Amount]]&lt;=Table1[[#This Row],[avg_transaction_amount]], "usual transaction", "unusual transaction")</f>
        <v>unusual transaction</v>
      </c>
      <c r="Q1530" s="6" t="str">
        <f>IF(AND(Table1[[#This Row],[Country_of_Residence]]&lt;&gt;Table1[[#This Row],[Country_of_Transaction]], OR(Table1[[#This Row],[Authentication_Type]]="Biometric", Table1[[#This Row],[Authentication_Type]]="OTP")), "safe location transaction", "unsafe location transaction")</f>
        <v>safe location transaction</v>
      </c>
      <c r="R1530" s="6" t="str">
        <f>IF(AND(Table1[[#This Row],[Country_of_Residence]]&lt;&gt;Table1[[#This Row],[Country_of_Transaction]], OR(Table1[[#This Row],[Merchant_Category]]="Electronics", Table1[[#This Row],[Merchant_Category]]="Travel")), "unsafe merchant transaction", "safe merchant transaction")</f>
        <v>safe merchant transaction</v>
      </c>
    </row>
    <row r="1531" spans="1:18">
      <c r="A1531" t="s">
        <v>4386</v>
      </c>
      <c r="B1531" t="s">
        <v>242</v>
      </c>
      <c r="C1531">
        <v>1</v>
      </c>
      <c r="D1531" t="s">
        <v>15</v>
      </c>
      <c r="E1531" t="s">
        <v>420</v>
      </c>
      <c r="F1531" s="2">
        <v>45737</v>
      </c>
      <c r="G1531">
        <v>1102.55</v>
      </c>
      <c r="H1531" s="1">
        <f>AVERAGEIF(Table1[Customer_ID], Table1[[#This Row],[Customer_ID]], Table1[Transaction_Amount])</f>
        <v>5094.5936065573751</v>
      </c>
      <c r="I1531" t="s">
        <v>1886</v>
      </c>
      <c r="J1531" t="s">
        <v>41</v>
      </c>
      <c r="K1531" t="s">
        <v>8</v>
      </c>
      <c r="L1531">
        <v>2</v>
      </c>
      <c r="M1531" t="s">
        <v>47</v>
      </c>
      <c r="N1531" t="s">
        <v>47</v>
      </c>
      <c r="O1531" t="s">
        <v>392</v>
      </c>
      <c r="P1531" s="6" t="str">
        <f>IF(Table1[[#This Row],[Transaction_Amount]]&lt;=Table1[[#This Row],[avg_transaction_amount]], "usual transaction", "unusual transaction")</f>
        <v>usual transaction</v>
      </c>
      <c r="Q1531" s="6" t="str">
        <f>IF(AND(Table1[[#This Row],[Country_of_Residence]]&lt;&gt;Table1[[#This Row],[Country_of_Transaction]], OR(Table1[[#This Row],[Authentication_Type]]="Biometric", Table1[[#This Row],[Authentication_Type]]="OTP")), "safe location transaction", "unsafe location transaction")</f>
        <v>unsafe location transaction</v>
      </c>
      <c r="R1531" s="6" t="str">
        <f>IF(AND(Table1[[#This Row],[Country_of_Residence]]&lt;&gt;Table1[[#This Row],[Country_of_Transaction]], OR(Table1[[#This Row],[Merchant_Category]]="Electronics", Table1[[#This Row],[Merchant_Category]]="Travel")), "unsafe merchant transaction", "safe merchant transaction")</f>
        <v>safe merchant transaction</v>
      </c>
    </row>
    <row r="1532" spans="1:18">
      <c r="A1532" t="s">
        <v>4454</v>
      </c>
      <c r="B1532" t="s">
        <v>242</v>
      </c>
      <c r="C1532">
        <v>1</v>
      </c>
      <c r="D1532" t="s">
        <v>9</v>
      </c>
      <c r="E1532" t="s">
        <v>6</v>
      </c>
      <c r="F1532" s="2">
        <v>46005</v>
      </c>
      <c r="G1532">
        <v>2601.25</v>
      </c>
      <c r="H1532" s="1">
        <f>AVERAGEIF(Table1[Customer_ID], Table1[[#This Row],[Customer_ID]], Table1[Transaction_Amount])</f>
        <v>5094.5936065573751</v>
      </c>
      <c r="I1532" t="s">
        <v>1948</v>
      </c>
      <c r="J1532" t="s">
        <v>36</v>
      </c>
      <c r="K1532" t="s">
        <v>10</v>
      </c>
      <c r="L1532">
        <v>2</v>
      </c>
      <c r="M1532" t="s">
        <v>37</v>
      </c>
      <c r="N1532" t="s">
        <v>32</v>
      </c>
      <c r="O1532" t="s">
        <v>393</v>
      </c>
      <c r="P1532" s="6" t="str">
        <f>IF(Table1[[#This Row],[Transaction_Amount]]&lt;=Table1[[#This Row],[avg_transaction_amount]], "usual transaction", "unusual transaction")</f>
        <v>usual transaction</v>
      </c>
      <c r="Q1532" s="6" t="str">
        <f>IF(AND(Table1[[#This Row],[Country_of_Residence]]&lt;&gt;Table1[[#This Row],[Country_of_Transaction]], OR(Table1[[#This Row],[Authentication_Type]]="Biometric", Table1[[#This Row],[Authentication_Type]]="OTP")), "safe location transaction", "unsafe location transaction")</f>
        <v>safe location transaction</v>
      </c>
      <c r="R1532" s="6" t="str">
        <f>IF(AND(Table1[[#This Row],[Country_of_Residence]]&lt;&gt;Table1[[#This Row],[Country_of_Transaction]], OR(Table1[[#This Row],[Merchant_Category]]="Electronics", Table1[[#This Row],[Merchant_Category]]="Travel")), "unsafe merchant transaction", "safe merchant transaction")</f>
        <v>safe merchant transaction</v>
      </c>
    </row>
    <row r="1533" spans="1:18">
      <c r="A1533" t="s">
        <v>4469</v>
      </c>
      <c r="B1533" t="s">
        <v>242</v>
      </c>
      <c r="C1533">
        <v>1</v>
      </c>
      <c r="D1533" t="s">
        <v>15</v>
      </c>
      <c r="E1533" t="s">
        <v>6</v>
      </c>
      <c r="F1533" s="2">
        <v>45673</v>
      </c>
      <c r="G1533">
        <v>6326.57</v>
      </c>
      <c r="H1533" s="1">
        <f>AVERAGEIF(Table1[Customer_ID], Table1[[#This Row],[Customer_ID]], Table1[Transaction_Amount])</f>
        <v>5094.5936065573751</v>
      </c>
      <c r="I1533" t="s">
        <v>1961</v>
      </c>
      <c r="J1533" t="s">
        <v>31</v>
      </c>
      <c r="K1533" t="s">
        <v>10</v>
      </c>
      <c r="L1533">
        <v>3</v>
      </c>
      <c r="M1533" t="s">
        <v>42</v>
      </c>
      <c r="N1533" t="s">
        <v>56</v>
      </c>
      <c r="O1533" t="s">
        <v>392</v>
      </c>
      <c r="P1533" s="6" t="str">
        <f>IF(Table1[[#This Row],[Transaction_Amount]]&lt;=Table1[[#This Row],[avg_transaction_amount]], "usual transaction", "unusual transaction")</f>
        <v>unusual transaction</v>
      </c>
      <c r="Q1533" s="6" t="str">
        <f>IF(AND(Table1[[#This Row],[Country_of_Residence]]&lt;&gt;Table1[[#This Row],[Country_of_Transaction]], OR(Table1[[#This Row],[Authentication_Type]]="Biometric", Table1[[#This Row],[Authentication_Type]]="OTP")), "safe location transaction", "unsafe location transaction")</f>
        <v>safe location transaction</v>
      </c>
      <c r="R1533" s="6" t="str">
        <f>IF(AND(Table1[[#This Row],[Country_of_Residence]]&lt;&gt;Table1[[#This Row],[Country_of_Transaction]], OR(Table1[[#This Row],[Merchant_Category]]="Electronics", Table1[[#This Row],[Merchant_Category]]="Travel")), "unsafe merchant transaction", "safe merchant transaction")</f>
        <v>safe merchant transaction</v>
      </c>
    </row>
    <row r="1534" spans="1:18">
      <c r="A1534" t="s">
        <v>4475</v>
      </c>
      <c r="B1534" t="s">
        <v>242</v>
      </c>
      <c r="C1534">
        <v>1</v>
      </c>
      <c r="D1534" t="s">
        <v>15</v>
      </c>
      <c r="E1534" t="s">
        <v>6</v>
      </c>
      <c r="F1534" s="2">
        <v>45892</v>
      </c>
      <c r="G1534">
        <v>5986.87</v>
      </c>
      <c r="H1534" s="1">
        <f>AVERAGEIF(Table1[Customer_ID], Table1[[#This Row],[Customer_ID]], Table1[Transaction_Amount])</f>
        <v>5094.5936065573751</v>
      </c>
      <c r="I1534" t="s">
        <v>1639</v>
      </c>
      <c r="J1534" t="s">
        <v>31</v>
      </c>
      <c r="K1534" t="s">
        <v>12</v>
      </c>
      <c r="L1534">
        <v>4</v>
      </c>
      <c r="M1534" t="s">
        <v>37</v>
      </c>
      <c r="N1534" t="s">
        <v>47</v>
      </c>
      <c r="O1534" t="s">
        <v>393</v>
      </c>
      <c r="P1534" s="6" t="str">
        <f>IF(Table1[[#This Row],[Transaction_Amount]]&lt;=Table1[[#This Row],[avg_transaction_amount]], "usual transaction", "unusual transaction")</f>
        <v>unusual transaction</v>
      </c>
      <c r="Q1534" s="6" t="str">
        <f>IF(AND(Table1[[#This Row],[Country_of_Residence]]&lt;&gt;Table1[[#This Row],[Country_of_Transaction]], OR(Table1[[#This Row],[Authentication_Type]]="Biometric", Table1[[#This Row],[Authentication_Type]]="OTP")), "safe location transaction", "unsafe location transaction")</f>
        <v>unsafe location transaction</v>
      </c>
      <c r="R1534" s="6" t="str">
        <f>IF(AND(Table1[[#This Row],[Country_of_Residence]]&lt;&gt;Table1[[#This Row],[Country_of_Transaction]], OR(Table1[[#This Row],[Merchant_Category]]="Electronics", Table1[[#This Row],[Merchant_Category]]="Travel")), "unsafe merchant transaction", "safe merchant transaction")</f>
        <v>safe merchant transaction</v>
      </c>
    </row>
    <row r="1535" spans="1:18">
      <c r="A1535" t="s">
        <v>4479</v>
      </c>
      <c r="B1535" t="s">
        <v>242</v>
      </c>
      <c r="C1535">
        <v>1</v>
      </c>
      <c r="D1535" t="s">
        <v>15</v>
      </c>
      <c r="E1535" t="s">
        <v>6</v>
      </c>
      <c r="F1535" s="2">
        <v>45877</v>
      </c>
      <c r="G1535">
        <v>1565.09</v>
      </c>
      <c r="H1535" s="1">
        <f>AVERAGEIF(Table1[Customer_ID], Table1[[#This Row],[Customer_ID]], Table1[Transaction_Amount])</f>
        <v>5094.5936065573751</v>
      </c>
      <c r="I1535" t="s">
        <v>1968</v>
      </c>
      <c r="J1535" t="s">
        <v>36</v>
      </c>
      <c r="K1535" t="s">
        <v>8</v>
      </c>
      <c r="L1535">
        <v>4</v>
      </c>
      <c r="M1535" t="s">
        <v>33</v>
      </c>
      <c r="N1535" t="s">
        <v>56</v>
      </c>
      <c r="O1535" t="s">
        <v>393</v>
      </c>
      <c r="P1535" s="6" t="str">
        <f>IF(Table1[[#This Row],[Transaction_Amount]]&lt;=Table1[[#This Row],[avg_transaction_amount]], "usual transaction", "unusual transaction")</f>
        <v>usual transaction</v>
      </c>
      <c r="Q1535" s="6" t="str">
        <f>IF(AND(Table1[[#This Row],[Country_of_Residence]]&lt;&gt;Table1[[#This Row],[Country_of_Transaction]], OR(Table1[[#This Row],[Authentication_Type]]="Biometric", Table1[[#This Row],[Authentication_Type]]="OTP")), "safe location transaction", "unsafe location transaction")</f>
        <v>safe location transaction</v>
      </c>
      <c r="R1535" s="6" t="str">
        <f>IF(AND(Table1[[#This Row],[Country_of_Residence]]&lt;&gt;Table1[[#This Row],[Country_of_Transaction]], OR(Table1[[#This Row],[Merchant_Category]]="Electronics", Table1[[#This Row],[Merchant_Category]]="Travel")), "unsafe merchant transaction", "safe merchant transaction")</f>
        <v>safe merchant transaction</v>
      </c>
    </row>
    <row r="1536" spans="1:18">
      <c r="A1536" t="s">
        <v>4609</v>
      </c>
      <c r="B1536" t="s">
        <v>242</v>
      </c>
      <c r="C1536">
        <v>1</v>
      </c>
      <c r="D1536" t="s">
        <v>9</v>
      </c>
      <c r="E1536" t="s">
        <v>6</v>
      </c>
      <c r="F1536" s="2">
        <v>45785</v>
      </c>
      <c r="G1536">
        <v>3036.46</v>
      </c>
      <c r="H1536" s="1">
        <f>AVERAGEIF(Table1[Customer_ID], Table1[[#This Row],[Customer_ID]], Table1[Transaction_Amount])</f>
        <v>5094.5936065573751</v>
      </c>
      <c r="I1536" t="s">
        <v>2073</v>
      </c>
      <c r="J1536" t="s">
        <v>46</v>
      </c>
      <c r="K1536" t="s">
        <v>14</v>
      </c>
      <c r="L1536">
        <v>3</v>
      </c>
      <c r="M1536" t="s">
        <v>37</v>
      </c>
      <c r="N1536" t="s">
        <v>56</v>
      </c>
      <c r="O1536" t="s">
        <v>393</v>
      </c>
      <c r="P1536" s="6" t="str">
        <f>IF(Table1[[#This Row],[Transaction_Amount]]&lt;=Table1[[#This Row],[avg_transaction_amount]], "usual transaction", "unusual transaction")</f>
        <v>usual transaction</v>
      </c>
      <c r="Q1536" s="6" t="str">
        <f>IF(AND(Table1[[#This Row],[Country_of_Residence]]&lt;&gt;Table1[[#This Row],[Country_of_Transaction]], OR(Table1[[#This Row],[Authentication_Type]]="Biometric", Table1[[#This Row],[Authentication_Type]]="OTP")), "safe location transaction", "unsafe location transaction")</f>
        <v>unsafe location transaction</v>
      </c>
      <c r="R1536" s="6" t="str">
        <f>IF(AND(Table1[[#This Row],[Country_of_Residence]]&lt;&gt;Table1[[#This Row],[Country_of_Transaction]], OR(Table1[[#This Row],[Merchant_Category]]="Electronics", Table1[[#This Row],[Merchant_Category]]="Travel")), "unsafe merchant transaction", "safe merchant transaction")</f>
        <v>safe merchant transaction</v>
      </c>
    </row>
    <row r="1537" spans="1:18">
      <c r="A1537" t="s">
        <v>4716</v>
      </c>
      <c r="B1537" t="s">
        <v>242</v>
      </c>
      <c r="C1537">
        <v>1</v>
      </c>
      <c r="D1537" t="s">
        <v>15</v>
      </c>
      <c r="E1537" t="s">
        <v>3</v>
      </c>
      <c r="F1537" s="2">
        <v>45865</v>
      </c>
      <c r="G1537">
        <v>7347.79</v>
      </c>
      <c r="H1537" s="1">
        <f>AVERAGEIF(Table1[Customer_ID], Table1[[#This Row],[Customer_ID]], Table1[Transaction_Amount])</f>
        <v>5094.5936065573751</v>
      </c>
      <c r="I1537" t="s">
        <v>2159</v>
      </c>
      <c r="J1537" t="s">
        <v>36</v>
      </c>
      <c r="K1537" t="s">
        <v>10</v>
      </c>
      <c r="L1537">
        <v>4</v>
      </c>
      <c r="M1537" t="s">
        <v>47</v>
      </c>
      <c r="N1537" t="s">
        <v>47</v>
      </c>
      <c r="O1537" t="s">
        <v>393</v>
      </c>
      <c r="P1537" s="6" t="str">
        <f>IF(Table1[[#This Row],[Transaction_Amount]]&lt;=Table1[[#This Row],[avg_transaction_amount]], "usual transaction", "unusual transaction")</f>
        <v>unusual transaction</v>
      </c>
      <c r="Q1537" s="6" t="str">
        <f>IF(AND(Table1[[#This Row],[Country_of_Residence]]&lt;&gt;Table1[[#This Row],[Country_of_Transaction]], OR(Table1[[#This Row],[Authentication_Type]]="Biometric", Table1[[#This Row],[Authentication_Type]]="OTP")), "safe location transaction", "unsafe location transaction")</f>
        <v>unsafe location transaction</v>
      </c>
      <c r="R1537" s="6" t="str">
        <f>IF(AND(Table1[[#This Row],[Country_of_Residence]]&lt;&gt;Table1[[#This Row],[Country_of_Transaction]], OR(Table1[[#This Row],[Merchant_Category]]="Electronics", Table1[[#This Row],[Merchant_Category]]="Travel")), "unsafe merchant transaction", "safe merchant transaction")</f>
        <v>safe merchant transaction</v>
      </c>
    </row>
    <row r="1538" spans="1:18">
      <c r="A1538" t="s">
        <v>4770</v>
      </c>
      <c r="B1538" t="s">
        <v>242</v>
      </c>
      <c r="C1538">
        <v>1</v>
      </c>
      <c r="D1538" t="s">
        <v>15</v>
      </c>
      <c r="E1538" t="s">
        <v>3</v>
      </c>
      <c r="F1538" s="2">
        <v>45849</v>
      </c>
      <c r="G1538">
        <v>7802.4</v>
      </c>
      <c r="H1538" s="1">
        <f>AVERAGEIF(Table1[Customer_ID], Table1[[#This Row],[Customer_ID]], Table1[Transaction_Amount])</f>
        <v>5094.5936065573751</v>
      </c>
      <c r="I1538" t="s">
        <v>939</v>
      </c>
      <c r="J1538" t="s">
        <v>41</v>
      </c>
      <c r="K1538" t="s">
        <v>12</v>
      </c>
      <c r="L1538">
        <v>0</v>
      </c>
      <c r="M1538" t="s">
        <v>56</v>
      </c>
      <c r="N1538" t="s">
        <v>33</v>
      </c>
      <c r="O1538" t="s">
        <v>393</v>
      </c>
      <c r="P1538" s="6" t="str">
        <f>IF(Table1[[#This Row],[Transaction_Amount]]&lt;=Table1[[#This Row],[avg_transaction_amount]], "usual transaction", "unusual transaction")</f>
        <v>unusual transaction</v>
      </c>
      <c r="Q1538" s="6" t="str">
        <f>IF(AND(Table1[[#This Row],[Country_of_Residence]]&lt;&gt;Table1[[#This Row],[Country_of_Transaction]], OR(Table1[[#This Row],[Authentication_Type]]="Biometric", Table1[[#This Row],[Authentication_Type]]="OTP")), "safe location transaction", "unsafe location transaction")</f>
        <v>unsafe location transaction</v>
      </c>
      <c r="R1538" s="6" t="str">
        <f>IF(AND(Table1[[#This Row],[Country_of_Residence]]&lt;&gt;Table1[[#This Row],[Country_of_Transaction]], OR(Table1[[#This Row],[Merchant_Category]]="Electronics", Table1[[#This Row],[Merchant_Category]]="Travel")), "unsafe merchant transaction", "safe merchant transaction")</f>
        <v>safe merchant transaction</v>
      </c>
    </row>
    <row r="1539" spans="1:18">
      <c r="A1539" t="s">
        <v>4789</v>
      </c>
      <c r="B1539" t="s">
        <v>242</v>
      </c>
      <c r="C1539">
        <v>1</v>
      </c>
      <c r="D1539" t="s">
        <v>15</v>
      </c>
      <c r="E1539" t="s">
        <v>6</v>
      </c>
      <c r="F1539" s="2">
        <v>45976</v>
      </c>
      <c r="G1539">
        <v>4034.58</v>
      </c>
      <c r="H1539" s="1">
        <f>AVERAGEIF(Table1[Customer_ID], Table1[[#This Row],[Customer_ID]], Table1[Transaction_Amount])</f>
        <v>5094.5936065573751</v>
      </c>
      <c r="I1539" t="s">
        <v>2212</v>
      </c>
      <c r="J1539" t="s">
        <v>36</v>
      </c>
      <c r="K1539" t="s">
        <v>8</v>
      </c>
      <c r="L1539">
        <v>0</v>
      </c>
      <c r="M1539" t="s">
        <v>47</v>
      </c>
      <c r="N1539" t="s">
        <v>42</v>
      </c>
      <c r="O1539" t="s">
        <v>392</v>
      </c>
      <c r="P1539" s="6" t="str">
        <f>IF(Table1[[#This Row],[Transaction_Amount]]&lt;=Table1[[#This Row],[avg_transaction_amount]], "usual transaction", "unusual transaction")</f>
        <v>usual transaction</v>
      </c>
      <c r="Q1539" s="6" t="str">
        <f>IF(AND(Table1[[#This Row],[Country_of_Residence]]&lt;&gt;Table1[[#This Row],[Country_of_Transaction]], OR(Table1[[#This Row],[Authentication_Type]]="Biometric", Table1[[#This Row],[Authentication_Type]]="OTP")), "safe location transaction", "unsafe location transaction")</f>
        <v>safe location transaction</v>
      </c>
      <c r="R1539" s="6" t="str">
        <f>IF(AND(Table1[[#This Row],[Country_of_Residence]]&lt;&gt;Table1[[#This Row],[Country_of_Transaction]], OR(Table1[[#This Row],[Merchant_Category]]="Electronics", Table1[[#This Row],[Merchant_Category]]="Travel")), "unsafe merchant transaction", "safe merchant transaction")</f>
        <v>safe merchant transaction</v>
      </c>
    </row>
    <row r="1540" spans="1:18">
      <c r="A1540" t="s">
        <v>4791</v>
      </c>
      <c r="B1540" t="s">
        <v>242</v>
      </c>
      <c r="C1540">
        <v>1</v>
      </c>
      <c r="D1540" t="s">
        <v>15</v>
      </c>
      <c r="E1540" t="s">
        <v>420</v>
      </c>
      <c r="F1540" s="2">
        <v>45818</v>
      </c>
      <c r="G1540">
        <v>6753.41</v>
      </c>
      <c r="H1540" s="1">
        <f>AVERAGEIF(Table1[Customer_ID], Table1[[#This Row],[Customer_ID]], Table1[Transaction_Amount])</f>
        <v>5094.5936065573751</v>
      </c>
      <c r="I1540" t="s">
        <v>2214</v>
      </c>
      <c r="J1540" t="s">
        <v>31</v>
      </c>
      <c r="K1540" t="s">
        <v>10</v>
      </c>
      <c r="L1540">
        <v>5</v>
      </c>
      <c r="M1540" t="s">
        <v>37</v>
      </c>
      <c r="N1540" t="s">
        <v>37</v>
      </c>
      <c r="O1540" t="s">
        <v>393</v>
      </c>
      <c r="P1540" s="6" t="str">
        <f>IF(Table1[[#This Row],[Transaction_Amount]]&lt;=Table1[[#This Row],[avg_transaction_amount]], "usual transaction", "unusual transaction")</f>
        <v>unusual transaction</v>
      </c>
      <c r="Q1540" s="6" t="str">
        <f>IF(AND(Table1[[#This Row],[Country_of_Residence]]&lt;&gt;Table1[[#This Row],[Country_of_Transaction]], OR(Table1[[#This Row],[Authentication_Type]]="Biometric", Table1[[#This Row],[Authentication_Type]]="OTP")), "safe location transaction", "unsafe location transaction")</f>
        <v>unsafe location transaction</v>
      </c>
      <c r="R1540" s="6" t="str">
        <f>IF(AND(Table1[[#This Row],[Country_of_Residence]]&lt;&gt;Table1[[#This Row],[Country_of_Transaction]], OR(Table1[[#This Row],[Merchant_Category]]="Electronics", Table1[[#This Row],[Merchant_Category]]="Travel")), "unsafe merchant transaction", "safe merchant transaction")</f>
        <v>safe merchant transaction</v>
      </c>
    </row>
    <row r="1541" spans="1:18">
      <c r="A1541" t="s">
        <v>4841</v>
      </c>
      <c r="B1541" t="s">
        <v>242</v>
      </c>
      <c r="C1541">
        <v>1</v>
      </c>
      <c r="D1541" t="s">
        <v>15</v>
      </c>
      <c r="E1541" t="s">
        <v>5</v>
      </c>
      <c r="F1541" s="2">
        <v>45824</v>
      </c>
      <c r="G1541">
        <v>7427.15</v>
      </c>
      <c r="H1541" s="1">
        <f>AVERAGEIF(Table1[Customer_ID], Table1[[#This Row],[Customer_ID]], Table1[Transaction_Amount])</f>
        <v>5094.5936065573751</v>
      </c>
      <c r="I1541" t="s">
        <v>2255</v>
      </c>
      <c r="J1541" t="s">
        <v>41</v>
      </c>
      <c r="K1541" t="s">
        <v>12</v>
      </c>
      <c r="L1541">
        <v>4</v>
      </c>
      <c r="M1541" t="s">
        <v>32</v>
      </c>
      <c r="N1541" t="s">
        <v>42</v>
      </c>
      <c r="O1541" t="s">
        <v>393</v>
      </c>
      <c r="P1541" s="6" t="str">
        <f>IF(Table1[[#This Row],[Transaction_Amount]]&lt;=Table1[[#This Row],[avg_transaction_amount]], "usual transaction", "unusual transaction")</f>
        <v>unusual transaction</v>
      </c>
      <c r="Q1541" s="6" t="str">
        <f>IF(AND(Table1[[#This Row],[Country_of_Residence]]&lt;&gt;Table1[[#This Row],[Country_of_Transaction]], OR(Table1[[#This Row],[Authentication_Type]]="Biometric", Table1[[#This Row],[Authentication_Type]]="OTP")), "safe location transaction", "unsafe location transaction")</f>
        <v>unsafe location transaction</v>
      </c>
      <c r="R1541" s="6" t="str">
        <f>IF(AND(Table1[[#This Row],[Country_of_Residence]]&lt;&gt;Table1[[#This Row],[Country_of_Transaction]], OR(Table1[[#This Row],[Merchant_Category]]="Electronics", Table1[[#This Row],[Merchant_Category]]="Travel")), "unsafe merchant transaction", "safe merchant transaction")</f>
        <v>safe merchant transaction</v>
      </c>
    </row>
    <row r="1542" spans="1:18">
      <c r="A1542" t="s">
        <v>4852</v>
      </c>
      <c r="B1542" t="s">
        <v>242</v>
      </c>
      <c r="C1542">
        <v>1</v>
      </c>
      <c r="D1542" t="s">
        <v>15</v>
      </c>
      <c r="E1542" t="s">
        <v>3</v>
      </c>
      <c r="F1542" s="2">
        <v>45703</v>
      </c>
      <c r="G1542">
        <v>6489.19</v>
      </c>
      <c r="H1542" s="1">
        <f>AVERAGEIF(Table1[Customer_ID], Table1[[#This Row],[Customer_ID]], Table1[Transaction_Amount])</f>
        <v>5094.5936065573751</v>
      </c>
      <c r="I1542" t="s">
        <v>2265</v>
      </c>
      <c r="J1542" t="s">
        <v>41</v>
      </c>
      <c r="K1542" t="s">
        <v>8</v>
      </c>
      <c r="L1542">
        <v>0</v>
      </c>
      <c r="M1542" t="s">
        <v>37</v>
      </c>
      <c r="N1542" t="s">
        <v>47</v>
      </c>
      <c r="O1542" t="s">
        <v>393</v>
      </c>
      <c r="P1542" s="6" t="str">
        <f>IF(Table1[[#This Row],[Transaction_Amount]]&lt;=Table1[[#This Row],[avg_transaction_amount]], "usual transaction", "unusual transaction")</f>
        <v>unusual transaction</v>
      </c>
      <c r="Q1542" s="6" t="str">
        <f>IF(AND(Table1[[#This Row],[Country_of_Residence]]&lt;&gt;Table1[[#This Row],[Country_of_Transaction]], OR(Table1[[#This Row],[Authentication_Type]]="Biometric", Table1[[#This Row],[Authentication_Type]]="OTP")), "safe location transaction", "unsafe location transaction")</f>
        <v>safe location transaction</v>
      </c>
      <c r="R1542" s="6" t="str">
        <f>IF(AND(Table1[[#This Row],[Country_of_Residence]]&lt;&gt;Table1[[#This Row],[Country_of_Transaction]], OR(Table1[[#This Row],[Merchant_Category]]="Electronics", Table1[[#This Row],[Merchant_Category]]="Travel")), "unsafe merchant transaction", "safe merchant transaction")</f>
        <v>safe merchant transaction</v>
      </c>
    </row>
    <row r="1543" spans="1:18">
      <c r="A1543" t="s">
        <v>4917</v>
      </c>
      <c r="B1543" t="s">
        <v>242</v>
      </c>
      <c r="C1543">
        <v>1</v>
      </c>
      <c r="D1543" t="s">
        <v>15</v>
      </c>
      <c r="E1543" t="s">
        <v>420</v>
      </c>
      <c r="F1543" s="2">
        <v>45952</v>
      </c>
      <c r="G1543">
        <v>8327.9500000000007</v>
      </c>
      <c r="H1543" s="1">
        <f>AVERAGEIF(Table1[Customer_ID], Table1[[#This Row],[Customer_ID]], Table1[Transaction_Amount])</f>
        <v>5094.5936065573751</v>
      </c>
      <c r="I1543" t="s">
        <v>2312</v>
      </c>
      <c r="J1543" t="s">
        <v>50</v>
      </c>
      <c r="K1543" t="s">
        <v>8</v>
      </c>
      <c r="L1543">
        <v>2</v>
      </c>
      <c r="M1543" t="s">
        <v>37</v>
      </c>
      <c r="N1543" t="s">
        <v>51</v>
      </c>
      <c r="O1543" t="s">
        <v>393</v>
      </c>
      <c r="P1543" s="6" t="str">
        <f>IF(Table1[[#This Row],[Transaction_Amount]]&lt;=Table1[[#This Row],[avg_transaction_amount]], "usual transaction", "unusual transaction")</f>
        <v>unusual transaction</v>
      </c>
      <c r="Q1543" s="6" t="str">
        <f>IF(AND(Table1[[#This Row],[Country_of_Residence]]&lt;&gt;Table1[[#This Row],[Country_of_Transaction]], OR(Table1[[#This Row],[Authentication_Type]]="Biometric", Table1[[#This Row],[Authentication_Type]]="OTP")), "safe location transaction", "unsafe location transaction")</f>
        <v>safe location transaction</v>
      </c>
      <c r="R1543" s="6" t="str">
        <f>IF(AND(Table1[[#This Row],[Country_of_Residence]]&lt;&gt;Table1[[#This Row],[Country_of_Transaction]], OR(Table1[[#This Row],[Merchant_Category]]="Electronics", Table1[[#This Row],[Merchant_Category]]="Travel")), "unsafe merchant transaction", "safe merchant transaction")</f>
        <v>unsafe merchant transaction</v>
      </c>
    </row>
    <row r="1544" spans="1:18">
      <c r="A1544" t="s">
        <v>4949</v>
      </c>
      <c r="B1544" t="s">
        <v>242</v>
      </c>
      <c r="C1544">
        <v>1</v>
      </c>
      <c r="D1544" t="s">
        <v>15</v>
      </c>
      <c r="E1544" t="s">
        <v>5</v>
      </c>
      <c r="F1544" s="2">
        <v>45980</v>
      </c>
      <c r="G1544">
        <v>7829.81</v>
      </c>
      <c r="H1544" s="1">
        <f>AVERAGEIF(Table1[Customer_ID], Table1[[#This Row],[Customer_ID]], Table1[Transaction_Amount])</f>
        <v>5094.5936065573751</v>
      </c>
      <c r="I1544" t="s">
        <v>2340</v>
      </c>
      <c r="J1544" t="s">
        <v>50</v>
      </c>
      <c r="K1544" t="s">
        <v>12</v>
      </c>
      <c r="L1544">
        <v>3</v>
      </c>
      <c r="M1544" t="s">
        <v>55</v>
      </c>
      <c r="N1544" t="s">
        <v>32</v>
      </c>
      <c r="O1544" t="s">
        <v>392</v>
      </c>
      <c r="P1544" s="6" t="str">
        <f>IF(Table1[[#This Row],[Transaction_Amount]]&lt;=Table1[[#This Row],[avg_transaction_amount]], "usual transaction", "unusual transaction")</f>
        <v>unusual transaction</v>
      </c>
      <c r="Q1544" s="6" t="str">
        <f>IF(AND(Table1[[#This Row],[Country_of_Residence]]&lt;&gt;Table1[[#This Row],[Country_of_Transaction]], OR(Table1[[#This Row],[Authentication_Type]]="Biometric", Table1[[#This Row],[Authentication_Type]]="OTP")), "safe location transaction", "unsafe location transaction")</f>
        <v>unsafe location transaction</v>
      </c>
      <c r="R1544" s="6" t="str">
        <f>IF(AND(Table1[[#This Row],[Country_of_Residence]]&lt;&gt;Table1[[#This Row],[Country_of_Transaction]], OR(Table1[[#This Row],[Merchant_Category]]="Electronics", Table1[[#This Row],[Merchant_Category]]="Travel")), "unsafe merchant transaction", "safe merchant transaction")</f>
        <v>unsafe merchant transaction</v>
      </c>
    </row>
    <row r="1545" spans="1:18">
      <c r="A1545" t="s">
        <v>4983</v>
      </c>
      <c r="B1545" t="s">
        <v>242</v>
      </c>
      <c r="C1545">
        <v>1</v>
      </c>
      <c r="D1545" t="s">
        <v>9</v>
      </c>
      <c r="E1545" t="s">
        <v>6</v>
      </c>
      <c r="F1545" s="2">
        <v>45841</v>
      </c>
      <c r="G1545">
        <v>7558.22</v>
      </c>
      <c r="H1545" s="1">
        <f>AVERAGEIF(Table1[Customer_ID], Table1[[#This Row],[Customer_ID]], Table1[Transaction_Amount])</f>
        <v>5094.5936065573751</v>
      </c>
      <c r="I1545" t="s">
        <v>2367</v>
      </c>
      <c r="J1545" t="s">
        <v>41</v>
      </c>
      <c r="K1545" t="s">
        <v>8</v>
      </c>
      <c r="L1545">
        <v>1</v>
      </c>
      <c r="M1545" t="s">
        <v>42</v>
      </c>
      <c r="N1545" t="s">
        <v>51</v>
      </c>
      <c r="O1545" t="s">
        <v>392</v>
      </c>
      <c r="P1545" s="6" t="str">
        <f>IF(Table1[[#This Row],[Transaction_Amount]]&lt;=Table1[[#This Row],[avg_transaction_amount]], "usual transaction", "unusual transaction")</f>
        <v>unusual transaction</v>
      </c>
      <c r="Q1545" s="6" t="str">
        <f>IF(AND(Table1[[#This Row],[Country_of_Residence]]&lt;&gt;Table1[[#This Row],[Country_of_Transaction]], OR(Table1[[#This Row],[Authentication_Type]]="Biometric", Table1[[#This Row],[Authentication_Type]]="OTP")), "safe location transaction", "unsafe location transaction")</f>
        <v>safe location transaction</v>
      </c>
      <c r="R1545" s="6" t="str">
        <f>IF(AND(Table1[[#This Row],[Country_of_Residence]]&lt;&gt;Table1[[#This Row],[Country_of_Transaction]], OR(Table1[[#This Row],[Merchant_Category]]="Electronics", Table1[[#This Row],[Merchant_Category]]="Travel")), "unsafe merchant transaction", "safe merchant transaction")</f>
        <v>safe merchant transaction</v>
      </c>
    </row>
    <row r="1546" spans="1:18">
      <c r="A1546" t="s">
        <v>4992</v>
      </c>
      <c r="B1546" t="s">
        <v>242</v>
      </c>
      <c r="C1546">
        <v>1</v>
      </c>
      <c r="D1546" t="s">
        <v>15</v>
      </c>
      <c r="E1546" t="s">
        <v>5</v>
      </c>
      <c r="F1546" s="2">
        <v>45690</v>
      </c>
      <c r="G1546">
        <v>5623.98</v>
      </c>
      <c r="H1546" s="1">
        <f>AVERAGEIF(Table1[Customer_ID], Table1[[#This Row],[Customer_ID]], Table1[Transaction_Amount])</f>
        <v>5094.5936065573751</v>
      </c>
      <c r="I1546" t="s">
        <v>2374</v>
      </c>
      <c r="J1546" t="s">
        <v>50</v>
      </c>
      <c r="K1546" t="s">
        <v>10</v>
      </c>
      <c r="L1546">
        <v>2</v>
      </c>
      <c r="M1546" t="s">
        <v>32</v>
      </c>
      <c r="N1546" t="s">
        <v>55</v>
      </c>
      <c r="O1546" t="s">
        <v>392</v>
      </c>
      <c r="P1546" s="6" t="str">
        <f>IF(Table1[[#This Row],[Transaction_Amount]]&lt;=Table1[[#This Row],[avg_transaction_amount]], "usual transaction", "unusual transaction")</f>
        <v>unusual transaction</v>
      </c>
      <c r="Q1546" s="6" t="str">
        <f>IF(AND(Table1[[#This Row],[Country_of_Residence]]&lt;&gt;Table1[[#This Row],[Country_of_Transaction]], OR(Table1[[#This Row],[Authentication_Type]]="Biometric", Table1[[#This Row],[Authentication_Type]]="OTP")), "safe location transaction", "unsafe location transaction")</f>
        <v>safe location transaction</v>
      </c>
      <c r="R1546" s="6" t="str">
        <f>IF(AND(Table1[[#This Row],[Country_of_Residence]]&lt;&gt;Table1[[#This Row],[Country_of_Transaction]], OR(Table1[[#This Row],[Merchant_Category]]="Electronics", Table1[[#This Row],[Merchant_Category]]="Travel")), "unsafe merchant transaction", "safe merchant transaction")</f>
        <v>unsafe merchant transaction</v>
      </c>
    </row>
    <row r="1547" spans="1:18">
      <c r="A1547" t="s">
        <v>5036</v>
      </c>
      <c r="B1547" t="s">
        <v>242</v>
      </c>
      <c r="C1547">
        <v>1</v>
      </c>
      <c r="D1547" t="s">
        <v>15</v>
      </c>
      <c r="E1547" t="s">
        <v>6</v>
      </c>
      <c r="F1547" s="2">
        <v>45822</v>
      </c>
      <c r="G1547">
        <v>156.82</v>
      </c>
      <c r="H1547" s="1">
        <f>AVERAGEIF(Table1[Customer_ID], Table1[[#This Row],[Customer_ID]], Table1[Transaction_Amount])</f>
        <v>5094.5936065573751</v>
      </c>
      <c r="I1547" t="s">
        <v>2274</v>
      </c>
      <c r="J1547" t="s">
        <v>41</v>
      </c>
      <c r="K1547" t="s">
        <v>12</v>
      </c>
      <c r="L1547">
        <v>0</v>
      </c>
      <c r="M1547" t="s">
        <v>55</v>
      </c>
      <c r="N1547" t="s">
        <v>37</v>
      </c>
      <c r="O1547" t="s">
        <v>392</v>
      </c>
      <c r="P1547" s="6" t="str">
        <f>IF(Table1[[#This Row],[Transaction_Amount]]&lt;=Table1[[#This Row],[avg_transaction_amount]], "usual transaction", "unusual transaction")</f>
        <v>usual transaction</v>
      </c>
      <c r="Q1547" s="6" t="str">
        <f>IF(AND(Table1[[#This Row],[Country_of_Residence]]&lt;&gt;Table1[[#This Row],[Country_of_Transaction]], OR(Table1[[#This Row],[Authentication_Type]]="Biometric", Table1[[#This Row],[Authentication_Type]]="OTP")), "safe location transaction", "unsafe location transaction")</f>
        <v>unsafe location transaction</v>
      </c>
      <c r="R1547" s="6" t="str">
        <f>IF(AND(Table1[[#This Row],[Country_of_Residence]]&lt;&gt;Table1[[#This Row],[Country_of_Transaction]], OR(Table1[[#This Row],[Merchant_Category]]="Electronics", Table1[[#This Row],[Merchant_Category]]="Travel")), "unsafe merchant transaction", "safe merchant transaction")</f>
        <v>safe merchant transaction</v>
      </c>
    </row>
    <row r="1548" spans="1:18">
      <c r="A1548" t="s">
        <v>5049</v>
      </c>
      <c r="B1548" t="s">
        <v>242</v>
      </c>
      <c r="C1548">
        <v>1</v>
      </c>
      <c r="D1548" t="s">
        <v>9</v>
      </c>
      <c r="E1548" t="s">
        <v>5</v>
      </c>
      <c r="F1548" s="2">
        <v>46007</v>
      </c>
      <c r="G1548">
        <v>9717.08</v>
      </c>
      <c r="H1548" s="1">
        <f>AVERAGEIF(Table1[Customer_ID], Table1[[#This Row],[Customer_ID]], Table1[Transaction_Amount])</f>
        <v>5094.5936065573751</v>
      </c>
      <c r="I1548" t="s">
        <v>2414</v>
      </c>
      <c r="J1548" t="s">
        <v>36</v>
      </c>
      <c r="K1548" t="s">
        <v>10</v>
      </c>
      <c r="L1548">
        <v>4</v>
      </c>
      <c r="M1548" t="s">
        <v>51</v>
      </c>
      <c r="N1548" t="s">
        <v>33</v>
      </c>
      <c r="O1548" t="s">
        <v>393</v>
      </c>
      <c r="P1548" s="6" t="str">
        <f>IF(Table1[[#This Row],[Transaction_Amount]]&lt;=Table1[[#This Row],[avg_transaction_amount]], "usual transaction", "unusual transaction")</f>
        <v>unusual transaction</v>
      </c>
      <c r="Q1548" s="6" t="str">
        <f>IF(AND(Table1[[#This Row],[Country_of_Residence]]&lt;&gt;Table1[[#This Row],[Country_of_Transaction]], OR(Table1[[#This Row],[Authentication_Type]]="Biometric", Table1[[#This Row],[Authentication_Type]]="OTP")), "safe location transaction", "unsafe location transaction")</f>
        <v>safe location transaction</v>
      </c>
      <c r="R1548" s="6" t="str">
        <f>IF(AND(Table1[[#This Row],[Country_of_Residence]]&lt;&gt;Table1[[#This Row],[Country_of_Transaction]], OR(Table1[[#This Row],[Merchant_Category]]="Electronics", Table1[[#This Row],[Merchant_Category]]="Travel")), "unsafe merchant transaction", "safe merchant transaction")</f>
        <v>safe merchant transaction</v>
      </c>
    </row>
    <row r="1549" spans="1:18">
      <c r="A1549" t="s">
        <v>5096</v>
      </c>
      <c r="B1549" t="s">
        <v>242</v>
      </c>
      <c r="C1549">
        <v>1</v>
      </c>
      <c r="D1549" t="s">
        <v>9</v>
      </c>
      <c r="E1549" t="s">
        <v>6</v>
      </c>
      <c r="F1549" s="2">
        <v>45742</v>
      </c>
      <c r="G1549">
        <v>6790.41</v>
      </c>
      <c r="H1549" s="1">
        <f>AVERAGEIF(Table1[Customer_ID], Table1[[#This Row],[Customer_ID]], Table1[Transaction_Amount])</f>
        <v>5094.5936065573751</v>
      </c>
      <c r="I1549" t="s">
        <v>2446</v>
      </c>
      <c r="J1549" t="s">
        <v>50</v>
      </c>
      <c r="K1549" t="s">
        <v>8</v>
      </c>
      <c r="L1549">
        <v>0</v>
      </c>
      <c r="M1549" t="s">
        <v>33</v>
      </c>
      <c r="N1549" t="s">
        <v>55</v>
      </c>
      <c r="O1549" t="s">
        <v>392</v>
      </c>
      <c r="P1549" s="6" t="str">
        <f>IF(Table1[[#This Row],[Transaction_Amount]]&lt;=Table1[[#This Row],[avg_transaction_amount]], "usual transaction", "unusual transaction")</f>
        <v>unusual transaction</v>
      </c>
      <c r="Q1549" s="6" t="str">
        <f>IF(AND(Table1[[#This Row],[Country_of_Residence]]&lt;&gt;Table1[[#This Row],[Country_of_Transaction]], OR(Table1[[#This Row],[Authentication_Type]]="Biometric", Table1[[#This Row],[Authentication_Type]]="OTP")), "safe location transaction", "unsafe location transaction")</f>
        <v>safe location transaction</v>
      </c>
      <c r="R1549" s="6" t="str">
        <f>IF(AND(Table1[[#This Row],[Country_of_Residence]]&lt;&gt;Table1[[#This Row],[Country_of_Transaction]], OR(Table1[[#This Row],[Merchant_Category]]="Electronics", Table1[[#This Row],[Merchant_Category]]="Travel")), "unsafe merchant transaction", "safe merchant transaction")</f>
        <v>unsafe merchant transaction</v>
      </c>
    </row>
    <row r="1550" spans="1:18">
      <c r="A1550" t="s">
        <v>5151</v>
      </c>
      <c r="B1550" t="s">
        <v>242</v>
      </c>
      <c r="C1550">
        <v>1</v>
      </c>
      <c r="D1550" t="s">
        <v>9</v>
      </c>
      <c r="E1550" t="s">
        <v>420</v>
      </c>
      <c r="F1550" s="2">
        <v>46022</v>
      </c>
      <c r="G1550">
        <v>4239.8599999999997</v>
      </c>
      <c r="H1550" s="1">
        <f>AVERAGEIF(Table1[Customer_ID], Table1[[#This Row],[Customer_ID]], Table1[Transaction_Amount])</f>
        <v>5094.5936065573751</v>
      </c>
      <c r="I1550" t="s">
        <v>2489</v>
      </c>
      <c r="J1550" t="s">
        <v>36</v>
      </c>
      <c r="K1550" t="s">
        <v>12</v>
      </c>
      <c r="L1550">
        <v>3</v>
      </c>
      <c r="M1550" t="s">
        <v>32</v>
      </c>
      <c r="N1550" t="s">
        <v>42</v>
      </c>
      <c r="O1550" t="s">
        <v>392</v>
      </c>
      <c r="P1550" s="6" t="str">
        <f>IF(Table1[[#This Row],[Transaction_Amount]]&lt;=Table1[[#This Row],[avg_transaction_amount]], "usual transaction", "unusual transaction")</f>
        <v>usual transaction</v>
      </c>
      <c r="Q1550" s="6" t="str">
        <f>IF(AND(Table1[[#This Row],[Country_of_Residence]]&lt;&gt;Table1[[#This Row],[Country_of_Transaction]], OR(Table1[[#This Row],[Authentication_Type]]="Biometric", Table1[[#This Row],[Authentication_Type]]="OTP")), "safe location transaction", "unsafe location transaction")</f>
        <v>unsafe location transaction</v>
      </c>
      <c r="R1550" s="6" t="str">
        <f>IF(AND(Table1[[#This Row],[Country_of_Residence]]&lt;&gt;Table1[[#This Row],[Country_of_Transaction]], OR(Table1[[#This Row],[Merchant_Category]]="Electronics", Table1[[#This Row],[Merchant_Category]]="Travel")), "unsafe merchant transaction", "safe merchant transaction")</f>
        <v>safe merchant transaction</v>
      </c>
    </row>
    <row r="1551" spans="1:18">
      <c r="A1551" t="s">
        <v>5169</v>
      </c>
      <c r="B1551" t="s">
        <v>242</v>
      </c>
      <c r="C1551">
        <v>1</v>
      </c>
      <c r="D1551" t="s">
        <v>9</v>
      </c>
      <c r="E1551" t="s">
        <v>420</v>
      </c>
      <c r="F1551" s="2">
        <v>45707</v>
      </c>
      <c r="G1551">
        <v>8858.34</v>
      </c>
      <c r="H1551" s="1">
        <f>AVERAGEIF(Table1[Customer_ID], Table1[[#This Row],[Customer_ID]], Table1[Transaction_Amount])</f>
        <v>5094.5936065573751</v>
      </c>
      <c r="I1551" t="s">
        <v>2505</v>
      </c>
      <c r="J1551" t="s">
        <v>41</v>
      </c>
      <c r="K1551" t="s">
        <v>12</v>
      </c>
      <c r="L1551">
        <v>5</v>
      </c>
      <c r="M1551" t="s">
        <v>32</v>
      </c>
      <c r="N1551" t="s">
        <v>33</v>
      </c>
      <c r="O1551" t="s">
        <v>393</v>
      </c>
      <c r="P1551" s="6" t="str">
        <f>IF(Table1[[#This Row],[Transaction_Amount]]&lt;=Table1[[#This Row],[avg_transaction_amount]], "usual transaction", "unusual transaction")</f>
        <v>unusual transaction</v>
      </c>
      <c r="Q1551" s="6" t="str">
        <f>IF(AND(Table1[[#This Row],[Country_of_Residence]]&lt;&gt;Table1[[#This Row],[Country_of_Transaction]], OR(Table1[[#This Row],[Authentication_Type]]="Biometric", Table1[[#This Row],[Authentication_Type]]="OTP")), "safe location transaction", "unsafe location transaction")</f>
        <v>unsafe location transaction</v>
      </c>
      <c r="R1551" s="6" t="str">
        <f>IF(AND(Table1[[#This Row],[Country_of_Residence]]&lt;&gt;Table1[[#This Row],[Country_of_Transaction]], OR(Table1[[#This Row],[Merchant_Category]]="Electronics", Table1[[#This Row],[Merchant_Category]]="Travel")), "unsafe merchant transaction", "safe merchant transaction")</f>
        <v>safe merchant transaction</v>
      </c>
    </row>
    <row r="1552" spans="1:18">
      <c r="A1552" t="s">
        <v>5221</v>
      </c>
      <c r="B1552" t="s">
        <v>242</v>
      </c>
      <c r="C1552">
        <v>1</v>
      </c>
      <c r="D1552" t="s">
        <v>15</v>
      </c>
      <c r="E1552" t="s">
        <v>6</v>
      </c>
      <c r="F1552" s="2">
        <v>45688</v>
      </c>
      <c r="G1552">
        <v>7900.48</v>
      </c>
      <c r="H1552" s="1">
        <f>AVERAGEIF(Table1[Customer_ID], Table1[[#This Row],[Customer_ID]], Table1[Transaction_Amount])</f>
        <v>5094.5936065573751</v>
      </c>
      <c r="I1552" t="s">
        <v>1555</v>
      </c>
      <c r="J1552" t="s">
        <v>31</v>
      </c>
      <c r="K1552" t="s">
        <v>8</v>
      </c>
      <c r="L1552">
        <v>2</v>
      </c>
      <c r="M1552" t="s">
        <v>47</v>
      </c>
      <c r="N1552" t="s">
        <v>32</v>
      </c>
      <c r="O1552" t="s">
        <v>392</v>
      </c>
      <c r="P1552" s="6" t="str">
        <f>IF(Table1[[#This Row],[Transaction_Amount]]&lt;=Table1[[#This Row],[avg_transaction_amount]], "usual transaction", "unusual transaction")</f>
        <v>unusual transaction</v>
      </c>
      <c r="Q1552" s="6" t="str">
        <f>IF(AND(Table1[[#This Row],[Country_of_Residence]]&lt;&gt;Table1[[#This Row],[Country_of_Transaction]], OR(Table1[[#This Row],[Authentication_Type]]="Biometric", Table1[[#This Row],[Authentication_Type]]="OTP")), "safe location transaction", "unsafe location transaction")</f>
        <v>safe location transaction</v>
      </c>
      <c r="R1552" s="6" t="str">
        <f>IF(AND(Table1[[#This Row],[Country_of_Residence]]&lt;&gt;Table1[[#This Row],[Country_of_Transaction]], OR(Table1[[#This Row],[Merchant_Category]]="Electronics", Table1[[#This Row],[Merchant_Category]]="Travel")), "unsafe merchant transaction", "safe merchant transaction")</f>
        <v>safe merchant transaction</v>
      </c>
    </row>
    <row r="1553" spans="1:18">
      <c r="A1553" t="s">
        <v>5332</v>
      </c>
      <c r="B1553" t="s">
        <v>242</v>
      </c>
      <c r="C1553">
        <v>1</v>
      </c>
      <c r="D1553" t="s">
        <v>9</v>
      </c>
      <c r="E1553" t="s">
        <v>3</v>
      </c>
      <c r="F1553" s="2">
        <v>45800</v>
      </c>
      <c r="G1553">
        <v>7116.66</v>
      </c>
      <c r="H1553" s="1">
        <f>AVERAGEIF(Table1[Customer_ID], Table1[[#This Row],[Customer_ID]], Table1[Transaction_Amount])</f>
        <v>5094.5936065573751</v>
      </c>
      <c r="I1553" t="s">
        <v>2628</v>
      </c>
      <c r="J1553" t="s">
        <v>46</v>
      </c>
      <c r="K1553" t="s">
        <v>10</v>
      </c>
      <c r="L1553">
        <v>0</v>
      </c>
      <c r="M1553" t="s">
        <v>56</v>
      </c>
      <c r="N1553" t="s">
        <v>412</v>
      </c>
      <c r="O1553" t="s">
        <v>392</v>
      </c>
      <c r="P1553" s="6" t="str">
        <f>IF(Table1[[#This Row],[Transaction_Amount]]&lt;=Table1[[#This Row],[avg_transaction_amount]], "usual transaction", "unusual transaction")</f>
        <v>unusual transaction</v>
      </c>
      <c r="Q1553" s="6" t="str">
        <f>IF(AND(Table1[[#This Row],[Country_of_Residence]]&lt;&gt;Table1[[#This Row],[Country_of_Transaction]], OR(Table1[[#This Row],[Authentication_Type]]="Biometric", Table1[[#This Row],[Authentication_Type]]="OTP")), "safe location transaction", "unsafe location transaction")</f>
        <v>safe location transaction</v>
      </c>
      <c r="R1553" s="6" t="str">
        <f>IF(AND(Table1[[#This Row],[Country_of_Residence]]&lt;&gt;Table1[[#This Row],[Country_of_Transaction]], OR(Table1[[#This Row],[Merchant_Category]]="Electronics", Table1[[#This Row],[Merchant_Category]]="Travel")), "unsafe merchant transaction", "safe merchant transaction")</f>
        <v>safe merchant transaction</v>
      </c>
    </row>
    <row r="1554" spans="1:18">
      <c r="A1554" t="s">
        <v>5339</v>
      </c>
      <c r="B1554" t="s">
        <v>242</v>
      </c>
      <c r="C1554">
        <v>1</v>
      </c>
      <c r="D1554" t="s">
        <v>9</v>
      </c>
      <c r="E1554" t="s">
        <v>5</v>
      </c>
      <c r="F1554" s="2">
        <v>45831</v>
      </c>
      <c r="G1554">
        <v>7640.21</v>
      </c>
      <c r="H1554" s="1">
        <f>AVERAGEIF(Table1[Customer_ID], Table1[[#This Row],[Customer_ID]], Table1[Transaction_Amount])</f>
        <v>5094.5936065573751</v>
      </c>
      <c r="I1554" t="s">
        <v>2634</v>
      </c>
      <c r="J1554" t="s">
        <v>36</v>
      </c>
      <c r="K1554" t="s">
        <v>12</v>
      </c>
      <c r="L1554">
        <v>0</v>
      </c>
      <c r="M1554" t="s">
        <v>55</v>
      </c>
      <c r="N1554" t="s">
        <v>56</v>
      </c>
      <c r="O1554" t="s">
        <v>393</v>
      </c>
      <c r="P1554" s="6" t="str">
        <f>IF(Table1[[#This Row],[Transaction_Amount]]&lt;=Table1[[#This Row],[avg_transaction_amount]], "usual transaction", "unusual transaction")</f>
        <v>unusual transaction</v>
      </c>
      <c r="Q1554" s="6" t="str">
        <f>IF(AND(Table1[[#This Row],[Country_of_Residence]]&lt;&gt;Table1[[#This Row],[Country_of_Transaction]], OR(Table1[[#This Row],[Authentication_Type]]="Biometric", Table1[[#This Row],[Authentication_Type]]="OTP")), "safe location transaction", "unsafe location transaction")</f>
        <v>unsafe location transaction</v>
      </c>
      <c r="R1554" s="6" t="str">
        <f>IF(AND(Table1[[#This Row],[Country_of_Residence]]&lt;&gt;Table1[[#This Row],[Country_of_Transaction]], OR(Table1[[#This Row],[Merchant_Category]]="Electronics", Table1[[#This Row],[Merchant_Category]]="Travel")), "unsafe merchant transaction", "safe merchant transaction")</f>
        <v>safe merchant transaction</v>
      </c>
    </row>
    <row r="1555" spans="1:18">
      <c r="A1555" t="s">
        <v>5346</v>
      </c>
      <c r="B1555" t="s">
        <v>242</v>
      </c>
      <c r="C1555">
        <v>1</v>
      </c>
      <c r="D1555" t="s">
        <v>9</v>
      </c>
      <c r="E1555" t="s">
        <v>420</v>
      </c>
      <c r="F1555" s="2">
        <v>46020</v>
      </c>
      <c r="G1555">
        <v>2070.67</v>
      </c>
      <c r="H1555" s="1">
        <f>AVERAGEIF(Table1[Customer_ID], Table1[[#This Row],[Customer_ID]], Table1[Transaction_Amount])</f>
        <v>5094.5936065573751</v>
      </c>
      <c r="I1555" t="s">
        <v>2640</v>
      </c>
      <c r="J1555" t="s">
        <v>46</v>
      </c>
      <c r="K1555" t="s">
        <v>8</v>
      </c>
      <c r="L1555">
        <v>5</v>
      </c>
      <c r="M1555" t="s">
        <v>412</v>
      </c>
      <c r="N1555" t="s">
        <v>412</v>
      </c>
      <c r="O1555" t="s">
        <v>393</v>
      </c>
      <c r="P1555" s="6" t="str">
        <f>IF(Table1[[#This Row],[Transaction_Amount]]&lt;=Table1[[#This Row],[avg_transaction_amount]], "usual transaction", "unusual transaction")</f>
        <v>usual transaction</v>
      </c>
      <c r="Q1555" s="6" t="str">
        <f>IF(AND(Table1[[#This Row],[Country_of_Residence]]&lt;&gt;Table1[[#This Row],[Country_of_Transaction]], OR(Table1[[#This Row],[Authentication_Type]]="Biometric", Table1[[#This Row],[Authentication_Type]]="OTP")), "safe location transaction", "unsafe location transaction")</f>
        <v>unsafe location transaction</v>
      </c>
      <c r="R1555" s="6" t="str">
        <f>IF(AND(Table1[[#This Row],[Country_of_Residence]]&lt;&gt;Table1[[#This Row],[Country_of_Transaction]], OR(Table1[[#This Row],[Merchant_Category]]="Electronics", Table1[[#This Row],[Merchant_Category]]="Travel")), "unsafe merchant transaction", "safe merchant transaction")</f>
        <v>safe merchant transaction</v>
      </c>
    </row>
    <row r="1556" spans="1:18">
      <c r="A1556" t="s">
        <v>5450</v>
      </c>
      <c r="B1556" t="s">
        <v>242</v>
      </c>
      <c r="C1556">
        <v>1</v>
      </c>
      <c r="D1556" t="s">
        <v>15</v>
      </c>
      <c r="E1556" t="s">
        <v>5</v>
      </c>
      <c r="F1556" s="2">
        <v>45678</v>
      </c>
      <c r="G1556">
        <v>9185.31</v>
      </c>
      <c r="H1556" s="1">
        <f>AVERAGEIF(Table1[Customer_ID], Table1[[#This Row],[Customer_ID]], Table1[Transaction_Amount])</f>
        <v>5094.5936065573751</v>
      </c>
      <c r="I1556" t="s">
        <v>2716</v>
      </c>
      <c r="J1556" t="s">
        <v>50</v>
      </c>
      <c r="K1556" t="s">
        <v>14</v>
      </c>
      <c r="L1556">
        <v>0</v>
      </c>
      <c r="M1556" t="s">
        <v>32</v>
      </c>
      <c r="N1556" t="s">
        <v>42</v>
      </c>
      <c r="O1556" t="s">
        <v>393</v>
      </c>
      <c r="P1556" s="6" t="str">
        <f>IF(Table1[[#This Row],[Transaction_Amount]]&lt;=Table1[[#This Row],[avg_transaction_amount]], "usual transaction", "unusual transaction")</f>
        <v>unusual transaction</v>
      </c>
      <c r="Q1556" s="6" t="str">
        <f>IF(AND(Table1[[#This Row],[Country_of_Residence]]&lt;&gt;Table1[[#This Row],[Country_of_Transaction]], OR(Table1[[#This Row],[Authentication_Type]]="Biometric", Table1[[#This Row],[Authentication_Type]]="OTP")), "safe location transaction", "unsafe location transaction")</f>
        <v>unsafe location transaction</v>
      </c>
      <c r="R1556" s="6" t="str">
        <f>IF(AND(Table1[[#This Row],[Country_of_Residence]]&lt;&gt;Table1[[#This Row],[Country_of_Transaction]], OR(Table1[[#This Row],[Merchant_Category]]="Electronics", Table1[[#This Row],[Merchant_Category]]="Travel")), "unsafe merchant transaction", "safe merchant transaction")</f>
        <v>unsafe merchant transaction</v>
      </c>
    </row>
    <row r="1557" spans="1:18">
      <c r="A1557" t="s">
        <v>5474</v>
      </c>
      <c r="B1557" t="s">
        <v>242</v>
      </c>
      <c r="C1557">
        <v>1</v>
      </c>
      <c r="D1557" t="s">
        <v>15</v>
      </c>
      <c r="E1557" t="s">
        <v>3</v>
      </c>
      <c r="F1557" s="2">
        <v>45761</v>
      </c>
      <c r="G1557">
        <v>6550.97</v>
      </c>
      <c r="H1557" s="1">
        <f>AVERAGEIF(Table1[Customer_ID], Table1[[#This Row],[Customer_ID]], Table1[Transaction_Amount])</f>
        <v>5094.5936065573751</v>
      </c>
      <c r="I1557" t="s">
        <v>719</v>
      </c>
      <c r="J1557" t="s">
        <v>46</v>
      </c>
      <c r="K1557" t="s">
        <v>8</v>
      </c>
      <c r="L1557">
        <v>2</v>
      </c>
      <c r="M1557" t="s">
        <v>55</v>
      </c>
      <c r="N1557" t="s">
        <v>42</v>
      </c>
      <c r="O1557" t="s">
        <v>393</v>
      </c>
      <c r="P1557" s="6" t="str">
        <f>IF(Table1[[#This Row],[Transaction_Amount]]&lt;=Table1[[#This Row],[avg_transaction_amount]], "usual transaction", "unusual transaction")</f>
        <v>unusual transaction</v>
      </c>
      <c r="Q1557" s="6" t="str">
        <f>IF(AND(Table1[[#This Row],[Country_of_Residence]]&lt;&gt;Table1[[#This Row],[Country_of_Transaction]], OR(Table1[[#This Row],[Authentication_Type]]="Biometric", Table1[[#This Row],[Authentication_Type]]="OTP")), "safe location transaction", "unsafe location transaction")</f>
        <v>safe location transaction</v>
      </c>
      <c r="R1557" s="6" t="str">
        <f>IF(AND(Table1[[#This Row],[Country_of_Residence]]&lt;&gt;Table1[[#This Row],[Country_of_Transaction]], OR(Table1[[#This Row],[Merchant_Category]]="Electronics", Table1[[#This Row],[Merchant_Category]]="Travel")), "unsafe merchant transaction", "safe merchant transaction")</f>
        <v>safe merchant transaction</v>
      </c>
    </row>
    <row r="1558" spans="1:18">
      <c r="A1558" t="s">
        <v>256</v>
      </c>
      <c r="B1558" t="s">
        <v>252</v>
      </c>
      <c r="C1558">
        <v>1</v>
      </c>
      <c r="D1558" t="s">
        <v>15</v>
      </c>
      <c r="E1558" t="s">
        <v>5</v>
      </c>
      <c r="F1558" s="2">
        <v>45713.986111111102</v>
      </c>
      <c r="G1558">
        <v>6341.68</v>
      </c>
      <c r="H1558" s="1">
        <f>AVERAGEIF(Table1[Customer_ID], Table1[[#This Row],[Customer_ID]], Table1[Transaction_Amount])</f>
        <v>5193.9638095238097</v>
      </c>
      <c r="I1558" t="s">
        <v>257</v>
      </c>
      <c r="J1558" t="s">
        <v>36</v>
      </c>
      <c r="K1558" t="s">
        <v>8</v>
      </c>
      <c r="L1558">
        <v>2</v>
      </c>
      <c r="M1558" t="s">
        <v>254</v>
      </c>
      <c r="N1558" t="s">
        <v>258</v>
      </c>
      <c r="O1558" t="s">
        <v>393</v>
      </c>
      <c r="P1558" t="str">
        <f>IF(Table1[[#This Row],[Transaction_Amount]]&lt;=Table1[[#This Row],[avg_transaction_amount]], "usual transaction", "unusual transaction")</f>
        <v>unusual transaction</v>
      </c>
      <c r="Q1558" t="str">
        <f>IF(AND(Table1[[#This Row],[Country_of_Residence]]&lt;&gt;Table1[[#This Row],[Country_of_Transaction]], OR(Table1[[#This Row],[Authentication_Type]]="Biometric", Table1[[#This Row],[Authentication_Type]]="OTP")), "safe location transaction", "unsafe location transaction")</f>
        <v>safe location transaction</v>
      </c>
      <c r="R1558" t="str">
        <f>IF(AND(Table1[[#This Row],[Country_of_Residence]]&lt;&gt;Table1[[#This Row],[Country_of_Transaction]], OR(Table1[[#This Row],[Merchant_Category]]="Electronics", Table1[[#This Row],[Merchant_Category]]="Travel")), "unsafe merchant transaction", "safe merchant transaction")</f>
        <v>safe merchant transaction</v>
      </c>
    </row>
    <row r="1559" spans="1:18">
      <c r="A1559" t="s">
        <v>251</v>
      </c>
      <c r="B1559" t="s">
        <v>252</v>
      </c>
      <c r="C1559">
        <v>1</v>
      </c>
      <c r="D1559" t="s">
        <v>9</v>
      </c>
      <c r="E1559" t="s">
        <v>6</v>
      </c>
      <c r="F1559" s="2">
        <v>45786.524305555598</v>
      </c>
      <c r="G1559">
        <v>2205.0500000000002</v>
      </c>
      <c r="H1559" s="1">
        <f>AVERAGEIF(Table1[Customer_ID], Table1[[#This Row],[Customer_ID]], Table1[Transaction_Amount])</f>
        <v>5193.9638095238097</v>
      </c>
      <c r="I1559" t="s">
        <v>253</v>
      </c>
      <c r="J1559" t="s">
        <v>31</v>
      </c>
      <c r="K1559" t="s">
        <v>14</v>
      </c>
      <c r="L1559">
        <v>1</v>
      </c>
      <c r="M1559" t="s">
        <v>254</v>
      </c>
      <c r="N1559" t="s">
        <v>255</v>
      </c>
      <c r="O1559" t="s">
        <v>392</v>
      </c>
      <c r="P1559" t="str">
        <f>IF(Table1[[#This Row],[Transaction_Amount]]&lt;=Table1[[#This Row],[avg_transaction_amount]], "usual transaction", "unusual transaction")</f>
        <v>usual transaction</v>
      </c>
      <c r="Q1559" t="str">
        <f>IF(AND(Table1[[#This Row],[Country_of_Residence]]&lt;&gt;Table1[[#This Row],[Country_of_Transaction]], OR(Table1[[#This Row],[Authentication_Type]]="Biometric", Table1[[#This Row],[Authentication_Type]]="OTP")), "safe location transaction", "unsafe location transaction")</f>
        <v>unsafe location transaction</v>
      </c>
      <c r="R1559" t="str">
        <f>IF(AND(Table1[[#This Row],[Country_of_Residence]]&lt;&gt;Table1[[#This Row],[Country_of_Transaction]], OR(Table1[[#This Row],[Merchant_Category]]="Electronics", Table1[[#This Row],[Merchant_Category]]="Travel")), "unsafe merchant transaction", "safe merchant transaction")</f>
        <v>safe merchant transaction</v>
      </c>
    </row>
    <row r="1560" spans="1:18">
      <c r="A1560" t="s">
        <v>2815</v>
      </c>
      <c r="B1560" t="s">
        <v>252</v>
      </c>
      <c r="C1560">
        <v>1</v>
      </c>
      <c r="D1560" t="s">
        <v>9</v>
      </c>
      <c r="E1560" t="s">
        <v>420</v>
      </c>
      <c r="F1560" s="2">
        <v>45796</v>
      </c>
      <c r="G1560">
        <v>9966.48</v>
      </c>
      <c r="H1560" s="1">
        <f>AVERAGEIF(Table1[Customer_ID], Table1[[#This Row],[Customer_ID]], Table1[Transaction_Amount])</f>
        <v>5193.9638095238097</v>
      </c>
      <c r="I1560" t="s">
        <v>466</v>
      </c>
      <c r="J1560" t="s">
        <v>46</v>
      </c>
      <c r="K1560" t="s">
        <v>10</v>
      </c>
      <c r="L1560">
        <v>5</v>
      </c>
      <c r="M1560" t="s">
        <v>55</v>
      </c>
      <c r="N1560" t="s">
        <v>51</v>
      </c>
      <c r="O1560" t="s">
        <v>392</v>
      </c>
      <c r="P1560" s="6" t="str">
        <f>IF(Table1[[#This Row],[Transaction_Amount]]&lt;=Table1[[#This Row],[avg_transaction_amount]], "usual transaction", "unusual transaction")</f>
        <v>unusual transaction</v>
      </c>
      <c r="Q1560" s="6" t="str">
        <f>IF(AND(Table1[[#This Row],[Country_of_Residence]]&lt;&gt;Table1[[#This Row],[Country_of_Transaction]], OR(Table1[[#This Row],[Authentication_Type]]="Biometric", Table1[[#This Row],[Authentication_Type]]="OTP")), "safe location transaction", "unsafe location transaction")</f>
        <v>safe location transaction</v>
      </c>
      <c r="R1560" s="6" t="str">
        <f>IF(AND(Table1[[#This Row],[Country_of_Residence]]&lt;&gt;Table1[[#This Row],[Country_of_Transaction]], OR(Table1[[#This Row],[Merchant_Category]]="Electronics", Table1[[#This Row],[Merchant_Category]]="Travel")), "unsafe merchant transaction", "safe merchant transaction")</f>
        <v>safe merchant transaction</v>
      </c>
    </row>
    <row r="1561" spans="1:18">
      <c r="A1561" t="s">
        <v>2822</v>
      </c>
      <c r="B1561" t="s">
        <v>252</v>
      </c>
      <c r="C1561">
        <v>1</v>
      </c>
      <c r="D1561" t="s">
        <v>15</v>
      </c>
      <c r="E1561" t="s">
        <v>5</v>
      </c>
      <c r="F1561" s="2">
        <v>45730</v>
      </c>
      <c r="G1561">
        <v>1192.02</v>
      </c>
      <c r="H1561" s="1">
        <f>AVERAGEIF(Table1[Customer_ID], Table1[[#This Row],[Customer_ID]], Table1[Transaction_Amount])</f>
        <v>5193.9638095238097</v>
      </c>
      <c r="I1561" t="s">
        <v>473</v>
      </c>
      <c r="J1561" t="s">
        <v>46</v>
      </c>
      <c r="K1561" t="s">
        <v>14</v>
      </c>
      <c r="L1561">
        <v>4</v>
      </c>
      <c r="M1561" t="s">
        <v>37</v>
      </c>
      <c r="N1561" t="s">
        <v>47</v>
      </c>
      <c r="O1561" t="s">
        <v>392</v>
      </c>
      <c r="P1561" s="6" t="str">
        <f>IF(Table1[[#This Row],[Transaction_Amount]]&lt;=Table1[[#This Row],[avg_transaction_amount]], "usual transaction", "unusual transaction")</f>
        <v>usual transaction</v>
      </c>
      <c r="Q1561" s="6" t="str">
        <f>IF(AND(Table1[[#This Row],[Country_of_Residence]]&lt;&gt;Table1[[#This Row],[Country_of_Transaction]], OR(Table1[[#This Row],[Authentication_Type]]="Biometric", Table1[[#This Row],[Authentication_Type]]="OTP")), "safe location transaction", "unsafe location transaction")</f>
        <v>unsafe location transaction</v>
      </c>
      <c r="R1561" s="6" t="str">
        <f>IF(AND(Table1[[#This Row],[Country_of_Residence]]&lt;&gt;Table1[[#This Row],[Country_of_Transaction]], OR(Table1[[#This Row],[Merchant_Category]]="Electronics", Table1[[#This Row],[Merchant_Category]]="Travel")), "unsafe merchant transaction", "safe merchant transaction")</f>
        <v>safe merchant transaction</v>
      </c>
    </row>
    <row r="1562" spans="1:18">
      <c r="A1562" t="s">
        <v>2854</v>
      </c>
      <c r="B1562" t="s">
        <v>252</v>
      </c>
      <c r="C1562">
        <v>1</v>
      </c>
      <c r="D1562" t="s">
        <v>15</v>
      </c>
      <c r="E1562" t="s">
        <v>3</v>
      </c>
      <c r="F1562" s="2">
        <v>45958</v>
      </c>
      <c r="G1562">
        <v>1010.82</v>
      </c>
      <c r="H1562" s="1">
        <f>AVERAGEIF(Table1[Customer_ID], Table1[[#This Row],[Customer_ID]], Table1[Transaction_Amount])</f>
        <v>5193.9638095238097</v>
      </c>
      <c r="I1562" t="s">
        <v>506</v>
      </c>
      <c r="J1562" t="s">
        <v>31</v>
      </c>
      <c r="K1562" t="s">
        <v>8</v>
      </c>
      <c r="L1562">
        <v>2</v>
      </c>
      <c r="M1562" t="s">
        <v>56</v>
      </c>
      <c r="N1562" t="s">
        <v>412</v>
      </c>
      <c r="O1562" t="s">
        <v>393</v>
      </c>
      <c r="P1562" s="6" t="str">
        <f>IF(Table1[[#This Row],[Transaction_Amount]]&lt;=Table1[[#This Row],[avg_transaction_amount]], "usual transaction", "unusual transaction")</f>
        <v>usual transaction</v>
      </c>
      <c r="Q1562" s="6" t="str">
        <f>IF(AND(Table1[[#This Row],[Country_of_Residence]]&lt;&gt;Table1[[#This Row],[Country_of_Transaction]], OR(Table1[[#This Row],[Authentication_Type]]="Biometric", Table1[[#This Row],[Authentication_Type]]="OTP")), "safe location transaction", "unsafe location transaction")</f>
        <v>safe location transaction</v>
      </c>
      <c r="R1562" s="6" t="str">
        <f>IF(AND(Table1[[#This Row],[Country_of_Residence]]&lt;&gt;Table1[[#This Row],[Country_of_Transaction]], OR(Table1[[#This Row],[Merchant_Category]]="Electronics", Table1[[#This Row],[Merchant_Category]]="Travel")), "unsafe merchant transaction", "safe merchant transaction")</f>
        <v>safe merchant transaction</v>
      </c>
    </row>
    <row r="1563" spans="1:18">
      <c r="A1563" t="s">
        <v>2902</v>
      </c>
      <c r="B1563" t="s">
        <v>252</v>
      </c>
      <c r="C1563">
        <v>1</v>
      </c>
      <c r="D1563" t="s">
        <v>9</v>
      </c>
      <c r="E1563" t="s">
        <v>420</v>
      </c>
      <c r="F1563" s="2">
        <v>45845</v>
      </c>
      <c r="G1563">
        <v>1382.65</v>
      </c>
      <c r="H1563" s="1">
        <f>AVERAGEIF(Table1[Customer_ID], Table1[[#This Row],[Customer_ID]], Table1[Transaction_Amount])</f>
        <v>5193.9638095238097</v>
      </c>
      <c r="I1563" t="s">
        <v>552</v>
      </c>
      <c r="J1563" t="s">
        <v>31</v>
      </c>
      <c r="K1563" t="s">
        <v>12</v>
      </c>
      <c r="L1563">
        <v>2</v>
      </c>
      <c r="M1563" t="s">
        <v>33</v>
      </c>
      <c r="N1563" t="s">
        <v>37</v>
      </c>
      <c r="O1563" t="s">
        <v>392</v>
      </c>
      <c r="P1563" s="6" t="str">
        <f>IF(Table1[[#This Row],[Transaction_Amount]]&lt;=Table1[[#This Row],[avg_transaction_amount]], "usual transaction", "unusual transaction")</f>
        <v>usual transaction</v>
      </c>
      <c r="Q1563" s="6" t="str">
        <f>IF(AND(Table1[[#This Row],[Country_of_Residence]]&lt;&gt;Table1[[#This Row],[Country_of_Transaction]], OR(Table1[[#This Row],[Authentication_Type]]="Biometric", Table1[[#This Row],[Authentication_Type]]="OTP")), "safe location transaction", "unsafe location transaction")</f>
        <v>unsafe location transaction</v>
      </c>
      <c r="R1563" s="6" t="str">
        <f>IF(AND(Table1[[#This Row],[Country_of_Residence]]&lt;&gt;Table1[[#This Row],[Country_of_Transaction]], OR(Table1[[#This Row],[Merchant_Category]]="Electronics", Table1[[#This Row],[Merchant_Category]]="Travel")), "unsafe merchant transaction", "safe merchant transaction")</f>
        <v>safe merchant transaction</v>
      </c>
    </row>
    <row r="1564" spans="1:18">
      <c r="A1564" t="s">
        <v>3147</v>
      </c>
      <c r="B1564" t="s">
        <v>252</v>
      </c>
      <c r="C1564">
        <v>1</v>
      </c>
      <c r="D1564" t="s">
        <v>9</v>
      </c>
      <c r="E1564" t="s">
        <v>3</v>
      </c>
      <c r="F1564" s="2">
        <v>45814</v>
      </c>
      <c r="G1564">
        <v>3684.41</v>
      </c>
      <c r="H1564" s="1">
        <f>AVERAGEIF(Table1[Customer_ID], Table1[[#This Row],[Customer_ID]], Table1[Transaction_Amount])</f>
        <v>5193.9638095238097</v>
      </c>
      <c r="I1564" t="s">
        <v>786</v>
      </c>
      <c r="J1564" t="s">
        <v>41</v>
      </c>
      <c r="K1564" t="s">
        <v>8</v>
      </c>
      <c r="L1564">
        <v>4</v>
      </c>
      <c r="M1564" t="s">
        <v>42</v>
      </c>
      <c r="N1564" t="s">
        <v>47</v>
      </c>
      <c r="O1564" t="s">
        <v>392</v>
      </c>
      <c r="P1564" s="6" t="str">
        <f>IF(Table1[[#This Row],[Transaction_Amount]]&lt;=Table1[[#This Row],[avg_transaction_amount]], "usual transaction", "unusual transaction")</f>
        <v>usual transaction</v>
      </c>
      <c r="Q1564" s="6" t="str">
        <f>IF(AND(Table1[[#This Row],[Country_of_Residence]]&lt;&gt;Table1[[#This Row],[Country_of_Transaction]], OR(Table1[[#This Row],[Authentication_Type]]="Biometric", Table1[[#This Row],[Authentication_Type]]="OTP")), "safe location transaction", "unsafe location transaction")</f>
        <v>safe location transaction</v>
      </c>
      <c r="R1564" s="6" t="str">
        <f>IF(AND(Table1[[#This Row],[Country_of_Residence]]&lt;&gt;Table1[[#This Row],[Country_of_Transaction]], OR(Table1[[#This Row],[Merchant_Category]]="Electronics", Table1[[#This Row],[Merchant_Category]]="Travel")), "unsafe merchant transaction", "safe merchant transaction")</f>
        <v>safe merchant transaction</v>
      </c>
    </row>
    <row r="1565" spans="1:18">
      <c r="A1565" t="s">
        <v>3268</v>
      </c>
      <c r="B1565" t="s">
        <v>252</v>
      </c>
      <c r="C1565">
        <v>1</v>
      </c>
      <c r="D1565" t="s">
        <v>9</v>
      </c>
      <c r="E1565" t="s">
        <v>420</v>
      </c>
      <c r="F1565" s="2">
        <v>45840</v>
      </c>
      <c r="G1565">
        <v>7265.74</v>
      </c>
      <c r="H1565" s="1">
        <f>AVERAGEIF(Table1[Customer_ID], Table1[[#This Row],[Customer_ID]], Table1[Transaction_Amount])</f>
        <v>5193.9638095238097</v>
      </c>
      <c r="I1565" t="s">
        <v>896</v>
      </c>
      <c r="J1565" t="s">
        <v>36</v>
      </c>
      <c r="K1565" t="s">
        <v>14</v>
      </c>
      <c r="L1565">
        <v>1</v>
      </c>
      <c r="M1565" t="s">
        <v>47</v>
      </c>
      <c r="N1565" t="s">
        <v>32</v>
      </c>
      <c r="O1565" t="s">
        <v>392</v>
      </c>
      <c r="P1565" s="6" t="str">
        <f>IF(Table1[[#This Row],[Transaction_Amount]]&lt;=Table1[[#This Row],[avg_transaction_amount]], "usual transaction", "unusual transaction")</f>
        <v>unusual transaction</v>
      </c>
      <c r="Q1565" s="6" t="str">
        <f>IF(AND(Table1[[#This Row],[Country_of_Residence]]&lt;&gt;Table1[[#This Row],[Country_of_Transaction]], OR(Table1[[#This Row],[Authentication_Type]]="Biometric", Table1[[#This Row],[Authentication_Type]]="OTP")), "safe location transaction", "unsafe location transaction")</f>
        <v>unsafe location transaction</v>
      </c>
      <c r="R1565" s="6" t="str">
        <f>IF(AND(Table1[[#This Row],[Country_of_Residence]]&lt;&gt;Table1[[#This Row],[Country_of_Transaction]], OR(Table1[[#This Row],[Merchant_Category]]="Electronics", Table1[[#This Row],[Merchant_Category]]="Travel")), "unsafe merchant transaction", "safe merchant transaction")</f>
        <v>safe merchant transaction</v>
      </c>
    </row>
    <row r="1566" spans="1:18">
      <c r="A1566" t="s">
        <v>3331</v>
      </c>
      <c r="B1566" t="s">
        <v>252</v>
      </c>
      <c r="C1566">
        <v>1</v>
      </c>
      <c r="D1566" t="s">
        <v>15</v>
      </c>
      <c r="E1566" t="s">
        <v>3</v>
      </c>
      <c r="F1566" s="2">
        <v>45981</v>
      </c>
      <c r="G1566">
        <v>661.61</v>
      </c>
      <c r="H1566" s="1">
        <f>AVERAGEIF(Table1[Customer_ID], Table1[[#This Row],[Customer_ID]], Table1[Transaction_Amount])</f>
        <v>5193.9638095238097</v>
      </c>
      <c r="I1566" t="s">
        <v>955</v>
      </c>
      <c r="J1566" t="s">
        <v>50</v>
      </c>
      <c r="K1566" t="s">
        <v>8</v>
      </c>
      <c r="L1566">
        <v>3</v>
      </c>
      <c r="M1566" t="s">
        <v>33</v>
      </c>
      <c r="N1566" t="s">
        <v>37</v>
      </c>
      <c r="O1566" t="s">
        <v>393</v>
      </c>
      <c r="P1566" s="6" t="str">
        <f>IF(Table1[[#This Row],[Transaction_Amount]]&lt;=Table1[[#This Row],[avg_transaction_amount]], "usual transaction", "unusual transaction")</f>
        <v>usual transaction</v>
      </c>
      <c r="Q1566" s="6" t="str">
        <f>IF(AND(Table1[[#This Row],[Country_of_Residence]]&lt;&gt;Table1[[#This Row],[Country_of_Transaction]], OR(Table1[[#This Row],[Authentication_Type]]="Biometric", Table1[[#This Row],[Authentication_Type]]="OTP")), "safe location transaction", "unsafe location transaction")</f>
        <v>safe location transaction</v>
      </c>
      <c r="R1566" s="6" t="str">
        <f>IF(AND(Table1[[#This Row],[Country_of_Residence]]&lt;&gt;Table1[[#This Row],[Country_of_Transaction]], OR(Table1[[#This Row],[Merchant_Category]]="Electronics", Table1[[#This Row],[Merchant_Category]]="Travel")), "unsafe merchant transaction", "safe merchant transaction")</f>
        <v>unsafe merchant transaction</v>
      </c>
    </row>
    <row r="1567" spans="1:18">
      <c r="A1567" t="s">
        <v>3361</v>
      </c>
      <c r="B1567" t="s">
        <v>252</v>
      </c>
      <c r="C1567">
        <v>1</v>
      </c>
      <c r="D1567" t="s">
        <v>15</v>
      </c>
      <c r="E1567" t="s">
        <v>5</v>
      </c>
      <c r="F1567" s="2">
        <v>45879</v>
      </c>
      <c r="G1567">
        <v>6427.61</v>
      </c>
      <c r="H1567" s="1">
        <f>AVERAGEIF(Table1[Customer_ID], Table1[[#This Row],[Customer_ID]], Table1[Transaction_Amount])</f>
        <v>5193.9638095238097</v>
      </c>
      <c r="I1567" t="s">
        <v>985</v>
      </c>
      <c r="J1567" t="s">
        <v>31</v>
      </c>
      <c r="K1567" t="s">
        <v>8</v>
      </c>
      <c r="L1567">
        <v>3</v>
      </c>
      <c r="M1567" t="s">
        <v>51</v>
      </c>
      <c r="N1567" t="s">
        <v>33</v>
      </c>
      <c r="O1567" t="s">
        <v>392</v>
      </c>
      <c r="P1567" s="6" t="str">
        <f>IF(Table1[[#This Row],[Transaction_Amount]]&lt;=Table1[[#This Row],[avg_transaction_amount]], "usual transaction", "unusual transaction")</f>
        <v>unusual transaction</v>
      </c>
      <c r="Q1567" s="6" t="str">
        <f>IF(AND(Table1[[#This Row],[Country_of_Residence]]&lt;&gt;Table1[[#This Row],[Country_of_Transaction]], OR(Table1[[#This Row],[Authentication_Type]]="Biometric", Table1[[#This Row],[Authentication_Type]]="OTP")), "safe location transaction", "unsafe location transaction")</f>
        <v>safe location transaction</v>
      </c>
      <c r="R1567" s="6" t="str">
        <f>IF(AND(Table1[[#This Row],[Country_of_Residence]]&lt;&gt;Table1[[#This Row],[Country_of_Transaction]], OR(Table1[[#This Row],[Merchant_Category]]="Electronics", Table1[[#This Row],[Merchant_Category]]="Travel")), "unsafe merchant transaction", "safe merchant transaction")</f>
        <v>safe merchant transaction</v>
      </c>
    </row>
    <row r="1568" spans="1:18">
      <c r="A1568" t="s">
        <v>3412</v>
      </c>
      <c r="B1568" t="s">
        <v>252</v>
      </c>
      <c r="C1568">
        <v>1</v>
      </c>
      <c r="D1568" t="s">
        <v>15</v>
      </c>
      <c r="E1568" t="s">
        <v>420</v>
      </c>
      <c r="F1568" s="2">
        <v>45668</v>
      </c>
      <c r="G1568">
        <v>5077.66</v>
      </c>
      <c r="H1568" s="1">
        <f>AVERAGEIF(Table1[Customer_ID], Table1[[#This Row],[Customer_ID]], Table1[Transaction_Amount])</f>
        <v>5193.9638095238097</v>
      </c>
      <c r="I1568" t="s">
        <v>1032</v>
      </c>
      <c r="J1568" t="s">
        <v>31</v>
      </c>
      <c r="K1568" t="s">
        <v>14</v>
      </c>
      <c r="L1568">
        <v>4</v>
      </c>
      <c r="M1568" t="s">
        <v>33</v>
      </c>
      <c r="N1568" t="s">
        <v>42</v>
      </c>
      <c r="O1568" t="s">
        <v>392</v>
      </c>
      <c r="P1568" s="6" t="str">
        <f>IF(Table1[[#This Row],[Transaction_Amount]]&lt;=Table1[[#This Row],[avg_transaction_amount]], "usual transaction", "unusual transaction")</f>
        <v>usual transaction</v>
      </c>
      <c r="Q1568" s="6" t="str">
        <f>IF(AND(Table1[[#This Row],[Country_of_Residence]]&lt;&gt;Table1[[#This Row],[Country_of_Transaction]], OR(Table1[[#This Row],[Authentication_Type]]="Biometric", Table1[[#This Row],[Authentication_Type]]="OTP")), "safe location transaction", "unsafe location transaction")</f>
        <v>unsafe location transaction</v>
      </c>
      <c r="R1568" s="6" t="str">
        <f>IF(AND(Table1[[#This Row],[Country_of_Residence]]&lt;&gt;Table1[[#This Row],[Country_of_Transaction]], OR(Table1[[#This Row],[Merchant_Category]]="Electronics", Table1[[#This Row],[Merchant_Category]]="Travel")), "unsafe merchant transaction", "safe merchant transaction")</f>
        <v>safe merchant transaction</v>
      </c>
    </row>
    <row r="1569" spans="1:18">
      <c r="A1569" t="s">
        <v>3416</v>
      </c>
      <c r="B1569" t="s">
        <v>252</v>
      </c>
      <c r="C1569">
        <v>1</v>
      </c>
      <c r="D1569" t="s">
        <v>15</v>
      </c>
      <c r="E1569" t="s">
        <v>5</v>
      </c>
      <c r="F1569" s="2">
        <v>45981</v>
      </c>
      <c r="G1569">
        <v>7369.86</v>
      </c>
      <c r="H1569" s="1">
        <f>AVERAGEIF(Table1[Customer_ID], Table1[[#This Row],[Customer_ID]], Table1[Transaction_Amount])</f>
        <v>5193.9638095238097</v>
      </c>
      <c r="I1569" t="s">
        <v>1036</v>
      </c>
      <c r="J1569" t="s">
        <v>46</v>
      </c>
      <c r="K1569" t="s">
        <v>14</v>
      </c>
      <c r="L1569">
        <v>4</v>
      </c>
      <c r="M1569" t="s">
        <v>47</v>
      </c>
      <c r="N1569" t="s">
        <v>42</v>
      </c>
      <c r="O1569" t="s">
        <v>393</v>
      </c>
      <c r="P1569" s="6" t="str">
        <f>IF(Table1[[#This Row],[Transaction_Amount]]&lt;=Table1[[#This Row],[avg_transaction_amount]], "usual transaction", "unusual transaction")</f>
        <v>unusual transaction</v>
      </c>
      <c r="Q1569" s="6" t="str">
        <f>IF(AND(Table1[[#This Row],[Country_of_Residence]]&lt;&gt;Table1[[#This Row],[Country_of_Transaction]], OR(Table1[[#This Row],[Authentication_Type]]="Biometric", Table1[[#This Row],[Authentication_Type]]="OTP")), "safe location transaction", "unsafe location transaction")</f>
        <v>unsafe location transaction</v>
      </c>
      <c r="R1569" s="6" t="str">
        <f>IF(AND(Table1[[#This Row],[Country_of_Residence]]&lt;&gt;Table1[[#This Row],[Country_of_Transaction]], OR(Table1[[#This Row],[Merchant_Category]]="Electronics", Table1[[#This Row],[Merchant_Category]]="Travel")), "unsafe merchant transaction", "safe merchant transaction")</f>
        <v>safe merchant transaction</v>
      </c>
    </row>
    <row r="1570" spans="1:18">
      <c r="A1570" t="s">
        <v>3418</v>
      </c>
      <c r="B1570" t="s">
        <v>252</v>
      </c>
      <c r="C1570">
        <v>1</v>
      </c>
      <c r="D1570" t="s">
        <v>9</v>
      </c>
      <c r="E1570" t="s">
        <v>5</v>
      </c>
      <c r="F1570" s="2">
        <v>45868</v>
      </c>
      <c r="G1570">
        <v>2566.0700000000002</v>
      </c>
      <c r="H1570" s="1">
        <f>AVERAGEIF(Table1[Customer_ID], Table1[[#This Row],[Customer_ID]], Table1[Transaction_Amount])</f>
        <v>5193.9638095238097</v>
      </c>
      <c r="I1570" t="s">
        <v>1038</v>
      </c>
      <c r="J1570" t="s">
        <v>31</v>
      </c>
      <c r="K1570" t="s">
        <v>14</v>
      </c>
      <c r="L1570">
        <v>1</v>
      </c>
      <c r="M1570" t="s">
        <v>37</v>
      </c>
      <c r="N1570" t="s">
        <v>55</v>
      </c>
      <c r="O1570" t="s">
        <v>393</v>
      </c>
      <c r="P1570" s="6" t="str">
        <f>IF(Table1[[#This Row],[Transaction_Amount]]&lt;=Table1[[#This Row],[avg_transaction_amount]], "usual transaction", "unusual transaction")</f>
        <v>usual transaction</v>
      </c>
      <c r="Q1570" s="6" t="str">
        <f>IF(AND(Table1[[#This Row],[Country_of_Residence]]&lt;&gt;Table1[[#This Row],[Country_of_Transaction]], OR(Table1[[#This Row],[Authentication_Type]]="Biometric", Table1[[#This Row],[Authentication_Type]]="OTP")), "safe location transaction", "unsafe location transaction")</f>
        <v>unsafe location transaction</v>
      </c>
      <c r="R1570" s="6" t="str">
        <f>IF(AND(Table1[[#This Row],[Country_of_Residence]]&lt;&gt;Table1[[#This Row],[Country_of_Transaction]], OR(Table1[[#This Row],[Merchant_Category]]="Electronics", Table1[[#This Row],[Merchant_Category]]="Travel")), "unsafe merchant transaction", "safe merchant transaction")</f>
        <v>safe merchant transaction</v>
      </c>
    </row>
    <row r="1571" spans="1:18">
      <c r="A1571" t="s">
        <v>3432</v>
      </c>
      <c r="B1571" t="s">
        <v>252</v>
      </c>
      <c r="C1571">
        <v>1</v>
      </c>
      <c r="D1571" t="s">
        <v>15</v>
      </c>
      <c r="E1571" t="s">
        <v>6</v>
      </c>
      <c r="F1571" s="2">
        <v>45712</v>
      </c>
      <c r="G1571">
        <v>3230.45</v>
      </c>
      <c r="H1571" s="1">
        <f>AVERAGEIF(Table1[Customer_ID], Table1[[#This Row],[Customer_ID]], Table1[Transaction_Amount])</f>
        <v>5193.9638095238097</v>
      </c>
      <c r="I1571" t="s">
        <v>1051</v>
      </c>
      <c r="J1571" t="s">
        <v>41</v>
      </c>
      <c r="K1571" t="s">
        <v>8</v>
      </c>
      <c r="L1571">
        <v>2</v>
      </c>
      <c r="M1571" t="s">
        <v>42</v>
      </c>
      <c r="N1571" t="s">
        <v>37</v>
      </c>
      <c r="O1571" t="s">
        <v>392</v>
      </c>
      <c r="P1571" s="6" t="str">
        <f>IF(Table1[[#This Row],[Transaction_Amount]]&lt;=Table1[[#This Row],[avg_transaction_amount]], "usual transaction", "unusual transaction")</f>
        <v>usual transaction</v>
      </c>
      <c r="Q1571" s="6" t="str">
        <f>IF(AND(Table1[[#This Row],[Country_of_Residence]]&lt;&gt;Table1[[#This Row],[Country_of_Transaction]], OR(Table1[[#This Row],[Authentication_Type]]="Biometric", Table1[[#This Row],[Authentication_Type]]="OTP")), "safe location transaction", "unsafe location transaction")</f>
        <v>safe location transaction</v>
      </c>
      <c r="R1571" s="6" t="str">
        <f>IF(AND(Table1[[#This Row],[Country_of_Residence]]&lt;&gt;Table1[[#This Row],[Country_of_Transaction]], OR(Table1[[#This Row],[Merchant_Category]]="Electronics", Table1[[#This Row],[Merchant_Category]]="Travel")), "unsafe merchant transaction", "safe merchant transaction")</f>
        <v>safe merchant transaction</v>
      </c>
    </row>
    <row r="1572" spans="1:18">
      <c r="A1572" t="s">
        <v>3445</v>
      </c>
      <c r="B1572" t="s">
        <v>252</v>
      </c>
      <c r="C1572">
        <v>1</v>
      </c>
      <c r="D1572" t="s">
        <v>15</v>
      </c>
      <c r="E1572" t="s">
        <v>5</v>
      </c>
      <c r="F1572" s="2">
        <v>45681</v>
      </c>
      <c r="G1572">
        <v>9772.18</v>
      </c>
      <c r="H1572" s="1">
        <f>AVERAGEIF(Table1[Customer_ID], Table1[[#This Row],[Customer_ID]], Table1[Transaction_Amount])</f>
        <v>5193.9638095238097</v>
      </c>
      <c r="I1572" t="s">
        <v>1064</v>
      </c>
      <c r="J1572" t="s">
        <v>41</v>
      </c>
      <c r="K1572" t="s">
        <v>8</v>
      </c>
      <c r="L1572">
        <v>1</v>
      </c>
      <c r="M1572" t="s">
        <v>47</v>
      </c>
      <c r="N1572" t="s">
        <v>51</v>
      </c>
      <c r="O1572" t="s">
        <v>393</v>
      </c>
      <c r="P1572" s="6" t="str">
        <f>IF(Table1[[#This Row],[Transaction_Amount]]&lt;=Table1[[#This Row],[avg_transaction_amount]], "usual transaction", "unusual transaction")</f>
        <v>unusual transaction</v>
      </c>
      <c r="Q1572" s="6" t="str">
        <f>IF(AND(Table1[[#This Row],[Country_of_Residence]]&lt;&gt;Table1[[#This Row],[Country_of_Transaction]], OR(Table1[[#This Row],[Authentication_Type]]="Biometric", Table1[[#This Row],[Authentication_Type]]="OTP")), "safe location transaction", "unsafe location transaction")</f>
        <v>safe location transaction</v>
      </c>
      <c r="R1572" s="6" t="str">
        <f>IF(AND(Table1[[#This Row],[Country_of_Residence]]&lt;&gt;Table1[[#This Row],[Country_of_Transaction]], OR(Table1[[#This Row],[Merchant_Category]]="Electronics", Table1[[#This Row],[Merchant_Category]]="Travel")), "unsafe merchant transaction", "safe merchant transaction")</f>
        <v>safe merchant transaction</v>
      </c>
    </row>
    <row r="1573" spans="1:18">
      <c r="A1573" t="s">
        <v>3469</v>
      </c>
      <c r="B1573" t="s">
        <v>252</v>
      </c>
      <c r="C1573">
        <v>1</v>
      </c>
      <c r="D1573" t="s">
        <v>15</v>
      </c>
      <c r="E1573" t="s">
        <v>5</v>
      </c>
      <c r="F1573" s="2">
        <v>45714</v>
      </c>
      <c r="G1573">
        <v>4817.99</v>
      </c>
      <c r="H1573" s="1">
        <f>AVERAGEIF(Table1[Customer_ID], Table1[[#This Row],[Customer_ID]], Table1[Transaction_Amount])</f>
        <v>5193.9638095238097</v>
      </c>
      <c r="I1573" t="s">
        <v>1087</v>
      </c>
      <c r="J1573" t="s">
        <v>50</v>
      </c>
      <c r="K1573" t="s">
        <v>14</v>
      </c>
      <c r="L1573">
        <v>5</v>
      </c>
      <c r="M1573" t="s">
        <v>56</v>
      </c>
      <c r="N1573" t="s">
        <v>55</v>
      </c>
      <c r="O1573" t="s">
        <v>393</v>
      </c>
      <c r="P1573" s="6" t="str">
        <f>IF(Table1[[#This Row],[Transaction_Amount]]&lt;=Table1[[#This Row],[avg_transaction_amount]], "usual transaction", "unusual transaction")</f>
        <v>usual transaction</v>
      </c>
      <c r="Q1573" s="6" t="str">
        <f>IF(AND(Table1[[#This Row],[Country_of_Residence]]&lt;&gt;Table1[[#This Row],[Country_of_Transaction]], OR(Table1[[#This Row],[Authentication_Type]]="Biometric", Table1[[#This Row],[Authentication_Type]]="OTP")), "safe location transaction", "unsafe location transaction")</f>
        <v>unsafe location transaction</v>
      </c>
      <c r="R1573" s="6" t="str">
        <f>IF(AND(Table1[[#This Row],[Country_of_Residence]]&lt;&gt;Table1[[#This Row],[Country_of_Transaction]], OR(Table1[[#This Row],[Merchant_Category]]="Electronics", Table1[[#This Row],[Merchant_Category]]="Travel")), "unsafe merchant transaction", "safe merchant transaction")</f>
        <v>unsafe merchant transaction</v>
      </c>
    </row>
    <row r="1574" spans="1:18">
      <c r="A1574" t="s">
        <v>3565</v>
      </c>
      <c r="B1574" t="s">
        <v>252</v>
      </c>
      <c r="C1574">
        <v>1</v>
      </c>
      <c r="D1574" t="s">
        <v>9</v>
      </c>
      <c r="E1574" t="s">
        <v>5</v>
      </c>
      <c r="F1574" s="2">
        <v>45963</v>
      </c>
      <c r="G1574">
        <v>4021.18</v>
      </c>
      <c r="H1574" s="1">
        <f>AVERAGEIF(Table1[Customer_ID], Table1[[#This Row],[Customer_ID]], Table1[Transaction_Amount])</f>
        <v>5193.9638095238097</v>
      </c>
      <c r="I1574" t="s">
        <v>1178</v>
      </c>
      <c r="J1574" t="s">
        <v>41</v>
      </c>
      <c r="K1574" t="s">
        <v>8</v>
      </c>
      <c r="L1574">
        <v>5</v>
      </c>
      <c r="M1574" t="s">
        <v>51</v>
      </c>
      <c r="N1574" t="s">
        <v>42</v>
      </c>
      <c r="O1574" t="s">
        <v>392</v>
      </c>
      <c r="P1574" s="6" t="str">
        <f>IF(Table1[[#This Row],[Transaction_Amount]]&lt;=Table1[[#This Row],[avg_transaction_amount]], "usual transaction", "unusual transaction")</f>
        <v>usual transaction</v>
      </c>
      <c r="Q1574" s="6" t="str">
        <f>IF(AND(Table1[[#This Row],[Country_of_Residence]]&lt;&gt;Table1[[#This Row],[Country_of_Transaction]], OR(Table1[[#This Row],[Authentication_Type]]="Biometric", Table1[[#This Row],[Authentication_Type]]="OTP")), "safe location transaction", "unsafe location transaction")</f>
        <v>safe location transaction</v>
      </c>
      <c r="R1574" s="6" t="str">
        <f>IF(AND(Table1[[#This Row],[Country_of_Residence]]&lt;&gt;Table1[[#This Row],[Country_of_Transaction]], OR(Table1[[#This Row],[Merchant_Category]]="Electronics", Table1[[#This Row],[Merchant_Category]]="Travel")), "unsafe merchant transaction", "safe merchant transaction")</f>
        <v>safe merchant transaction</v>
      </c>
    </row>
    <row r="1575" spans="1:18">
      <c r="A1575" t="s">
        <v>3575</v>
      </c>
      <c r="B1575" t="s">
        <v>252</v>
      </c>
      <c r="C1575">
        <v>1</v>
      </c>
      <c r="D1575" t="s">
        <v>15</v>
      </c>
      <c r="E1575" t="s">
        <v>420</v>
      </c>
      <c r="F1575" s="2">
        <v>45663</v>
      </c>
      <c r="G1575">
        <v>1524.26</v>
      </c>
      <c r="H1575" s="1">
        <f>AVERAGEIF(Table1[Customer_ID], Table1[[#This Row],[Customer_ID]], Table1[Transaction_Amount])</f>
        <v>5193.9638095238097</v>
      </c>
      <c r="I1575" t="s">
        <v>1186</v>
      </c>
      <c r="J1575" t="s">
        <v>31</v>
      </c>
      <c r="K1575" t="s">
        <v>8</v>
      </c>
      <c r="L1575">
        <v>0</v>
      </c>
      <c r="M1575" t="s">
        <v>51</v>
      </c>
      <c r="N1575" t="s">
        <v>42</v>
      </c>
      <c r="O1575" t="s">
        <v>393</v>
      </c>
      <c r="P1575" s="6" t="str">
        <f>IF(Table1[[#This Row],[Transaction_Amount]]&lt;=Table1[[#This Row],[avg_transaction_amount]], "usual transaction", "unusual transaction")</f>
        <v>usual transaction</v>
      </c>
      <c r="Q1575" s="6" t="str">
        <f>IF(AND(Table1[[#This Row],[Country_of_Residence]]&lt;&gt;Table1[[#This Row],[Country_of_Transaction]], OR(Table1[[#This Row],[Authentication_Type]]="Biometric", Table1[[#This Row],[Authentication_Type]]="OTP")), "safe location transaction", "unsafe location transaction")</f>
        <v>safe location transaction</v>
      </c>
      <c r="R1575" s="6" t="str">
        <f>IF(AND(Table1[[#This Row],[Country_of_Residence]]&lt;&gt;Table1[[#This Row],[Country_of_Transaction]], OR(Table1[[#This Row],[Merchant_Category]]="Electronics", Table1[[#This Row],[Merchant_Category]]="Travel")), "unsafe merchant transaction", "safe merchant transaction")</f>
        <v>safe merchant transaction</v>
      </c>
    </row>
    <row r="1576" spans="1:18">
      <c r="A1576" t="s">
        <v>3590</v>
      </c>
      <c r="B1576" t="s">
        <v>252</v>
      </c>
      <c r="C1576">
        <v>1</v>
      </c>
      <c r="D1576" t="s">
        <v>15</v>
      </c>
      <c r="E1576" t="s">
        <v>420</v>
      </c>
      <c r="F1576" s="2">
        <v>45718</v>
      </c>
      <c r="G1576">
        <v>7028.31</v>
      </c>
      <c r="H1576" s="1">
        <f>AVERAGEIF(Table1[Customer_ID], Table1[[#This Row],[Customer_ID]], Table1[Transaction_Amount])</f>
        <v>5193.9638095238097</v>
      </c>
      <c r="I1576" t="s">
        <v>1199</v>
      </c>
      <c r="J1576" t="s">
        <v>50</v>
      </c>
      <c r="K1576" t="s">
        <v>12</v>
      </c>
      <c r="L1576">
        <v>2</v>
      </c>
      <c r="M1576" t="s">
        <v>56</v>
      </c>
      <c r="N1576" t="s">
        <v>412</v>
      </c>
      <c r="O1576" t="s">
        <v>392</v>
      </c>
      <c r="P1576" s="6" t="str">
        <f>IF(Table1[[#This Row],[Transaction_Amount]]&lt;=Table1[[#This Row],[avg_transaction_amount]], "usual transaction", "unusual transaction")</f>
        <v>unusual transaction</v>
      </c>
      <c r="Q1576" s="6" t="str">
        <f>IF(AND(Table1[[#This Row],[Country_of_Residence]]&lt;&gt;Table1[[#This Row],[Country_of_Transaction]], OR(Table1[[#This Row],[Authentication_Type]]="Biometric", Table1[[#This Row],[Authentication_Type]]="OTP")), "safe location transaction", "unsafe location transaction")</f>
        <v>unsafe location transaction</v>
      </c>
      <c r="R1576" s="6" t="str">
        <f>IF(AND(Table1[[#This Row],[Country_of_Residence]]&lt;&gt;Table1[[#This Row],[Country_of_Transaction]], OR(Table1[[#This Row],[Merchant_Category]]="Electronics", Table1[[#This Row],[Merchant_Category]]="Travel")), "unsafe merchant transaction", "safe merchant transaction")</f>
        <v>unsafe merchant transaction</v>
      </c>
    </row>
    <row r="1577" spans="1:18">
      <c r="A1577" t="s">
        <v>3613</v>
      </c>
      <c r="B1577" t="s">
        <v>252</v>
      </c>
      <c r="C1577">
        <v>1</v>
      </c>
      <c r="D1577" t="s">
        <v>15</v>
      </c>
      <c r="E1577" t="s">
        <v>5</v>
      </c>
      <c r="F1577" s="2">
        <v>45718</v>
      </c>
      <c r="G1577">
        <v>3575.96</v>
      </c>
      <c r="H1577" s="1">
        <f>AVERAGEIF(Table1[Customer_ID], Table1[[#This Row],[Customer_ID]], Table1[Transaction_Amount])</f>
        <v>5193.9638095238097</v>
      </c>
      <c r="I1577" t="s">
        <v>1219</v>
      </c>
      <c r="J1577" t="s">
        <v>41</v>
      </c>
      <c r="K1577" t="s">
        <v>10</v>
      </c>
      <c r="L1577">
        <v>5</v>
      </c>
      <c r="M1577" t="s">
        <v>412</v>
      </c>
      <c r="N1577" t="s">
        <v>32</v>
      </c>
      <c r="O1577" t="s">
        <v>393</v>
      </c>
      <c r="P1577" s="6" t="str">
        <f>IF(Table1[[#This Row],[Transaction_Amount]]&lt;=Table1[[#This Row],[avg_transaction_amount]], "usual transaction", "unusual transaction")</f>
        <v>usual transaction</v>
      </c>
      <c r="Q1577" s="6" t="str">
        <f>IF(AND(Table1[[#This Row],[Country_of_Residence]]&lt;&gt;Table1[[#This Row],[Country_of_Transaction]], OR(Table1[[#This Row],[Authentication_Type]]="Biometric", Table1[[#This Row],[Authentication_Type]]="OTP")), "safe location transaction", "unsafe location transaction")</f>
        <v>safe location transaction</v>
      </c>
      <c r="R1577" s="6" t="str">
        <f>IF(AND(Table1[[#This Row],[Country_of_Residence]]&lt;&gt;Table1[[#This Row],[Country_of_Transaction]], OR(Table1[[#This Row],[Merchant_Category]]="Electronics", Table1[[#This Row],[Merchant_Category]]="Travel")), "unsafe merchant transaction", "safe merchant transaction")</f>
        <v>safe merchant transaction</v>
      </c>
    </row>
    <row r="1578" spans="1:18">
      <c r="A1578" t="s">
        <v>3648</v>
      </c>
      <c r="B1578" t="s">
        <v>252</v>
      </c>
      <c r="C1578">
        <v>1</v>
      </c>
      <c r="D1578" t="s">
        <v>15</v>
      </c>
      <c r="E1578" t="s">
        <v>6</v>
      </c>
      <c r="F1578" s="2">
        <v>45944</v>
      </c>
      <c r="G1578">
        <v>6665.18</v>
      </c>
      <c r="H1578" s="1">
        <f>AVERAGEIF(Table1[Customer_ID], Table1[[#This Row],[Customer_ID]], Table1[Transaction_Amount])</f>
        <v>5193.9638095238097</v>
      </c>
      <c r="I1578" t="s">
        <v>1253</v>
      </c>
      <c r="J1578" t="s">
        <v>36</v>
      </c>
      <c r="K1578" t="s">
        <v>8</v>
      </c>
      <c r="L1578">
        <v>2</v>
      </c>
      <c r="M1578" t="s">
        <v>37</v>
      </c>
      <c r="N1578" t="s">
        <v>33</v>
      </c>
      <c r="O1578" t="s">
        <v>393</v>
      </c>
      <c r="P1578" s="6" t="str">
        <f>IF(Table1[[#This Row],[Transaction_Amount]]&lt;=Table1[[#This Row],[avg_transaction_amount]], "usual transaction", "unusual transaction")</f>
        <v>unusual transaction</v>
      </c>
      <c r="Q1578" s="6" t="str">
        <f>IF(AND(Table1[[#This Row],[Country_of_Residence]]&lt;&gt;Table1[[#This Row],[Country_of_Transaction]], OR(Table1[[#This Row],[Authentication_Type]]="Biometric", Table1[[#This Row],[Authentication_Type]]="OTP")), "safe location transaction", "unsafe location transaction")</f>
        <v>safe location transaction</v>
      </c>
      <c r="R1578" s="6" t="str">
        <f>IF(AND(Table1[[#This Row],[Country_of_Residence]]&lt;&gt;Table1[[#This Row],[Country_of_Transaction]], OR(Table1[[#This Row],[Merchant_Category]]="Electronics", Table1[[#This Row],[Merchant_Category]]="Travel")), "unsafe merchant transaction", "safe merchant transaction")</f>
        <v>safe merchant transaction</v>
      </c>
    </row>
    <row r="1579" spans="1:18">
      <c r="A1579" t="s">
        <v>3820</v>
      </c>
      <c r="B1579" t="s">
        <v>252</v>
      </c>
      <c r="C1579">
        <v>1</v>
      </c>
      <c r="D1579" t="s">
        <v>9</v>
      </c>
      <c r="E1579" t="s">
        <v>3</v>
      </c>
      <c r="F1579" s="2">
        <v>45838</v>
      </c>
      <c r="G1579">
        <v>4379.32</v>
      </c>
      <c r="H1579" s="1">
        <f>AVERAGEIF(Table1[Customer_ID], Table1[[#This Row],[Customer_ID]], Table1[Transaction_Amount])</f>
        <v>5193.9638095238097</v>
      </c>
      <c r="I1579" t="s">
        <v>1402</v>
      </c>
      <c r="J1579" t="s">
        <v>50</v>
      </c>
      <c r="K1579" t="s">
        <v>8</v>
      </c>
      <c r="L1579">
        <v>4</v>
      </c>
      <c r="M1579" t="s">
        <v>37</v>
      </c>
      <c r="N1579" t="s">
        <v>42</v>
      </c>
      <c r="O1579" t="s">
        <v>392</v>
      </c>
      <c r="P1579" s="6" t="str">
        <f>IF(Table1[[#This Row],[Transaction_Amount]]&lt;=Table1[[#This Row],[avg_transaction_amount]], "usual transaction", "unusual transaction")</f>
        <v>usual transaction</v>
      </c>
      <c r="Q1579" s="6" t="str">
        <f>IF(AND(Table1[[#This Row],[Country_of_Residence]]&lt;&gt;Table1[[#This Row],[Country_of_Transaction]], OR(Table1[[#This Row],[Authentication_Type]]="Biometric", Table1[[#This Row],[Authentication_Type]]="OTP")), "safe location transaction", "unsafe location transaction")</f>
        <v>safe location transaction</v>
      </c>
      <c r="R1579" s="6" t="str">
        <f>IF(AND(Table1[[#This Row],[Country_of_Residence]]&lt;&gt;Table1[[#This Row],[Country_of_Transaction]], OR(Table1[[#This Row],[Merchant_Category]]="Electronics", Table1[[#This Row],[Merchant_Category]]="Travel")), "unsafe merchant transaction", "safe merchant transaction")</f>
        <v>unsafe merchant transaction</v>
      </c>
    </row>
    <row r="1580" spans="1:18">
      <c r="A1580" t="s">
        <v>3942</v>
      </c>
      <c r="B1580" t="s">
        <v>252</v>
      </c>
      <c r="C1580">
        <v>1</v>
      </c>
      <c r="D1580" t="s">
        <v>15</v>
      </c>
      <c r="E1580" t="s">
        <v>5</v>
      </c>
      <c r="F1580" s="2">
        <v>45834</v>
      </c>
      <c r="G1580">
        <v>2149.52</v>
      </c>
      <c r="H1580" s="1">
        <f>AVERAGEIF(Table1[Customer_ID], Table1[[#This Row],[Customer_ID]], Table1[Transaction_Amount])</f>
        <v>5193.9638095238097</v>
      </c>
      <c r="I1580" t="s">
        <v>1506</v>
      </c>
      <c r="J1580" t="s">
        <v>41</v>
      </c>
      <c r="K1580" t="s">
        <v>8</v>
      </c>
      <c r="L1580">
        <v>4</v>
      </c>
      <c r="M1580" t="s">
        <v>37</v>
      </c>
      <c r="N1580" t="s">
        <v>37</v>
      </c>
      <c r="O1580" t="s">
        <v>392</v>
      </c>
      <c r="P1580" s="6" t="str">
        <f>IF(Table1[[#This Row],[Transaction_Amount]]&lt;=Table1[[#This Row],[avg_transaction_amount]], "usual transaction", "unusual transaction")</f>
        <v>usual transaction</v>
      </c>
      <c r="Q1580" s="6" t="str">
        <f>IF(AND(Table1[[#This Row],[Country_of_Residence]]&lt;&gt;Table1[[#This Row],[Country_of_Transaction]], OR(Table1[[#This Row],[Authentication_Type]]="Biometric", Table1[[#This Row],[Authentication_Type]]="OTP")), "safe location transaction", "unsafe location transaction")</f>
        <v>unsafe location transaction</v>
      </c>
      <c r="R1580" s="6" t="str">
        <f>IF(AND(Table1[[#This Row],[Country_of_Residence]]&lt;&gt;Table1[[#This Row],[Country_of_Transaction]], OR(Table1[[#This Row],[Merchant_Category]]="Electronics", Table1[[#This Row],[Merchant_Category]]="Travel")), "unsafe merchant transaction", "safe merchant transaction")</f>
        <v>safe merchant transaction</v>
      </c>
    </row>
    <row r="1581" spans="1:18">
      <c r="A1581" t="s">
        <v>3955</v>
      </c>
      <c r="B1581" t="s">
        <v>252</v>
      </c>
      <c r="C1581">
        <v>1</v>
      </c>
      <c r="D1581" t="s">
        <v>15</v>
      </c>
      <c r="E1581" t="s">
        <v>3</v>
      </c>
      <c r="F1581" s="2">
        <v>45947</v>
      </c>
      <c r="G1581">
        <v>9577.14</v>
      </c>
      <c r="H1581" s="1">
        <f>AVERAGEIF(Table1[Customer_ID], Table1[[#This Row],[Customer_ID]], Table1[Transaction_Amount])</f>
        <v>5193.9638095238097</v>
      </c>
      <c r="I1581" t="s">
        <v>1518</v>
      </c>
      <c r="J1581" t="s">
        <v>36</v>
      </c>
      <c r="K1581" t="s">
        <v>10</v>
      </c>
      <c r="L1581">
        <v>1</v>
      </c>
      <c r="M1581" t="s">
        <v>47</v>
      </c>
      <c r="N1581" t="s">
        <v>56</v>
      </c>
      <c r="O1581" t="s">
        <v>392</v>
      </c>
      <c r="P1581" s="6" t="str">
        <f>IF(Table1[[#This Row],[Transaction_Amount]]&lt;=Table1[[#This Row],[avg_transaction_amount]], "usual transaction", "unusual transaction")</f>
        <v>unusual transaction</v>
      </c>
      <c r="Q1581" s="6" t="str">
        <f>IF(AND(Table1[[#This Row],[Country_of_Residence]]&lt;&gt;Table1[[#This Row],[Country_of_Transaction]], OR(Table1[[#This Row],[Authentication_Type]]="Biometric", Table1[[#This Row],[Authentication_Type]]="OTP")), "safe location transaction", "unsafe location transaction")</f>
        <v>safe location transaction</v>
      </c>
      <c r="R1581" s="6" t="str">
        <f>IF(AND(Table1[[#This Row],[Country_of_Residence]]&lt;&gt;Table1[[#This Row],[Country_of_Transaction]], OR(Table1[[#This Row],[Merchant_Category]]="Electronics", Table1[[#This Row],[Merchant_Category]]="Travel")), "unsafe merchant transaction", "safe merchant transaction")</f>
        <v>safe merchant transaction</v>
      </c>
    </row>
    <row r="1582" spans="1:18">
      <c r="A1582" t="s">
        <v>3994</v>
      </c>
      <c r="B1582" t="s">
        <v>252</v>
      </c>
      <c r="C1582">
        <v>1</v>
      </c>
      <c r="D1582" t="s">
        <v>9</v>
      </c>
      <c r="E1582" t="s">
        <v>420</v>
      </c>
      <c r="F1582" s="2">
        <v>45945</v>
      </c>
      <c r="G1582">
        <v>5741.81</v>
      </c>
      <c r="H1582" s="1">
        <f>AVERAGEIF(Table1[Customer_ID], Table1[[#This Row],[Customer_ID]], Table1[Transaction_Amount])</f>
        <v>5193.9638095238097</v>
      </c>
      <c r="I1582" t="s">
        <v>1553</v>
      </c>
      <c r="J1582" t="s">
        <v>41</v>
      </c>
      <c r="K1582" t="s">
        <v>12</v>
      </c>
      <c r="L1582">
        <v>4</v>
      </c>
      <c r="M1582" t="s">
        <v>37</v>
      </c>
      <c r="N1582" t="s">
        <v>37</v>
      </c>
      <c r="O1582" t="s">
        <v>392</v>
      </c>
      <c r="P1582" s="6" t="str">
        <f>IF(Table1[[#This Row],[Transaction_Amount]]&lt;=Table1[[#This Row],[avg_transaction_amount]], "usual transaction", "unusual transaction")</f>
        <v>unusual transaction</v>
      </c>
      <c r="Q1582" s="6" t="str">
        <f>IF(AND(Table1[[#This Row],[Country_of_Residence]]&lt;&gt;Table1[[#This Row],[Country_of_Transaction]], OR(Table1[[#This Row],[Authentication_Type]]="Biometric", Table1[[#This Row],[Authentication_Type]]="OTP")), "safe location transaction", "unsafe location transaction")</f>
        <v>unsafe location transaction</v>
      </c>
      <c r="R1582" s="6" t="str">
        <f>IF(AND(Table1[[#This Row],[Country_of_Residence]]&lt;&gt;Table1[[#This Row],[Country_of_Transaction]], OR(Table1[[#This Row],[Merchant_Category]]="Electronics", Table1[[#This Row],[Merchant_Category]]="Travel")), "unsafe merchant transaction", "safe merchant transaction")</f>
        <v>safe merchant transaction</v>
      </c>
    </row>
    <row r="1583" spans="1:18">
      <c r="A1583" t="s">
        <v>4073</v>
      </c>
      <c r="B1583" t="s">
        <v>252</v>
      </c>
      <c r="C1583">
        <v>1</v>
      </c>
      <c r="D1583" t="s">
        <v>15</v>
      </c>
      <c r="E1583" t="s">
        <v>3</v>
      </c>
      <c r="F1583" s="2">
        <v>45921</v>
      </c>
      <c r="G1583">
        <v>77.180000000000007</v>
      </c>
      <c r="H1583" s="1">
        <f>AVERAGEIF(Table1[Customer_ID], Table1[[#This Row],[Customer_ID]], Table1[Transaction_Amount])</f>
        <v>5193.9638095238097</v>
      </c>
      <c r="I1583" t="s">
        <v>1620</v>
      </c>
      <c r="J1583" t="s">
        <v>46</v>
      </c>
      <c r="K1583" t="s">
        <v>10</v>
      </c>
      <c r="L1583">
        <v>5</v>
      </c>
      <c r="M1583" t="s">
        <v>56</v>
      </c>
      <c r="N1583" t="s">
        <v>33</v>
      </c>
      <c r="O1583" t="s">
        <v>392</v>
      </c>
      <c r="P1583" s="6" t="str">
        <f>IF(Table1[[#This Row],[Transaction_Amount]]&lt;=Table1[[#This Row],[avg_transaction_amount]], "usual transaction", "unusual transaction")</f>
        <v>usual transaction</v>
      </c>
      <c r="Q1583" s="6" t="str">
        <f>IF(AND(Table1[[#This Row],[Country_of_Residence]]&lt;&gt;Table1[[#This Row],[Country_of_Transaction]], OR(Table1[[#This Row],[Authentication_Type]]="Biometric", Table1[[#This Row],[Authentication_Type]]="OTP")), "safe location transaction", "unsafe location transaction")</f>
        <v>safe location transaction</v>
      </c>
      <c r="R1583" s="6" t="str">
        <f>IF(AND(Table1[[#This Row],[Country_of_Residence]]&lt;&gt;Table1[[#This Row],[Country_of_Transaction]], OR(Table1[[#This Row],[Merchant_Category]]="Electronics", Table1[[#This Row],[Merchant_Category]]="Travel")), "unsafe merchant transaction", "safe merchant transaction")</f>
        <v>safe merchant transaction</v>
      </c>
    </row>
    <row r="1584" spans="1:18">
      <c r="A1584" t="s">
        <v>4097</v>
      </c>
      <c r="B1584" t="s">
        <v>252</v>
      </c>
      <c r="C1584">
        <v>1</v>
      </c>
      <c r="D1584" t="s">
        <v>15</v>
      </c>
      <c r="E1584" t="s">
        <v>5</v>
      </c>
      <c r="F1584" s="2">
        <v>45695</v>
      </c>
      <c r="G1584">
        <v>269.45</v>
      </c>
      <c r="H1584" s="1">
        <f>AVERAGEIF(Table1[Customer_ID], Table1[[#This Row],[Customer_ID]], Table1[Transaction_Amount])</f>
        <v>5193.9638095238097</v>
      </c>
      <c r="I1584" t="s">
        <v>693</v>
      </c>
      <c r="J1584" t="s">
        <v>41</v>
      </c>
      <c r="K1584" t="s">
        <v>12</v>
      </c>
      <c r="L1584">
        <v>2</v>
      </c>
      <c r="M1584" t="s">
        <v>42</v>
      </c>
      <c r="N1584" t="s">
        <v>55</v>
      </c>
      <c r="O1584" t="s">
        <v>393</v>
      </c>
      <c r="P1584" s="6" t="str">
        <f>IF(Table1[[#This Row],[Transaction_Amount]]&lt;=Table1[[#This Row],[avg_transaction_amount]], "usual transaction", "unusual transaction")</f>
        <v>usual transaction</v>
      </c>
      <c r="Q1584" s="6" t="str">
        <f>IF(AND(Table1[[#This Row],[Country_of_Residence]]&lt;&gt;Table1[[#This Row],[Country_of_Transaction]], OR(Table1[[#This Row],[Authentication_Type]]="Biometric", Table1[[#This Row],[Authentication_Type]]="OTP")), "safe location transaction", "unsafe location transaction")</f>
        <v>unsafe location transaction</v>
      </c>
      <c r="R1584" s="6" t="str">
        <f>IF(AND(Table1[[#This Row],[Country_of_Residence]]&lt;&gt;Table1[[#This Row],[Country_of_Transaction]], OR(Table1[[#This Row],[Merchant_Category]]="Electronics", Table1[[#This Row],[Merchant_Category]]="Travel")), "unsafe merchant transaction", "safe merchant transaction")</f>
        <v>safe merchant transaction</v>
      </c>
    </row>
    <row r="1585" spans="1:18">
      <c r="A1585" t="s">
        <v>4163</v>
      </c>
      <c r="B1585" t="s">
        <v>252</v>
      </c>
      <c r="C1585">
        <v>1</v>
      </c>
      <c r="D1585" t="s">
        <v>9</v>
      </c>
      <c r="E1585" t="s">
        <v>3</v>
      </c>
      <c r="F1585" s="2">
        <v>45694</v>
      </c>
      <c r="G1585">
        <v>503.79</v>
      </c>
      <c r="H1585" s="1">
        <f>AVERAGEIF(Table1[Customer_ID], Table1[[#This Row],[Customer_ID]], Table1[Transaction_Amount])</f>
        <v>5193.9638095238097</v>
      </c>
      <c r="I1585" t="s">
        <v>1183</v>
      </c>
      <c r="J1585" t="s">
        <v>41</v>
      </c>
      <c r="K1585" t="s">
        <v>10</v>
      </c>
      <c r="L1585">
        <v>1</v>
      </c>
      <c r="M1585" t="s">
        <v>51</v>
      </c>
      <c r="N1585" t="s">
        <v>42</v>
      </c>
      <c r="O1585" t="s">
        <v>393</v>
      </c>
      <c r="P1585" s="6" t="str">
        <f>IF(Table1[[#This Row],[Transaction_Amount]]&lt;=Table1[[#This Row],[avg_transaction_amount]], "usual transaction", "unusual transaction")</f>
        <v>usual transaction</v>
      </c>
      <c r="Q1585" s="6" t="str">
        <f>IF(AND(Table1[[#This Row],[Country_of_Residence]]&lt;&gt;Table1[[#This Row],[Country_of_Transaction]], OR(Table1[[#This Row],[Authentication_Type]]="Biometric", Table1[[#This Row],[Authentication_Type]]="OTP")), "safe location transaction", "unsafe location transaction")</f>
        <v>safe location transaction</v>
      </c>
      <c r="R1585" s="6" t="str">
        <f>IF(AND(Table1[[#This Row],[Country_of_Residence]]&lt;&gt;Table1[[#This Row],[Country_of_Transaction]], OR(Table1[[#This Row],[Merchant_Category]]="Electronics", Table1[[#This Row],[Merchant_Category]]="Travel")), "unsafe merchant transaction", "safe merchant transaction")</f>
        <v>safe merchant transaction</v>
      </c>
    </row>
    <row r="1586" spans="1:18">
      <c r="A1586" t="s">
        <v>4188</v>
      </c>
      <c r="B1586" t="s">
        <v>252</v>
      </c>
      <c r="C1586">
        <v>1</v>
      </c>
      <c r="D1586" t="s">
        <v>9</v>
      </c>
      <c r="E1586" t="s">
        <v>6</v>
      </c>
      <c r="F1586" s="2">
        <v>45773</v>
      </c>
      <c r="G1586">
        <v>3945.59</v>
      </c>
      <c r="H1586" s="1">
        <f>AVERAGEIF(Table1[Customer_ID], Table1[[#This Row],[Customer_ID]], Table1[Transaction_Amount])</f>
        <v>5193.9638095238097</v>
      </c>
      <c r="I1586" t="s">
        <v>1709</v>
      </c>
      <c r="J1586" t="s">
        <v>50</v>
      </c>
      <c r="K1586" t="s">
        <v>10</v>
      </c>
      <c r="L1586">
        <v>2</v>
      </c>
      <c r="M1586" t="s">
        <v>56</v>
      </c>
      <c r="N1586" t="s">
        <v>42</v>
      </c>
      <c r="O1586" t="s">
        <v>393</v>
      </c>
      <c r="P1586" s="6" t="str">
        <f>IF(Table1[[#This Row],[Transaction_Amount]]&lt;=Table1[[#This Row],[avg_transaction_amount]], "usual transaction", "unusual transaction")</f>
        <v>usual transaction</v>
      </c>
      <c r="Q1586" s="6" t="str">
        <f>IF(AND(Table1[[#This Row],[Country_of_Residence]]&lt;&gt;Table1[[#This Row],[Country_of_Transaction]], OR(Table1[[#This Row],[Authentication_Type]]="Biometric", Table1[[#This Row],[Authentication_Type]]="OTP")), "safe location transaction", "unsafe location transaction")</f>
        <v>safe location transaction</v>
      </c>
      <c r="R1586" s="6" t="str">
        <f>IF(AND(Table1[[#This Row],[Country_of_Residence]]&lt;&gt;Table1[[#This Row],[Country_of_Transaction]], OR(Table1[[#This Row],[Merchant_Category]]="Electronics", Table1[[#This Row],[Merchant_Category]]="Travel")), "unsafe merchant transaction", "safe merchant transaction")</f>
        <v>unsafe merchant transaction</v>
      </c>
    </row>
    <row r="1587" spans="1:18">
      <c r="A1587" t="s">
        <v>4247</v>
      </c>
      <c r="B1587" t="s">
        <v>252</v>
      </c>
      <c r="C1587">
        <v>1</v>
      </c>
      <c r="D1587" t="s">
        <v>9</v>
      </c>
      <c r="E1587" t="s">
        <v>5</v>
      </c>
      <c r="F1587" s="2">
        <v>45785</v>
      </c>
      <c r="G1587">
        <v>1462.84</v>
      </c>
      <c r="H1587" s="1">
        <f>AVERAGEIF(Table1[Customer_ID], Table1[[#This Row],[Customer_ID]], Table1[Transaction_Amount])</f>
        <v>5193.9638095238097</v>
      </c>
      <c r="I1587" t="s">
        <v>1762</v>
      </c>
      <c r="J1587" t="s">
        <v>46</v>
      </c>
      <c r="K1587" t="s">
        <v>14</v>
      </c>
      <c r="L1587">
        <v>5</v>
      </c>
      <c r="M1587" t="s">
        <v>51</v>
      </c>
      <c r="N1587" t="s">
        <v>55</v>
      </c>
      <c r="O1587" t="s">
        <v>392</v>
      </c>
      <c r="P1587" s="6" t="str">
        <f>IF(Table1[[#This Row],[Transaction_Amount]]&lt;=Table1[[#This Row],[avg_transaction_amount]], "usual transaction", "unusual transaction")</f>
        <v>usual transaction</v>
      </c>
      <c r="Q1587" s="6" t="str">
        <f>IF(AND(Table1[[#This Row],[Country_of_Residence]]&lt;&gt;Table1[[#This Row],[Country_of_Transaction]], OR(Table1[[#This Row],[Authentication_Type]]="Biometric", Table1[[#This Row],[Authentication_Type]]="OTP")), "safe location transaction", "unsafe location transaction")</f>
        <v>unsafe location transaction</v>
      </c>
      <c r="R1587" s="6" t="str">
        <f>IF(AND(Table1[[#This Row],[Country_of_Residence]]&lt;&gt;Table1[[#This Row],[Country_of_Transaction]], OR(Table1[[#This Row],[Merchant_Category]]="Electronics", Table1[[#This Row],[Merchant_Category]]="Travel")), "unsafe merchant transaction", "safe merchant transaction")</f>
        <v>safe merchant transaction</v>
      </c>
    </row>
    <row r="1588" spans="1:18">
      <c r="A1588" t="s">
        <v>4260</v>
      </c>
      <c r="B1588" t="s">
        <v>252</v>
      </c>
      <c r="C1588">
        <v>1</v>
      </c>
      <c r="D1588" t="s">
        <v>9</v>
      </c>
      <c r="E1588" t="s">
        <v>420</v>
      </c>
      <c r="F1588" s="2">
        <v>45777</v>
      </c>
      <c r="G1588">
        <v>6364.88</v>
      </c>
      <c r="H1588" s="1">
        <f>AVERAGEIF(Table1[Customer_ID], Table1[[#This Row],[Customer_ID]], Table1[Transaction_Amount])</f>
        <v>5193.9638095238097</v>
      </c>
      <c r="I1588" t="s">
        <v>1774</v>
      </c>
      <c r="J1588" t="s">
        <v>36</v>
      </c>
      <c r="K1588" t="s">
        <v>8</v>
      </c>
      <c r="L1588">
        <v>3</v>
      </c>
      <c r="M1588" t="s">
        <v>51</v>
      </c>
      <c r="N1588" t="s">
        <v>42</v>
      </c>
      <c r="O1588" t="s">
        <v>392</v>
      </c>
      <c r="P1588" s="6" t="str">
        <f>IF(Table1[[#This Row],[Transaction_Amount]]&lt;=Table1[[#This Row],[avg_transaction_amount]], "usual transaction", "unusual transaction")</f>
        <v>unusual transaction</v>
      </c>
      <c r="Q1588" s="6" t="str">
        <f>IF(AND(Table1[[#This Row],[Country_of_Residence]]&lt;&gt;Table1[[#This Row],[Country_of_Transaction]], OR(Table1[[#This Row],[Authentication_Type]]="Biometric", Table1[[#This Row],[Authentication_Type]]="OTP")), "safe location transaction", "unsafe location transaction")</f>
        <v>safe location transaction</v>
      </c>
      <c r="R1588" s="6" t="str">
        <f>IF(AND(Table1[[#This Row],[Country_of_Residence]]&lt;&gt;Table1[[#This Row],[Country_of_Transaction]], OR(Table1[[#This Row],[Merchant_Category]]="Electronics", Table1[[#This Row],[Merchant_Category]]="Travel")), "unsafe merchant transaction", "safe merchant transaction")</f>
        <v>safe merchant transaction</v>
      </c>
    </row>
    <row r="1589" spans="1:18">
      <c r="A1589" t="s">
        <v>4279</v>
      </c>
      <c r="B1589" t="s">
        <v>252</v>
      </c>
      <c r="C1589">
        <v>1</v>
      </c>
      <c r="D1589" t="s">
        <v>15</v>
      </c>
      <c r="E1589" t="s">
        <v>3</v>
      </c>
      <c r="F1589" s="2">
        <v>45983</v>
      </c>
      <c r="G1589">
        <v>7567.4</v>
      </c>
      <c r="H1589" s="1">
        <f>AVERAGEIF(Table1[Customer_ID], Table1[[#This Row],[Customer_ID]], Table1[Transaction_Amount])</f>
        <v>5193.9638095238097</v>
      </c>
      <c r="I1589" t="s">
        <v>1792</v>
      </c>
      <c r="J1589" t="s">
        <v>31</v>
      </c>
      <c r="K1589" t="s">
        <v>14</v>
      </c>
      <c r="L1589">
        <v>1</v>
      </c>
      <c r="M1589" t="s">
        <v>32</v>
      </c>
      <c r="N1589" t="s">
        <v>42</v>
      </c>
      <c r="O1589" t="s">
        <v>393</v>
      </c>
      <c r="P1589" s="6" t="str">
        <f>IF(Table1[[#This Row],[Transaction_Amount]]&lt;=Table1[[#This Row],[avg_transaction_amount]], "usual transaction", "unusual transaction")</f>
        <v>unusual transaction</v>
      </c>
      <c r="Q1589" s="6" t="str">
        <f>IF(AND(Table1[[#This Row],[Country_of_Residence]]&lt;&gt;Table1[[#This Row],[Country_of_Transaction]], OR(Table1[[#This Row],[Authentication_Type]]="Biometric", Table1[[#This Row],[Authentication_Type]]="OTP")), "safe location transaction", "unsafe location transaction")</f>
        <v>unsafe location transaction</v>
      </c>
      <c r="R1589" s="6" t="str">
        <f>IF(AND(Table1[[#This Row],[Country_of_Residence]]&lt;&gt;Table1[[#This Row],[Country_of_Transaction]], OR(Table1[[#This Row],[Merchant_Category]]="Electronics", Table1[[#This Row],[Merchant_Category]]="Travel")), "unsafe merchant transaction", "safe merchant transaction")</f>
        <v>safe merchant transaction</v>
      </c>
    </row>
    <row r="1590" spans="1:18">
      <c r="A1590" t="s">
        <v>4409</v>
      </c>
      <c r="B1590" t="s">
        <v>252</v>
      </c>
      <c r="C1590">
        <v>1</v>
      </c>
      <c r="D1590" t="s">
        <v>15</v>
      </c>
      <c r="E1590" t="s">
        <v>420</v>
      </c>
      <c r="F1590" s="2">
        <v>45742</v>
      </c>
      <c r="G1590">
        <v>6087.14</v>
      </c>
      <c r="H1590" s="1">
        <f>AVERAGEIF(Table1[Customer_ID], Table1[[#This Row],[Customer_ID]], Table1[Transaction_Amount])</f>
        <v>5193.9638095238097</v>
      </c>
      <c r="I1590" t="s">
        <v>1908</v>
      </c>
      <c r="J1590" t="s">
        <v>46</v>
      </c>
      <c r="K1590" t="s">
        <v>14</v>
      </c>
      <c r="L1590">
        <v>0</v>
      </c>
      <c r="M1590" t="s">
        <v>37</v>
      </c>
      <c r="N1590" t="s">
        <v>37</v>
      </c>
      <c r="O1590" t="s">
        <v>393</v>
      </c>
      <c r="P1590" s="6" t="str">
        <f>IF(Table1[[#This Row],[Transaction_Amount]]&lt;=Table1[[#This Row],[avg_transaction_amount]], "usual transaction", "unusual transaction")</f>
        <v>unusual transaction</v>
      </c>
      <c r="Q1590" s="6" t="str">
        <f>IF(AND(Table1[[#This Row],[Country_of_Residence]]&lt;&gt;Table1[[#This Row],[Country_of_Transaction]], OR(Table1[[#This Row],[Authentication_Type]]="Biometric", Table1[[#This Row],[Authentication_Type]]="OTP")), "safe location transaction", "unsafe location transaction")</f>
        <v>unsafe location transaction</v>
      </c>
      <c r="R1590" s="6" t="str">
        <f>IF(AND(Table1[[#This Row],[Country_of_Residence]]&lt;&gt;Table1[[#This Row],[Country_of_Transaction]], OR(Table1[[#This Row],[Merchant_Category]]="Electronics", Table1[[#This Row],[Merchant_Category]]="Travel")), "unsafe merchant transaction", "safe merchant transaction")</f>
        <v>safe merchant transaction</v>
      </c>
    </row>
    <row r="1591" spans="1:18">
      <c r="A1591" t="s">
        <v>4694</v>
      </c>
      <c r="B1591" t="s">
        <v>252</v>
      </c>
      <c r="C1591">
        <v>1</v>
      </c>
      <c r="D1591" t="s">
        <v>15</v>
      </c>
      <c r="E1591" t="s">
        <v>5</v>
      </c>
      <c r="F1591" s="2">
        <v>45820</v>
      </c>
      <c r="G1591">
        <v>5945.64</v>
      </c>
      <c r="H1591" s="1">
        <f>AVERAGEIF(Table1[Customer_ID], Table1[[#This Row],[Customer_ID]], Table1[Transaction_Amount])</f>
        <v>5193.9638095238097</v>
      </c>
      <c r="I1591" t="s">
        <v>1669</v>
      </c>
      <c r="J1591" t="s">
        <v>31</v>
      </c>
      <c r="K1591" t="s">
        <v>12</v>
      </c>
      <c r="L1591">
        <v>2</v>
      </c>
      <c r="M1591" t="s">
        <v>42</v>
      </c>
      <c r="N1591" t="s">
        <v>33</v>
      </c>
      <c r="O1591" t="s">
        <v>393</v>
      </c>
      <c r="P1591" s="6" t="str">
        <f>IF(Table1[[#This Row],[Transaction_Amount]]&lt;=Table1[[#This Row],[avg_transaction_amount]], "usual transaction", "unusual transaction")</f>
        <v>unusual transaction</v>
      </c>
      <c r="Q1591" s="6" t="str">
        <f>IF(AND(Table1[[#This Row],[Country_of_Residence]]&lt;&gt;Table1[[#This Row],[Country_of_Transaction]], OR(Table1[[#This Row],[Authentication_Type]]="Biometric", Table1[[#This Row],[Authentication_Type]]="OTP")), "safe location transaction", "unsafe location transaction")</f>
        <v>unsafe location transaction</v>
      </c>
      <c r="R1591" s="6" t="str">
        <f>IF(AND(Table1[[#This Row],[Country_of_Residence]]&lt;&gt;Table1[[#This Row],[Country_of_Transaction]], OR(Table1[[#This Row],[Merchant_Category]]="Electronics", Table1[[#This Row],[Merchant_Category]]="Travel")), "unsafe merchant transaction", "safe merchant transaction")</f>
        <v>safe merchant transaction</v>
      </c>
    </row>
    <row r="1592" spans="1:18">
      <c r="A1592" t="s">
        <v>4744</v>
      </c>
      <c r="B1592" t="s">
        <v>252</v>
      </c>
      <c r="C1592">
        <v>1</v>
      </c>
      <c r="D1592" t="s">
        <v>15</v>
      </c>
      <c r="E1592" t="s">
        <v>420</v>
      </c>
      <c r="F1592" s="2">
        <v>45789</v>
      </c>
      <c r="G1592">
        <v>7205.46</v>
      </c>
      <c r="H1592" s="1">
        <f>AVERAGEIF(Table1[Customer_ID], Table1[[#This Row],[Customer_ID]], Table1[Transaction_Amount])</f>
        <v>5193.9638095238097</v>
      </c>
      <c r="I1592" t="s">
        <v>2180</v>
      </c>
      <c r="J1592" t="s">
        <v>36</v>
      </c>
      <c r="K1592" t="s">
        <v>10</v>
      </c>
      <c r="L1592">
        <v>4</v>
      </c>
      <c r="M1592" t="s">
        <v>37</v>
      </c>
      <c r="N1592" t="s">
        <v>33</v>
      </c>
      <c r="O1592" t="s">
        <v>392</v>
      </c>
      <c r="P1592" s="6" t="str">
        <f>IF(Table1[[#This Row],[Transaction_Amount]]&lt;=Table1[[#This Row],[avg_transaction_amount]], "usual transaction", "unusual transaction")</f>
        <v>unusual transaction</v>
      </c>
      <c r="Q1592" s="6" t="str">
        <f>IF(AND(Table1[[#This Row],[Country_of_Residence]]&lt;&gt;Table1[[#This Row],[Country_of_Transaction]], OR(Table1[[#This Row],[Authentication_Type]]="Biometric", Table1[[#This Row],[Authentication_Type]]="OTP")), "safe location transaction", "unsafe location transaction")</f>
        <v>safe location transaction</v>
      </c>
      <c r="R1592" s="6" t="str">
        <f>IF(AND(Table1[[#This Row],[Country_of_Residence]]&lt;&gt;Table1[[#This Row],[Country_of_Transaction]], OR(Table1[[#This Row],[Merchant_Category]]="Electronics", Table1[[#This Row],[Merchant_Category]]="Travel")), "unsafe merchant transaction", "safe merchant transaction")</f>
        <v>safe merchant transaction</v>
      </c>
    </row>
    <row r="1593" spans="1:18">
      <c r="A1593" t="s">
        <v>4753</v>
      </c>
      <c r="B1593" t="s">
        <v>252</v>
      </c>
      <c r="C1593">
        <v>1</v>
      </c>
      <c r="D1593" t="s">
        <v>15</v>
      </c>
      <c r="E1593" t="s">
        <v>420</v>
      </c>
      <c r="F1593" s="2">
        <v>45775</v>
      </c>
      <c r="G1593">
        <v>1455.48</v>
      </c>
      <c r="H1593" s="1">
        <f>AVERAGEIF(Table1[Customer_ID], Table1[[#This Row],[Customer_ID]], Table1[Transaction_Amount])</f>
        <v>5193.9638095238097</v>
      </c>
      <c r="I1593" t="s">
        <v>2187</v>
      </c>
      <c r="J1593" t="s">
        <v>46</v>
      </c>
      <c r="K1593" t="s">
        <v>10</v>
      </c>
      <c r="L1593">
        <v>4</v>
      </c>
      <c r="M1593" t="s">
        <v>33</v>
      </c>
      <c r="N1593" t="s">
        <v>55</v>
      </c>
      <c r="O1593" t="s">
        <v>393</v>
      </c>
      <c r="P1593" s="6" t="str">
        <f>IF(Table1[[#This Row],[Transaction_Amount]]&lt;=Table1[[#This Row],[avg_transaction_amount]], "usual transaction", "unusual transaction")</f>
        <v>usual transaction</v>
      </c>
      <c r="Q1593" s="6" t="str">
        <f>IF(AND(Table1[[#This Row],[Country_of_Residence]]&lt;&gt;Table1[[#This Row],[Country_of_Transaction]], OR(Table1[[#This Row],[Authentication_Type]]="Biometric", Table1[[#This Row],[Authentication_Type]]="OTP")), "safe location transaction", "unsafe location transaction")</f>
        <v>safe location transaction</v>
      </c>
      <c r="R1593" s="6" t="str">
        <f>IF(AND(Table1[[#This Row],[Country_of_Residence]]&lt;&gt;Table1[[#This Row],[Country_of_Transaction]], OR(Table1[[#This Row],[Merchant_Category]]="Electronics", Table1[[#This Row],[Merchant_Category]]="Travel")), "unsafe merchant transaction", "safe merchant transaction")</f>
        <v>safe merchant transaction</v>
      </c>
    </row>
    <row r="1594" spans="1:18">
      <c r="A1594" t="s">
        <v>4781</v>
      </c>
      <c r="B1594" t="s">
        <v>252</v>
      </c>
      <c r="C1594">
        <v>1</v>
      </c>
      <c r="D1594" t="s">
        <v>15</v>
      </c>
      <c r="E1594" t="s">
        <v>3</v>
      </c>
      <c r="F1594" s="2">
        <v>45857</v>
      </c>
      <c r="G1594">
        <v>9911.5300000000007</v>
      </c>
      <c r="H1594" s="1">
        <f>AVERAGEIF(Table1[Customer_ID], Table1[[#This Row],[Customer_ID]], Table1[Transaction_Amount])</f>
        <v>5193.9638095238097</v>
      </c>
      <c r="I1594" t="s">
        <v>2207</v>
      </c>
      <c r="J1594" t="s">
        <v>36</v>
      </c>
      <c r="K1594" t="s">
        <v>10</v>
      </c>
      <c r="L1594">
        <v>1</v>
      </c>
      <c r="M1594" t="s">
        <v>32</v>
      </c>
      <c r="N1594" t="s">
        <v>47</v>
      </c>
      <c r="O1594" t="s">
        <v>393</v>
      </c>
      <c r="P1594" s="6" t="str">
        <f>IF(Table1[[#This Row],[Transaction_Amount]]&lt;=Table1[[#This Row],[avg_transaction_amount]], "usual transaction", "unusual transaction")</f>
        <v>unusual transaction</v>
      </c>
      <c r="Q1594" s="6" t="str">
        <f>IF(AND(Table1[[#This Row],[Country_of_Residence]]&lt;&gt;Table1[[#This Row],[Country_of_Transaction]], OR(Table1[[#This Row],[Authentication_Type]]="Biometric", Table1[[#This Row],[Authentication_Type]]="OTP")), "safe location transaction", "unsafe location transaction")</f>
        <v>safe location transaction</v>
      </c>
      <c r="R1594" s="6" t="str">
        <f>IF(AND(Table1[[#This Row],[Country_of_Residence]]&lt;&gt;Table1[[#This Row],[Country_of_Transaction]], OR(Table1[[#This Row],[Merchant_Category]]="Electronics", Table1[[#This Row],[Merchant_Category]]="Travel")), "unsafe merchant transaction", "safe merchant transaction")</f>
        <v>safe merchant transaction</v>
      </c>
    </row>
    <row r="1595" spans="1:18">
      <c r="A1595" t="s">
        <v>4797</v>
      </c>
      <c r="B1595" t="s">
        <v>252</v>
      </c>
      <c r="C1595">
        <v>1</v>
      </c>
      <c r="D1595" t="s">
        <v>9</v>
      </c>
      <c r="E1595" t="s">
        <v>6</v>
      </c>
      <c r="F1595" s="2">
        <v>45743</v>
      </c>
      <c r="G1595">
        <v>5851.71</v>
      </c>
      <c r="H1595" s="1">
        <f>AVERAGEIF(Table1[Customer_ID], Table1[[#This Row],[Customer_ID]], Table1[Transaction_Amount])</f>
        <v>5193.9638095238097</v>
      </c>
      <c r="I1595" t="s">
        <v>2220</v>
      </c>
      <c r="J1595" t="s">
        <v>46</v>
      </c>
      <c r="K1595" t="s">
        <v>12</v>
      </c>
      <c r="L1595">
        <v>4</v>
      </c>
      <c r="M1595" t="s">
        <v>56</v>
      </c>
      <c r="N1595" t="s">
        <v>32</v>
      </c>
      <c r="O1595" t="s">
        <v>393</v>
      </c>
      <c r="P1595" s="6" t="str">
        <f>IF(Table1[[#This Row],[Transaction_Amount]]&lt;=Table1[[#This Row],[avg_transaction_amount]], "usual transaction", "unusual transaction")</f>
        <v>unusual transaction</v>
      </c>
      <c r="Q1595" s="6" t="str">
        <f>IF(AND(Table1[[#This Row],[Country_of_Residence]]&lt;&gt;Table1[[#This Row],[Country_of_Transaction]], OR(Table1[[#This Row],[Authentication_Type]]="Biometric", Table1[[#This Row],[Authentication_Type]]="OTP")), "safe location transaction", "unsafe location transaction")</f>
        <v>unsafe location transaction</v>
      </c>
      <c r="R1595" s="6" t="str">
        <f>IF(AND(Table1[[#This Row],[Country_of_Residence]]&lt;&gt;Table1[[#This Row],[Country_of_Transaction]], OR(Table1[[#This Row],[Merchant_Category]]="Electronics", Table1[[#This Row],[Merchant_Category]]="Travel")), "unsafe merchant transaction", "safe merchant transaction")</f>
        <v>safe merchant transaction</v>
      </c>
    </row>
    <row r="1596" spans="1:18">
      <c r="A1596" t="s">
        <v>4807</v>
      </c>
      <c r="B1596" t="s">
        <v>252</v>
      </c>
      <c r="C1596">
        <v>1</v>
      </c>
      <c r="D1596" t="s">
        <v>9</v>
      </c>
      <c r="E1596" t="s">
        <v>3</v>
      </c>
      <c r="F1596" s="2">
        <v>45935</v>
      </c>
      <c r="G1596">
        <v>7292.56</v>
      </c>
      <c r="H1596" s="1">
        <f>AVERAGEIF(Table1[Customer_ID], Table1[[#This Row],[Customer_ID]], Table1[Transaction_Amount])</f>
        <v>5193.9638095238097</v>
      </c>
      <c r="I1596" t="s">
        <v>2228</v>
      </c>
      <c r="J1596" t="s">
        <v>36</v>
      </c>
      <c r="K1596" t="s">
        <v>10</v>
      </c>
      <c r="L1596">
        <v>5</v>
      </c>
      <c r="M1596" t="s">
        <v>32</v>
      </c>
      <c r="N1596" t="s">
        <v>56</v>
      </c>
      <c r="O1596" t="s">
        <v>393</v>
      </c>
      <c r="P1596" s="6" t="str">
        <f>IF(Table1[[#This Row],[Transaction_Amount]]&lt;=Table1[[#This Row],[avg_transaction_amount]], "usual transaction", "unusual transaction")</f>
        <v>unusual transaction</v>
      </c>
      <c r="Q1596" s="6" t="str">
        <f>IF(AND(Table1[[#This Row],[Country_of_Residence]]&lt;&gt;Table1[[#This Row],[Country_of_Transaction]], OR(Table1[[#This Row],[Authentication_Type]]="Biometric", Table1[[#This Row],[Authentication_Type]]="OTP")), "safe location transaction", "unsafe location transaction")</f>
        <v>safe location transaction</v>
      </c>
      <c r="R1596" s="6" t="str">
        <f>IF(AND(Table1[[#This Row],[Country_of_Residence]]&lt;&gt;Table1[[#This Row],[Country_of_Transaction]], OR(Table1[[#This Row],[Merchant_Category]]="Electronics", Table1[[#This Row],[Merchant_Category]]="Travel")), "unsafe merchant transaction", "safe merchant transaction")</f>
        <v>safe merchant transaction</v>
      </c>
    </row>
    <row r="1597" spans="1:18">
      <c r="A1597" t="s">
        <v>4851</v>
      </c>
      <c r="B1597" t="s">
        <v>252</v>
      </c>
      <c r="C1597">
        <v>1</v>
      </c>
      <c r="D1597" t="s">
        <v>9</v>
      </c>
      <c r="E1597" t="s">
        <v>420</v>
      </c>
      <c r="F1597" s="2">
        <v>45853</v>
      </c>
      <c r="G1597">
        <v>8062.33</v>
      </c>
      <c r="H1597" s="1">
        <f>AVERAGEIF(Table1[Customer_ID], Table1[[#This Row],[Customer_ID]], Table1[Transaction_Amount])</f>
        <v>5193.9638095238097</v>
      </c>
      <c r="I1597" t="s">
        <v>2264</v>
      </c>
      <c r="J1597" t="s">
        <v>41</v>
      </c>
      <c r="K1597" t="s">
        <v>12</v>
      </c>
      <c r="L1597">
        <v>0</v>
      </c>
      <c r="M1597" t="s">
        <v>55</v>
      </c>
      <c r="N1597" t="s">
        <v>56</v>
      </c>
      <c r="O1597" t="s">
        <v>392</v>
      </c>
      <c r="P1597" s="6" t="str">
        <f>IF(Table1[[#This Row],[Transaction_Amount]]&lt;=Table1[[#This Row],[avg_transaction_amount]], "usual transaction", "unusual transaction")</f>
        <v>unusual transaction</v>
      </c>
      <c r="Q1597" s="6" t="str">
        <f>IF(AND(Table1[[#This Row],[Country_of_Residence]]&lt;&gt;Table1[[#This Row],[Country_of_Transaction]], OR(Table1[[#This Row],[Authentication_Type]]="Biometric", Table1[[#This Row],[Authentication_Type]]="OTP")), "safe location transaction", "unsafe location transaction")</f>
        <v>unsafe location transaction</v>
      </c>
      <c r="R1597" s="6" t="str">
        <f>IF(AND(Table1[[#This Row],[Country_of_Residence]]&lt;&gt;Table1[[#This Row],[Country_of_Transaction]], OR(Table1[[#This Row],[Merchant_Category]]="Electronics", Table1[[#This Row],[Merchant_Category]]="Travel")), "unsafe merchant transaction", "safe merchant transaction")</f>
        <v>safe merchant transaction</v>
      </c>
    </row>
    <row r="1598" spans="1:18">
      <c r="A1598" t="s">
        <v>4858</v>
      </c>
      <c r="B1598" t="s">
        <v>252</v>
      </c>
      <c r="C1598">
        <v>1</v>
      </c>
      <c r="D1598" t="s">
        <v>9</v>
      </c>
      <c r="E1598" t="s">
        <v>420</v>
      </c>
      <c r="F1598" s="2">
        <v>45867</v>
      </c>
      <c r="G1598">
        <v>5375.02</v>
      </c>
      <c r="H1598" s="1">
        <f>AVERAGEIF(Table1[Customer_ID], Table1[[#This Row],[Customer_ID]], Table1[Transaction_Amount])</f>
        <v>5193.9638095238097</v>
      </c>
      <c r="I1598" t="s">
        <v>1765</v>
      </c>
      <c r="J1598" t="s">
        <v>41</v>
      </c>
      <c r="K1598" t="s">
        <v>10</v>
      </c>
      <c r="L1598">
        <v>4</v>
      </c>
      <c r="M1598" t="s">
        <v>56</v>
      </c>
      <c r="N1598" t="s">
        <v>37</v>
      </c>
      <c r="O1598" t="s">
        <v>393</v>
      </c>
      <c r="P1598" s="6" t="str">
        <f>IF(Table1[[#This Row],[Transaction_Amount]]&lt;=Table1[[#This Row],[avg_transaction_amount]], "usual transaction", "unusual transaction")</f>
        <v>unusual transaction</v>
      </c>
      <c r="Q1598" s="6" t="str">
        <f>IF(AND(Table1[[#This Row],[Country_of_Residence]]&lt;&gt;Table1[[#This Row],[Country_of_Transaction]], OR(Table1[[#This Row],[Authentication_Type]]="Biometric", Table1[[#This Row],[Authentication_Type]]="OTP")), "safe location transaction", "unsafe location transaction")</f>
        <v>safe location transaction</v>
      </c>
      <c r="R1598" s="6" t="str">
        <f>IF(AND(Table1[[#This Row],[Country_of_Residence]]&lt;&gt;Table1[[#This Row],[Country_of_Transaction]], OR(Table1[[#This Row],[Merchant_Category]]="Electronics", Table1[[#This Row],[Merchant_Category]]="Travel")), "unsafe merchant transaction", "safe merchant transaction")</f>
        <v>safe merchant transaction</v>
      </c>
    </row>
    <row r="1599" spans="1:18">
      <c r="A1599" t="s">
        <v>4888</v>
      </c>
      <c r="B1599" t="s">
        <v>252</v>
      </c>
      <c r="C1599">
        <v>1</v>
      </c>
      <c r="D1599" t="s">
        <v>9</v>
      </c>
      <c r="E1599" t="s">
        <v>420</v>
      </c>
      <c r="F1599" s="2">
        <v>45681</v>
      </c>
      <c r="G1599">
        <v>4893.7299999999996</v>
      </c>
      <c r="H1599" s="1">
        <f>AVERAGEIF(Table1[Customer_ID], Table1[[#This Row],[Customer_ID]], Table1[Transaction_Amount])</f>
        <v>5193.9638095238097</v>
      </c>
      <c r="I1599" t="s">
        <v>2291</v>
      </c>
      <c r="J1599" t="s">
        <v>36</v>
      </c>
      <c r="K1599" t="s">
        <v>12</v>
      </c>
      <c r="L1599">
        <v>1</v>
      </c>
      <c r="M1599" t="s">
        <v>33</v>
      </c>
      <c r="N1599" t="s">
        <v>33</v>
      </c>
      <c r="O1599" t="s">
        <v>392</v>
      </c>
      <c r="P1599" s="6" t="str">
        <f>IF(Table1[[#This Row],[Transaction_Amount]]&lt;=Table1[[#This Row],[avg_transaction_amount]], "usual transaction", "unusual transaction")</f>
        <v>usual transaction</v>
      </c>
      <c r="Q1599" s="6" t="str">
        <f>IF(AND(Table1[[#This Row],[Country_of_Residence]]&lt;&gt;Table1[[#This Row],[Country_of_Transaction]], OR(Table1[[#This Row],[Authentication_Type]]="Biometric", Table1[[#This Row],[Authentication_Type]]="OTP")), "safe location transaction", "unsafe location transaction")</f>
        <v>unsafe location transaction</v>
      </c>
      <c r="R1599" s="6" t="str">
        <f>IF(AND(Table1[[#This Row],[Country_of_Residence]]&lt;&gt;Table1[[#This Row],[Country_of_Transaction]], OR(Table1[[#This Row],[Merchant_Category]]="Electronics", Table1[[#This Row],[Merchant_Category]]="Travel")), "unsafe merchant transaction", "safe merchant transaction")</f>
        <v>safe merchant transaction</v>
      </c>
    </row>
    <row r="1600" spans="1:18">
      <c r="A1600" t="s">
        <v>4893</v>
      </c>
      <c r="B1600" t="s">
        <v>252</v>
      </c>
      <c r="C1600">
        <v>1</v>
      </c>
      <c r="D1600" t="s">
        <v>15</v>
      </c>
      <c r="E1600" t="s">
        <v>6</v>
      </c>
      <c r="F1600" s="2">
        <v>45758</v>
      </c>
      <c r="G1600">
        <v>9392.7900000000009</v>
      </c>
      <c r="H1600" s="1">
        <f>AVERAGEIF(Table1[Customer_ID], Table1[[#This Row],[Customer_ID]], Table1[Transaction_Amount])</f>
        <v>5193.9638095238097</v>
      </c>
      <c r="I1600" t="s">
        <v>2295</v>
      </c>
      <c r="J1600" t="s">
        <v>50</v>
      </c>
      <c r="K1600" t="s">
        <v>12</v>
      </c>
      <c r="L1600">
        <v>2</v>
      </c>
      <c r="M1600" t="s">
        <v>42</v>
      </c>
      <c r="N1600" t="s">
        <v>56</v>
      </c>
      <c r="O1600" t="s">
        <v>392</v>
      </c>
      <c r="P1600" s="6" t="str">
        <f>IF(Table1[[#This Row],[Transaction_Amount]]&lt;=Table1[[#This Row],[avg_transaction_amount]], "usual transaction", "unusual transaction")</f>
        <v>unusual transaction</v>
      </c>
      <c r="Q1600" s="6" t="str">
        <f>IF(AND(Table1[[#This Row],[Country_of_Residence]]&lt;&gt;Table1[[#This Row],[Country_of_Transaction]], OR(Table1[[#This Row],[Authentication_Type]]="Biometric", Table1[[#This Row],[Authentication_Type]]="OTP")), "safe location transaction", "unsafe location transaction")</f>
        <v>unsafe location transaction</v>
      </c>
      <c r="R1600" s="6" t="str">
        <f>IF(AND(Table1[[#This Row],[Country_of_Residence]]&lt;&gt;Table1[[#This Row],[Country_of_Transaction]], OR(Table1[[#This Row],[Merchant_Category]]="Electronics", Table1[[#This Row],[Merchant_Category]]="Travel")), "unsafe merchant transaction", "safe merchant transaction")</f>
        <v>unsafe merchant transaction</v>
      </c>
    </row>
    <row r="1601" spans="1:18">
      <c r="A1601" t="s">
        <v>4953</v>
      </c>
      <c r="B1601" t="s">
        <v>252</v>
      </c>
      <c r="C1601">
        <v>1</v>
      </c>
      <c r="D1601" t="s">
        <v>9</v>
      </c>
      <c r="E1601" t="s">
        <v>420</v>
      </c>
      <c r="F1601" s="2">
        <v>45778</v>
      </c>
      <c r="G1601">
        <v>7703.02</v>
      </c>
      <c r="H1601" s="1">
        <f>AVERAGEIF(Table1[Customer_ID], Table1[[#This Row],[Customer_ID]], Table1[Transaction_Amount])</f>
        <v>5193.9638095238097</v>
      </c>
      <c r="I1601" t="s">
        <v>1594</v>
      </c>
      <c r="J1601" t="s">
        <v>31</v>
      </c>
      <c r="K1601" t="s">
        <v>10</v>
      </c>
      <c r="L1601">
        <v>5</v>
      </c>
      <c r="M1601" t="s">
        <v>55</v>
      </c>
      <c r="N1601" t="s">
        <v>42</v>
      </c>
      <c r="O1601" t="s">
        <v>392</v>
      </c>
      <c r="P1601" s="6" t="str">
        <f>IF(Table1[[#This Row],[Transaction_Amount]]&lt;=Table1[[#This Row],[avg_transaction_amount]], "usual transaction", "unusual transaction")</f>
        <v>unusual transaction</v>
      </c>
      <c r="Q1601" s="6" t="str">
        <f>IF(AND(Table1[[#This Row],[Country_of_Residence]]&lt;&gt;Table1[[#This Row],[Country_of_Transaction]], OR(Table1[[#This Row],[Authentication_Type]]="Biometric", Table1[[#This Row],[Authentication_Type]]="OTP")), "safe location transaction", "unsafe location transaction")</f>
        <v>safe location transaction</v>
      </c>
      <c r="R1601" s="6" t="str">
        <f>IF(AND(Table1[[#This Row],[Country_of_Residence]]&lt;&gt;Table1[[#This Row],[Country_of_Transaction]], OR(Table1[[#This Row],[Merchant_Category]]="Electronics", Table1[[#This Row],[Merchant_Category]]="Travel")), "unsafe merchant transaction", "safe merchant transaction")</f>
        <v>safe merchant transaction</v>
      </c>
    </row>
    <row r="1602" spans="1:18">
      <c r="A1602" t="s">
        <v>5080</v>
      </c>
      <c r="B1602" t="s">
        <v>252</v>
      </c>
      <c r="C1602">
        <v>1</v>
      </c>
      <c r="D1602" t="s">
        <v>9</v>
      </c>
      <c r="E1602" t="s">
        <v>6</v>
      </c>
      <c r="F1602" s="2">
        <v>45937</v>
      </c>
      <c r="G1602">
        <v>909.79</v>
      </c>
      <c r="H1602" s="1">
        <f>AVERAGEIF(Table1[Customer_ID], Table1[[#This Row],[Customer_ID]], Table1[Transaction_Amount])</f>
        <v>5193.9638095238097</v>
      </c>
      <c r="I1602" t="s">
        <v>2434</v>
      </c>
      <c r="J1602" t="s">
        <v>36</v>
      </c>
      <c r="K1602" t="s">
        <v>10</v>
      </c>
      <c r="L1602">
        <v>4</v>
      </c>
      <c r="M1602" t="s">
        <v>42</v>
      </c>
      <c r="N1602" t="s">
        <v>33</v>
      </c>
      <c r="O1602" t="s">
        <v>392</v>
      </c>
      <c r="P1602" s="6" t="str">
        <f>IF(Table1[[#This Row],[Transaction_Amount]]&lt;=Table1[[#This Row],[avg_transaction_amount]], "usual transaction", "unusual transaction")</f>
        <v>usual transaction</v>
      </c>
      <c r="Q1602" s="6" t="str">
        <f>IF(AND(Table1[[#This Row],[Country_of_Residence]]&lt;&gt;Table1[[#This Row],[Country_of_Transaction]], OR(Table1[[#This Row],[Authentication_Type]]="Biometric", Table1[[#This Row],[Authentication_Type]]="OTP")), "safe location transaction", "unsafe location transaction")</f>
        <v>safe location transaction</v>
      </c>
      <c r="R1602" s="6" t="str">
        <f>IF(AND(Table1[[#This Row],[Country_of_Residence]]&lt;&gt;Table1[[#This Row],[Country_of_Transaction]], OR(Table1[[#This Row],[Merchant_Category]]="Electronics", Table1[[#This Row],[Merchant_Category]]="Travel")), "unsafe merchant transaction", "safe merchant transaction")</f>
        <v>safe merchant transaction</v>
      </c>
    </row>
    <row r="1603" spans="1:18">
      <c r="A1603" t="s">
        <v>5101</v>
      </c>
      <c r="B1603" t="s">
        <v>252</v>
      </c>
      <c r="C1603">
        <v>1</v>
      </c>
      <c r="D1603" t="s">
        <v>9</v>
      </c>
      <c r="E1603" t="s">
        <v>420</v>
      </c>
      <c r="F1603" s="2">
        <v>45898</v>
      </c>
      <c r="G1603">
        <v>6215.75</v>
      </c>
      <c r="H1603" s="1">
        <f>AVERAGEIF(Table1[Customer_ID], Table1[[#This Row],[Customer_ID]], Table1[Transaction_Amount])</f>
        <v>5193.9638095238097</v>
      </c>
      <c r="I1603" t="s">
        <v>2451</v>
      </c>
      <c r="J1603" t="s">
        <v>50</v>
      </c>
      <c r="K1603" t="s">
        <v>14</v>
      </c>
      <c r="L1603">
        <v>4</v>
      </c>
      <c r="M1603" t="s">
        <v>37</v>
      </c>
      <c r="N1603" t="s">
        <v>47</v>
      </c>
      <c r="O1603" t="s">
        <v>393</v>
      </c>
      <c r="P1603" s="6" t="str">
        <f>IF(Table1[[#This Row],[Transaction_Amount]]&lt;=Table1[[#This Row],[avg_transaction_amount]], "usual transaction", "unusual transaction")</f>
        <v>unusual transaction</v>
      </c>
      <c r="Q1603" s="6" t="str">
        <f>IF(AND(Table1[[#This Row],[Country_of_Residence]]&lt;&gt;Table1[[#This Row],[Country_of_Transaction]], OR(Table1[[#This Row],[Authentication_Type]]="Biometric", Table1[[#This Row],[Authentication_Type]]="OTP")), "safe location transaction", "unsafe location transaction")</f>
        <v>unsafe location transaction</v>
      </c>
      <c r="R1603" s="6" t="str">
        <f>IF(AND(Table1[[#This Row],[Country_of_Residence]]&lt;&gt;Table1[[#This Row],[Country_of_Transaction]], OR(Table1[[#This Row],[Merchant_Category]]="Electronics", Table1[[#This Row],[Merchant_Category]]="Travel")), "unsafe merchant transaction", "safe merchant transaction")</f>
        <v>unsafe merchant transaction</v>
      </c>
    </row>
    <row r="1604" spans="1:18">
      <c r="A1604" t="s">
        <v>5124</v>
      </c>
      <c r="B1604" t="s">
        <v>252</v>
      </c>
      <c r="C1604">
        <v>1</v>
      </c>
      <c r="D1604" t="s">
        <v>15</v>
      </c>
      <c r="E1604" t="s">
        <v>3</v>
      </c>
      <c r="F1604" s="2">
        <v>45934</v>
      </c>
      <c r="G1604">
        <v>5519.75</v>
      </c>
      <c r="H1604" s="1">
        <f>AVERAGEIF(Table1[Customer_ID], Table1[[#This Row],[Customer_ID]], Table1[Transaction_Amount])</f>
        <v>5193.9638095238097</v>
      </c>
      <c r="I1604" t="s">
        <v>1739</v>
      </c>
      <c r="J1604" t="s">
        <v>31</v>
      </c>
      <c r="K1604" t="s">
        <v>14</v>
      </c>
      <c r="L1604">
        <v>1</v>
      </c>
      <c r="M1604" t="s">
        <v>55</v>
      </c>
      <c r="N1604" t="s">
        <v>47</v>
      </c>
      <c r="O1604" t="s">
        <v>393</v>
      </c>
      <c r="P1604" s="6" t="str">
        <f>IF(Table1[[#This Row],[Transaction_Amount]]&lt;=Table1[[#This Row],[avg_transaction_amount]], "usual transaction", "unusual transaction")</f>
        <v>unusual transaction</v>
      </c>
      <c r="Q1604" s="6" t="str">
        <f>IF(AND(Table1[[#This Row],[Country_of_Residence]]&lt;&gt;Table1[[#This Row],[Country_of_Transaction]], OR(Table1[[#This Row],[Authentication_Type]]="Biometric", Table1[[#This Row],[Authentication_Type]]="OTP")), "safe location transaction", "unsafe location transaction")</f>
        <v>unsafe location transaction</v>
      </c>
      <c r="R1604" s="6" t="str">
        <f>IF(AND(Table1[[#This Row],[Country_of_Residence]]&lt;&gt;Table1[[#This Row],[Country_of_Transaction]], OR(Table1[[#This Row],[Merchant_Category]]="Electronics", Table1[[#This Row],[Merchant_Category]]="Travel")), "unsafe merchant transaction", "safe merchant transaction")</f>
        <v>safe merchant transaction</v>
      </c>
    </row>
    <row r="1605" spans="1:18">
      <c r="A1605" t="s">
        <v>5194</v>
      </c>
      <c r="B1605" t="s">
        <v>252</v>
      </c>
      <c r="C1605">
        <v>1</v>
      </c>
      <c r="D1605" t="s">
        <v>9</v>
      </c>
      <c r="E1605" t="s">
        <v>3</v>
      </c>
      <c r="F1605" s="2">
        <v>45864</v>
      </c>
      <c r="G1605">
        <v>8775.66</v>
      </c>
      <c r="H1605" s="1">
        <f>AVERAGEIF(Table1[Customer_ID], Table1[[#This Row],[Customer_ID]], Table1[Transaction_Amount])</f>
        <v>5193.9638095238097</v>
      </c>
      <c r="I1605" t="s">
        <v>2525</v>
      </c>
      <c r="J1605" t="s">
        <v>46</v>
      </c>
      <c r="K1605" t="s">
        <v>14</v>
      </c>
      <c r="L1605">
        <v>3</v>
      </c>
      <c r="M1605" t="s">
        <v>56</v>
      </c>
      <c r="N1605" t="s">
        <v>47</v>
      </c>
      <c r="O1605" t="s">
        <v>392</v>
      </c>
      <c r="P1605" s="6" t="str">
        <f>IF(Table1[[#This Row],[Transaction_Amount]]&lt;=Table1[[#This Row],[avg_transaction_amount]], "usual transaction", "unusual transaction")</f>
        <v>unusual transaction</v>
      </c>
      <c r="Q1605" s="6" t="str">
        <f>IF(AND(Table1[[#This Row],[Country_of_Residence]]&lt;&gt;Table1[[#This Row],[Country_of_Transaction]], OR(Table1[[#This Row],[Authentication_Type]]="Biometric", Table1[[#This Row],[Authentication_Type]]="OTP")), "safe location transaction", "unsafe location transaction")</f>
        <v>unsafe location transaction</v>
      </c>
      <c r="R1605" s="6" t="str">
        <f>IF(AND(Table1[[#This Row],[Country_of_Residence]]&lt;&gt;Table1[[#This Row],[Country_of_Transaction]], OR(Table1[[#This Row],[Merchant_Category]]="Electronics", Table1[[#This Row],[Merchant_Category]]="Travel")), "unsafe merchant transaction", "safe merchant transaction")</f>
        <v>safe merchant transaction</v>
      </c>
    </row>
    <row r="1606" spans="1:18">
      <c r="A1606" t="s">
        <v>5198</v>
      </c>
      <c r="B1606" t="s">
        <v>252</v>
      </c>
      <c r="C1606">
        <v>1</v>
      </c>
      <c r="D1606" t="s">
        <v>15</v>
      </c>
      <c r="E1606" t="s">
        <v>3</v>
      </c>
      <c r="F1606" s="2">
        <v>45898</v>
      </c>
      <c r="G1606">
        <v>7798.02</v>
      </c>
      <c r="H1606" s="1">
        <f>AVERAGEIF(Table1[Customer_ID], Table1[[#This Row],[Customer_ID]], Table1[Transaction_Amount])</f>
        <v>5193.9638095238097</v>
      </c>
      <c r="I1606" t="s">
        <v>2528</v>
      </c>
      <c r="J1606" t="s">
        <v>36</v>
      </c>
      <c r="K1606" t="s">
        <v>12</v>
      </c>
      <c r="L1606">
        <v>0</v>
      </c>
      <c r="M1606" t="s">
        <v>412</v>
      </c>
      <c r="N1606" t="s">
        <v>42</v>
      </c>
      <c r="O1606" t="s">
        <v>392</v>
      </c>
      <c r="P1606" s="6" t="str">
        <f>IF(Table1[[#This Row],[Transaction_Amount]]&lt;=Table1[[#This Row],[avg_transaction_amount]], "usual transaction", "unusual transaction")</f>
        <v>unusual transaction</v>
      </c>
      <c r="Q1606" s="6" t="str">
        <f>IF(AND(Table1[[#This Row],[Country_of_Residence]]&lt;&gt;Table1[[#This Row],[Country_of_Transaction]], OR(Table1[[#This Row],[Authentication_Type]]="Biometric", Table1[[#This Row],[Authentication_Type]]="OTP")), "safe location transaction", "unsafe location transaction")</f>
        <v>unsafe location transaction</v>
      </c>
      <c r="R1606" s="6" t="str">
        <f>IF(AND(Table1[[#This Row],[Country_of_Residence]]&lt;&gt;Table1[[#This Row],[Country_of_Transaction]], OR(Table1[[#This Row],[Merchant_Category]]="Electronics", Table1[[#This Row],[Merchant_Category]]="Travel")), "unsafe merchant transaction", "safe merchant transaction")</f>
        <v>safe merchant transaction</v>
      </c>
    </row>
    <row r="1607" spans="1:18">
      <c r="A1607" t="s">
        <v>5203</v>
      </c>
      <c r="B1607" t="s">
        <v>252</v>
      </c>
      <c r="C1607">
        <v>1</v>
      </c>
      <c r="D1607" t="s">
        <v>15</v>
      </c>
      <c r="E1607" t="s">
        <v>6</v>
      </c>
      <c r="F1607" s="2">
        <v>45911</v>
      </c>
      <c r="G1607">
        <v>7959.85</v>
      </c>
      <c r="H1607" s="1">
        <f>AVERAGEIF(Table1[Customer_ID], Table1[[#This Row],[Customer_ID]], Table1[Transaction_Amount])</f>
        <v>5193.9638095238097</v>
      </c>
      <c r="I1607" t="s">
        <v>2531</v>
      </c>
      <c r="J1607" t="s">
        <v>50</v>
      </c>
      <c r="K1607" t="s">
        <v>14</v>
      </c>
      <c r="L1607">
        <v>5</v>
      </c>
      <c r="M1607" t="s">
        <v>33</v>
      </c>
      <c r="N1607" t="s">
        <v>32</v>
      </c>
      <c r="O1607" t="s">
        <v>392</v>
      </c>
      <c r="P1607" s="6" t="str">
        <f>IF(Table1[[#This Row],[Transaction_Amount]]&lt;=Table1[[#This Row],[avg_transaction_amount]], "usual transaction", "unusual transaction")</f>
        <v>unusual transaction</v>
      </c>
      <c r="Q1607" s="6" t="str">
        <f>IF(AND(Table1[[#This Row],[Country_of_Residence]]&lt;&gt;Table1[[#This Row],[Country_of_Transaction]], OR(Table1[[#This Row],[Authentication_Type]]="Biometric", Table1[[#This Row],[Authentication_Type]]="OTP")), "safe location transaction", "unsafe location transaction")</f>
        <v>unsafe location transaction</v>
      </c>
      <c r="R1607" s="6" t="str">
        <f>IF(AND(Table1[[#This Row],[Country_of_Residence]]&lt;&gt;Table1[[#This Row],[Country_of_Transaction]], OR(Table1[[#This Row],[Merchant_Category]]="Electronics", Table1[[#This Row],[Merchant_Category]]="Travel")), "unsafe merchant transaction", "safe merchant transaction")</f>
        <v>unsafe merchant transaction</v>
      </c>
    </row>
    <row r="1608" spans="1:18">
      <c r="A1608" t="s">
        <v>5227</v>
      </c>
      <c r="B1608" t="s">
        <v>252</v>
      </c>
      <c r="C1608">
        <v>1</v>
      </c>
      <c r="D1608" t="s">
        <v>9</v>
      </c>
      <c r="E1608" t="s">
        <v>3</v>
      </c>
      <c r="F1608" s="2">
        <v>45864</v>
      </c>
      <c r="G1608">
        <v>5661.03</v>
      </c>
      <c r="H1608" s="1">
        <f>AVERAGEIF(Table1[Customer_ID], Table1[[#This Row],[Customer_ID]], Table1[Transaction_Amount])</f>
        <v>5193.9638095238097</v>
      </c>
      <c r="I1608" t="s">
        <v>322</v>
      </c>
      <c r="J1608" t="s">
        <v>41</v>
      </c>
      <c r="K1608" t="s">
        <v>10</v>
      </c>
      <c r="L1608">
        <v>3</v>
      </c>
      <c r="M1608" t="s">
        <v>42</v>
      </c>
      <c r="N1608" t="s">
        <v>47</v>
      </c>
      <c r="O1608" t="s">
        <v>393</v>
      </c>
      <c r="P1608" s="6" t="str">
        <f>IF(Table1[[#This Row],[Transaction_Amount]]&lt;=Table1[[#This Row],[avg_transaction_amount]], "usual transaction", "unusual transaction")</f>
        <v>unusual transaction</v>
      </c>
      <c r="Q1608" s="6" t="str">
        <f>IF(AND(Table1[[#This Row],[Country_of_Residence]]&lt;&gt;Table1[[#This Row],[Country_of_Transaction]], OR(Table1[[#This Row],[Authentication_Type]]="Biometric", Table1[[#This Row],[Authentication_Type]]="OTP")), "safe location transaction", "unsafe location transaction")</f>
        <v>safe location transaction</v>
      </c>
      <c r="R1608" s="6" t="str">
        <f>IF(AND(Table1[[#This Row],[Country_of_Residence]]&lt;&gt;Table1[[#This Row],[Country_of_Transaction]], OR(Table1[[#This Row],[Merchant_Category]]="Electronics", Table1[[#This Row],[Merchant_Category]]="Travel")), "unsafe merchant transaction", "safe merchant transaction")</f>
        <v>safe merchant transaction</v>
      </c>
    </row>
    <row r="1609" spans="1:18">
      <c r="A1609" t="s">
        <v>5240</v>
      </c>
      <c r="B1609" t="s">
        <v>252</v>
      </c>
      <c r="C1609">
        <v>1</v>
      </c>
      <c r="D1609" t="s">
        <v>15</v>
      </c>
      <c r="E1609" t="s">
        <v>6</v>
      </c>
      <c r="F1609" s="2">
        <v>45909</v>
      </c>
      <c r="G1609">
        <v>9309.07</v>
      </c>
      <c r="H1609" s="1">
        <f>AVERAGEIF(Table1[Customer_ID], Table1[[#This Row],[Customer_ID]], Table1[Transaction_Amount])</f>
        <v>5193.9638095238097</v>
      </c>
      <c r="I1609" t="s">
        <v>2562</v>
      </c>
      <c r="J1609" t="s">
        <v>31</v>
      </c>
      <c r="K1609" t="s">
        <v>10</v>
      </c>
      <c r="L1609">
        <v>5</v>
      </c>
      <c r="M1609" t="s">
        <v>412</v>
      </c>
      <c r="N1609" t="s">
        <v>412</v>
      </c>
      <c r="O1609" t="s">
        <v>393</v>
      </c>
      <c r="P1609" s="6" t="str">
        <f>IF(Table1[[#This Row],[Transaction_Amount]]&lt;=Table1[[#This Row],[avg_transaction_amount]], "usual transaction", "unusual transaction")</f>
        <v>unusual transaction</v>
      </c>
      <c r="Q1609" s="6" t="str">
        <f>IF(AND(Table1[[#This Row],[Country_of_Residence]]&lt;&gt;Table1[[#This Row],[Country_of_Transaction]], OR(Table1[[#This Row],[Authentication_Type]]="Biometric", Table1[[#This Row],[Authentication_Type]]="OTP")), "safe location transaction", "unsafe location transaction")</f>
        <v>unsafe location transaction</v>
      </c>
      <c r="R1609" s="6" t="str">
        <f>IF(AND(Table1[[#This Row],[Country_of_Residence]]&lt;&gt;Table1[[#This Row],[Country_of_Transaction]], OR(Table1[[#This Row],[Merchant_Category]]="Electronics", Table1[[#This Row],[Merchant_Category]]="Travel")), "unsafe merchant transaction", "safe merchant transaction")</f>
        <v>safe merchant transaction</v>
      </c>
    </row>
    <row r="1610" spans="1:18">
      <c r="A1610" t="s">
        <v>5263</v>
      </c>
      <c r="B1610" t="s">
        <v>252</v>
      </c>
      <c r="C1610">
        <v>1</v>
      </c>
      <c r="D1610" t="s">
        <v>9</v>
      </c>
      <c r="E1610" t="s">
        <v>6</v>
      </c>
      <c r="F1610" s="2">
        <v>45842</v>
      </c>
      <c r="G1610">
        <v>5220.68</v>
      </c>
      <c r="H1610" s="1">
        <f>AVERAGEIF(Table1[Customer_ID], Table1[[#This Row],[Customer_ID]], Table1[Transaction_Amount])</f>
        <v>5193.9638095238097</v>
      </c>
      <c r="I1610" t="s">
        <v>2580</v>
      </c>
      <c r="J1610" t="s">
        <v>31</v>
      </c>
      <c r="K1610" t="s">
        <v>12</v>
      </c>
      <c r="L1610">
        <v>2</v>
      </c>
      <c r="M1610" t="s">
        <v>32</v>
      </c>
      <c r="N1610" t="s">
        <v>47</v>
      </c>
      <c r="O1610" t="s">
        <v>393</v>
      </c>
      <c r="P1610" s="6" t="str">
        <f>IF(Table1[[#This Row],[Transaction_Amount]]&lt;=Table1[[#This Row],[avg_transaction_amount]], "usual transaction", "unusual transaction")</f>
        <v>unusual transaction</v>
      </c>
      <c r="Q1610" s="6" t="str">
        <f>IF(AND(Table1[[#This Row],[Country_of_Residence]]&lt;&gt;Table1[[#This Row],[Country_of_Transaction]], OR(Table1[[#This Row],[Authentication_Type]]="Biometric", Table1[[#This Row],[Authentication_Type]]="OTP")), "safe location transaction", "unsafe location transaction")</f>
        <v>unsafe location transaction</v>
      </c>
      <c r="R1610" s="6" t="str">
        <f>IF(AND(Table1[[#This Row],[Country_of_Residence]]&lt;&gt;Table1[[#This Row],[Country_of_Transaction]], OR(Table1[[#This Row],[Merchant_Category]]="Electronics", Table1[[#This Row],[Merchant_Category]]="Travel")), "unsafe merchant transaction", "safe merchant transaction")</f>
        <v>safe merchant transaction</v>
      </c>
    </row>
    <row r="1611" spans="1:18">
      <c r="A1611" t="s">
        <v>5300</v>
      </c>
      <c r="B1611" t="s">
        <v>252</v>
      </c>
      <c r="C1611">
        <v>1</v>
      </c>
      <c r="D1611" t="s">
        <v>9</v>
      </c>
      <c r="E1611" t="s">
        <v>3</v>
      </c>
      <c r="F1611" s="2">
        <v>45916</v>
      </c>
      <c r="G1611">
        <v>9321.39</v>
      </c>
      <c r="H1611" s="1">
        <f>AVERAGEIF(Table1[Customer_ID], Table1[[#This Row],[Customer_ID]], Table1[Transaction_Amount])</f>
        <v>5193.9638095238097</v>
      </c>
      <c r="I1611" t="s">
        <v>2605</v>
      </c>
      <c r="J1611" t="s">
        <v>50</v>
      </c>
      <c r="K1611" t="s">
        <v>14</v>
      </c>
      <c r="L1611">
        <v>5</v>
      </c>
      <c r="M1611" t="s">
        <v>47</v>
      </c>
      <c r="N1611" t="s">
        <v>56</v>
      </c>
      <c r="O1611" t="s">
        <v>392</v>
      </c>
      <c r="P1611" s="6" t="str">
        <f>IF(Table1[[#This Row],[Transaction_Amount]]&lt;=Table1[[#This Row],[avg_transaction_amount]], "usual transaction", "unusual transaction")</f>
        <v>unusual transaction</v>
      </c>
      <c r="Q1611" s="6" t="str">
        <f>IF(AND(Table1[[#This Row],[Country_of_Residence]]&lt;&gt;Table1[[#This Row],[Country_of_Transaction]], OR(Table1[[#This Row],[Authentication_Type]]="Biometric", Table1[[#This Row],[Authentication_Type]]="OTP")), "safe location transaction", "unsafe location transaction")</f>
        <v>unsafe location transaction</v>
      </c>
      <c r="R1611" s="6" t="str">
        <f>IF(AND(Table1[[#This Row],[Country_of_Residence]]&lt;&gt;Table1[[#This Row],[Country_of_Transaction]], OR(Table1[[#This Row],[Merchant_Category]]="Electronics", Table1[[#This Row],[Merchant_Category]]="Travel")), "unsafe merchant transaction", "safe merchant transaction")</f>
        <v>unsafe merchant transaction</v>
      </c>
    </row>
    <row r="1612" spans="1:18">
      <c r="A1612" t="s">
        <v>5309</v>
      </c>
      <c r="B1612" t="s">
        <v>252</v>
      </c>
      <c r="C1612">
        <v>1</v>
      </c>
      <c r="D1612" t="s">
        <v>15</v>
      </c>
      <c r="E1612" t="s">
        <v>420</v>
      </c>
      <c r="F1612" s="2">
        <v>45812</v>
      </c>
      <c r="G1612">
        <v>4495.18</v>
      </c>
      <c r="H1612" s="1">
        <f>AVERAGEIF(Table1[Customer_ID], Table1[[#This Row],[Customer_ID]], Table1[Transaction_Amount])</f>
        <v>5193.9638095238097</v>
      </c>
      <c r="I1612" t="s">
        <v>1536</v>
      </c>
      <c r="J1612" t="s">
        <v>46</v>
      </c>
      <c r="K1612" t="s">
        <v>8</v>
      </c>
      <c r="L1612">
        <v>1</v>
      </c>
      <c r="M1612" t="s">
        <v>47</v>
      </c>
      <c r="N1612" t="s">
        <v>56</v>
      </c>
      <c r="O1612" t="s">
        <v>393</v>
      </c>
      <c r="P1612" s="6" t="str">
        <f>IF(Table1[[#This Row],[Transaction_Amount]]&lt;=Table1[[#This Row],[avg_transaction_amount]], "usual transaction", "unusual transaction")</f>
        <v>usual transaction</v>
      </c>
      <c r="Q1612" s="6" t="str">
        <f>IF(AND(Table1[[#This Row],[Country_of_Residence]]&lt;&gt;Table1[[#This Row],[Country_of_Transaction]], OR(Table1[[#This Row],[Authentication_Type]]="Biometric", Table1[[#This Row],[Authentication_Type]]="OTP")), "safe location transaction", "unsafe location transaction")</f>
        <v>safe location transaction</v>
      </c>
      <c r="R1612" s="6" t="str">
        <f>IF(AND(Table1[[#This Row],[Country_of_Residence]]&lt;&gt;Table1[[#This Row],[Country_of_Transaction]], OR(Table1[[#This Row],[Merchant_Category]]="Electronics", Table1[[#This Row],[Merchant_Category]]="Travel")), "unsafe merchant transaction", "safe merchant transaction")</f>
        <v>safe merchant transaction</v>
      </c>
    </row>
    <row r="1613" spans="1:18">
      <c r="A1613" t="s">
        <v>5338</v>
      </c>
      <c r="B1613" t="s">
        <v>252</v>
      </c>
      <c r="C1613">
        <v>1</v>
      </c>
      <c r="D1613" t="s">
        <v>15</v>
      </c>
      <c r="E1613" t="s">
        <v>6</v>
      </c>
      <c r="F1613" s="2">
        <v>45771</v>
      </c>
      <c r="G1613">
        <v>4141.7700000000004</v>
      </c>
      <c r="H1613" s="1">
        <f>AVERAGEIF(Table1[Customer_ID], Table1[[#This Row],[Customer_ID]], Table1[Transaction_Amount])</f>
        <v>5193.9638095238097</v>
      </c>
      <c r="I1613" t="s">
        <v>1781</v>
      </c>
      <c r="J1613" t="s">
        <v>31</v>
      </c>
      <c r="K1613" t="s">
        <v>8</v>
      </c>
      <c r="L1613">
        <v>2</v>
      </c>
      <c r="M1613" t="s">
        <v>51</v>
      </c>
      <c r="N1613" t="s">
        <v>33</v>
      </c>
      <c r="O1613" t="s">
        <v>392</v>
      </c>
      <c r="P1613" s="6" t="str">
        <f>IF(Table1[[#This Row],[Transaction_Amount]]&lt;=Table1[[#This Row],[avg_transaction_amount]], "usual transaction", "unusual transaction")</f>
        <v>usual transaction</v>
      </c>
      <c r="Q1613" s="6" t="str">
        <f>IF(AND(Table1[[#This Row],[Country_of_Residence]]&lt;&gt;Table1[[#This Row],[Country_of_Transaction]], OR(Table1[[#This Row],[Authentication_Type]]="Biometric", Table1[[#This Row],[Authentication_Type]]="OTP")), "safe location transaction", "unsafe location transaction")</f>
        <v>safe location transaction</v>
      </c>
      <c r="R1613" s="6" t="str">
        <f>IF(AND(Table1[[#This Row],[Country_of_Residence]]&lt;&gt;Table1[[#This Row],[Country_of_Transaction]], OR(Table1[[#This Row],[Merchant_Category]]="Electronics", Table1[[#This Row],[Merchant_Category]]="Travel")), "unsafe merchant transaction", "safe merchant transaction")</f>
        <v>safe merchant transaction</v>
      </c>
    </row>
    <row r="1614" spans="1:18">
      <c r="A1614" t="s">
        <v>5353</v>
      </c>
      <c r="B1614" t="s">
        <v>252</v>
      </c>
      <c r="C1614">
        <v>1</v>
      </c>
      <c r="D1614" t="s">
        <v>15</v>
      </c>
      <c r="E1614" t="s">
        <v>420</v>
      </c>
      <c r="F1614" s="2">
        <v>45714</v>
      </c>
      <c r="G1614">
        <v>1514.69</v>
      </c>
      <c r="H1614" s="1">
        <f>AVERAGEIF(Table1[Customer_ID], Table1[[#This Row],[Customer_ID]], Table1[Transaction_Amount])</f>
        <v>5193.9638095238097</v>
      </c>
      <c r="I1614" t="s">
        <v>2645</v>
      </c>
      <c r="J1614" t="s">
        <v>36</v>
      </c>
      <c r="K1614" t="s">
        <v>10</v>
      </c>
      <c r="L1614">
        <v>1</v>
      </c>
      <c r="M1614" t="s">
        <v>56</v>
      </c>
      <c r="N1614" t="s">
        <v>32</v>
      </c>
      <c r="O1614" t="s">
        <v>392</v>
      </c>
      <c r="P1614" s="6" t="str">
        <f>IF(Table1[[#This Row],[Transaction_Amount]]&lt;=Table1[[#This Row],[avg_transaction_amount]], "usual transaction", "unusual transaction")</f>
        <v>usual transaction</v>
      </c>
      <c r="Q1614" s="6" t="str">
        <f>IF(AND(Table1[[#This Row],[Country_of_Residence]]&lt;&gt;Table1[[#This Row],[Country_of_Transaction]], OR(Table1[[#This Row],[Authentication_Type]]="Biometric", Table1[[#This Row],[Authentication_Type]]="OTP")), "safe location transaction", "unsafe location transaction")</f>
        <v>safe location transaction</v>
      </c>
      <c r="R1614" s="6" t="str">
        <f>IF(AND(Table1[[#This Row],[Country_of_Residence]]&lt;&gt;Table1[[#This Row],[Country_of_Transaction]], OR(Table1[[#This Row],[Merchant_Category]]="Electronics", Table1[[#This Row],[Merchant_Category]]="Travel")), "unsafe merchant transaction", "safe merchant transaction")</f>
        <v>safe merchant transaction</v>
      </c>
    </row>
    <row r="1615" spans="1:18">
      <c r="A1615" t="s">
        <v>5365</v>
      </c>
      <c r="B1615" t="s">
        <v>252</v>
      </c>
      <c r="C1615">
        <v>1</v>
      </c>
      <c r="D1615" t="s">
        <v>9</v>
      </c>
      <c r="E1615" t="s">
        <v>420</v>
      </c>
      <c r="F1615" s="2">
        <v>45787</v>
      </c>
      <c r="G1615">
        <v>6910.98</v>
      </c>
      <c r="H1615" s="1">
        <f>AVERAGEIF(Table1[Customer_ID], Table1[[#This Row],[Customer_ID]], Table1[Transaction_Amount])</f>
        <v>5193.9638095238097</v>
      </c>
      <c r="I1615" t="s">
        <v>701</v>
      </c>
      <c r="J1615" t="s">
        <v>31</v>
      </c>
      <c r="K1615" t="s">
        <v>10</v>
      </c>
      <c r="L1615">
        <v>1</v>
      </c>
      <c r="M1615" t="s">
        <v>33</v>
      </c>
      <c r="N1615" t="s">
        <v>42</v>
      </c>
      <c r="O1615" t="s">
        <v>393</v>
      </c>
      <c r="P1615" s="6" t="str">
        <f>IF(Table1[[#This Row],[Transaction_Amount]]&lt;=Table1[[#This Row],[avg_transaction_amount]], "usual transaction", "unusual transaction")</f>
        <v>unusual transaction</v>
      </c>
      <c r="Q1615" s="6" t="str">
        <f>IF(AND(Table1[[#This Row],[Country_of_Residence]]&lt;&gt;Table1[[#This Row],[Country_of_Transaction]], OR(Table1[[#This Row],[Authentication_Type]]="Biometric", Table1[[#This Row],[Authentication_Type]]="OTP")), "safe location transaction", "unsafe location transaction")</f>
        <v>safe location transaction</v>
      </c>
      <c r="R1615" s="6" t="str">
        <f>IF(AND(Table1[[#This Row],[Country_of_Residence]]&lt;&gt;Table1[[#This Row],[Country_of_Transaction]], OR(Table1[[#This Row],[Merchant_Category]]="Electronics", Table1[[#This Row],[Merchant_Category]]="Travel")), "unsafe merchant transaction", "safe merchant transaction")</f>
        <v>safe merchant transaction</v>
      </c>
    </row>
    <row r="1616" spans="1:18">
      <c r="A1616" t="s">
        <v>5415</v>
      </c>
      <c r="B1616" t="s">
        <v>252</v>
      </c>
      <c r="C1616">
        <v>1</v>
      </c>
      <c r="D1616" t="s">
        <v>9</v>
      </c>
      <c r="E1616" t="s">
        <v>3</v>
      </c>
      <c r="F1616" s="2">
        <v>45769</v>
      </c>
      <c r="G1616">
        <v>4787.3999999999996</v>
      </c>
      <c r="H1616" s="1">
        <f>AVERAGEIF(Table1[Customer_ID], Table1[[#This Row],[Customer_ID]], Table1[Transaction_Amount])</f>
        <v>5193.9638095238097</v>
      </c>
      <c r="I1616" t="s">
        <v>2690</v>
      </c>
      <c r="J1616" t="s">
        <v>36</v>
      </c>
      <c r="K1616" t="s">
        <v>10</v>
      </c>
      <c r="L1616">
        <v>1</v>
      </c>
      <c r="M1616" t="s">
        <v>55</v>
      </c>
      <c r="N1616" t="s">
        <v>33</v>
      </c>
      <c r="O1616" t="s">
        <v>392</v>
      </c>
      <c r="P1616" s="6" t="str">
        <f>IF(Table1[[#This Row],[Transaction_Amount]]&lt;=Table1[[#This Row],[avg_transaction_amount]], "usual transaction", "unusual transaction")</f>
        <v>usual transaction</v>
      </c>
      <c r="Q1616" s="6" t="str">
        <f>IF(AND(Table1[[#This Row],[Country_of_Residence]]&lt;&gt;Table1[[#This Row],[Country_of_Transaction]], OR(Table1[[#This Row],[Authentication_Type]]="Biometric", Table1[[#This Row],[Authentication_Type]]="OTP")), "safe location transaction", "unsafe location transaction")</f>
        <v>safe location transaction</v>
      </c>
      <c r="R1616" s="6" t="str">
        <f>IF(AND(Table1[[#This Row],[Country_of_Residence]]&lt;&gt;Table1[[#This Row],[Country_of_Transaction]], OR(Table1[[#This Row],[Merchant_Category]]="Electronics", Table1[[#This Row],[Merchant_Category]]="Travel")), "unsafe merchant transaction", "safe merchant transaction")</f>
        <v>safe merchant transaction</v>
      </c>
    </row>
    <row r="1617" spans="1:18">
      <c r="A1617" t="s">
        <v>5468</v>
      </c>
      <c r="B1617" t="s">
        <v>252</v>
      </c>
      <c r="C1617">
        <v>1</v>
      </c>
      <c r="D1617" t="s">
        <v>9</v>
      </c>
      <c r="E1617" t="s">
        <v>6</v>
      </c>
      <c r="F1617" s="2">
        <v>45992</v>
      </c>
      <c r="G1617">
        <v>2932.48</v>
      </c>
      <c r="H1617" s="1">
        <f>AVERAGEIF(Table1[Customer_ID], Table1[[#This Row],[Customer_ID]], Table1[Transaction_Amount])</f>
        <v>5193.9638095238097</v>
      </c>
      <c r="I1617" t="s">
        <v>2729</v>
      </c>
      <c r="J1617" t="s">
        <v>41</v>
      </c>
      <c r="K1617" t="s">
        <v>14</v>
      </c>
      <c r="L1617">
        <v>1</v>
      </c>
      <c r="M1617" t="s">
        <v>47</v>
      </c>
      <c r="N1617" t="s">
        <v>47</v>
      </c>
      <c r="O1617" t="s">
        <v>392</v>
      </c>
      <c r="P1617" s="6" t="str">
        <f>IF(Table1[[#This Row],[Transaction_Amount]]&lt;=Table1[[#This Row],[avg_transaction_amount]], "usual transaction", "unusual transaction")</f>
        <v>usual transaction</v>
      </c>
      <c r="Q1617" s="6" t="str">
        <f>IF(AND(Table1[[#This Row],[Country_of_Residence]]&lt;&gt;Table1[[#This Row],[Country_of_Transaction]], OR(Table1[[#This Row],[Authentication_Type]]="Biometric", Table1[[#This Row],[Authentication_Type]]="OTP")), "safe location transaction", "unsafe location transaction")</f>
        <v>unsafe location transaction</v>
      </c>
      <c r="R1617" s="6" t="str">
        <f>IF(AND(Table1[[#This Row],[Country_of_Residence]]&lt;&gt;Table1[[#This Row],[Country_of_Transaction]], OR(Table1[[#This Row],[Merchant_Category]]="Electronics", Table1[[#This Row],[Merchant_Category]]="Travel")), "unsafe merchant transaction", "safe merchant transaction")</f>
        <v>safe merchant transaction</v>
      </c>
    </row>
    <row r="1618" spans="1:18">
      <c r="A1618" t="s">
        <v>5475</v>
      </c>
      <c r="B1618" t="s">
        <v>252</v>
      </c>
      <c r="C1618">
        <v>1</v>
      </c>
      <c r="D1618" t="s">
        <v>9</v>
      </c>
      <c r="E1618" t="s">
        <v>420</v>
      </c>
      <c r="F1618" s="2">
        <v>45672</v>
      </c>
      <c r="G1618">
        <v>7336.15</v>
      </c>
      <c r="H1618" s="1">
        <f>AVERAGEIF(Table1[Customer_ID], Table1[[#This Row],[Customer_ID]], Table1[Transaction_Amount])</f>
        <v>5193.9638095238097</v>
      </c>
      <c r="I1618" t="s">
        <v>2734</v>
      </c>
      <c r="J1618" t="s">
        <v>31</v>
      </c>
      <c r="K1618" t="s">
        <v>8</v>
      </c>
      <c r="L1618">
        <v>0</v>
      </c>
      <c r="M1618" t="s">
        <v>412</v>
      </c>
      <c r="N1618" t="s">
        <v>47</v>
      </c>
      <c r="O1618" t="s">
        <v>393</v>
      </c>
      <c r="P1618" s="6" t="str">
        <f>IF(Table1[[#This Row],[Transaction_Amount]]&lt;=Table1[[#This Row],[avg_transaction_amount]], "usual transaction", "unusual transaction")</f>
        <v>unusual transaction</v>
      </c>
      <c r="Q1618" s="6" t="str">
        <f>IF(AND(Table1[[#This Row],[Country_of_Residence]]&lt;&gt;Table1[[#This Row],[Country_of_Transaction]], OR(Table1[[#This Row],[Authentication_Type]]="Biometric", Table1[[#This Row],[Authentication_Type]]="OTP")), "safe location transaction", "unsafe location transaction")</f>
        <v>safe location transaction</v>
      </c>
      <c r="R1618" s="6" t="str">
        <f>IF(AND(Table1[[#This Row],[Country_of_Residence]]&lt;&gt;Table1[[#This Row],[Country_of_Transaction]], OR(Table1[[#This Row],[Merchant_Category]]="Electronics", Table1[[#This Row],[Merchant_Category]]="Travel")), "unsafe merchant transaction", "safe merchant transaction")</f>
        <v>safe merchant transaction</v>
      </c>
    </row>
    <row r="1619" spans="1:18">
      <c r="A1619" t="s">
        <v>5488</v>
      </c>
      <c r="B1619" t="s">
        <v>252</v>
      </c>
      <c r="C1619">
        <v>1</v>
      </c>
      <c r="D1619" t="s">
        <v>15</v>
      </c>
      <c r="E1619" t="s">
        <v>3</v>
      </c>
      <c r="F1619" s="2">
        <v>45789</v>
      </c>
      <c r="G1619">
        <v>2061.58</v>
      </c>
      <c r="H1619" s="1">
        <f>AVERAGEIF(Table1[Customer_ID], Table1[[#This Row],[Customer_ID]], Table1[Transaction_Amount])</f>
        <v>5193.9638095238097</v>
      </c>
      <c r="I1619" t="s">
        <v>2745</v>
      </c>
      <c r="J1619" t="s">
        <v>46</v>
      </c>
      <c r="K1619" t="s">
        <v>10</v>
      </c>
      <c r="L1619">
        <v>4</v>
      </c>
      <c r="M1619" t="s">
        <v>55</v>
      </c>
      <c r="N1619" t="s">
        <v>55</v>
      </c>
      <c r="O1619" t="s">
        <v>392</v>
      </c>
      <c r="P1619" s="6" t="str">
        <f>IF(Table1[[#This Row],[Transaction_Amount]]&lt;=Table1[[#This Row],[avg_transaction_amount]], "usual transaction", "unusual transaction")</f>
        <v>usual transaction</v>
      </c>
      <c r="Q1619" s="6" t="str">
        <f>IF(AND(Table1[[#This Row],[Country_of_Residence]]&lt;&gt;Table1[[#This Row],[Country_of_Transaction]], OR(Table1[[#This Row],[Authentication_Type]]="Biometric", Table1[[#This Row],[Authentication_Type]]="OTP")), "safe location transaction", "unsafe location transaction")</f>
        <v>unsafe location transaction</v>
      </c>
      <c r="R1619" s="6" t="str">
        <f>IF(AND(Table1[[#This Row],[Country_of_Residence]]&lt;&gt;Table1[[#This Row],[Country_of_Transaction]], OR(Table1[[#This Row],[Merchant_Category]]="Electronics", Table1[[#This Row],[Merchant_Category]]="Travel")), "unsafe merchant transaction", "safe merchant transaction")</f>
        <v>safe merchant transaction</v>
      </c>
    </row>
    <row r="1620" spans="1:18">
      <c r="A1620" t="s">
        <v>5494</v>
      </c>
      <c r="B1620" t="s">
        <v>252</v>
      </c>
      <c r="C1620">
        <v>1</v>
      </c>
      <c r="D1620" t="s">
        <v>9</v>
      </c>
      <c r="E1620" t="s">
        <v>420</v>
      </c>
      <c r="F1620" s="2">
        <v>46018</v>
      </c>
      <c r="G1620">
        <v>9346</v>
      </c>
      <c r="H1620" s="1">
        <f>AVERAGEIF(Table1[Customer_ID], Table1[[#This Row],[Customer_ID]], Table1[Transaction_Amount])</f>
        <v>5193.9638095238097</v>
      </c>
      <c r="I1620" t="s">
        <v>2751</v>
      </c>
      <c r="J1620" t="s">
        <v>36</v>
      </c>
      <c r="K1620" t="s">
        <v>14</v>
      </c>
      <c r="L1620">
        <v>1</v>
      </c>
      <c r="M1620" t="s">
        <v>56</v>
      </c>
      <c r="N1620" t="s">
        <v>33</v>
      </c>
      <c r="O1620" t="s">
        <v>393</v>
      </c>
      <c r="P1620" s="6" t="str">
        <f>IF(Table1[[#This Row],[Transaction_Amount]]&lt;=Table1[[#This Row],[avg_transaction_amount]], "usual transaction", "unusual transaction")</f>
        <v>unusual transaction</v>
      </c>
      <c r="Q1620" s="6" t="str">
        <f>IF(AND(Table1[[#This Row],[Country_of_Residence]]&lt;&gt;Table1[[#This Row],[Country_of_Transaction]], OR(Table1[[#This Row],[Authentication_Type]]="Biometric", Table1[[#This Row],[Authentication_Type]]="OTP")), "safe location transaction", "unsafe location transaction")</f>
        <v>unsafe location transaction</v>
      </c>
      <c r="R1620" s="6" t="str">
        <f>IF(AND(Table1[[#This Row],[Country_of_Residence]]&lt;&gt;Table1[[#This Row],[Country_of_Transaction]], OR(Table1[[#This Row],[Merchant_Category]]="Electronics", Table1[[#This Row],[Merchant_Category]]="Travel")), "unsafe merchant transaction", "safe merchant transaction")</f>
        <v>safe merchant transaction</v>
      </c>
    </row>
    <row r="1621" spans="1:18">
      <c r="A1621" t="s">
        <v>259</v>
      </c>
      <c r="B1621" t="s">
        <v>260</v>
      </c>
      <c r="C1621">
        <v>1</v>
      </c>
      <c r="D1621" t="s">
        <v>9</v>
      </c>
      <c r="E1621" t="s">
        <v>3</v>
      </c>
      <c r="F1621" s="2">
        <v>45718.878472222197</v>
      </c>
      <c r="G1621">
        <v>6760.4</v>
      </c>
      <c r="H1621" s="1">
        <f>AVERAGEIF(Table1[Customer_ID], Table1[[#This Row],[Customer_ID]], Table1[Transaction_Amount])</f>
        <v>5987.6081999999997</v>
      </c>
      <c r="I1621" t="s">
        <v>261</v>
      </c>
      <c r="J1621" t="s">
        <v>50</v>
      </c>
      <c r="K1621" t="s">
        <v>8</v>
      </c>
      <c r="L1621">
        <v>3</v>
      </c>
      <c r="M1621" t="s">
        <v>262</v>
      </c>
      <c r="N1621" t="s">
        <v>263</v>
      </c>
      <c r="O1621" t="s">
        <v>392</v>
      </c>
      <c r="P1621" t="str">
        <f>IF(Table1[[#This Row],[Transaction_Amount]]&lt;=Table1[[#This Row],[avg_transaction_amount]], "usual transaction", "unusual transaction")</f>
        <v>unusual transaction</v>
      </c>
      <c r="Q1621" t="str">
        <f>IF(AND(Table1[[#This Row],[Country_of_Residence]]&lt;&gt;Table1[[#This Row],[Country_of_Transaction]], OR(Table1[[#This Row],[Authentication_Type]]="Biometric", Table1[[#This Row],[Authentication_Type]]="OTP")), "safe location transaction", "unsafe location transaction")</f>
        <v>safe location transaction</v>
      </c>
      <c r="R1621" t="str">
        <f>IF(AND(Table1[[#This Row],[Country_of_Residence]]&lt;&gt;Table1[[#This Row],[Country_of_Transaction]], OR(Table1[[#This Row],[Merchant_Category]]="Electronics", Table1[[#This Row],[Merchant_Category]]="Travel")), "unsafe merchant transaction", "safe merchant transaction")</f>
        <v>unsafe merchant transaction</v>
      </c>
    </row>
    <row r="1622" spans="1:18">
      <c r="A1622" t="s">
        <v>2833</v>
      </c>
      <c r="B1622" t="s">
        <v>260</v>
      </c>
      <c r="C1622">
        <v>1</v>
      </c>
      <c r="D1622" t="s">
        <v>15</v>
      </c>
      <c r="E1622" t="s">
        <v>6</v>
      </c>
      <c r="F1622" s="2">
        <v>45867</v>
      </c>
      <c r="G1622">
        <v>1042.1300000000001</v>
      </c>
      <c r="H1622" s="1">
        <f>AVERAGEIF(Table1[Customer_ID], Table1[[#This Row],[Customer_ID]], Table1[Transaction_Amount])</f>
        <v>5987.6081999999997</v>
      </c>
      <c r="I1622" t="s">
        <v>484</v>
      </c>
      <c r="J1622" t="s">
        <v>31</v>
      </c>
      <c r="K1622" t="s">
        <v>8</v>
      </c>
      <c r="L1622">
        <v>2</v>
      </c>
      <c r="M1622" t="s">
        <v>51</v>
      </c>
      <c r="N1622" t="s">
        <v>56</v>
      </c>
      <c r="O1622" t="s">
        <v>392</v>
      </c>
      <c r="P1622" s="6" t="str">
        <f>IF(Table1[[#This Row],[Transaction_Amount]]&lt;=Table1[[#This Row],[avg_transaction_amount]], "usual transaction", "unusual transaction")</f>
        <v>usual transaction</v>
      </c>
      <c r="Q1622" s="6" t="str">
        <f>IF(AND(Table1[[#This Row],[Country_of_Residence]]&lt;&gt;Table1[[#This Row],[Country_of_Transaction]], OR(Table1[[#This Row],[Authentication_Type]]="Biometric", Table1[[#This Row],[Authentication_Type]]="OTP")), "safe location transaction", "unsafe location transaction")</f>
        <v>safe location transaction</v>
      </c>
      <c r="R1622" s="6" t="str">
        <f>IF(AND(Table1[[#This Row],[Country_of_Residence]]&lt;&gt;Table1[[#This Row],[Country_of_Transaction]], OR(Table1[[#This Row],[Merchant_Category]]="Electronics", Table1[[#This Row],[Merchant_Category]]="Travel")), "unsafe merchant transaction", "safe merchant transaction")</f>
        <v>safe merchant transaction</v>
      </c>
    </row>
    <row r="1623" spans="1:18">
      <c r="A1623" t="s">
        <v>2846</v>
      </c>
      <c r="B1623" t="s">
        <v>260</v>
      </c>
      <c r="C1623">
        <v>1</v>
      </c>
      <c r="D1623" t="s">
        <v>15</v>
      </c>
      <c r="E1623" t="s">
        <v>5</v>
      </c>
      <c r="F1623" s="2">
        <v>45936</v>
      </c>
      <c r="G1623">
        <v>9508.02</v>
      </c>
      <c r="H1623" s="1">
        <f>AVERAGEIF(Table1[Customer_ID], Table1[[#This Row],[Customer_ID]], Table1[Transaction_Amount])</f>
        <v>5987.6081999999997</v>
      </c>
      <c r="I1623" t="s">
        <v>497</v>
      </c>
      <c r="J1623" t="s">
        <v>31</v>
      </c>
      <c r="K1623" t="s">
        <v>8</v>
      </c>
      <c r="L1623">
        <v>2</v>
      </c>
      <c r="M1623" t="s">
        <v>55</v>
      </c>
      <c r="N1623" t="s">
        <v>32</v>
      </c>
      <c r="O1623" t="s">
        <v>393</v>
      </c>
      <c r="P1623" s="6" t="str">
        <f>IF(Table1[[#This Row],[Transaction_Amount]]&lt;=Table1[[#This Row],[avg_transaction_amount]], "usual transaction", "unusual transaction")</f>
        <v>unusual transaction</v>
      </c>
      <c r="Q1623" s="6" t="str">
        <f>IF(AND(Table1[[#This Row],[Country_of_Residence]]&lt;&gt;Table1[[#This Row],[Country_of_Transaction]], OR(Table1[[#This Row],[Authentication_Type]]="Biometric", Table1[[#This Row],[Authentication_Type]]="OTP")), "safe location transaction", "unsafe location transaction")</f>
        <v>safe location transaction</v>
      </c>
      <c r="R1623" s="6" t="str">
        <f>IF(AND(Table1[[#This Row],[Country_of_Residence]]&lt;&gt;Table1[[#This Row],[Country_of_Transaction]], OR(Table1[[#This Row],[Merchant_Category]]="Electronics", Table1[[#This Row],[Merchant_Category]]="Travel")), "unsafe merchant transaction", "safe merchant transaction")</f>
        <v>safe merchant transaction</v>
      </c>
    </row>
    <row r="1624" spans="1:18">
      <c r="A1624" t="s">
        <v>2850</v>
      </c>
      <c r="B1624" t="s">
        <v>260</v>
      </c>
      <c r="C1624">
        <v>1</v>
      </c>
      <c r="D1624" t="s">
        <v>15</v>
      </c>
      <c r="E1624" t="s">
        <v>420</v>
      </c>
      <c r="F1624" s="2">
        <v>45915</v>
      </c>
      <c r="G1624">
        <v>7791.27</v>
      </c>
      <c r="H1624" s="1">
        <f>AVERAGEIF(Table1[Customer_ID], Table1[[#This Row],[Customer_ID]], Table1[Transaction_Amount])</f>
        <v>5987.6081999999997</v>
      </c>
      <c r="I1624" t="s">
        <v>502</v>
      </c>
      <c r="J1624" t="s">
        <v>41</v>
      </c>
      <c r="K1624" t="s">
        <v>14</v>
      </c>
      <c r="L1624">
        <v>3</v>
      </c>
      <c r="M1624" t="s">
        <v>412</v>
      </c>
      <c r="N1624" t="s">
        <v>412</v>
      </c>
      <c r="O1624" t="s">
        <v>393</v>
      </c>
      <c r="P1624" s="6" t="str">
        <f>IF(Table1[[#This Row],[Transaction_Amount]]&lt;=Table1[[#This Row],[avg_transaction_amount]], "usual transaction", "unusual transaction")</f>
        <v>unusual transaction</v>
      </c>
      <c r="Q1624" s="6" t="str">
        <f>IF(AND(Table1[[#This Row],[Country_of_Residence]]&lt;&gt;Table1[[#This Row],[Country_of_Transaction]], OR(Table1[[#This Row],[Authentication_Type]]="Biometric", Table1[[#This Row],[Authentication_Type]]="OTP")), "safe location transaction", "unsafe location transaction")</f>
        <v>unsafe location transaction</v>
      </c>
      <c r="R1624" s="6" t="str">
        <f>IF(AND(Table1[[#This Row],[Country_of_Residence]]&lt;&gt;Table1[[#This Row],[Country_of_Transaction]], OR(Table1[[#This Row],[Merchant_Category]]="Electronics", Table1[[#This Row],[Merchant_Category]]="Travel")), "unsafe merchant transaction", "safe merchant transaction")</f>
        <v>safe merchant transaction</v>
      </c>
    </row>
    <row r="1625" spans="1:18">
      <c r="A1625" t="s">
        <v>2889</v>
      </c>
      <c r="B1625" t="s">
        <v>260</v>
      </c>
      <c r="C1625">
        <v>1</v>
      </c>
      <c r="D1625" t="s">
        <v>9</v>
      </c>
      <c r="E1625" t="s">
        <v>420</v>
      </c>
      <c r="F1625" s="2">
        <v>45818</v>
      </c>
      <c r="G1625">
        <v>7642.69</v>
      </c>
      <c r="H1625" s="1">
        <f>AVERAGEIF(Table1[Customer_ID], Table1[[#This Row],[Customer_ID]], Table1[Transaction_Amount])</f>
        <v>5987.6081999999997</v>
      </c>
      <c r="I1625" t="s">
        <v>539</v>
      </c>
      <c r="J1625" t="s">
        <v>46</v>
      </c>
      <c r="K1625" t="s">
        <v>10</v>
      </c>
      <c r="L1625">
        <v>0</v>
      </c>
      <c r="M1625" t="s">
        <v>42</v>
      </c>
      <c r="N1625" t="s">
        <v>47</v>
      </c>
      <c r="O1625" t="s">
        <v>393</v>
      </c>
      <c r="P1625" s="6" t="str">
        <f>IF(Table1[[#This Row],[Transaction_Amount]]&lt;=Table1[[#This Row],[avg_transaction_amount]], "usual transaction", "unusual transaction")</f>
        <v>unusual transaction</v>
      </c>
      <c r="Q1625" s="6" t="str">
        <f>IF(AND(Table1[[#This Row],[Country_of_Residence]]&lt;&gt;Table1[[#This Row],[Country_of_Transaction]], OR(Table1[[#This Row],[Authentication_Type]]="Biometric", Table1[[#This Row],[Authentication_Type]]="OTP")), "safe location transaction", "unsafe location transaction")</f>
        <v>safe location transaction</v>
      </c>
      <c r="R1625" s="6" t="str">
        <f>IF(AND(Table1[[#This Row],[Country_of_Residence]]&lt;&gt;Table1[[#This Row],[Country_of_Transaction]], OR(Table1[[#This Row],[Merchant_Category]]="Electronics", Table1[[#This Row],[Merchant_Category]]="Travel")), "unsafe merchant transaction", "safe merchant transaction")</f>
        <v>safe merchant transaction</v>
      </c>
    </row>
    <row r="1626" spans="1:18">
      <c r="A1626" t="s">
        <v>2951</v>
      </c>
      <c r="B1626" t="s">
        <v>260</v>
      </c>
      <c r="C1626">
        <v>1</v>
      </c>
      <c r="D1626" t="s">
        <v>15</v>
      </c>
      <c r="E1626" t="s">
        <v>5</v>
      </c>
      <c r="F1626" s="2">
        <v>45822</v>
      </c>
      <c r="G1626">
        <v>3380.63</v>
      </c>
      <c r="H1626" s="1">
        <f>AVERAGEIF(Table1[Customer_ID], Table1[[#This Row],[Customer_ID]], Table1[Transaction_Amount])</f>
        <v>5987.6081999999997</v>
      </c>
      <c r="I1626" t="s">
        <v>599</v>
      </c>
      <c r="J1626" t="s">
        <v>36</v>
      </c>
      <c r="K1626" t="s">
        <v>14</v>
      </c>
      <c r="L1626">
        <v>1</v>
      </c>
      <c r="M1626" t="s">
        <v>56</v>
      </c>
      <c r="N1626" t="s">
        <v>51</v>
      </c>
      <c r="O1626" t="s">
        <v>393</v>
      </c>
      <c r="P1626" s="6" t="str">
        <f>IF(Table1[[#This Row],[Transaction_Amount]]&lt;=Table1[[#This Row],[avg_transaction_amount]], "usual transaction", "unusual transaction")</f>
        <v>usual transaction</v>
      </c>
      <c r="Q1626" s="6" t="str">
        <f>IF(AND(Table1[[#This Row],[Country_of_Residence]]&lt;&gt;Table1[[#This Row],[Country_of_Transaction]], OR(Table1[[#This Row],[Authentication_Type]]="Biometric", Table1[[#This Row],[Authentication_Type]]="OTP")), "safe location transaction", "unsafe location transaction")</f>
        <v>unsafe location transaction</v>
      </c>
      <c r="R1626" s="6" t="str">
        <f>IF(AND(Table1[[#This Row],[Country_of_Residence]]&lt;&gt;Table1[[#This Row],[Country_of_Transaction]], OR(Table1[[#This Row],[Merchant_Category]]="Electronics", Table1[[#This Row],[Merchant_Category]]="Travel")), "unsafe merchant transaction", "safe merchant transaction")</f>
        <v>safe merchant transaction</v>
      </c>
    </row>
    <row r="1627" spans="1:18">
      <c r="A1627" t="s">
        <v>2967</v>
      </c>
      <c r="B1627" t="s">
        <v>260</v>
      </c>
      <c r="C1627">
        <v>1</v>
      </c>
      <c r="D1627" t="s">
        <v>15</v>
      </c>
      <c r="E1627" t="s">
        <v>420</v>
      </c>
      <c r="F1627" s="2">
        <v>45718</v>
      </c>
      <c r="G1627">
        <v>2665.01</v>
      </c>
      <c r="H1627" s="1">
        <f>AVERAGEIF(Table1[Customer_ID], Table1[[#This Row],[Customer_ID]], Table1[Transaction_Amount])</f>
        <v>5987.6081999999997</v>
      </c>
      <c r="I1627" t="s">
        <v>615</v>
      </c>
      <c r="J1627" t="s">
        <v>41</v>
      </c>
      <c r="K1627" t="s">
        <v>14</v>
      </c>
      <c r="L1627">
        <v>5</v>
      </c>
      <c r="M1627" t="s">
        <v>56</v>
      </c>
      <c r="N1627" t="s">
        <v>42</v>
      </c>
      <c r="O1627" t="s">
        <v>392</v>
      </c>
      <c r="P1627" s="6" t="str">
        <f>IF(Table1[[#This Row],[Transaction_Amount]]&lt;=Table1[[#This Row],[avg_transaction_amount]], "usual transaction", "unusual transaction")</f>
        <v>usual transaction</v>
      </c>
      <c r="Q1627" s="6" t="str">
        <f>IF(AND(Table1[[#This Row],[Country_of_Residence]]&lt;&gt;Table1[[#This Row],[Country_of_Transaction]], OR(Table1[[#This Row],[Authentication_Type]]="Biometric", Table1[[#This Row],[Authentication_Type]]="OTP")), "safe location transaction", "unsafe location transaction")</f>
        <v>unsafe location transaction</v>
      </c>
      <c r="R1627" s="6" t="str">
        <f>IF(AND(Table1[[#This Row],[Country_of_Residence]]&lt;&gt;Table1[[#This Row],[Country_of_Transaction]], OR(Table1[[#This Row],[Merchant_Category]]="Electronics", Table1[[#This Row],[Merchant_Category]]="Travel")), "unsafe merchant transaction", "safe merchant transaction")</f>
        <v>safe merchant transaction</v>
      </c>
    </row>
    <row r="1628" spans="1:18">
      <c r="A1628" t="s">
        <v>3116</v>
      </c>
      <c r="B1628" t="s">
        <v>260</v>
      </c>
      <c r="C1628">
        <v>1</v>
      </c>
      <c r="D1628" t="s">
        <v>15</v>
      </c>
      <c r="E1628" t="s">
        <v>3</v>
      </c>
      <c r="F1628" s="2">
        <v>45675</v>
      </c>
      <c r="G1628">
        <v>6283.48</v>
      </c>
      <c r="H1628" s="1">
        <f>AVERAGEIF(Table1[Customer_ID], Table1[[#This Row],[Customer_ID]], Table1[Transaction_Amount])</f>
        <v>5987.6081999999997</v>
      </c>
      <c r="I1628" t="s">
        <v>653</v>
      </c>
      <c r="J1628" t="s">
        <v>50</v>
      </c>
      <c r="K1628" t="s">
        <v>8</v>
      </c>
      <c r="L1628">
        <v>3</v>
      </c>
      <c r="M1628" t="s">
        <v>33</v>
      </c>
      <c r="N1628" t="s">
        <v>37</v>
      </c>
      <c r="O1628" t="s">
        <v>393</v>
      </c>
      <c r="P1628" s="6" t="str">
        <f>IF(Table1[[#This Row],[Transaction_Amount]]&lt;=Table1[[#This Row],[avg_transaction_amount]], "usual transaction", "unusual transaction")</f>
        <v>unusual transaction</v>
      </c>
      <c r="Q1628" s="6" t="str">
        <f>IF(AND(Table1[[#This Row],[Country_of_Residence]]&lt;&gt;Table1[[#This Row],[Country_of_Transaction]], OR(Table1[[#This Row],[Authentication_Type]]="Biometric", Table1[[#This Row],[Authentication_Type]]="OTP")), "safe location transaction", "unsafe location transaction")</f>
        <v>safe location transaction</v>
      </c>
      <c r="R1628" s="6" t="str">
        <f>IF(AND(Table1[[#This Row],[Country_of_Residence]]&lt;&gt;Table1[[#This Row],[Country_of_Transaction]], OR(Table1[[#This Row],[Merchant_Category]]="Electronics", Table1[[#This Row],[Merchant_Category]]="Travel")), "unsafe merchant transaction", "safe merchant transaction")</f>
        <v>unsafe merchant transaction</v>
      </c>
    </row>
    <row r="1629" spans="1:18">
      <c r="A1629" t="s">
        <v>3220</v>
      </c>
      <c r="B1629" t="s">
        <v>260</v>
      </c>
      <c r="C1629">
        <v>1</v>
      </c>
      <c r="D1629" t="s">
        <v>15</v>
      </c>
      <c r="E1629" t="s">
        <v>3</v>
      </c>
      <c r="F1629" s="2">
        <v>45981</v>
      </c>
      <c r="G1629">
        <v>2474.2600000000002</v>
      </c>
      <c r="H1629" s="1">
        <f>AVERAGEIF(Table1[Customer_ID], Table1[[#This Row],[Customer_ID]], Table1[Transaction_Amount])</f>
        <v>5987.6081999999997</v>
      </c>
      <c r="I1629" t="s">
        <v>853</v>
      </c>
      <c r="J1629" t="s">
        <v>46</v>
      </c>
      <c r="K1629" t="s">
        <v>10</v>
      </c>
      <c r="L1629">
        <v>3</v>
      </c>
      <c r="M1629" t="s">
        <v>32</v>
      </c>
      <c r="N1629" t="s">
        <v>412</v>
      </c>
      <c r="O1629" t="s">
        <v>392</v>
      </c>
      <c r="P1629" s="6" t="str">
        <f>IF(Table1[[#This Row],[Transaction_Amount]]&lt;=Table1[[#This Row],[avg_transaction_amount]], "usual transaction", "unusual transaction")</f>
        <v>usual transaction</v>
      </c>
      <c r="Q1629" s="6" t="str">
        <f>IF(AND(Table1[[#This Row],[Country_of_Residence]]&lt;&gt;Table1[[#This Row],[Country_of_Transaction]], OR(Table1[[#This Row],[Authentication_Type]]="Biometric", Table1[[#This Row],[Authentication_Type]]="OTP")), "safe location transaction", "unsafe location transaction")</f>
        <v>safe location transaction</v>
      </c>
      <c r="R1629" s="6" t="str">
        <f>IF(AND(Table1[[#This Row],[Country_of_Residence]]&lt;&gt;Table1[[#This Row],[Country_of_Transaction]], OR(Table1[[#This Row],[Merchant_Category]]="Electronics", Table1[[#This Row],[Merchant_Category]]="Travel")), "unsafe merchant transaction", "safe merchant transaction")</f>
        <v>safe merchant transaction</v>
      </c>
    </row>
    <row r="1630" spans="1:18">
      <c r="A1630" t="s">
        <v>3238</v>
      </c>
      <c r="B1630" t="s">
        <v>260</v>
      </c>
      <c r="C1630">
        <v>1</v>
      </c>
      <c r="D1630" t="s">
        <v>15</v>
      </c>
      <c r="E1630" t="s">
        <v>6</v>
      </c>
      <c r="F1630" s="2">
        <v>45892</v>
      </c>
      <c r="G1630">
        <v>6228.47</v>
      </c>
      <c r="H1630" s="1">
        <f>AVERAGEIF(Table1[Customer_ID], Table1[[#This Row],[Customer_ID]], Table1[Transaction_Amount])</f>
        <v>5987.6081999999997</v>
      </c>
      <c r="I1630" t="s">
        <v>168</v>
      </c>
      <c r="J1630" t="s">
        <v>36</v>
      </c>
      <c r="K1630" t="s">
        <v>12</v>
      </c>
      <c r="L1630">
        <v>2</v>
      </c>
      <c r="M1630" t="s">
        <v>32</v>
      </c>
      <c r="N1630" t="s">
        <v>32</v>
      </c>
      <c r="O1630" t="s">
        <v>392</v>
      </c>
      <c r="P1630" s="6" t="str">
        <f>IF(Table1[[#This Row],[Transaction_Amount]]&lt;=Table1[[#This Row],[avg_transaction_amount]], "usual transaction", "unusual transaction")</f>
        <v>unusual transaction</v>
      </c>
      <c r="Q1630" s="6" t="str">
        <f>IF(AND(Table1[[#This Row],[Country_of_Residence]]&lt;&gt;Table1[[#This Row],[Country_of_Transaction]], OR(Table1[[#This Row],[Authentication_Type]]="Biometric", Table1[[#This Row],[Authentication_Type]]="OTP")), "safe location transaction", "unsafe location transaction")</f>
        <v>unsafe location transaction</v>
      </c>
      <c r="R1630" s="6" t="str">
        <f>IF(AND(Table1[[#This Row],[Country_of_Residence]]&lt;&gt;Table1[[#This Row],[Country_of_Transaction]], OR(Table1[[#This Row],[Merchant_Category]]="Electronics", Table1[[#This Row],[Merchant_Category]]="Travel")), "unsafe merchant transaction", "safe merchant transaction")</f>
        <v>safe merchant transaction</v>
      </c>
    </row>
    <row r="1631" spans="1:18">
      <c r="A1631" t="s">
        <v>3289</v>
      </c>
      <c r="B1631" t="s">
        <v>260</v>
      </c>
      <c r="C1631">
        <v>1</v>
      </c>
      <c r="D1631" t="s">
        <v>9</v>
      </c>
      <c r="E1631" t="s">
        <v>5</v>
      </c>
      <c r="F1631" s="2">
        <v>45812</v>
      </c>
      <c r="G1631">
        <v>3915.29</v>
      </c>
      <c r="H1631" s="1">
        <f>AVERAGEIF(Table1[Customer_ID], Table1[[#This Row],[Customer_ID]], Table1[Transaction_Amount])</f>
        <v>5987.6081999999997</v>
      </c>
      <c r="I1631" t="s">
        <v>917</v>
      </c>
      <c r="J1631" t="s">
        <v>50</v>
      </c>
      <c r="K1631" t="s">
        <v>12</v>
      </c>
      <c r="L1631">
        <v>1</v>
      </c>
      <c r="M1631" t="s">
        <v>47</v>
      </c>
      <c r="N1631" t="s">
        <v>51</v>
      </c>
      <c r="O1631" t="s">
        <v>393</v>
      </c>
      <c r="P1631" s="6" t="str">
        <f>IF(Table1[[#This Row],[Transaction_Amount]]&lt;=Table1[[#This Row],[avg_transaction_amount]], "usual transaction", "unusual transaction")</f>
        <v>usual transaction</v>
      </c>
      <c r="Q1631" s="6" t="str">
        <f>IF(AND(Table1[[#This Row],[Country_of_Residence]]&lt;&gt;Table1[[#This Row],[Country_of_Transaction]], OR(Table1[[#This Row],[Authentication_Type]]="Biometric", Table1[[#This Row],[Authentication_Type]]="OTP")), "safe location transaction", "unsafe location transaction")</f>
        <v>unsafe location transaction</v>
      </c>
      <c r="R1631" s="6" t="str">
        <f>IF(AND(Table1[[#This Row],[Country_of_Residence]]&lt;&gt;Table1[[#This Row],[Country_of_Transaction]], OR(Table1[[#This Row],[Merchant_Category]]="Electronics", Table1[[#This Row],[Merchant_Category]]="Travel")), "unsafe merchant transaction", "safe merchant transaction")</f>
        <v>unsafe merchant transaction</v>
      </c>
    </row>
    <row r="1632" spans="1:18">
      <c r="A1632" t="s">
        <v>3386</v>
      </c>
      <c r="B1632" t="s">
        <v>260</v>
      </c>
      <c r="C1632">
        <v>1</v>
      </c>
      <c r="D1632" t="s">
        <v>15</v>
      </c>
      <c r="E1632" t="s">
        <v>6</v>
      </c>
      <c r="F1632" s="2">
        <v>45814</v>
      </c>
      <c r="G1632">
        <v>8536.7900000000009</v>
      </c>
      <c r="H1632" s="1">
        <f>AVERAGEIF(Table1[Customer_ID], Table1[[#This Row],[Customer_ID]], Table1[Transaction_Amount])</f>
        <v>5987.6081999999997</v>
      </c>
      <c r="I1632" t="s">
        <v>1007</v>
      </c>
      <c r="J1632" t="s">
        <v>36</v>
      </c>
      <c r="K1632" t="s">
        <v>14</v>
      </c>
      <c r="L1632">
        <v>2</v>
      </c>
      <c r="M1632" t="s">
        <v>55</v>
      </c>
      <c r="N1632" t="s">
        <v>56</v>
      </c>
      <c r="O1632" t="s">
        <v>393</v>
      </c>
      <c r="P1632" s="6" t="str">
        <f>IF(Table1[[#This Row],[Transaction_Amount]]&lt;=Table1[[#This Row],[avg_transaction_amount]], "usual transaction", "unusual transaction")</f>
        <v>unusual transaction</v>
      </c>
      <c r="Q1632" s="6" t="str">
        <f>IF(AND(Table1[[#This Row],[Country_of_Residence]]&lt;&gt;Table1[[#This Row],[Country_of_Transaction]], OR(Table1[[#This Row],[Authentication_Type]]="Biometric", Table1[[#This Row],[Authentication_Type]]="OTP")), "safe location transaction", "unsafe location transaction")</f>
        <v>unsafe location transaction</v>
      </c>
      <c r="R1632" s="6" t="str">
        <f>IF(AND(Table1[[#This Row],[Country_of_Residence]]&lt;&gt;Table1[[#This Row],[Country_of_Transaction]], OR(Table1[[#This Row],[Merchant_Category]]="Electronics", Table1[[#This Row],[Merchant_Category]]="Travel")), "unsafe merchant transaction", "safe merchant transaction")</f>
        <v>safe merchant transaction</v>
      </c>
    </row>
    <row r="1633" spans="1:18">
      <c r="A1633" t="s">
        <v>3584</v>
      </c>
      <c r="B1633" t="s">
        <v>260</v>
      </c>
      <c r="C1633">
        <v>1</v>
      </c>
      <c r="D1633" t="s">
        <v>15</v>
      </c>
      <c r="E1633" t="s">
        <v>3</v>
      </c>
      <c r="F1633" s="2">
        <v>45723</v>
      </c>
      <c r="G1633">
        <v>4303.74</v>
      </c>
      <c r="H1633" s="1">
        <f>AVERAGEIF(Table1[Customer_ID], Table1[[#This Row],[Customer_ID]], Table1[Transaction_Amount])</f>
        <v>5987.6081999999997</v>
      </c>
      <c r="I1633" t="s">
        <v>1193</v>
      </c>
      <c r="J1633" t="s">
        <v>31</v>
      </c>
      <c r="K1633" t="s">
        <v>10</v>
      </c>
      <c r="L1633">
        <v>3</v>
      </c>
      <c r="M1633" t="s">
        <v>55</v>
      </c>
      <c r="N1633" t="s">
        <v>412</v>
      </c>
      <c r="O1633" t="s">
        <v>393</v>
      </c>
      <c r="P1633" s="6" t="str">
        <f>IF(Table1[[#This Row],[Transaction_Amount]]&lt;=Table1[[#This Row],[avg_transaction_amount]], "usual transaction", "unusual transaction")</f>
        <v>usual transaction</v>
      </c>
      <c r="Q1633" s="6" t="str">
        <f>IF(AND(Table1[[#This Row],[Country_of_Residence]]&lt;&gt;Table1[[#This Row],[Country_of_Transaction]], OR(Table1[[#This Row],[Authentication_Type]]="Biometric", Table1[[#This Row],[Authentication_Type]]="OTP")), "safe location transaction", "unsafe location transaction")</f>
        <v>safe location transaction</v>
      </c>
      <c r="R1633" s="6" t="str">
        <f>IF(AND(Table1[[#This Row],[Country_of_Residence]]&lt;&gt;Table1[[#This Row],[Country_of_Transaction]], OR(Table1[[#This Row],[Merchant_Category]]="Electronics", Table1[[#This Row],[Merchant_Category]]="Travel")), "unsafe merchant transaction", "safe merchant transaction")</f>
        <v>safe merchant transaction</v>
      </c>
    </row>
    <row r="1634" spans="1:18">
      <c r="A1634" t="s">
        <v>3614</v>
      </c>
      <c r="B1634" t="s">
        <v>260</v>
      </c>
      <c r="C1634">
        <v>1</v>
      </c>
      <c r="D1634" t="s">
        <v>9</v>
      </c>
      <c r="E1634" t="s">
        <v>5</v>
      </c>
      <c r="F1634" s="2">
        <v>45902</v>
      </c>
      <c r="G1634">
        <v>9111.2099999999991</v>
      </c>
      <c r="H1634" s="1">
        <f>AVERAGEIF(Table1[Customer_ID], Table1[[#This Row],[Customer_ID]], Table1[Transaction_Amount])</f>
        <v>5987.6081999999997</v>
      </c>
      <c r="I1634" t="s">
        <v>1220</v>
      </c>
      <c r="J1634" t="s">
        <v>46</v>
      </c>
      <c r="K1634" t="s">
        <v>10</v>
      </c>
      <c r="L1634">
        <v>1</v>
      </c>
      <c r="M1634" t="s">
        <v>412</v>
      </c>
      <c r="N1634" t="s">
        <v>51</v>
      </c>
      <c r="O1634" t="s">
        <v>393</v>
      </c>
      <c r="P1634" s="6" t="str">
        <f>IF(Table1[[#This Row],[Transaction_Amount]]&lt;=Table1[[#This Row],[avg_transaction_amount]], "usual transaction", "unusual transaction")</f>
        <v>unusual transaction</v>
      </c>
      <c r="Q1634" s="6" t="str">
        <f>IF(AND(Table1[[#This Row],[Country_of_Residence]]&lt;&gt;Table1[[#This Row],[Country_of_Transaction]], OR(Table1[[#This Row],[Authentication_Type]]="Biometric", Table1[[#This Row],[Authentication_Type]]="OTP")), "safe location transaction", "unsafe location transaction")</f>
        <v>safe location transaction</v>
      </c>
      <c r="R1634" s="6" t="str">
        <f>IF(AND(Table1[[#This Row],[Country_of_Residence]]&lt;&gt;Table1[[#This Row],[Country_of_Transaction]], OR(Table1[[#This Row],[Merchant_Category]]="Electronics", Table1[[#This Row],[Merchant_Category]]="Travel")), "unsafe merchant transaction", "safe merchant transaction")</f>
        <v>safe merchant transaction</v>
      </c>
    </row>
    <row r="1635" spans="1:18">
      <c r="A1635" t="s">
        <v>3726</v>
      </c>
      <c r="B1635" t="s">
        <v>260</v>
      </c>
      <c r="C1635">
        <v>1</v>
      </c>
      <c r="D1635" t="s">
        <v>15</v>
      </c>
      <c r="E1635" t="s">
        <v>420</v>
      </c>
      <c r="F1635" s="2">
        <v>45683</v>
      </c>
      <c r="G1635">
        <v>8681.9500000000007</v>
      </c>
      <c r="H1635" s="1">
        <f>AVERAGEIF(Table1[Customer_ID], Table1[[#This Row],[Customer_ID]], Table1[Transaction_Amount])</f>
        <v>5987.6081999999997</v>
      </c>
      <c r="I1635" t="s">
        <v>1322</v>
      </c>
      <c r="J1635" t="s">
        <v>36</v>
      </c>
      <c r="K1635" t="s">
        <v>12</v>
      </c>
      <c r="L1635">
        <v>1</v>
      </c>
      <c r="M1635" t="s">
        <v>56</v>
      </c>
      <c r="N1635" t="s">
        <v>32</v>
      </c>
      <c r="O1635" t="s">
        <v>392</v>
      </c>
      <c r="P1635" s="6" t="str">
        <f>IF(Table1[[#This Row],[Transaction_Amount]]&lt;=Table1[[#This Row],[avg_transaction_amount]], "usual transaction", "unusual transaction")</f>
        <v>unusual transaction</v>
      </c>
      <c r="Q1635" s="6" t="str">
        <f>IF(AND(Table1[[#This Row],[Country_of_Residence]]&lt;&gt;Table1[[#This Row],[Country_of_Transaction]], OR(Table1[[#This Row],[Authentication_Type]]="Biometric", Table1[[#This Row],[Authentication_Type]]="OTP")), "safe location transaction", "unsafe location transaction")</f>
        <v>unsafe location transaction</v>
      </c>
      <c r="R1635" s="6" t="str">
        <f>IF(AND(Table1[[#This Row],[Country_of_Residence]]&lt;&gt;Table1[[#This Row],[Country_of_Transaction]], OR(Table1[[#This Row],[Merchant_Category]]="Electronics", Table1[[#This Row],[Merchant_Category]]="Travel")), "unsafe merchant transaction", "safe merchant transaction")</f>
        <v>safe merchant transaction</v>
      </c>
    </row>
    <row r="1636" spans="1:18">
      <c r="A1636" t="s">
        <v>3739</v>
      </c>
      <c r="B1636" t="s">
        <v>260</v>
      </c>
      <c r="C1636">
        <v>1</v>
      </c>
      <c r="D1636" t="s">
        <v>9</v>
      </c>
      <c r="E1636" t="s">
        <v>420</v>
      </c>
      <c r="F1636" s="2">
        <v>45718</v>
      </c>
      <c r="G1636">
        <v>9927.35</v>
      </c>
      <c r="H1636" s="1">
        <f>AVERAGEIF(Table1[Customer_ID], Table1[[#This Row],[Customer_ID]], Table1[Transaction_Amount])</f>
        <v>5987.6081999999997</v>
      </c>
      <c r="I1636" t="s">
        <v>177</v>
      </c>
      <c r="J1636" t="s">
        <v>41</v>
      </c>
      <c r="K1636" t="s">
        <v>14</v>
      </c>
      <c r="L1636">
        <v>2</v>
      </c>
      <c r="M1636" t="s">
        <v>42</v>
      </c>
      <c r="N1636" t="s">
        <v>37</v>
      </c>
      <c r="O1636" t="s">
        <v>393</v>
      </c>
      <c r="P1636" s="6" t="str">
        <f>IF(Table1[[#This Row],[Transaction_Amount]]&lt;=Table1[[#This Row],[avg_transaction_amount]], "usual transaction", "unusual transaction")</f>
        <v>unusual transaction</v>
      </c>
      <c r="Q1636" s="6" t="str">
        <f>IF(AND(Table1[[#This Row],[Country_of_Residence]]&lt;&gt;Table1[[#This Row],[Country_of_Transaction]], OR(Table1[[#This Row],[Authentication_Type]]="Biometric", Table1[[#This Row],[Authentication_Type]]="OTP")), "safe location transaction", "unsafe location transaction")</f>
        <v>unsafe location transaction</v>
      </c>
      <c r="R1636" s="6" t="str">
        <f>IF(AND(Table1[[#This Row],[Country_of_Residence]]&lt;&gt;Table1[[#This Row],[Country_of_Transaction]], OR(Table1[[#This Row],[Merchant_Category]]="Electronics", Table1[[#This Row],[Merchant_Category]]="Travel")), "unsafe merchant transaction", "safe merchant transaction")</f>
        <v>safe merchant transaction</v>
      </c>
    </row>
    <row r="1637" spans="1:18">
      <c r="A1637" t="s">
        <v>3786</v>
      </c>
      <c r="B1637" t="s">
        <v>260</v>
      </c>
      <c r="C1637">
        <v>1</v>
      </c>
      <c r="D1637" t="s">
        <v>15</v>
      </c>
      <c r="E1637" t="s">
        <v>6</v>
      </c>
      <c r="F1637" s="2">
        <v>45820</v>
      </c>
      <c r="G1637">
        <v>5990.16</v>
      </c>
      <c r="H1637" s="1">
        <f>AVERAGEIF(Table1[Customer_ID], Table1[[#This Row],[Customer_ID]], Table1[Transaction_Amount])</f>
        <v>5987.6081999999997</v>
      </c>
      <c r="I1637" t="s">
        <v>1373</v>
      </c>
      <c r="J1637" t="s">
        <v>46</v>
      </c>
      <c r="K1637" t="s">
        <v>14</v>
      </c>
      <c r="L1637">
        <v>2</v>
      </c>
      <c r="M1637" t="s">
        <v>42</v>
      </c>
      <c r="N1637" t="s">
        <v>51</v>
      </c>
      <c r="O1637" t="s">
        <v>393</v>
      </c>
      <c r="P1637" s="6" t="str">
        <f>IF(Table1[[#This Row],[Transaction_Amount]]&lt;=Table1[[#This Row],[avg_transaction_amount]], "usual transaction", "unusual transaction")</f>
        <v>unusual transaction</v>
      </c>
      <c r="Q1637" s="6" t="str">
        <f>IF(AND(Table1[[#This Row],[Country_of_Residence]]&lt;&gt;Table1[[#This Row],[Country_of_Transaction]], OR(Table1[[#This Row],[Authentication_Type]]="Biometric", Table1[[#This Row],[Authentication_Type]]="OTP")), "safe location transaction", "unsafe location transaction")</f>
        <v>unsafe location transaction</v>
      </c>
      <c r="R1637" s="6" t="str">
        <f>IF(AND(Table1[[#This Row],[Country_of_Residence]]&lt;&gt;Table1[[#This Row],[Country_of_Transaction]], OR(Table1[[#This Row],[Merchant_Category]]="Electronics", Table1[[#This Row],[Merchant_Category]]="Travel")), "unsafe merchant transaction", "safe merchant transaction")</f>
        <v>safe merchant transaction</v>
      </c>
    </row>
    <row r="1638" spans="1:18">
      <c r="A1638" t="s">
        <v>3791</v>
      </c>
      <c r="B1638" t="s">
        <v>260</v>
      </c>
      <c r="C1638">
        <v>1</v>
      </c>
      <c r="D1638" t="s">
        <v>9</v>
      </c>
      <c r="E1638" t="s">
        <v>5</v>
      </c>
      <c r="F1638" s="2">
        <v>45834</v>
      </c>
      <c r="G1638">
        <v>9106.9</v>
      </c>
      <c r="H1638" s="1">
        <f>AVERAGEIF(Table1[Customer_ID], Table1[[#This Row],[Customer_ID]], Table1[Transaction_Amount])</f>
        <v>5987.6081999999997</v>
      </c>
      <c r="I1638" t="s">
        <v>941</v>
      </c>
      <c r="J1638" t="s">
        <v>36</v>
      </c>
      <c r="K1638" t="s">
        <v>12</v>
      </c>
      <c r="L1638">
        <v>3</v>
      </c>
      <c r="M1638" t="s">
        <v>33</v>
      </c>
      <c r="N1638" t="s">
        <v>51</v>
      </c>
      <c r="O1638" t="s">
        <v>392</v>
      </c>
      <c r="P1638" s="6" t="str">
        <f>IF(Table1[[#This Row],[Transaction_Amount]]&lt;=Table1[[#This Row],[avg_transaction_amount]], "usual transaction", "unusual transaction")</f>
        <v>unusual transaction</v>
      </c>
      <c r="Q1638" s="6" t="str">
        <f>IF(AND(Table1[[#This Row],[Country_of_Residence]]&lt;&gt;Table1[[#This Row],[Country_of_Transaction]], OR(Table1[[#This Row],[Authentication_Type]]="Biometric", Table1[[#This Row],[Authentication_Type]]="OTP")), "safe location transaction", "unsafe location transaction")</f>
        <v>unsafe location transaction</v>
      </c>
      <c r="R1638" s="6" t="str">
        <f>IF(AND(Table1[[#This Row],[Country_of_Residence]]&lt;&gt;Table1[[#This Row],[Country_of_Transaction]], OR(Table1[[#This Row],[Merchant_Category]]="Electronics", Table1[[#This Row],[Merchant_Category]]="Travel")), "unsafe merchant transaction", "safe merchant transaction")</f>
        <v>safe merchant transaction</v>
      </c>
    </row>
    <row r="1639" spans="1:18">
      <c r="A1639" t="s">
        <v>4014</v>
      </c>
      <c r="B1639" t="s">
        <v>260</v>
      </c>
      <c r="C1639">
        <v>1</v>
      </c>
      <c r="D1639" t="s">
        <v>9</v>
      </c>
      <c r="E1639" t="s">
        <v>5</v>
      </c>
      <c r="F1639" s="2">
        <v>45793</v>
      </c>
      <c r="G1639">
        <v>789.64</v>
      </c>
      <c r="H1639" s="1">
        <f>AVERAGEIF(Table1[Customer_ID], Table1[[#This Row],[Customer_ID]], Table1[Transaction_Amount])</f>
        <v>5987.6081999999997</v>
      </c>
      <c r="I1639" t="s">
        <v>1570</v>
      </c>
      <c r="J1639" t="s">
        <v>46</v>
      </c>
      <c r="K1639" t="s">
        <v>14</v>
      </c>
      <c r="L1639">
        <v>0</v>
      </c>
      <c r="M1639" t="s">
        <v>42</v>
      </c>
      <c r="N1639" t="s">
        <v>56</v>
      </c>
      <c r="O1639" t="s">
        <v>393</v>
      </c>
      <c r="P1639" s="6" t="str">
        <f>IF(Table1[[#This Row],[Transaction_Amount]]&lt;=Table1[[#This Row],[avg_transaction_amount]], "usual transaction", "unusual transaction")</f>
        <v>usual transaction</v>
      </c>
      <c r="Q1639" s="6" t="str">
        <f>IF(AND(Table1[[#This Row],[Country_of_Residence]]&lt;&gt;Table1[[#This Row],[Country_of_Transaction]], OR(Table1[[#This Row],[Authentication_Type]]="Biometric", Table1[[#This Row],[Authentication_Type]]="OTP")), "safe location transaction", "unsafe location transaction")</f>
        <v>unsafe location transaction</v>
      </c>
      <c r="R1639" s="6" t="str">
        <f>IF(AND(Table1[[#This Row],[Country_of_Residence]]&lt;&gt;Table1[[#This Row],[Country_of_Transaction]], OR(Table1[[#This Row],[Merchant_Category]]="Electronics", Table1[[#This Row],[Merchant_Category]]="Travel")), "unsafe merchant transaction", "safe merchant transaction")</f>
        <v>safe merchant transaction</v>
      </c>
    </row>
    <row r="1640" spans="1:18">
      <c r="A1640" t="s">
        <v>4025</v>
      </c>
      <c r="B1640" t="s">
        <v>260</v>
      </c>
      <c r="C1640">
        <v>1</v>
      </c>
      <c r="D1640" t="s">
        <v>15</v>
      </c>
      <c r="E1640" t="s">
        <v>420</v>
      </c>
      <c r="F1640" s="2">
        <v>45704</v>
      </c>
      <c r="G1640">
        <v>6279.36</v>
      </c>
      <c r="H1640" s="1">
        <f>AVERAGEIF(Table1[Customer_ID], Table1[[#This Row],[Customer_ID]], Table1[Transaction_Amount])</f>
        <v>5987.6081999999997</v>
      </c>
      <c r="I1640" t="s">
        <v>1581</v>
      </c>
      <c r="J1640" t="s">
        <v>46</v>
      </c>
      <c r="K1640" t="s">
        <v>8</v>
      </c>
      <c r="L1640">
        <v>3</v>
      </c>
      <c r="M1640" t="s">
        <v>56</v>
      </c>
      <c r="N1640" t="s">
        <v>47</v>
      </c>
      <c r="O1640" t="s">
        <v>392</v>
      </c>
      <c r="P1640" s="6" t="str">
        <f>IF(Table1[[#This Row],[Transaction_Amount]]&lt;=Table1[[#This Row],[avg_transaction_amount]], "usual transaction", "unusual transaction")</f>
        <v>unusual transaction</v>
      </c>
      <c r="Q1640" s="6" t="str">
        <f>IF(AND(Table1[[#This Row],[Country_of_Residence]]&lt;&gt;Table1[[#This Row],[Country_of_Transaction]], OR(Table1[[#This Row],[Authentication_Type]]="Biometric", Table1[[#This Row],[Authentication_Type]]="OTP")), "safe location transaction", "unsafe location transaction")</f>
        <v>safe location transaction</v>
      </c>
      <c r="R1640" s="6" t="str">
        <f>IF(AND(Table1[[#This Row],[Country_of_Residence]]&lt;&gt;Table1[[#This Row],[Country_of_Transaction]], OR(Table1[[#This Row],[Merchant_Category]]="Electronics", Table1[[#This Row],[Merchant_Category]]="Travel")), "unsafe merchant transaction", "safe merchant transaction")</f>
        <v>safe merchant transaction</v>
      </c>
    </row>
    <row r="1641" spans="1:18">
      <c r="A1641" t="s">
        <v>4089</v>
      </c>
      <c r="B1641" t="s">
        <v>260</v>
      </c>
      <c r="C1641">
        <v>1</v>
      </c>
      <c r="D1641" t="s">
        <v>15</v>
      </c>
      <c r="E1641" t="s">
        <v>3</v>
      </c>
      <c r="F1641" s="2">
        <v>45790</v>
      </c>
      <c r="G1641">
        <v>9328.44</v>
      </c>
      <c r="H1641" s="1">
        <f>AVERAGEIF(Table1[Customer_ID], Table1[[#This Row],[Customer_ID]], Table1[Transaction_Amount])</f>
        <v>5987.6081999999997</v>
      </c>
      <c r="I1641" t="s">
        <v>1633</v>
      </c>
      <c r="J1641" t="s">
        <v>36</v>
      </c>
      <c r="K1641" t="s">
        <v>8</v>
      </c>
      <c r="L1641">
        <v>2</v>
      </c>
      <c r="M1641" t="s">
        <v>47</v>
      </c>
      <c r="N1641" t="s">
        <v>32</v>
      </c>
      <c r="O1641" t="s">
        <v>392</v>
      </c>
      <c r="P1641" s="6" t="str">
        <f>IF(Table1[[#This Row],[Transaction_Amount]]&lt;=Table1[[#This Row],[avg_transaction_amount]], "usual transaction", "unusual transaction")</f>
        <v>unusual transaction</v>
      </c>
      <c r="Q1641" s="6" t="str">
        <f>IF(AND(Table1[[#This Row],[Country_of_Residence]]&lt;&gt;Table1[[#This Row],[Country_of_Transaction]], OR(Table1[[#This Row],[Authentication_Type]]="Biometric", Table1[[#This Row],[Authentication_Type]]="OTP")), "safe location transaction", "unsafe location transaction")</f>
        <v>safe location transaction</v>
      </c>
      <c r="R1641" s="6" t="str">
        <f>IF(AND(Table1[[#This Row],[Country_of_Residence]]&lt;&gt;Table1[[#This Row],[Country_of_Transaction]], OR(Table1[[#This Row],[Merchant_Category]]="Electronics", Table1[[#This Row],[Merchant_Category]]="Travel")), "unsafe merchant transaction", "safe merchant transaction")</f>
        <v>safe merchant transaction</v>
      </c>
    </row>
    <row r="1642" spans="1:18">
      <c r="A1642" t="s">
        <v>4119</v>
      </c>
      <c r="B1642" t="s">
        <v>260</v>
      </c>
      <c r="C1642">
        <v>1</v>
      </c>
      <c r="D1642" t="s">
        <v>15</v>
      </c>
      <c r="E1642" t="s">
        <v>6</v>
      </c>
      <c r="F1642" s="2">
        <v>45998</v>
      </c>
      <c r="G1642">
        <v>9016.65</v>
      </c>
      <c r="H1642" s="1">
        <f>AVERAGEIF(Table1[Customer_ID], Table1[[#This Row],[Customer_ID]], Table1[Transaction_Amount])</f>
        <v>5987.6081999999997</v>
      </c>
      <c r="I1642" t="s">
        <v>1653</v>
      </c>
      <c r="J1642" t="s">
        <v>36</v>
      </c>
      <c r="K1642" t="s">
        <v>12</v>
      </c>
      <c r="L1642">
        <v>0</v>
      </c>
      <c r="M1642" t="s">
        <v>55</v>
      </c>
      <c r="N1642" t="s">
        <v>33</v>
      </c>
      <c r="O1642" t="s">
        <v>393</v>
      </c>
      <c r="P1642" s="6" t="str">
        <f>IF(Table1[[#This Row],[Transaction_Amount]]&lt;=Table1[[#This Row],[avg_transaction_amount]], "usual transaction", "unusual transaction")</f>
        <v>unusual transaction</v>
      </c>
      <c r="Q1642" s="6" t="str">
        <f>IF(AND(Table1[[#This Row],[Country_of_Residence]]&lt;&gt;Table1[[#This Row],[Country_of_Transaction]], OR(Table1[[#This Row],[Authentication_Type]]="Biometric", Table1[[#This Row],[Authentication_Type]]="OTP")), "safe location transaction", "unsafe location transaction")</f>
        <v>unsafe location transaction</v>
      </c>
      <c r="R1642" s="6" t="str">
        <f>IF(AND(Table1[[#This Row],[Country_of_Residence]]&lt;&gt;Table1[[#This Row],[Country_of_Transaction]], OR(Table1[[#This Row],[Merchant_Category]]="Electronics", Table1[[#This Row],[Merchant_Category]]="Travel")), "unsafe merchant transaction", "safe merchant transaction")</f>
        <v>safe merchant transaction</v>
      </c>
    </row>
    <row r="1643" spans="1:18">
      <c r="A1643" t="s">
        <v>4155</v>
      </c>
      <c r="B1643" t="s">
        <v>260</v>
      </c>
      <c r="C1643">
        <v>1</v>
      </c>
      <c r="D1643" t="s">
        <v>9</v>
      </c>
      <c r="E1643" t="s">
        <v>5</v>
      </c>
      <c r="F1643" s="2">
        <v>45887</v>
      </c>
      <c r="G1643">
        <v>9273.77</v>
      </c>
      <c r="H1643" s="1">
        <f>AVERAGEIF(Table1[Customer_ID], Table1[[#This Row],[Customer_ID]], Table1[Transaction_Amount])</f>
        <v>5987.6081999999997</v>
      </c>
      <c r="I1643" t="s">
        <v>1682</v>
      </c>
      <c r="J1643" t="s">
        <v>50</v>
      </c>
      <c r="K1643" t="s">
        <v>10</v>
      </c>
      <c r="L1643">
        <v>2</v>
      </c>
      <c r="M1643" t="s">
        <v>56</v>
      </c>
      <c r="N1643" t="s">
        <v>42</v>
      </c>
      <c r="O1643" t="s">
        <v>392</v>
      </c>
      <c r="P1643" s="6" t="str">
        <f>IF(Table1[[#This Row],[Transaction_Amount]]&lt;=Table1[[#This Row],[avg_transaction_amount]], "usual transaction", "unusual transaction")</f>
        <v>unusual transaction</v>
      </c>
      <c r="Q1643" s="6" t="str">
        <f>IF(AND(Table1[[#This Row],[Country_of_Residence]]&lt;&gt;Table1[[#This Row],[Country_of_Transaction]], OR(Table1[[#This Row],[Authentication_Type]]="Biometric", Table1[[#This Row],[Authentication_Type]]="OTP")), "safe location transaction", "unsafe location transaction")</f>
        <v>safe location transaction</v>
      </c>
      <c r="R1643" s="6" t="str">
        <f>IF(AND(Table1[[#This Row],[Country_of_Residence]]&lt;&gt;Table1[[#This Row],[Country_of_Transaction]], OR(Table1[[#This Row],[Merchant_Category]]="Electronics", Table1[[#This Row],[Merchant_Category]]="Travel")), "unsafe merchant transaction", "safe merchant transaction")</f>
        <v>unsafe merchant transaction</v>
      </c>
    </row>
    <row r="1644" spans="1:18">
      <c r="A1644" t="s">
        <v>4220</v>
      </c>
      <c r="B1644" t="s">
        <v>260</v>
      </c>
      <c r="C1644">
        <v>1</v>
      </c>
      <c r="D1644" t="s">
        <v>15</v>
      </c>
      <c r="E1644" t="s">
        <v>3</v>
      </c>
      <c r="F1644" s="2">
        <v>45902</v>
      </c>
      <c r="G1644">
        <v>5493.86</v>
      </c>
      <c r="H1644" s="1">
        <f>AVERAGEIF(Table1[Customer_ID], Table1[[#This Row],[Customer_ID]], Table1[Transaction_Amount])</f>
        <v>5987.6081999999997</v>
      </c>
      <c r="I1644" t="s">
        <v>1740</v>
      </c>
      <c r="J1644" t="s">
        <v>31</v>
      </c>
      <c r="K1644" t="s">
        <v>14</v>
      </c>
      <c r="L1644">
        <v>1</v>
      </c>
      <c r="M1644" t="s">
        <v>56</v>
      </c>
      <c r="N1644" t="s">
        <v>42</v>
      </c>
      <c r="O1644" t="s">
        <v>392</v>
      </c>
      <c r="P1644" s="6" t="str">
        <f>IF(Table1[[#This Row],[Transaction_Amount]]&lt;=Table1[[#This Row],[avg_transaction_amount]], "usual transaction", "unusual transaction")</f>
        <v>usual transaction</v>
      </c>
      <c r="Q1644" s="6" t="str">
        <f>IF(AND(Table1[[#This Row],[Country_of_Residence]]&lt;&gt;Table1[[#This Row],[Country_of_Transaction]], OR(Table1[[#This Row],[Authentication_Type]]="Biometric", Table1[[#This Row],[Authentication_Type]]="OTP")), "safe location transaction", "unsafe location transaction")</f>
        <v>unsafe location transaction</v>
      </c>
      <c r="R1644" s="6" t="str">
        <f>IF(AND(Table1[[#This Row],[Country_of_Residence]]&lt;&gt;Table1[[#This Row],[Country_of_Transaction]], OR(Table1[[#This Row],[Merchant_Category]]="Electronics", Table1[[#This Row],[Merchant_Category]]="Travel")), "unsafe merchant transaction", "safe merchant transaction")</f>
        <v>safe merchant transaction</v>
      </c>
    </row>
    <row r="1645" spans="1:18">
      <c r="A1645" t="s">
        <v>4250</v>
      </c>
      <c r="B1645" t="s">
        <v>260</v>
      </c>
      <c r="C1645">
        <v>1</v>
      </c>
      <c r="D1645" t="s">
        <v>9</v>
      </c>
      <c r="E1645" t="s">
        <v>420</v>
      </c>
      <c r="F1645" s="2">
        <v>45710</v>
      </c>
      <c r="G1645">
        <v>8152.53</v>
      </c>
      <c r="H1645" s="1">
        <f>AVERAGEIF(Table1[Customer_ID], Table1[[#This Row],[Customer_ID]], Table1[Transaction_Amount])</f>
        <v>5987.6081999999997</v>
      </c>
      <c r="I1645" t="s">
        <v>1765</v>
      </c>
      <c r="J1645" t="s">
        <v>50</v>
      </c>
      <c r="K1645" t="s">
        <v>14</v>
      </c>
      <c r="L1645">
        <v>3</v>
      </c>
      <c r="M1645" t="s">
        <v>32</v>
      </c>
      <c r="N1645" t="s">
        <v>42</v>
      </c>
      <c r="O1645" t="s">
        <v>393</v>
      </c>
      <c r="P1645" s="6" t="str">
        <f>IF(Table1[[#This Row],[Transaction_Amount]]&lt;=Table1[[#This Row],[avg_transaction_amount]], "usual transaction", "unusual transaction")</f>
        <v>unusual transaction</v>
      </c>
      <c r="Q1645" s="6" t="str">
        <f>IF(AND(Table1[[#This Row],[Country_of_Residence]]&lt;&gt;Table1[[#This Row],[Country_of_Transaction]], OR(Table1[[#This Row],[Authentication_Type]]="Biometric", Table1[[#This Row],[Authentication_Type]]="OTP")), "safe location transaction", "unsafe location transaction")</f>
        <v>unsafe location transaction</v>
      </c>
      <c r="R1645" s="6" t="str">
        <f>IF(AND(Table1[[#This Row],[Country_of_Residence]]&lt;&gt;Table1[[#This Row],[Country_of_Transaction]], OR(Table1[[#This Row],[Merchant_Category]]="Electronics", Table1[[#This Row],[Merchant_Category]]="Travel")), "unsafe merchant transaction", "safe merchant transaction")</f>
        <v>unsafe merchant transaction</v>
      </c>
    </row>
    <row r="1646" spans="1:18">
      <c r="A1646" t="s">
        <v>4253</v>
      </c>
      <c r="B1646" t="s">
        <v>260</v>
      </c>
      <c r="C1646">
        <v>1</v>
      </c>
      <c r="D1646" t="s">
        <v>15</v>
      </c>
      <c r="E1646" t="s">
        <v>3</v>
      </c>
      <c r="F1646" s="2">
        <v>45724</v>
      </c>
      <c r="G1646">
        <v>5755.36</v>
      </c>
      <c r="H1646" s="1">
        <f>AVERAGEIF(Table1[Customer_ID], Table1[[#This Row],[Customer_ID]], Table1[Transaction_Amount])</f>
        <v>5987.6081999999997</v>
      </c>
      <c r="I1646" t="s">
        <v>1768</v>
      </c>
      <c r="J1646" t="s">
        <v>31</v>
      </c>
      <c r="K1646" t="s">
        <v>10</v>
      </c>
      <c r="L1646">
        <v>4</v>
      </c>
      <c r="M1646" t="s">
        <v>47</v>
      </c>
      <c r="N1646" t="s">
        <v>33</v>
      </c>
      <c r="O1646" t="s">
        <v>392</v>
      </c>
      <c r="P1646" s="6" t="str">
        <f>IF(Table1[[#This Row],[Transaction_Amount]]&lt;=Table1[[#This Row],[avg_transaction_amount]], "usual transaction", "unusual transaction")</f>
        <v>usual transaction</v>
      </c>
      <c r="Q1646" s="6" t="str">
        <f>IF(AND(Table1[[#This Row],[Country_of_Residence]]&lt;&gt;Table1[[#This Row],[Country_of_Transaction]], OR(Table1[[#This Row],[Authentication_Type]]="Biometric", Table1[[#This Row],[Authentication_Type]]="OTP")), "safe location transaction", "unsafe location transaction")</f>
        <v>safe location transaction</v>
      </c>
      <c r="R1646" s="6" t="str">
        <f>IF(AND(Table1[[#This Row],[Country_of_Residence]]&lt;&gt;Table1[[#This Row],[Country_of_Transaction]], OR(Table1[[#This Row],[Merchant_Category]]="Electronics", Table1[[#This Row],[Merchant_Category]]="Travel")), "unsafe merchant transaction", "safe merchant transaction")</f>
        <v>safe merchant transaction</v>
      </c>
    </row>
    <row r="1647" spans="1:18">
      <c r="A1647" t="s">
        <v>4283</v>
      </c>
      <c r="B1647" t="s">
        <v>260</v>
      </c>
      <c r="C1647">
        <v>1</v>
      </c>
      <c r="D1647" t="s">
        <v>9</v>
      </c>
      <c r="E1647" t="s">
        <v>420</v>
      </c>
      <c r="F1647" s="2">
        <v>45960</v>
      </c>
      <c r="G1647">
        <v>2717.76</v>
      </c>
      <c r="H1647" s="1">
        <f>AVERAGEIF(Table1[Customer_ID], Table1[[#This Row],[Customer_ID]], Table1[Transaction_Amount])</f>
        <v>5987.6081999999997</v>
      </c>
      <c r="I1647" t="s">
        <v>1794</v>
      </c>
      <c r="J1647" t="s">
        <v>36</v>
      </c>
      <c r="K1647" t="s">
        <v>8</v>
      </c>
      <c r="L1647">
        <v>3</v>
      </c>
      <c r="M1647" t="s">
        <v>412</v>
      </c>
      <c r="N1647" t="s">
        <v>33</v>
      </c>
      <c r="O1647" t="s">
        <v>392</v>
      </c>
      <c r="P1647" s="6" t="str">
        <f>IF(Table1[[#This Row],[Transaction_Amount]]&lt;=Table1[[#This Row],[avg_transaction_amount]], "usual transaction", "unusual transaction")</f>
        <v>usual transaction</v>
      </c>
      <c r="Q1647" s="6" t="str">
        <f>IF(AND(Table1[[#This Row],[Country_of_Residence]]&lt;&gt;Table1[[#This Row],[Country_of_Transaction]], OR(Table1[[#This Row],[Authentication_Type]]="Biometric", Table1[[#This Row],[Authentication_Type]]="OTP")), "safe location transaction", "unsafe location transaction")</f>
        <v>safe location transaction</v>
      </c>
      <c r="R1647" s="6" t="str">
        <f>IF(AND(Table1[[#This Row],[Country_of_Residence]]&lt;&gt;Table1[[#This Row],[Country_of_Transaction]], OR(Table1[[#This Row],[Merchant_Category]]="Electronics", Table1[[#This Row],[Merchant_Category]]="Travel")), "unsafe merchant transaction", "safe merchant transaction")</f>
        <v>safe merchant transaction</v>
      </c>
    </row>
    <row r="1648" spans="1:18">
      <c r="A1648" t="s">
        <v>4340</v>
      </c>
      <c r="B1648" t="s">
        <v>260</v>
      </c>
      <c r="C1648">
        <v>1</v>
      </c>
      <c r="D1648" t="s">
        <v>15</v>
      </c>
      <c r="E1648" t="s">
        <v>3</v>
      </c>
      <c r="F1648" s="2">
        <v>45674</v>
      </c>
      <c r="G1648">
        <v>6959.86</v>
      </c>
      <c r="H1648" s="1">
        <f>AVERAGEIF(Table1[Customer_ID], Table1[[#This Row],[Customer_ID]], Table1[Transaction_Amount])</f>
        <v>5987.6081999999997</v>
      </c>
      <c r="I1648" t="s">
        <v>1846</v>
      </c>
      <c r="J1648" t="s">
        <v>46</v>
      </c>
      <c r="K1648" t="s">
        <v>8</v>
      </c>
      <c r="L1648">
        <v>3</v>
      </c>
      <c r="M1648" t="s">
        <v>42</v>
      </c>
      <c r="N1648" t="s">
        <v>32</v>
      </c>
      <c r="O1648" t="s">
        <v>393</v>
      </c>
      <c r="P1648" s="6" t="str">
        <f>IF(Table1[[#This Row],[Transaction_Amount]]&lt;=Table1[[#This Row],[avg_transaction_amount]], "usual transaction", "unusual transaction")</f>
        <v>unusual transaction</v>
      </c>
      <c r="Q1648" s="6" t="str">
        <f>IF(AND(Table1[[#This Row],[Country_of_Residence]]&lt;&gt;Table1[[#This Row],[Country_of_Transaction]], OR(Table1[[#This Row],[Authentication_Type]]="Biometric", Table1[[#This Row],[Authentication_Type]]="OTP")), "safe location transaction", "unsafe location transaction")</f>
        <v>safe location transaction</v>
      </c>
      <c r="R1648" s="6" t="str">
        <f>IF(AND(Table1[[#This Row],[Country_of_Residence]]&lt;&gt;Table1[[#This Row],[Country_of_Transaction]], OR(Table1[[#This Row],[Merchant_Category]]="Electronics", Table1[[#This Row],[Merchant_Category]]="Travel")), "unsafe merchant transaction", "safe merchant transaction")</f>
        <v>safe merchant transaction</v>
      </c>
    </row>
    <row r="1649" spans="1:18">
      <c r="A1649" t="s">
        <v>4399</v>
      </c>
      <c r="B1649" t="s">
        <v>260</v>
      </c>
      <c r="C1649">
        <v>1</v>
      </c>
      <c r="D1649" t="s">
        <v>15</v>
      </c>
      <c r="E1649" t="s">
        <v>420</v>
      </c>
      <c r="F1649" s="2">
        <v>45720</v>
      </c>
      <c r="G1649">
        <v>1062.3699999999999</v>
      </c>
      <c r="H1649" s="1">
        <f>AVERAGEIF(Table1[Customer_ID], Table1[[#This Row],[Customer_ID]], Table1[Transaction_Amount])</f>
        <v>5987.6081999999997</v>
      </c>
      <c r="I1649" t="s">
        <v>1899</v>
      </c>
      <c r="J1649" t="s">
        <v>50</v>
      </c>
      <c r="K1649" t="s">
        <v>8</v>
      </c>
      <c r="L1649">
        <v>4</v>
      </c>
      <c r="M1649" t="s">
        <v>55</v>
      </c>
      <c r="N1649" t="s">
        <v>47</v>
      </c>
      <c r="O1649" t="s">
        <v>392</v>
      </c>
      <c r="P1649" s="6" t="str">
        <f>IF(Table1[[#This Row],[Transaction_Amount]]&lt;=Table1[[#This Row],[avg_transaction_amount]], "usual transaction", "unusual transaction")</f>
        <v>usual transaction</v>
      </c>
      <c r="Q1649" s="6" t="str">
        <f>IF(AND(Table1[[#This Row],[Country_of_Residence]]&lt;&gt;Table1[[#This Row],[Country_of_Transaction]], OR(Table1[[#This Row],[Authentication_Type]]="Biometric", Table1[[#This Row],[Authentication_Type]]="OTP")), "safe location transaction", "unsafe location transaction")</f>
        <v>safe location transaction</v>
      </c>
      <c r="R1649" s="6" t="str">
        <f>IF(AND(Table1[[#This Row],[Country_of_Residence]]&lt;&gt;Table1[[#This Row],[Country_of_Transaction]], OR(Table1[[#This Row],[Merchant_Category]]="Electronics", Table1[[#This Row],[Merchant_Category]]="Travel")), "unsafe merchant transaction", "safe merchant transaction")</f>
        <v>unsafe merchant transaction</v>
      </c>
    </row>
    <row r="1650" spans="1:18">
      <c r="A1650" t="s">
        <v>4414</v>
      </c>
      <c r="B1650" t="s">
        <v>260</v>
      </c>
      <c r="C1650">
        <v>1</v>
      </c>
      <c r="D1650" t="s">
        <v>15</v>
      </c>
      <c r="E1650" t="s">
        <v>6</v>
      </c>
      <c r="F1650" s="2">
        <v>45946</v>
      </c>
      <c r="G1650">
        <v>4360.6499999999996</v>
      </c>
      <c r="H1650" s="1">
        <f>AVERAGEIF(Table1[Customer_ID], Table1[[#This Row],[Customer_ID]], Table1[Transaction_Amount])</f>
        <v>5987.6081999999997</v>
      </c>
      <c r="I1650" t="s">
        <v>1913</v>
      </c>
      <c r="J1650" t="s">
        <v>50</v>
      </c>
      <c r="K1650" t="s">
        <v>14</v>
      </c>
      <c r="L1650">
        <v>0</v>
      </c>
      <c r="M1650" t="s">
        <v>42</v>
      </c>
      <c r="N1650" t="s">
        <v>51</v>
      </c>
      <c r="O1650" t="s">
        <v>393</v>
      </c>
      <c r="P1650" s="6" t="str">
        <f>IF(Table1[[#This Row],[Transaction_Amount]]&lt;=Table1[[#This Row],[avg_transaction_amount]], "usual transaction", "unusual transaction")</f>
        <v>usual transaction</v>
      </c>
      <c r="Q1650" s="6" t="str">
        <f>IF(AND(Table1[[#This Row],[Country_of_Residence]]&lt;&gt;Table1[[#This Row],[Country_of_Transaction]], OR(Table1[[#This Row],[Authentication_Type]]="Biometric", Table1[[#This Row],[Authentication_Type]]="OTP")), "safe location transaction", "unsafe location transaction")</f>
        <v>unsafe location transaction</v>
      </c>
      <c r="R1650" s="6" t="str">
        <f>IF(AND(Table1[[#This Row],[Country_of_Residence]]&lt;&gt;Table1[[#This Row],[Country_of_Transaction]], OR(Table1[[#This Row],[Merchant_Category]]="Electronics", Table1[[#This Row],[Merchant_Category]]="Travel")), "unsafe merchant transaction", "safe merchant transaction")</f>
        <v>unsafe merchant transaction</v>
      </c>
    </row>
    <row r="1651" spans="1:18">
      <c r="A1651" t="s">
        <v>4526</v>
      </c>
      <c r="B1651" t="s">
        <v>260</v>
      </c>
      <c r="C1651">
        <v>1</v>
      </c>
      <c r="D1651" t="s">
        <v>15</v>
      </c>
      <c r="E1651" t="s">
        <v>6</v>
      </c>
      <c r="F1651" s="2">
        <v>45931</v>
      </c>
      <c r="G1651">
        <v>4760.3100000000004</v>
      </c>
      <c r="H1651" s="1">
        <f>AVERAGEIF(Table1[Customer_ID], Table1[[#This Row],[Customer_ID]], Table1[Transaction_Amount])</f>
        <v>5987.6081999999997</v>
      </c>
      <c r="I1651" t="s">
        <v>1864</v>
      </c>
      <c r="J1651" t="s">
        <v>31</v>
      </c>
      <c r="K1651" t="s">
        <v>12</v>
      </c>
      <c r="L1651">
        <v>1</v>
      </c>
      <c r="M1651" t="s">
        <v>42</v>
      </c>
      <c r="N1651" t="s">
        <v>412</v>
      </c>
      <c r="O1651" t="s">
        <v>392</v>
      </c>
      <c r="P1651" s="6" t="str">
        <f>IF(Table1[[#This Row],[Transaction_Amount]]&lt;=Table1[[#This Row],[avg_transaction_amount]], "usual transaction", "unusual transaction")</f>
        <v>usual transaction</v>
      </c>
      <c r="Q1651" s="6" t="str">
        <f>IF(AND(Table1[[#This Row],[Country_of_Residence]]&lt;&gt;Table1[[#This Row],[Country_of_Transaction]], OR(Table1[[#This Row],[Authentication_Type]]="Biometric", Table1[[#This Row],[Authentication_Type]]="OTP")), "safe location transaction", "unsafe location transaction")</f>
        <v>unsafe location transaction</v>
      </c>
      <c r="R1651" s="6" t="str">
        <f>IF(AND(Table1[[#This Row],[Country_of_Residence]]&lt;&gt;Table1[[#This Row],[Country_of_Transaction]], OR(Table1[[#This Row],[Merchant_Category]]="Electronics", Table1[[#This Row],[Merchant_Category]]="Travel")), "unsafe merchant transaction", "safe merchant transaction")</f>
        <v>safe merchant transaction</v>
      </c>
    </row>
    <row r="1652" spans="1:18">
      <c r="A1652" t="s">
        <v>4563</v>
      </c>
      <c r="B1652" t="s">
        <v>260</v>
      </c>
      <c r="C1652">
        <v>1</v>
      </c>
      <c r="D1652" t="s">
        <v>15</v>
      </c>
      <c r="E1652" t="s">
        <v>420</v>
      </c>
      <c r="F1652" s="2">
        <v>45873</v>
      </c>
      <c r="G1652">
        <v>5830.2</v>
      </c>
      <c r="H1652" s="1">
        <f>AVERAGEIF(Table1[Customer_ID], Table1[[#This Row],[Customer_ID]], Table1[Transaction_Amount])</f>
        <v>5987.6081999999997</v>
      </c>
      <c r="I1652" t="s">
        <v>2038</v>
      </c>
      <c r="J1652" t="s">
        <v>50</v>
      </c>
      <c r="K1652" t="s">
        <v>12</v>
      </c>
      <c r="L1652">
        <v>4</v>
      </c>
      <c r="M1652" t="s">
        <v>33</v>
      </c>
      <c r="N1652" t="s">
        <v>32</v>
      </c>
      <c r="O1652" t="s">
        <v>392</v>
      </c>
      <c r="P1652" s="6" t="str">
        <f>IF(Table1[[#This Row],[Transaction_Amount]]&lt;=Table1[[#This Row],[avg_transaction_amount]], "usual transaction", "unusual transaction")</f>
        <v>usual transaction</v>
      </c>
      <c r="Q1652" s="6" t="str">
        <f>IF(AND(Table1[[#This Row],[Country_of_Residence]]&lt;&gt;Table1[[#This Row],[Country_of_Transaction]], OR(Table1[[#This Row],[Authentication_Type]]="Biometric", Table1[[#This Row],[Authentication_Type]]="OTP")), "safe location transaction", "unsafe location transaction")</f>
        <v>unsafe location transaction</v>
      </c>
      <c r="R1652" s="6" t="str">
        <f>IF(AND(Table1[[#This Row],[Country_of_Residence]]&lt;&gt;Table1[[#This Row],[Country_of_Transaction]], OR(Table1[[#This Row],[Merchant_Category]]="Electronics", Table1[[#This Row],[Merchant_Category]]="Travel")), "unsafe merchant transaction", "safe merchant transaction")</f>
        <v>unsafe merchant transaction</v>
      </c>
    </row>
    <row r="1653" spans="1:18">
      <c r="A1653" t="s">
        <v>4564</v>
      </c>
      <c r="B1653" t="s">
        <v>260</v>
      </c>
      <c r="C1653">
        <v>1</v>
      </c>
      <c r="D1653" t="s">
        <v>15</v>
      </c>
      <c r="E1653" t="s">
        <v>5</v>
      </c>
      <c r="F1653" s="2">
        <v>45956</v>
      </c>
      <c r="G1653">
        <v>7502.02</v>
      </c>
      <c r="H1653" s="1">
        <f>AVERAGEIF(Table1[Customer_ID], Table1[[#This Row],[Customer_ID]], Table1[Transaction_Amount])</f>
        <v>5987.6081999999997</v>
      </c>
      <c r="I1653" t="s">
        <v>2039</v>
      </c>
      <c r="J1653" t="s">
        <v>36</v>
      </c>
      <c r="K1653" t="s">
        <v>10</v>
      </c>
      <c r="L1653">
        <v>4</v>
      </c>
      <c r="M1653" t="s">
        <v>37</v>
      </c>
      <c r="N1653" t="s">
        <v>51</v>
      </c>
      <c r="O1653" t="s">
        <v>393</v>
      </c>
      <c r="P1653" s="6" t="str">
        <f>IF(Table1[[#This Row],[Transaction_Amount]]&lt;=Table1[[#This Row],[avg_transaction_amount]], "usual transaction", "unusual transaction")</f>
        <v>unusual transaction</v>
      </c>
      <c r="Q1653" s="6" t="str">
        <f>IF(AND(Table1[[#This Row],[Country_of_Residence]]&lt;&gt;Table1[[#This Row],[Country_of_Transaction]], OR(Table1[[#This Row],[Authentication_Type]]="Biometric", Table1[[#This Row],[Authentication_Type]]="OTP")), "safe location transaction", "unsafe location transaction")</f>
        <v>safe location transaction</v>
      </c>
      <c r="R1653" s="6" t="str">
        <f>IF(AND(Table1[[#This Row],[Country_of_Residence]]&lt;&gt;Table1[[#This Row],[Country_of_Transaction]], OR(Table1[[#This Row],[Merchant_Category]]="Electronics", Table1[[#This Row],[Merchant_Category]]="Travel")), "unsafe merchant transaction", "safe merchant transaction")</f>
        <v>safe merchant transaction</v>
      </c>
    </row>
    <row r="1654" spans="1:18">
      <c r="A1654" t="s">
        <v>4585</v>
      </c>
      <c r="B1654" t="s">
        <v>260</v>
      </c>
      <c r="C1654">
        <v>1</v>
      </c>
      <c r="D1654" t="s">
        <v>9</v>
      </c>
      <c r="E1654" t="s">
        <v>420</v>
      </c>
      <c r="F1654" s="2">
        <v>45869</v>
      </c>
      <c r="G1654">
        <v>4623.8100000000004</v>
      </c>
      <c r="H1654" s="1">
        <f>AVERAGEIF(Table1[Customer_ID], Table1[[#This Row],[Customer_ID]], Table1[Transaction_Amount])</f>
        <v>5987.6081999999997</v>
      </c>
      <c r="I1654" t="s">
        <v>1582</v>
      </c>
      <c r="J1654" t="s">
        <v>31</v>
      </c>
      <c r="K1654" t="s">
        <v>12</v>
      </c>
      <c r="L1654">
        <v>2</v>
      </c>
      <c r="M1654" t="s">
        <v>56</v>
      </c>
      <c r="N1654" t="s">
        <v>55</v>
      </c>
      <c r="O1654" t="s">
        <v>393</v>
      </c>
      <c r="P1654" s="6" t="str">
        <f>IF(Table1[[#This Row],[Transaction_Amount]]&lt;=Table1[[#This Row],[avg_transaction_amount]], "usual transaction", "unusual transaction")</f>
        <v>usual transaction</v>
      </c>
      <c r="Q1654" s="6" t="str">
        <f>IF(AND(Table1[[#This Row],[Country_of_Residence]]&lt;&gt;Table1[[#This Row],[Country_of_Transaction]], OR(Table1[[#This Row],[Authentication_Type]]="Biometric", Table1[[#This Row],[Authentication_Type]]="OTP")), "safe location transaction", "unsafe location transaction")</f>
        <v>unsafe location transaction</v>
      </c>
      <c r="R1654" s="6" t="str">
        <f>IF(AND(Table1[[#This Row],[Country_of_Residence]]&lt;&gt;Table1[[#This Row],[Country_of_Transaction]], OR(Table1[[#This Row],[Merchant_Category]]="Electronics", Table1[[#This Row],[Merchant_Category]]="Travel")), "unsafe merchant transaction", "safe merchant transaction")</f>
        <v>safe merchant transaction</v>
      </c>
    </row>
    <row r="1655" spans="1:18">
      <c r="A1655" t="s">
        <v>4595</v>
      </c>
      <c r="B1655" t="s">
        <v>260</v>
      </c>
      <c r="C1655">
        <v>1</v>
      </c>
      <c r="D1655" t="s">
        <v>15</v>
      </c>
      <c r="E1655" t="s">
        <v>6</v>
      </c>
      <c r="F1655" s="2">
        <v>45684</v>
      </c>
      <c r="G1655">
        <v>4980.6899999999996</v>
      </c>
      <c r="H1655" s="1">
        <f>AVERAGEIF(Table1[Customer_ID], Table1[[#This Row],[Customer_ID]], Table1[Transaction_Amount])</f>
        <v>5987.6081999999997</v>
      </c>
      <c r="I1655" t="s">
        <v>2063</v>
      </c>
      <c r="J1655" t="s">
        <v>50</v>
      </c>
      <c r="K1655" t="s">
        <v>10</v>
      </c>
      <c r="L1655">
        <v>0</v>
      </c>
      <c r="M1655" t="s">
        <v>32</v>
      </c>
      <c r="N1655" t="s">
        <v>33</v>
      </c>
      <c r="O1655" t="s">
        <v>393</v>
      </c>
      <c r="P1655" s="6" t="str">
        <f>IF(Table1[[#This Row],[Transaction_Amount]]&lt;=Table1[[#This Row],[avg_transaction_amount]], "usual transaction", "unusual transaction")</f>
        <v>usual transaction</v>
      </c>
      <c r="Q1655" s="6" t="str">
        <f>IF(AND(Table1[[#This Row],[Country_of_Residence]]&lt;&gt;Table1[[#This Row],[Country_of_Transaction]], OR(Table1[[#This Row],[Authentication_Type]]="Biometric", Table1[[#This Row],[Authentication_Type]]="OTP")), "safe location transaction", "unsafe location transaction")</f>
        <v>safe location transaction</v>
      </c>
      <c r="R1655" s="6" t="str">
        <f>IF(AND(Table1[[#This Row],[Country_of_Residence]]&lt;&gt;Table1[[#This Row],[Country_of_Transaction]], OR(Table1[[#This Row],[Merchant_Category]]="Electronics", Table1[[#This Row],[Merchant_Category]]="Travel")), "unsafe merchant transaction", "safe merchant transaction")</f>
        <v>unsafe merchant transaction</v>
      </c>
    </row>
    <row r="1656" spans="1:18">
      <c r="A1656" t="s">
        <v>4648</v>
      </c>
      <c r="B1656" t="s">
        <v>260</v>
      </c>
      <c r="C1656">
        <v>1</v>
      </c>
      <c r="D1656" t="s">
        <v>15</v>
      </c>
      <c r="E1656" t="s">
        <v>3</v>
      </c>
      <c r="F1656" s="2">
        <v>45862</v>
      </c>
      <c r="G1656">
        <v>7573.65</v>
      </c>
      <c r="H1656" s="1">
        <f>AVERAGEIF(Table1[Customer_ID], Table1[[#This Row],[Customer_ID]], Table1[Transaction_Amount])</f>
        <v>5987.6081999999997</v>
      </c>
      <c r="I1656" t="s">
        <v>2108</v>
      </c>
      <c r="J1656" t="s">
        <v>36</v>
      </c>
      <c r="K1656" t="s">
        <v>8</v>
      </c>
      <c r="L1656">
        <v>0</v>
      </c>
      <c r="M1656" t="s">
        <v>55</v>
      </c>
      <c r="N1656" t="s">
        <v>56</v>
      </c>
      <c r="O1656" t="s">
        <v>392</v>
      </c>
      <c r="P1656" s="6" t="str">
        <f>IF(Table1[[#This Row],[Transaction_Amount]]&lt;=Table1[[#This Row],[avg_transaction_amount]], "usual transaction", "unusual transaction")</f>
        <v>unusual transaction</v>
      </c>
      <c r="Q1656" s="6" t="str">
        <f>IF(AND(Table1[[#This Row],[Country_of_Residence]]&lt;&gt;Table1[[#This Row],[Country_of_Transaction]], OR(Table1[[#This Row],[Authentication_Type]]="Biometric", Table1[[#This Row],[Authentication_Type]]="OTP")), "safe location transaction", "unsafe location transaction")</f>
        <v>safe location transaction</v>
      </c>
      <c r="R1656" s="6" t="str">
        <f>IF(AND(Table1[[#This Row],[Country_of_Residence]]&lt;&gt;Table1[[#This Row],[Country_of_Transaction]], OR(Table1[[#This Row],[Merchant_Category]]="Electronics", Table1[[#This Row],[Merchant_Category]]="Travel")), "unsafe merchant transaction", "safe merchant transaction")</f>
        <v>safe merchant transaction</v>
      </c>
    </row>
    <row r="1657" spans="1:18">
      <c r="A1657" t="s">
        <v>4691</v>
      </c>
      <c r="B1657" t="s">
        <v>260</v>
      </c>
      <c r="C1657">
        <v>1</v>
      </c>
      <c r="D1657" t="s">
        <v>15</v>
      </c>
      <c r="E1657" t="s">
        <v>5</v>
      </c>
      <c r="F1657" s="2">
        <v>45780</v>
      </c>
      <c r="G1657">
        <v>7070.61</v>
      </c>
      <c r="H1657" s="1">
        <f>AVERAGEIF(Table1[Customer_ID], Table1[[#This Row],[Customer_ID]], Table1[Transaction_Amount])</f>
        <v>5987.6081999999997</v>
      </c>
      <c r="I1657" t="s">
        <v>2141</v>
      </c>
      <c r="J1657" t="s">
        <v>46</v>
      </c>
      <c r="K1657" t="s">
        <v>14</v>
      </c>
      <c r="L1657">
        <v>1</v>
      </c>
      <c r="M1657" t="s">
        <v>56</v>
      </c>
      <c r="N1657" t="s">
        <v>56</v>
      </c>
      <c r="O1657" t="s">
        <v>392</v>
      </c>
      <c r="P1657" s="6" t="str">
        <f>IF(Table1[[#This Row],[Transaction_Amount]]&lt;=Table1[[#This Row],[avg_transaction_amount]], "usual transaction", "unusual transaction")</f>
        <v>unusual transaction</v>
      </c>
      <c r="Q1657" s="6" t="str">
        <f>IF(AND(Table1[[#This Row],[Country_of_Residence]]&lt;&gt;Table1[[#This Row],[Country_of_Transaction]], OR(Table1[[#This Row],[Authentication_Type]]="Biometric", Table1[[#This Row],[Authentication_Type]]="OTP")), "safe location transaction", "unsafe location transaction")</f>
        <v>unsafe location transaction</v>
      </c>
      <c r="R1657" s="6" t="str">
        <f>IF(AND(Table1[[#This Row],[Country_of_Residence]]&lt;&gt;Table1[[#This Row],[Country_of_Transaction]], OR(Table1[[#This Row],[Merchant_Category]]="Electronics", Table1[[#This Row],[Merchant_Category]]="Travel")), "unsafe merchant transaction", "safe merchant transaction")</f>
        <v>safe merchant transaction</v>
      </c>
    </row>
    <row r="1658" spans="1:18">
      <c r="A1658" t="s">
        <v>4779</v>
      </c>
      <c r="B1658" t="s">
        <v>260</v>
      </c>
      <c r="C1658">
        <v>1</v>
      </c>
      <c r="D1658" t="s">
        <v>9</v>
      </c>
      <c r="E1658" t="s">
        <v>3</v>
      </c>
      <c r="F1658" s="2">
        <v>45872</v>
      </c>
      <c r="G1658">
        <v>8188.86</v>
      </c>
      <c r="H1658" s="1">
        <f>AVERAGEIF(Table1[Customer_ID], Table1[[#This Row],[Customer_ID]], Table1[Transaction_Amount])</f>
        <v>5987.6081999999997</v>
      </c>
      <c r="I1658" t="s">
        <v>2205</v>
      </c>
      <c r="J1658" t="s">
        <v>41</v>
      </c>
      <c r="K1658" t="s">
        <v>8</v>
      </c>
      <c r="L1658">
        <v>1</v>
      </c>
      <c r="M1658" t="s">
        <v>47</v>
      </c>
      <c r="N1658" t="s">
        <v>33</v>
      </c>
      <c r="O1658" t="s">
        <v>392</v>
      </c>
      <c r="P1658" s="6" t="str">
        <f>IF(Table1[[#This Row],[Transaction_Amount]]&lt;=Table1[[#This Row],[avg_transaction_amount]], "usual transaction", "unusual transaction")</f>
        <v>unusual transaction</v>
      </c>
      <c r="Q1658" s="6" t="str">
        <f>IF(AND(Table1[[#This Row],[Country_of_Residence]]&lt;&gt;Table1[[#This Row],[Country_of_Transaction]], OR(Table1[[#This Row],[Authentication_Type]]="Biometric", Table1[[#This Row],[Authentication_Type]]="OTP")), "safe location transaction", "unsafe location transaction")</f>
        <v>safe location transaction</v>
      </c>
      <c r="R1658" s="6" t="str">
        <f>IF(AND(Table1[[#This Row],[Country_of_Residence]]&lt;&gt;Table1[[#This Row],[Country_of_Transaction]], OR(Table1[[#This Row],[Merchant_Category]]="Electronics", Table1[[#This Row],[Merchant_Category]]="Travel")), "unsafe merchant transaction", "safe merchant transaction")</f>
        <v>safe merchant transaction</v>
      </c>
    </row>
    <row r="1659" spans="1:18">
      <c r="A1659" t="s">
        <v>4793</v>
      </c>
      <c r="B1659" t="s">
        <v>260</v>
      </c>
      <c r="C1659">
        <v>1</v>
      </c>
      <c r="D1659" t="s">
        <v>15</v>
      </c>
      <c r="E1659" t="s">
        <v>3</v>
      </c>
      <c r="F1659" s="2">
        <v>46000</v>
      </c>
      <c r="G1659">
        <v>4142.96</v>
      </c>
      <c r="H1659" s="1">
        <f>AVERAGEIF(Table1[Customer_ID], Table1[[#This Row],[Customer_ID]], Table1[Transaction_Amount])</f>
        <v>5987.6081999999997</v>
      </c>
      <c r="I1659" t="s">
        <v>2216</v>
      </c>
      <c r="J1659" t="s">
        <v>36</v>
      </c>
      <c r="K1659" t="s">
        <v>10</v>
      </c>
      <c r="L1659">
        <v>2</v>
      </c>
      <c r="M1659" t="s">
        <v>56</v>
      </c>
      <c r="N1659" t="s">
        <v>37</v>
      </c>
      <c r="O1659" t="s">
        <v>392</v>
      </c>
      <c r="P1659" s="6" t="str">
        <f>IF(Table1[[#This Row],[Transaction_Amount]]&lt;=Table1[[#This Row],[avg_transaction_amount]], "usual transaction", "unusual transaction")</f>
        <v>usual transaction</v>
      </c>
      <c r="Q1659" s="6" t="str">
        <f>IF(AND(Table1[[#This Row],[Country_of_Residence]]&lt;&gt;Table1[[#This Row],[Country_of_Transaction]], OR(Table1[[#This Row],[Authentication_Type]]="Biometric", Table1[[#This Row],[Authentication_Type]]="OTP")), "safe location transaction", "unsafe location transaction")</f>
        <v>safe location transaction</v>
      </c>
      <c r="R1659" s="6" t="str">
        <f>IF(AND(Table1[[#This Row],[Country_of_Residence]]&lt;&gt;Table1[[#This Row],[Country_of_Transaction]], OR(Table1[[#This Row],[Merchant_Category]]="Electronics", Table1[[#This Row],[Merchant_Category]]="Travel")), "unsafe merchant transaction", "safe merchant transaction")</f>
        <v>safe merchant transaction</v>
      </c>
    </row>
    <row r="1660" spans="1:18">
      <c r="A1660" t="s">
        <v>4972</v>
      </c>
      <c r="B1660" t="s">
        <v>260</v>
      </c>
      <c r="C1660">
        <v>1</v>
      </c>
      <c r="D1660" t="s">
        <v>15</v>
      </c>
      <c r="E1660" t="s">
        <v>5</v>
      </c>
      <c r="F1660" s="2">
        <v>45873</v>
      </c>
      <c r="G1660">
        <v>1585.66</v>
      </c>
      <c r="H1660" s="1">
        <f>AVERAGEIF(Table1[Customer_ID], Table1[[#This Row],[Customer_ID]], Table1[Transaction_Amount])</f>
        <v>5987.6081999999997</v>
      </c>
      <c r="I1660" t="s">
        <v>2356</v>
      </c>
      <c r="J1660" t="s">
        <v>36</v>
      </c>
      <c r="K1660" t="s">
        <v>12</v>
      </c>
      <c r="L1660">
        <v>5</v>
      </c>
      <c r="M1660" t="s">
        <v>412</v>
      </c>
      <c r="N1660" t="s">
        <v>33</v>
      </c>
      <c r="O1660" t="s">
        <v>392</v>
      </c>
      <c r="P1660" s="6" t="str">
        <f>IF(Table1[[#This Row],[Transaction_Amount]]&lt;=Table1[[#This Row],[avg_transaction_amount]], "usual transaction", "unusual transaction")</f>
        <v>usual transaction</v>
      </c>
      <c r="Q1660" s="6" t="str">
        <f>IF(AND(Table1[[#This Row],[Country_of_Residence]]&lt;&gt;Table1[[#This Row],[Country_of_Transaction]], OR(Table1[[#This Row],[Authentication_Type]]="Biometric", Table1[[#This Row],[Authentication_Type]]="OTP")), "safe location transaction", "unsafe location transaction")</f>
        <v>unsafe location transaction</v>
      </c>
      <c r="R1660" s="6" t="str">
        <f>IF(AND(Table1[[#This Row],[Country_of_Residence]]&lt;&gt;Table1[[#This Row],[Country_of_Transaction]], OR(Table1[[#This Row],[Merchant_Category]]="Electronics", Table1[[#This Row],[Merchant_Category]]="Travel")), "unsafe merchant transaction", "safe merchant transaction")</f>
        <v>safe merchant transaction</v>
      </c>
    </row>
    <row r="1661" spans="1:18">
      <c r="A1661" t="s">
        <v>4984</v>
      </c>
      <c r="B1661" t="s">
        <v>260</v>
      </c>
      <c r="C1661">
        <v>1</v>
      </c>
      <c r="D1661" t="s">
        <v>15</v>
      </c>
      <c r="E1661" t="s">
        <v>3</v>
      </c>
      <c r="F1661" s="2">
        <v>45742</v>
      </c>
      <c r="G1661">
        <v>7790.99</v>
      </c>
      <c r="H1661" s="1">
        <f>AVERAGEIF(Table1[Customer_ID], Table1[[#This Row],[Customer_ID]], Table1[Transaction_Amount])</f>
        <v>5987.6081999999997</v>
      </c>
      <c r="I1661" t="s">
        <v>1076</v>
      </c>
      <c r="J1661" t="s">
        <v>31</v>
      </c>
      <c r="K1661" t="s">
        <v>12</v>
      </c>
      <c r="L1661">
        <v>1</v>
      </c>
      <c r="M1661" t="s">
        <v>37</v>
      </c>
      <c r="N1661" t="s">
        <v>412</v>
      </c>
      <c r="O1661" t="s">
        <v>393</v>
      </c>
      <c r="P1661" s="6" t="str">
        <f>IF(Table1[[#This Row],[Transaction_Amount]]&lt;=Table1[[#This Row],[avg_transaction_amount]], "usual transaction", "unusual transaction")</f>
        <v>unusual transaction</v>
      </c>
      <c r="Q1661" s="6" t="str">
        <f>IF(AND(Table1[[#This Row],[Country_of_Residence]]&lt;&gt;Table1[[#This Row],[Country_of_Transaction]], OR(Table1[[#This Row],[Authentication_Type]]="Biometric", Table1[[#This Row],[Authentication_Type]]="OTP")), "safe location transaction", "unsafe location transaction")</f>
        <v>unsafe location transaction</v>
      </c>
      <c r="R1661" s="6" t="str">
        <f>IF(AND(Table1[[#This Row],[Country_of_Residence]]&lt;&gt;Table1[[#This Row],[Country_of_Transaction]], OR(Table1[[#This Row],[Merchant_Category]]="Electronics", Table1[[#This Row],[Merchant_Category]]="Travel")), "unsafe merchant transaction", "safe merchant transaction")</f>
        <v>safe merchant transaction</v>
      </c>
    </row>
    <row r="1662" spans="1:18">
      <c r="A1662" t="s">
        <v>5003</v>
      </c>
      <c r="B1662" t="s">
        <v>260</v>
      </c>
      <c r="C1662">
        <v>1</v>
      </c>
      <c r="D1662" t="s">
        <v>15</v>
      </c>
      <c r="E1662" t="s">
        <v>420</v>
      </c>
      <c r="F1662" s="2">
        <v>45712</v>
      </c>
      <c r="G1662">
        <v>5301.66</v>
      </c>
      <c r="H1662" s="1">
        <f>AVERAGEIF(Table1[Customer_ID], Table1[[#This Row],[Customer_ID]], Table1[Transaction_Amount])</f>
        <v>5987.6081999999997</v>
      </c>
      <c r="I1662" t="s">
        <v>2384</v>
      </c>
      <c r="J1662" t="s">
        <v>31</v>
      </c>
      <c r="K1662" t="s">
        <v>10</v>
      </c>
      <c r="L1662">
        <v>2</v>
      </c>
      <c r="M1662" t="s">
        <v>412</v>
      </c>
      <c r="N1662" t="s">
        <v>42</v>
      </c>
      <c r="O1662" t="s">
        <v>392</v>
      </c>
      <c r="P1662" s="6" t="str">
        <f>IF(Table1[[#This Row],[Transaction_Amount]]&lt;=Table1[[#This Row],[avg_transaction_amount]], "usual transaction", "unusual transaction")</f>
        <v>usual transaction</v>
      </c>
      <c r="Q1662" s="6" t="str">
        <f>IF(AND(Table1[[#This Row],[Country_of_Residence]]&lt;&gt;Table1[[#This Row],[Country_of_Transaction]], OR(Table1[[#This Row],[Authentication_Type]]="Biometric", Table1[[#This Row],[Authentication_Type]]="OTP")), "safe location transaction", "unsafe location transaction")</f>
        <v>safe location transaction</v>
      </c>
      <c r="R1662" s="6" t="str">
        <f>IF(AND(Table1[[#This Row],[Country_of_Residence]]&lt;&gt;Table1[[#This Row],[Country_of_Transaction]], OR(Table1[[#This Row],[Merchant_Category]]="Electronics", Table1[[#This Row],[Merchant_Category]]="Travel")), "unsafe merchant transaction", "safe merchant transaction")</f>
        <v>safe merchant transaction</v>
      </c>
    </row>
    <row r="1663" spans="1:18">
      <c r="A1663" t="s">
        <v>5048</v>
      </c>
      <c r="B1663" t="s">
        <v>260</v>
      </c>
      <c r="C1663">
        <v>1</v>
      </c>
      <c r="D1663" t="s">
        <v>15</v>
      </c>
      <c r="E1663" t="s">
        <v>3</v>
      </c>
      <c r="F1663" s="2">
        <v>46006</v>
      </c>
      <c r="G1663">
        <v>4984.46</v>
      </c>
      <c r="H1663" s="1">
        <f>AVERAGEIF(Table1[Customer_ID], Table1[[#This Row],[Customer_ID]], Table1[Transaction_Amount])</f>
        <v>5987.6081999999997</v>
      </c>
      <c r="I1663" t="s">
        <v>2413</v>
      </c>
      <c r="J1663" t="s">
        <v>41</v>
      </c>
      <c r="K1663" t="s">
        <v>12</v>
      </c>
      <c r="L1663">
        <v>0</v>
      </c>
      <c r="M1663" t="s">
        <v>37</v>
      </c>
      <c r="N1663" t="s">
        <v>51</v>
      </c>
      <c r="O1663" t="s">
        <v>393</v>
      </c>
      <c r="P1663" s="6" t="str">
        <f>IF(Table1[[#This Row],[Transaction_Amount]]&lt;=Table1[[#This Row],[avg_transaction_amount]], "usual transaction", "unusual transaction")</f>
        <v>usual transaction</v>
      </c>
      <c r="Q1663" s="6" t="str">
        <f>IF(AND(Table1[[#This Row],[Country_of_Residence]]&lt;&gt;Table1[[#This Row],[Country_of_Transaction]], OR(Table1[[#This Row],[Authentication_Type]]="Biometric", Table1[[#This Row],[Authentication_Type]]="OTP")), "safe location transaction", "unsafe location transaction")</f>
        <v>unsafe location transaction</v>
      </c>
      <c r="R1663" s="6" t="str">
        <f>IF(AND(Table1[[#This Row],[Country_of_Residence]]&lt;&gt;Table1[[#This Row],[Country_of_Transaction]], OR(Table1[[#This Row],[Merchant_Category]]="Electronics", Table1[[#This Row],[Merchant_Category]]="Travel")), "unsafe merchant transaction", "safe merchant transaction")</f>
        <v>safe merchant transaction</v>
      </c>
    </row>
    <row r="1664" spans="1:18">
      <c r="A1664" t="s">
        <v>5099</v>
      </c>
      <c r="B1664" t="s">
        <v>260</v>
      </c>
      <c r="C1664">
        <v>1</v>
      </c>
      <c r="D1664" t="s">
        <v>15</v>
      </c>
      <c r="E1664" t="s">
        <v>6</v>
      </c>
      <c r="F1664" s="2">
        <v>45891</v>
      </c>
      <c r="G1664">
        <v>3085.22</v>
      </c>
      <c r="H1664" s="1">
        <f>AVERAGEIF(Table1[Customer_ID], Table1[[#This Row],[Customer_ID]], Table1[Transaction_Amount])</f>
        <v>5987.6081999999997</v>
      </c>
      <c r="I1664" t="s">
        <v>2449</v>
      </c>
      <c r="J1664" t="s">
        <v>41</v>
      </c>
      <c r="K1664" t="s">
        <v>14</v>
      </c>
      <c r="L1664">
        <v>5</v>
      </c>
      <c r="M1664" t="s">
        <v>47</v>
      </c>
      <c r="N1664" t="s">
        <v>42</v>
      </c>
      <c r="O1664" t="s">
        <v>392</v>
      </c>
      <c r="P1664" s="6" t="str">
        <f>IF(Table1[[#This Row],[Transaction_Amount]]&lt;=Table1[[#This Row],[avg_transaction_amount]], "usual transaction", "unusual transaction")</f>
        <v>usual transaction</v>
      </c>
      <c r="Q1664" s="6" t="str">
        <f>IF(AND(Table1[[#This Row],[Country_of_Residence]]&lt;&gt;Table1[[#This Row],[Country_of_Transaction]], OR(Table1[[#This Row],[Authentication_Type]]="Biometric", Table1[[#This Row],[Authentication_Type]]="OTP")), "safe location transaction", "unsafe location transaction")</f>
        <v>unsafe location transaction</v>
      </c>
      <c r="R1664" s="6" t="str">
        <f>IF(AND(Table1[[#This Row],[Country_of_Residence]]&lt;&gt;Table1[[#This Row],[Country_of_Transaction]], OR(Table1[[#This Row],[Merchant_Category]]="Electronics", Table1[[#This Row],[Merchant_Category]]="Travel")), "unsafe merchant transaction", "safe merchant transaction")</f>
        <v>safe merchant transaction</v>
      </c>
    </row>
    <row r="1665" spans="1:18">
      <c r="A1665" t="s">
        <v>5113</v>
      </c>
      <c r="B1665" t="s">
        <v>260</v>
      </c>
      <c r="C1665">
        <v>1</v>
      </c>
      <c r="D1665" t="s">
        <v>9</v>
      </c>
      <c r="E1665" t="s">
        <v>6</v>
      </c>
      <c r="F1665" s="2">
        <v>45876</v>
      </c>
      <c r="G1665">
        <v>9298.2000000000007</v>
      </c>
      <c r="H1665" s="1">
        <f>AVERAGEIF(Table1[Customer_ID], Table1[[#This Row],[Customer_ID]], Table1[Transaction_Amount])</f>
        <v>5987.6081999999997</v>
      </c>
      <c r="I1665" t="s">
        <v>2461</v>
      </c>
      <c r="J1665" t="s">
        <v>46</v>
      </c>
      <c r="K1665" t="s">
        <v>8</v>
      </c>
      <c r="L1665">
        <v>1</v>
      </c>
      <c r="M1665" t="s">
        <v>33</v>
      </c>
      <c r="N1665" t="s">
        <v>47</v>
      </c>
      <c r="O1665" t="s">
        <v>393</v>
      </c>
      <c r="P1665" s="6" t="str">
        <f>IF(Table1[[#This Row],[Transaction_Amount]]&lt;=Table1[[#This Row],[avg_transaction_amount]], "usual transaction", "unusual transaction")</f>
        <v>unusual transaction</v>
      </c>
      <c r="Q1665" s="6" t="str">
        <f>IF(AND(Table1[[#This Row],[Country_of_Residence]]&lt;&gt;Table1[[#This Row],[Country_of_Transaction]], OR(Table1[[#This Row],[Authentication_Type]]="Biometric", Table1[[#This Row],[Authentication_Type]]="OTP")), "safe location transaction", "unsafe location transaction")</f>
        <v>safe location transaction</v>
      </c>
      <c r="R1665" s="6" t="str">
        <f>IF(AND(Table1[[#This Row],[Country_of_Residence]]&lt;&gt;Table1[[#This Row],[Country_of_Transaction]], OR(Table1[[#This Row],[Merchant_Category]]="Electronics", Table1[[#This Row],[Merchant_Category]]="Travel")), "unsafe merchant transaction", "safe merchant transaction")</f>
        <v>safe merchant transaction</v>
      </c>
    </row>
    <row r="1666" spans="1:18">
      <c r="A1666" t="s">
        <v>5206</v>
      </c>
      <c r="B1666" t="s">
        <v>260</v>
      </c>
      <c r="C1666">
        <v>1</v>
      </c>
      <c r="D1666" t="s">
        <v>9</v>
      </c>
      <c r="E1666" t="s">
        <v>420</v>
      </c>
      <c r="F1666" s="2">
        <v>45704</v>
      </c>
      <c r="G1666">
        <v>5446.09</v>
      </c>
      <c r="H1666" s="1">
        <f>AVERAGEIF(Table1[Customer_ID], Table1[[#This Row],[Customer_ID]], Table1[Transaction_Amount])</f>
        <v>5987.6081999999997</v>
      </c>
      <c r="I1666" t="s">
        <v>2533</v>
      </c>
      <c r="J1666" t="s">
        <v>41</v>
      </c>
      <c r="K1666" t="s">
        <v>12</v>
      </c>
      <c r="L1666">
        <v>3</v>
      </c>
      <c r="M1666" t="s">
        <v>37</v>
      </c>
      <c r="N1666" t="s">
        <v>55</v>
      </c>
      <c r="O1666" t="s">
        <v>393</v>
      </c>
      <c r="P1666" s="6" t="str">
        <f>IF(Table1[[#This Row],[Transaction_Amount]]&lt;=Table1[[#This Row],[avg_transaction_amount]], "usual transaction", "unusual transaction")</f>
        <v>usual transaction</v>
      </c>
      <c r="Q1666" s="6" t="str">
        <f>IF(AND(Table1[[#This Row],[Country_of_Residence]]&lt;&gt;Table1[[#This Row],[Country_of_Transaction]], OR(Table1[[#This Row],[Authentication_Type]]="Biometric", Table1[[#This Row],[Authentication_Type]]="OTP")), "safe location transaction", "unsafe location transaction")</f>
        <v>unsafe location transaction</v>
      </c>
      <c r="R1666" s="6" t="str">
        <f>IF(AND(Table1[[#This Row],[Country_of_Residence]]&lt;&gt;Table1[[#This Row],[Country_of_Transaction]], OR(Table1[[#This Row],[Merchant_Category]]="Electronics", Table1[[#This Row],[Merchant_Category]]="Travel")), "unsafe merchant transaction", "safe merchant transaction")</f>
        <v>safe merchant transaction</v>
      </c>
    </row>
    <row r="1667" spans="1:18">
      <c r="A1667" t="s">
        <v>5305</v>
      </c>
      <c r="B1667" t="s">
        <v>260</v>
      </c>
      <c r="C1667">
        <v>1</v>
      </c>
      <c r="D1667" t="s">
        <v>9</v>
      </c>
      <c r="E1667" t="s">
        <v>420</v>
      </c>
      <c r="F1667" s="2">
        <v>45910</v>
      </c>
      <c r="G1667">
        <v>7770.84</v>
      </c>
      <c r="H1667" s="1">
        <f>AVERAGEIF(Table1[Customer_ID], Table1[[#This Row],[Customer_ID]], Table1[Transaction_Amount])</f>
        <v>5987.6081999999997</v>
      </c>
      <c r="I1667" t="s">
        <v>2608</v>
      </c>
      <c r="J1667" t="s">
        <v>41</v>
      </c>
      <c r="K1667" t="s">
        <v>12</v>
      </c>
      <c r="L1667">
        <v>2</v>
      </c>
      <c r="M1667" t="s">
        <v>37</v>
      </c>
      <c r="N1667" t="s">
        <v>32</v>
      </c>
      <c r="O1667" t="s">
        <v>392</v>
      </c>
      <c r="P1667" s="6" t="str">
        <f>IF(Table1[[#This Row],[Transaction_Amount]]&lt;=Table1[[#This Row],[avg_transaction_amount]], "usual transaction", "unusual transaction")</f>
        <v>unusual transaction</v>
      </c>
      <c r="Q1667" s="6" t="str">
        <f>IF(AND(Table1[[#This Row],[Country_of_Residence]]&lt;&gt;Table1[[#This Row],[Country_of_Transaction]], OR(Table1[[#This Row],[Authentication_Type]]="Biometric", Table1[[#This Row],[Authentication_Type]]="OTP")), "safe location transaction", "unsafe location transaction")</f>
        <v>unsafe location transaction</v>
      </c>
      <c r="R1667" s="6" t="str">
        <f>IF(AND(Table1[[#This Row],[Country_of_Residence]]&lt;&gt;Table1[[#This Row],[Country_of_Transaction]], OR(Table1[[#This Row],[Merchant_Category]]="Electronics", Table1[[#This Row],[Merchant_Category]]="Travel")), "unsafe merchant transaction", "safe merchant transaction")</f>
        <v>safe merchant transaction</v>
      </c>
    </row>
    <row r="1668" spans="1:18">
      <c r="A1668" t="s">
        <v>5337</v>
      </c>
      <c r="B1668" t="s">
        <v>260</v>
      </c>
      <c r="C1668">
        <v>1</v>
      </c>
      <c r="D1668" t="s">
        <v>15</v>
      </c>
      <c r="E1668" t="s">
        <v>5</v>
      </c>
      <c r="F1668" s="2">
        <v>45783</v>
      </c>
      <c r="G1668">
        <v>2430.11</v>
      </c>
      <c r="H1668" s="1">
        <f>AVERAGEIF(Table1[Customer_ID], Table1[[#This Row],[Customer_ID]], Table1[Transaction_Amount])</f>
        <v>5987.6081999999997</v>
      </c>
      <c r="I1668" t="s">
        <v>2633</v>
      </c>
      <c r="J1668" t="s">
        <v>36</v>
      </c>
      <c r="K1668" t="s">
        <v>14</v>
      </c>
      <c r="L1668">
        <v>1</v>
      </c>
      <c r="M1668" t="s">
        <v>32</v>
      </c>
      <c r="N1668" t="s">
        <v>42</v>
      </c>
      <c r="O1668" t="s">
        <v>393</v>
      </c>
      <c r="P1668" s="6" t="str">
        <f>IF(Table1[[#This Row],[Transaction_Amount]]&lt;=Table1[[#This Row],[avg_transaction_amount]], "usual transaction", "unusual transaction")</f>
        <v>usual transaction</v>
      </c>
      <c r="Q1668" s="6" t="str">
        <f>IF(AND(Table1[[#This Row],[Country_of_Residence]]&lt;&gt;Table1[[#This Row],[Country_of_Transaction]], OR(Table1[[#This Row],[Authentication_Type]]="Biometric", Table1[[#This Row],[Authentication_Type]]="OTP")), "safe location transaction", "unsafe location transaction")</f>
        <v>unsafe location transaction</v>
      </c>
      <c r="R1668" s="6" t="str">
        <f>IF(AND(Table1[[#This Row],[Country_of_Residence]]&lt;&gt;Table1[[#This Row],[Country_of_Transaction]], OR(Table1[[#This Row],[Merchant_Category]]="Electronics", Table1[[#This Row],[Merchant_Category]]="Travel")), "unsafe merchant transaction", "safe merchant transaction")</f>
        <v>safe merchant transaction</v>
      </c>
    </row>
    <row r="1669" spans="1:18">
      <c r="A1669" t="s">
        <v>5367</v>
      </c>
      <c r="B1669" t="s">
        <v>260</v>
      </c>
      <c r="C1669">
        <v>1</v>
      </c>
      <c r="D1669" t="s">
        <v>9</v>
      </c>
      <c r="E1669" t="s">
        <v>3</v>
      </c>
      <c r="F1669" s="2">
        <v>45783</v>
      </c>
      <c r="G1669">
        <v>6465.65</v>
      </c>
      <c r="H1669" s="1">
        <f>AVERAGEIF(Table1[Customer_ID], Table1[[#This Row],[Customer_ID]], Table1[Transaction_Amount])</f>
        <v>5987.6081999999997</v>
      </c>
      <c r="I1669" t="s">
        <v>2656</v>
      </c>
      <c r="J1669" t="s">
        <v>36</v>
      </c>
      <c r="K1669" t="s">
        <v>14</v>
      </c>
      <c r="L1669">
        <v>5</v>
      </c>
      <c r="M1669" t="s">
        <v>412</v>
      </c>
      <c r="N1669" t="s">
        <v>51</v>
      </c>
      <c r="O1669" t="s">
        <v>393</v>
      </c>
      <c r="P1669" s="6" t="str">
        <f>IF(Table1[[#This Row],[Transaction_Amount]]&lt;=Table1[[#This Row],[avg_transaction_amount]], "usual transaction", "unusual transaction")</f>
        <v>unusual transaction</v>
      </c>
      <c r="Q1669" s="6" t="str">
        <f>IF(AND(Table1[[#This Row],[Country_of_Residence]]&lt;&gt;Table1[[#This Row],[Country_of_Transaction]], OR(Table1[[#This Row],[Authentication_Type]]="Biometric", Table1[[#This Row],[Authentication_Type]]="OTP")), "safe location transaction", "unsafe location transaction")</f>
        <v>unsafe location transaction</v>
      </c>
      <c r="R1669" s="6" t="str">
        <f>IF(AND(Table1[[#This Row],[Country_of_Residence]]&lt;&gt;Table1[[#This Row],[Country_of_Transaction]], OR(Table1[[#This Row],[Merchant_Category]]="Electronics", Table1[[#This Row],[Merchant_Category]]="Travel")), "unsafe merchant transaction", "safe merchant transaction")</f>
        <v>safe merchant transaction</v>
      </c>
    </row>
    <row r="1670" spans="1:18">
      <c r="A1670" t="s">
        <v>5391</v>
      </c>
      <c r="B1670" t="s">
        <v>260</v>
      </c>
      <c r="C1670">
        <v>1</v>
      </c>
      <c r="D1670" t="s">
        <v>9</v>
      </c>
      <c r="E1670" t="s">
        <v>420</v>
      </c>
      <c r="F1670" s="2">
        <v>45673</v>
      </c>
      <c r="G1670">
        <v>8008.42</v>
      </c>
      <c r="H1670" s="1">
        <f>AVERAGEIF(Table1[Customer_ID], Table1[[#This Row],[Customer_ID]], Table1[Transaction_Amount])</f>
        <v>5987.6081999999997</v>
      </c>
      <c r="I1670" t="s">
        <v>1220</v>
      </c>
      <c r="J1670" t="s">
        <v>41</v>
      </c>
      <c r="K1670" t="s">
        <v>12</v>
      </c>
      <c r="L1670">
        <v>5</v>
      </c>
      <c r="M1670" t="s">
        <v>33</v>
      </c>
      <c r="N1670" t="s">
        <v>47</v>
      </c>
      <c r="O1670" t="s">
        <v>393</v>
      </c>
      <c r="P1670" s="6" t="str">
        <f>IF(Table1[[#This Row],[Transaction_Amount]]&lt;=Table1[[#This Row],[avg_transaction_amount]], "usual transaction", "unusual transaction")</f>
        <v>unusual transaction</v>
      </c>
      <c r="Q1670" s="6" t="str">
        <f>IF(AND(Table1[[#This Row],[Country_of_Residence]]&lt;&gt;Table1[[#This Row],[Country_of_Transaction]], OR(Table1[[#This Row],[Authentication_Type]]="Biometric", Table1[[#This Row],[Authentication_Type]]="OTP")), "safe location transaction", "unsafe location transaction")</f>
        <v>unsafe location transaction</v>
      </c>
      <c r="R1670" s="6" t="str">
        <f>IF(AND(Table1[[#This Row],[Country_of_Residence]]&lt;&gt;Table1[[#This Row],[Country_of_Transaction]], OR(Table1[[#This Row],[Merchant_Category]]="Electronics", Table1[[#This Row],[Merchant_Category]]="Travel")), "unsafe merchant transaction", "safe merchant transaction")</f>
        <v>safe merchant transaction</v>
      </c>
    </row>
    <row r="1671" spans="1:18">
      <c r="A1671" t="s">
        <v>264</v>
      </c>
      <c r="B1671" t="s">
        <v>265</v>
      </c>
      <c r="C1671">
        <v>1</v>
      </c>
      <c r="D1671" t="s">
        <v>9</v>
      </c>
      <c r="E1671" t="s">
        <v>4</v>
      </c>
      <c r="F1671" s="2">
        <v>45683.247222222199</v>
      </c>
      <c r="G1671">
        <v>4984.26</v>
      </c>
      <c r="H1671" s="1">
        <f>AVERAGEIF(Table1[Customer_ID], Table1[[#This Row],[Customer_ID]], Table1[Transaction_Amount])</f>
        <v>5428.9163492063508</v>
      </c>
      <c r="I1671" t="s">
        <v>266</v>
      </c>
      <c r="J1671" t="s">
        <v>59</v>
      </c>
      <c r="K1671" t="s">
        <v>8</v>
      </c>
      <c r="L1671">
        <v>4</v>
      </c>
      <c r="M1671" t="s">
        <v>267</v>
      </c>
      <c r="N1671" t="s">
        <v>42</v>
      </c>
      <c r="O1671" t="s">
        <v>393</v>
      </c>
      <c r="P1671" t="str">
        <f>IF(Table1[[#This Row],[Transaction_Amount]]&lt;=Table1[[#This Row],[avg_transaction_amount]], "usual transaction", "unusual transaction")</f>
        <v>usual transaction</v>
      </c>
      <c r="Q1671" t="str">
        <f>IF(AND(Table1[[#This Row],[Country_of_Residence]]&lt;&gt;Table1[[#This Row],[Country_of_Transaction]], OR(Table1[[#This Row],[Authentication_Type]]="Biometric", Table1[[#This Row],[Authentication_Type]]="OTP")), "safe location transaction", "unsafe location transaction")</f>
        <v>safe location transaction</v>
      </c>
      <c r="R1671" t="str">
        <f>IF(AND(Table1[[#This Row],[Country_of_Residence]]&lt;&gt;Table1[[#This Row],[Country_of_Transaction]], OR(Table1[[#This Row],[Merchant_Category]]="Electronics", Table1[[#This Row],[Merchant_Category]]="Travel")), "unsafe merchant transaction", "safe merchant transaction")</f>
        <v>unsafe merchant transaction</v>
      </c>
    </row>
    <row r="1672" spans="1:18">
      <c r="A1672" t="s">
        <v>2823</v>
      </c>
      <c r="B1672" t="s">
        <v>265</v>
      </c>
      <c r="C1672">
        <v>1</v>
      </c>
      <c r="D1672" t="s">
        <v>9</v>
      </c>
      <c r="E1672" t="s">
        <v>420</v>
      </c>
      <c r="F1672" s="2">
        <v>45882</v>
      </c>
      <c r="G1672">
        <v>6902.35</v>
      </c>
      <c r="H1672" s="1">
        <f>AVERAGEIF(Table1[Customer_ID], Table1[[#This Row],[Customer_ID]], Table1[Transaction_Amount])</f>
        <v>5428.9163492063508</v>
      </c>
      <c r="I1672" t="s">
        <v>474</v>
      </c>
      <c r="J1672" t="s">
        <v>36</v>
      </c>
      <c r="K1672" t="s">
        <v>14</v>
      </c>
      <c r="L1672">
        <v>4</v>
      </c>
      <c r="M1672" t="s">
        <v>37</v>
      </c>
      <c r="N1672" t="s">
        <v>412</v>
      </c>
      <c r="O1672" t="s">
        <v>392</v>
      </c>
      <c r="P1672" s="6" t="str">
        <f>IF(Table1[[#This Row],[Transaction_Amount]]&lt;=Table1[[#This Row],[avg_transaction_amount]], "usual transaction", "unusual transaction")</f>
        <v>unusual transaction</v>
      </c>
      <c r="Q1672" s="6" t="str">
        <f>IF(AND(Table1[[#This Row],[Country_of_Residence]]&lt;&gt;Table1[[#This Row],[Country_of_Transaction]], OR(Table1[[#This Row],[Authentication_Type]]="Biometric", Table1[[#This Row],[Authentication_Type]]="OTP")), "safe location transaction", "unsafe location transaction")</f>
        <v>unsafe location transaction</v>
      </c>
      <c r="R1672" s="6" t="str">
        <f>IF(AND(Table1[[#This Row],[Country_of_Residence]]&lt;&gt;Table1[[#This Row],[Country_of_Transaction]], OR(Table1[[#This Row],[Merchant_Category]]="Electronics", Table1[[#This Row],[Merchant_Category]]="Travel")), "unsafe merchant transaction", "safe merchant transaction")</f>
        <v>safe merchant transaction</v>
      </c>
    </row>
    <row r="1673" spans="1:18">
      <c r="A1673" t="s">
        <v>2826</v>
      </c>
      <c r="B1673" t="s">
        <v>265</v>
      </c>
      <c r="C1673">
        <v>1</v>
      </c>
      <c r="D1673" t="s">
        <v>15</v>
      </c>
      <c r="E1673" t="s">
        <v>420</v>
      </c>
      <c r="F1673" s="2">
        <v>45921</v>
      </c>
      <c r="G1673">
        <v>926.19</v>
      </c>
      <c r="H1673" s="1">
        <f>AVERAGEIF(Table1[Customer_ID], Table1[[#This Row],[Customer_ID]], Table1[Transaction_Amount])</f>
        <v>5428.9163492063508</v>
      </c>
      <c r="I1673" t="s">
        <v>477</v>
      </c>
      <c r="J1673" t="s">
        <v>36</v>
      </c>
      <c r="K1673" t="s">
        <v>8</v>
      </c>
      <c r="L1673">
        <v>0</v>
      </c>
      <c r="M1673" t="s">
        <v>55</v>
      </c>
      <c r="N1673" t="s">
        <v>33</v>
      </c>
      <c r="O1673" t="s">
        <v>393</v>
      </c>
      <c r="P1673" s="6" t="str">
        <f>IF(Table1[[#This Row],[Transaction_Amount]]&lt;=Table1[[#This Row],[avg_transaction_amount]], "usual transaction", "unusual transaction")</f>
        <v>usual transaction</v>
      </c>
      <c r="Q1673" s="6" t="str">
        <f>IF(AND(Table1[[#This Row],[Country_of_Residence]]&lt;&gt;Table1[[#This Row],[Country_of_Transaction]], OR(Table1[[#This Row],[Authentication_Type]]="Biometric", Table1[[#This Row],[Authentication_Type]]="OTP")), "safe location transaction", "unsafe location transaction")</f>
        <v>safe location transaction</v>
      </c>
      <c r="R1673" s="6" t="str">
        <f>IF(AND(Table1[[#This Row],[Country_of_Residence]]&lt;&gt;Table1[[#This Row],[Country_of_Transaction]], OR(Table1[[#This Row],[Merchant_Category]]="Electronics", Table1[[#This Row],[Merchant_Category]]="Travel")), "unsafe merchant transaction", "safe merchant transaction")</f>
        <v>safe merchant transaction</v>
      </c>
    </row>
    <row r="1674" spans="1:18">
      <c r="A1674" t="s">
        <v>2875</v>
      </c>
      <c r="B1674" t="s">
        <v>265</v>
      </c>
      <c r="C1674">
        <v>1</v>
      </c>
      <c r="D1674" t="s">
        <v>9</v>
      </c>
      <c r="E1674" t="s">
        <v>6</v>
      </c>
      <c r="F1674" s="2">
        <v>45760</v>
      </c>
      <c r="G1674">
        <v>7705.91</v>
      </c>
      <c r="H1674" s="1">
        <f>AVERAGEIF(Table1[Customer_ID], Table1[[#This Row],[Customer_ID]], Table1[Transaction_Amount])</f>
        <v>5428.9163492063508</v>
      </c>
      <c r="I1674" t="s">
        <v>527</v>
      </c>
      <c r="J1674" t="s">
        <v>50</v>
      </c>
      <c r="K1674" t="s">
        <v>10</v>
      </c>
      <c r="L1674">
        <v>5</v>
      </c>
      <c r="M1674" t="s">
        <v>47</v>
      </c>
      <c r="N1674" t="s">
        <v>51</v>
      </c>
      <c r="O1674" t="s">
        <v>392</v>
      </c>
      <c r="P1674" s="6" t="str">
        <f>IF(Table1[[#This Row],[Transaction_Amount]]&lt;=Table1[[#This Row],[avg_transaction_amount]], "usual transaction", "unusual transaction")</f>
        <v>unusual transaction</v>
      </c>
      <c r="Q1674" s="6" t="str">
        <f>IF(AND(Table1[[#This Row],[Country_of_Residence]]&lt;&gt;Table1[[#This Row],[Country_of_Transaction]], OR(Table1[[#This Row],[Authentication_Type]]="Biometric", Table1[[#This Row],[Authentication_Type]]="OTP")), "safe location transaction", "unsafe location transaction")</f>
        <v>safe location transaction</v>
      </c>
      <c r="R1674" s="6" t="str">
        <f>IF(AND(Table1[[#This Row],[Country_of_Residence]]&lt;&gt;Table1[[#This Row],[Country_of_Transaction]], OR(Table1[[#This Row],[Merchant_Category]]="Electronics", Table1[[#This Row],[Merchant_Category]]="Travel")), "unsafe merchant transaction", "safe merchant transaction")</f>
        <v>unsafe merchant transaction</v>
      </c>
    </row>
    <row r="1675" spans="1:18">
      <c r="A1675" t="s">
        <v>2919</v>
      </c>
      <c r="B1675" t="s">
        <v>265</v>
      </c>
      <c r="C1675">
        <v>1</v>
      </c>
      <c r="D1675" t="s">
        <v>9</v>
      </c>
      <c r="E1675" t="s">
        <v>3</v>
      </c>
      <c r="F1675" s="2">
        <v>45985</v>
      </c>
      <c r="G1675">
        <v>3102.72</v>
      </c>
      <c r="H1675" s="1">
        <f>AVERAGEIF(Table1[Customer_ID], Table1[[#This Row],[Customer_ID]], Table1[Transaction_Amount])</f>
        <v>5428.9163492063508</v>
      </c>
      <c r="I1675" t="s">
        <v>568</v>
      </c>
      <c r="J1675" t="s">
        <v>41</v>
      </c>
      <c r="K1675" t="s">
        <v>12</v>
      </c>
      <c r="L1675">
        <v>1</v>
      </c>
      <c r="M1675" t="s">
        <v>42</v>
      </c>
      <c r="N1675" t="s">
        <v>47</v>
      </c>
      <c r="O1675" t="s">
        <v>392</v>
      </c>
      <c r="P1675" s="6" t="str">
        <f>IF(Table1[[#This Row],[Transaction_Amount]]&lt;=Table1[[#This Row],[avg_transaction_amount]], "usual transaction", "unusual transaction")</f>
        <v>usual transaction</v>
      </c>
      <c r="Q1675" s="6" t="str">
        <f>IF(AND(Table1[[#This Row],[Country_of_Residence]]&lt;&gt;Table1[[#This Row],[Country_of_Transaction]], OR(Table1[[#This Row],[Authentication_Type]]="Biometric", Table1[[#This Row],[Authentication_Type]]="OTP")), "safe location transaction", "unsafe location transaction")</f>
        <v>unsafe location transaction</v>
      </c>
      <c r="R1675" s="6" t="str">
        <f>IF(AND(Table1[[#This Row],[Country_of_Residence]]&lt;&gt;Table1[[#This Row],[Country_of_Transaction]], OR(Table1[[#This Row],[Merchant_Category]]="Electronics", Table1[[#This Row],[Merchant_Category]]="Travel")), "unsafe merchant transaction", "safe merchant transaction")</f>
        <v>safe merchant transaction</v>
      </c>
    </row>
    <row r="1676" spans="1:18">
      <c r="A1676" t="s">
        <v>2920</v>
      </c>
      <c r="B1676" t="s">
        <v>265</v>
      </c>
      <c r="C1676">
        <v>1</v>
      </c>
      <c r="D1676" t="s">
        <v>9</v>
      </c>
      <c r="E1676" t="s">
        <v>420</v>
      </c>
      <c r="F1676" s="2">
        <v>45933</v>
      </c>
      <c r="G1676">
        <v>7489.96</v>
      </c>
      <c r="H1676" s="1">
        <f>AVERAGEIF(Table1[Customer_ID], Table1[[#This Row],[Customer_ID]], Table1[Transaction_Amount])</f>
        <v>5428.9163492063508</v>
      </c>
      <c r="I1676" t="s">
        <v>569</v>
      </c>
      <c r="J1676" t="s">
        <v>46</v>
      </c>
      <c r="K1676" t="s">
        <v>10</v>
      </c>
      <c r="L1676">
        <v>4</v>
      </c>
      <c r="M1676" t="s">
        <v>47</v>
      </c>
      <c r="N1676" t="s">
        <v>33</v>
      </c>
      <c r="O1676" t="s">
        <v>393</v>
      </c>
      <c r="P1676" s="6" t="str">
        <f>IF(Table1[[#This Row],[Transaction_Amount]]&lt;=Table1[[#This Row],[avg_transaction_amount]], "usual transaction", "unusual transaction")</f>
        <v>unusual transaction</v>
      </c>
      <c r="Q1676" s="6" t="str">
        <f>IF(AND(Table1[[#This Row],[Country_of_Residence]]&lt;&gt;Table1[[#This Row],[Country_of_Transaction]], OR(Table1[[#This Row],[Authentication_Type]]="Biometric", Table1[[#This Row],[Authentication_Type]]="OTP")), "safe location transaction", "unsafe location transaction")</f>
        <v>safe location transaction</v>
      </c>
      <c r="R1676" s="6" t="str">
        <f>IF(AND(Table1[[#This Row],[Country_of_Residence]]&lt;&gt;Table1[[#This Row],[Country_of_Transaction]], OR(Table1[[#This Row],[Merchant_Category]]="Electronics", Table1[[#This Row],[Merchant_Category]]="Travel")), "unsafe merchant transaction", "safe merchant transaction")</f>
        <v>safe merchant transaction</v>
      </c>
    </row>
    <row r="1677" spans="1:18">
      <c r="A1677" t="s">
        <v>2926</v>
      </c>
      <c r="B1677" t="s">
        <v>265</v>
      </c>
      <c r="C1677">
        <v>1</v>
      </c>
      <c r="D1677" t="s">
        <v>15</v>
      </c>
      <c r="E1677" t="s">
        <v>3</v>
      </c>
      <c r="F1677" s="2">
        <v>45996</v>
      </c>
      <c r="G1677">
        <v>3494.29</v>
      </c>
      <c r="H1677" s="1">
        <f>AVERAGEIF(Table1[Customer_ID], Table1[[#This Row],[Customer_ID]], Table1[Transaction_Amount])</f>
        <v>5428.9163492063508</v>
      </c>
      <c r="I1677" t="s">
        <v>575</v>
      </c>
      <c r="J1677" t="s">
        <v>46</v>
      </c>
      <c r="K1677" t="s">
        <v>12</v>
      </c>
      <c r="L1677">
        <v>0</v>
      </c>
      <c r="M1677" t="s">
        <v>32</v>
      </c>
      <c r="N1677" t="s">
        <v>412</v>
      </c>
      <c r="O1677" t="s">
        <v>393</v>
      </c>
      <c r="P1677" s="6" t="str">
        <f>IF(Table1[[#This Row],[Transaction_Amount]]&lt;=Table1[[#This Row],[avg_transaction_amount]], "usual transaction", "unusual transaction")</f>
        <v>usual transaction</v>
      </c>
      <c r="Q1677" s="6" t="str">
        <f>IF(AND(Table1[[#This Row],[Country_of_Residence]]&lt;&gt;Table1[[#This Row],[Country_of_Transaction]], OR(Table1[[#This Row],[Authentication_Type]]="Biometric", Table1[[#This Row],[Authentication_Type]]="OTP")), "safe location transaction", "unsafe location transaction")</f>
        <v>unsafe location transaction</v>
      </c>
      <c r="R1677" s="6" t="str">
        <f>IF(AND(Table1[[#This Row],[Country_of_Residence]]&lt;&gt;Table1[[#This Row],[Country_of_Transaction]], OR(Table1[[#This Row],[Merchant_Category]]="Electronics", Table1[[#This Row],[Merchant_Category]]="Travel")), "unsafe merchant transaction", "safe merchant transaction")</f>
        <v>safe merchant transaction</v>
      </c>
    </row>
    <row r="1678" spans="1:18">
      <c r="A1678" t="s">
        <v>2934</v>
      </c>
      <c r="B1678" t="s">
        <v>265</v>
      </c>
      <c r="C1678">
        <v>1</v>
      </c>
      <c r="D1678" t="s">
        <v>9</v>
      </c>
      <c r="E1678" t="s">
        <v>5</v>
      </c>
      <c r="F1678" s="2">
        <v>45762</v>
      </c>
      <c r="G1678">
        <v>1031.1500000000001</v>
      </c>
      <c r="H1678" s="1">
        <f>AVERAGEIF(Table1[Customer_ID], Table1[[#This Row],[Customer_ID]], Table1[Transaction_Amount])</f>
        <v>5428.9163492063508</v>
      </c>
      <c r="I1678" t="s">
        <v>583</v>
      </c>
      <c r="J1678" t="s">
        <v>36</v>
      </c>
      <c r="K1678" t="s">
        <v>10</v>
      </c>
      <c r="L1678">
        <v>4</v>
      </c>
      <c r="M1678" t="s">
        <v>55</v>
      </c>
      <c r="N1678" t="s">
        <v>42</v>
      </c>
      <c r="O1678" t="s">
        <v>392</v>
      </c>
      <c r="P1678" s="6" t="str">
        <f>IF(Table1[[#This Row],[Transaction_Amount]]&lt;=Table1[[#This Row],[avg_transaction_amount]], "usual transaction", "unusual transaction")</f>
        <v>usual transaction</v>
      </c>
      <c r="Q1678" s="6" t="str">
        <f>IF(AND(Table1[[#This Row],[Country_of_Residence]]&lt;&gt;Table1[[#This Row],[Country_of_Transaction]], OR(Table1[[#This Row],[Authentication_Type]]="Biometric", Table1[[#This Row],[Authentication_Type]]="OTP")), "safe location transaction", "unsafe location transaction")</f>
        <v>safe location transaction</v>
      </c>
      <c r="R1678" s="6" t="str">
        <f>IF(AND(Table1[[#This Row],[Country_of_Residence]]&lt;&gt;Table1[[#This Row],[Country_of_Transaction]], OR(Table1[[#This Row],[Merchant_Category]]="Electronics", Table1[[#This Row],[Merchant_Category]]="Travel")), "unsafe merchant transaction", "safe merchant transaction")</f>
        <v>safe merchant transaction</v>
      </c>
    </row>
    <row r="1679" spans="1:18">
      <c r="A1679" t="s">
        <v>3024</v>
      </c>
      <c r="B1679" t="s">
        <v>265</v>
      </c>
      <c r="C1679">
        <v>1</v>
      </c>
      <c r="D1679" t="s">
        <v>15</v>
      </c>
      <c r="E1679" t="s">
        <v>5</v>
      </c>
      <c r="F1679" s="2">
        <v>45846</v>
      </c>
      <c r="G1679">
        <v>553.05999999999995</v>
      </c>
      <c r="H1679" s="1">
        <f>AVERAGEIF(Table1[Customer_ID], Table1[[#This Row],[Customer_ID]], Table1[Transaction_Amount])</f>
        <v>5428.9163492063508</v>
      </c>
      <c r="I1679" t="s">
        <v>671</v>
      </c>
      <c r="J1679" t="s">
        <v>36</v>
      </c>
      <c r="K1679" t="s">
        <v>10</v>
      </c>
      <c r="L1679">
        <v>5</v>
      </c>
      <c r="M1679" t="s">
        <v>412</v>
      </c>
      <c r="N1679" t="s">
        <v>55</v>
      </c>
      <c r="O1679" t="s">
        <v>393</v>
      </c>
      <c r="P1679" s="6" t="str">
        <f>IF(Table1[[#This Row],[Transaction_Amount]]&lt;=Table1[[#This Row],[avg_transaction_amount]], "usual transaction", "unusual transaction")</f>
        <v>usual transaction</v>
      </c>
      <c r="Q1679" s="6" t="str">
        <f>IF(AND(Table1[[#This Row],[Country_of_Residence]]&lt;&gt;Table1[[#This Row],[Country_of_Transaction]], OR(Table1[[#This Row],[Authentication_Type]]="Biometric", Table1[[#This Row],[Authentication_Type]]="OTP")), "safe location transaction", "unsafe location transaction")</f>
        <v>safe location transaction</v>
      </c>
      <c r="R1679" s="6" t="str">
        <f>IF(AND(Table1[[#This Row],[Country_of_Residence]]&lt;&gt;Table1[[#This Row],[Country_of_Transaction]], OR(Table1[[#This Row],[Merchant_Category]]="Electronics", Table1[[#This Row],[Merchant_Category]]="Travel")), "unsafe merchant transaction", "safe merchant transaction")</f>
        <v>safe merchant transaction</v>
      </c>
    </row>
    <row r="1680" spans="1:18">
      <c r="A1680" t="s">
        <v>3028</v>
      </c>
      <c r="B1680" t="s">
        <v>265</v>
      </c>
      <c r="C1680">
        <v>1</v>
      </c>
      <c r="D1680" t="s">
        <v>9</v>
      </c>
      <c r="E1680" t="s">
        <v>3</v>
      </c>
      <c r="F1680" s="2">
        <v>45661</v>
      </c>
      <c r="G1680">
        <v>3056.34</v>
      </c>
      <c r="H1680" s="1">
        <f>AVERAGEIF(Table1[Customer_ID], Table1[[#This Row],[Customer_ID]], Table1[Transaction_Amount])</f>
        <v>5428.9163492063508</v>
      </c>
      <c r="I1680" t="s">
        <v>675</v>
      </c>
      <c r="J1680" t="s">
        <v>41</v>
      </c>
      <c r="K1680" t="s">
        <v>14</v>
      </c>
      <c r="L1680">
        <v>2</v>
      </c>
      <c r="M1680" t="s">
        <v>32</v>
      </c>
      <c r="N1680" t="s">
        <v>47</v>
      </c>
      <c r="O1680" t="s">
        <v>392</v>
      </c>
      <c r="P1680" s="6" t="str">
        <f>IF(Table1[[#This Row],[Transaction_Amount]]&lt;=Table1[[#This Row],[avg_transaction_amount]], "usual transaction", "unusual transaction")</f>
        <v>usual transaction</v>
      </c>
      <c r="Q1680" s="6" t="str">
        <f>IF(AND(Table1[[#This Row],[Country_of_Residence]]&lt;&gt;Table1[[#This Row],[Country_of_Transaction]], OR(Table1[[#This Row],[Authentication_Type]]="Biometric", Table1[[#This Row],[Authentication_Type]]="OTP")), "safe location transaction", "unsafe location transaction")</f>
        <v>unsafe location transaction</v>
      </c>
      <c r="R1680" s="6" t="str">
        <f>IF(AND(Table1[[#This Row],[Country_of_Residence]]&lt;&gt;Table1[[#This Row],[Country_of_Transaction]], OR(Table1[[#This Row],[Merchant_Category]]="Electronics", Table1[[#This Row],[Merchant_Category]]="Travel")), "unsafe merchant transaction", "safe merchant transaction")</f>
        <v>safe merchant transaction</v>
      </c>
    </row>
    <row r="1681" spans="1:18">
      <c r="A1681" t="s">
        <v>3160</v>
      </c>
      <c r="B1681" t="s">
        <v>265</v>
      </c>
      <c r="C1681">
        <v>1</v>
      </c>
      <c r="D1681" t="s">
        <v>15</v>
      </c>
      <c r="E1681" t="s">
        <v>420</v>
      </c>
      <c r="F1681" s="2">
        <v>45818</v>
      </c>
      <c r="G1681">
        <v>8881.49</v>
      </c>
      <c r="H1681" s="1">
        <f>AVERAGEIF(Table1[Customer_ID], Table1[[#This Row],[Customer_ID]], Table1[Transaction_Amount])</f>
        <v>5428.9163492063508</v>
      </c>
      <c r="I1681" t="s">
        <v>797</v>
      </c>
      <c r="J1681" t="s">
        <v>41</v>
      </c>
      <c r="K1681" t="s">
        <v>10</v>
      </c>
      <c r="L1681">
        <v>4</v>
      </c>
      <c r="M1681" t="s">
        <v>32</v>
      </c>
      <c r="N1681" t="s">
        <v>47</v>
      </c>
      <c r="O1681" t="s">
        <v>393</v>
      </c>
      <c r="P1681" s="6" t="str">
        <f>IF(Table1[[#This Row],[Transaction_Amount]]&lt;=Table1[[#This Row],[avg_transaction_amount]], "usual transaction", "unusual transaction")</f>
        <v>unusual transaction</v>
      </c>
      <c r="Q1681" s="6" t="str">
        <f>IF(AND(Table1[[#This Row],[Country_of_Residence]]&lt;&gt;Table1[[#This Row],[Country_of_Transaction]], OR(Table1[[#This Row],[Authentication_Type]]="Biometric", Table1[[#This Row],[Authentication_Type]]="OTP")), "safe location transaction", "unsafe location transaction")</f>
        <v>safe location transaction</v>
      </c>
      <c r="R1681" s="6" t="str">
        <f>IF(AND(Table1[[#This Row],[Country_of_Residence]]&lt;&gt;Table1[[#This Row],[Country_of_Transaction]], OR(Table1[[#This Row],[Merchant_Category]]="Electronics", Table1[[#This Row],[Merchant_Category]]="Travel")), "unsafe merchant transaction", "safe merchant transaction")</f>
        <v>safe merchant transaction</v>
      </c>
    </row>
    <row r="1682" spans="1:18">
      <c r="A1682" t="s">
        <v>3176</v>
      </c>
      <c r="B1682" t="s">
        <v>265</v>
      </c>
      <c r="C1682">
        <v>1</v>
      </c>
      <c r="D1682" t="s">
        <v>15</v>
      </c>
      <c r="E1682" t="s">
        <v>5</v>
      </c>
      <c r="F1682" s="2">
        <v>45947</v>
      </c>
      <c r="G1682">
        <v>7850.69</v>
      </c>
      <c r="H1682" s="1">
        <f>AVERAGEIF(Table1[Customer_ID], Table1[[#This Row],[Customer_ID]], Table1[Transaction_Amount])</f>
        <v>5428.9163492063508</v>
      </c>
      <c r="I1682" t="s">
        <v>811</v>
      </c>
      <c r="J1682" t="s">
        <v>41</v>
      </c>
      <c r="K1682" t="s">
        <v>10</v>
      </c>
      <c r="L1682">
        <v>1</v>
      </c>
      <c r="M1682" t="s">
        <v>51</v>
      </c>
      <c r="N1682" t="s">
        <v>51</v>
      </c>
      <c r="O1682" t="s">
        <v>392</v>
      </c>
      <c r="P1682" s="6" t="str">
        <f>IF(Table1[[#This Row],[Transaction_Amount]]&lt;=Table1[[#This Row],[avg_transaction_amount]], "usual transaction", "unusual transaction")</f>
        <v>unusual transaction</v>
      </c>
      <c r="Q1682" s="6" t="str">
        <f>IF(AND(Table1[[#This Row],[Country_of_Residence]]&lt;&gt;Table1[[#This Row],[Country_of_Transaction]], OR(Table1[[#This Row],[Authentication_Type]]="Biometric", Table1[[#This Row],[Authentication_Type]]="OTP")), "safe location transaction", "unsafe location transaction")</f>
        <v>unsafe location transaction</v>
      </c>
      <c r="R1682" s="6" t="str">
        <f>IF(AND(Table1[[#This Row],[Country_of_Residence]]&lt;&gt;Table1[[#This Row],[Country_of_Transaction]], OR(Table1[[#This Row],[Merchant_Category]]="Electronics", Table1[[#This Row],[Merchant_Category]]="Travel")), "unsafe merchant transaction", "safe merchant transaction")</f>
        <v>safe merchant transaction</v>
      </c>
    </row>
    <row r="1683" spans="1:18">
      <c r="A1683" t="s">
        <v>3197</v>
      </c>
      <c r="B1683" t="s">
        <v>265</v>
      </c>
      <c r="C1683">
        <v>1</v>
      </c>
      <c r="D1683" t="s">
        <v>15</v>
      </c>
      <c r="E1683" t="s">
        <v>6</v>
      </c>
      <c r="F1683" s="2">
        <v>45899</v>
      </c>
      <c r="G1683">
        <v>5193.6499999999996</v>
      </c>
      <c r="H1683" s="1">
        <f>AVERAGEIF(Table1[Customer_ID], Table1[[#This Row],[Customer_ID]], Table1[Transaction_Amount])</f>
        <v>5428.9163492063508</v>
      </c>
      <c r="I1683" t="s">
        <v>832</v>
      </c>
      <c r="J1683" t="s">
        <v>41</v>
      </c>
      <c r="K1683" t="s">
        <v>14</v>
      </c>
      <c r="L1683">
        <v>4</v>
      </c>
      <c r="M1683" t="s">
        <v>412</v>
      </c>
      <c r="N1683" t="s">
        <v>51</v>
      </c>
      <c r="O1683" t="s">
        <v>392</v>
      </c>
      <c r="P1683" s="6" t="str">
        <f>IF(Table1[[#This Row],[Transaction_Amount]]&lt;=Table1[[#This Row],[avg_transaction_amount]], "usual transaction", "unusual transaction")</f>
        <v>usual transaction</v>
      </c>
      <c r="Q1683" s="6" t="str">
        <f>IF(AND(Table1[[#This Row],[Country_of_Residence]]&lt;&gt;Table1[[#This Row],[Country_of_Transaction]], OR(Table1[[#This Row],[Authentication_Type]]="Biometric", Table1[[#This Row],[Authentication_Type]]="OTP")), "safe location transaction", "unsafe location transaction")</f>
        <v>unsafe location transaction</v>
      </c>
      <c r="R1683" s="6" t="str">
        <f>IF(AND(Table1[[#This Row],[Country_of_Residence]]&lt;&gt;Table1[[#This Row],[Country_of_Transaction]], OR(Table1[[#This Row],[Merchant_Category]]="Electronics", Table1[[#This Row],[Merchant_Category]]="Travel")), "unsafe merchant transaction", "safe merchant transaction")</f>
        <v>safe merchant transaction</v>
      </c>
    </row>
    <row r="1684" spans="1:18">
      <c r="A1684" t="s">
        <v>3208</v>
      </c>
      <c r="B1684" t="s">
        <v>265</v>
      </c>
      <c r="C1684">
        <v>1</v>
      </c>
      <c r="D1684" t="s">
        <v>9</v>
      </c>
      <c r="E1684" t="s">
        <v>5</v>
      </c>
      <c r="F1684" s="2">
        <v>45876</v>
      </c>
      <c r="G1684">
        <v>6621.75</v>
      </c>
      <c r="H1684" s="1">
        <f>AVERAGEIF(Table1[Customer_ID], Table1[[#This Row],[Customer_ID]], Table1[Transaction_Amount])</f>
        <v>5428.9163492063508</v>
      </c>
      <c r="I1684" t="s">
        <v>842</v>
      </c>
      <c r="J1684" t="s">
        <v>50</v>
      </c>
      <c r="K1684" t="s">
        <v>12</v>
      </c>
      <c r="L1684">
        <v>0</v>
      </c>
      <c r="M1684" t="s">
        <v>37</v>
      </c>
      <c r="N1684" t="s">
        <v>412</v>
      </c>
      <c r="O1684" t="s">
        <v>393</v>
      </c>
      <c r="P1684" s="6" t="str">
        <f>IF(Table1[[#This Row],[Transaction_Amount]]&lt;=Table1[[#This Row],[avg_transaction_amount]], "usual transaction", "unusual transaction")</f>
        <v>unusual transaction</v>
      </c>
      <c r="Q1684" s="6" t="str">
        <f>IF(AND(Table1[[#This Row],[Country_of_Residence]]&lt;&gt;Table1[[#This Row],[Country_of_Transaction]], OR(Table1[[#This Row],[Authentication_Type]]="Biometric", Table1[[#This Row],[Authentication_Type]]="OTP")), "safe location transaction", "unsafe location transaction")</f>
        <v>unsafe location transaction</v>
      </c>
      <c r="R1684" s="6" t="str">
        <f>IF(AND(Table1[[#This Row],[Country_of_Residence]]&lt;&gt;Table1[[#This Row],[Country_of_Transaction]], OR(Table1[[#This Row],[Merchant_Category]]="Electronics", Table1[[#This Row],[Merchant_Category]]="Travel")), "unsafe merchant transaction", "safe merchant transaction")</f>
        <v>unsafe merchant transaction</v>
      </c>
    </row>
    <row r="1685" spans="1:18">
      <c r="A1685" t="s">
        <v>3390</v>
      </c>
      <c r="B1685" t="s">
        <v>265</v>
      </c>
      <c r="C1685">
        <v>1</v>
      </c>
      <c r="D1685" t="s">
        <v>15</v>
      </c>
      <c r="E1685" t="s">
        <v>5</v>
      </c>
      <c r="F1685" s="2">
        <v>45868</v>
      </c>
      <c r="G1685">
        <v>621.66</v>
      </c>
      <c r="H1685" s="1">
        <f>AVERAGEIF(Table1[Customer_ID], Table1[[#This Row],[Customer_ID]], Table1[Transaction_Amount])</f>
        <v>5428.9163492063508</v>
      </c>
      <c r="I1685" t="s">
        <v>1011</v>
      </c>
      <c r="J1685" t="s">
        <v>31</v>
      </c>
      <c r="K1685" t="s">
        <v>12</v>
      </c>
      <c r="L1685">
        <v>4</v>
      </c>
      <c r="M1685" t="s">
        <v>56</v>
      </c>
      <c r="N1685" t="s">
        <v>47</v>
      </c>
      <c r="O1685" t="s">
        <v>392</v>
      </c>
      <c r="P1685" s="6" t="str">
        <f>IF(Table1[[#This Row],[Transaction_Amount]]&lt;=Table1[[#This Row],[avg_transaction_amount]], "usual transaction", "unusual transaction")</f>
        <v>usual transaction</v>
      </c>
      <c r="Q1685" s="6" t="str">
        <f>IF(AND(Table1[[#This Row],[Country_of_Residence]]&lt;&gt;Table1[[#This Row],[Country_of_Transaction]], OR(Table1[[#This Row],[Authentication_Type]]="Biometric", Table1[[#This Row],[Authentication_Type]]="OTP")), "safe location transaction", "unsafe location transaction")</f>
        <v>unsafe location transaction</v>
      </c>
      <c r="R1685" s="6" t="str">
        <f>IF(AND(Table1[[#This Row],[Country_of_Residence]]&lt;&gt;Table1[[#This Row],[Country_of_Transaction]], OR(Table1[[#This Row],[Merchant_Category]]="Electronics", Table1[[#This Row],[Merchant_Category]]="Travel")), "unsafe merchant transaction", "safe merchant transaction")</f>
        <v>safe merchant transaction</v>
      </c>
    </row>
    <row r="1686" spans="1:18">
      <c r="A1686" t="s">
        <v>3394</v>
      </c>
      <c r="B1686" t="s">
        <v>265</v>
      </c>
      <c r="C1686">
        <v>1</v>
      </c>
      <c r="D1686" t="s">
        <v>15</v>
      </c>
      <c r="E1686" t="s">
        <v>420</v>
      </c>
      <c r="F1686" s="2">
        <v>46015</v>
      </c>
      <c r="G1686">
        <v>3877.42</v>
      </c>
      <c r="H1686" s="1">
        <f>AVERAGEIF(Table1[Customer_ID], Table1[[#This Row],[Customer_ID]], Table1[Transaction_Amount])</f>
        <v>5428.9163492063508</v>
      </c>
      <c r="I1686" t="s">
        <v>1015</v>
      </c>
      <c r="J1686" t="s">
        <v>46</v>
      </c>
      <c r="K1686" t="s">
        <v>14</v>
      </c>
      <c r="L1686">
        <v>5</v>
      </c>
      <c r="M1686" t="s">
        <v>33</v>
      </c>
      <c r="N1686" t="s">
        <v>37</v>
      </c>
      <c r="O1686" t="s">
        <v>392</v>
      </c>
      <c r="P1686" s="6" t="str">
        <f>IF(Table1[[#This Row],[Transaction_Amount]]&lt;=Table1[[#This Row],[avg_transaction_amount]], "usual transaction", "unusual transaction")</f>
        <v>usual transaction</v>
      </c>
      <c r="Q1686" s="6" t="str">
        <f>IF(AND(Table1[[#This Row],[Country_of_Residence]]&lt;&gt;Table1[[#This Row],[Country_of_Transaction]], OR(Table1[[#This Row],[Authentication_Type]]="Biometric", Table1[[#This Row],[Authentication_Type]]="OTP")), "safe location transaction", "unsafe location transaction")</f>
        <v>unsafe location transaction</v>
      </c>
      <c r="R1686" s="6" t="str">
        <f>IF(AND(Table1[[#This Row],[Country_of_Residence]]&lt;&gt;Table1[[#This Row],[Country_of_Transaction]], OR(Table1[[#This Row],[Merchant_Category]]="Electronics", Table1[[#This Row],[Merchant_Category]]="Travel")), "unsafe merchant transaction", "safe merchant transaction")</f>
        <v>safe merchant transaction</v>
      </c>
    </row>
    <row r="1687" spans="1:18">
      <c r="A1687" t="s">
        <v>3437</v>
      </c>
      <c r="B1687" t="s">
        <v>265</v>
      </c>
      <c r="C1687">
        <v>1</v>
      </c>
      <c r="D1687" t="s">
        <v>9</v>
      </c>
      <c r="E1687" t="s">
        <v>420</v>
      </c>
      <c r="F1687" s="2">
        <v>45807</v>
      </c>
      <c r="G1687">
        <v>6563.61</v>
      </c>
      <c r="H1687" s="1">
        <f>AVERAGEIF(Table1[Customer_ID], Table1[[#This Row],[Customer_ID]], Table1[Transaction_Amount])</f>
        <v>5428.9163492063508</v>
      </c>
      <c r="I1687" t="s">
        <v>1056</v>
      </c>
      <c r="J1687" t="s">
        <v>46</v>
      </c>
      <c r="K1687" t="s">
        <v>12</v>
      </c>
      <c r="L1687">
        <v>5</v>
      </c>
      <c r="M1687" t="s">
        <v>412</v>
      </c>
      <c r="N1687" t="s">
        <v>51</v>
      </c>
      <c r="O1687" t="s">
        <v>392</v>
      </c>
      <c r="P1687" s="6" t="str">
        <f>IF(Table1[[#This Row],[Transaction_Amount]]&lt;=Table1[[#This Row],[avg_transaction_amount]], "usual transaction", "unusual transaction")</f>
        <v>unusual transaction</v>
      </c>
      <c r="Q1687" s="6" t="str">
        <f>IF(AND(Table1[[#This Row],[Country_of_Residence]]&lt;&gt;Table1[[#This Row],[Country_of_Transaction]], OR(Table1[[#This Row],[Authentication_Type]]="Biometric", Table1[[#This Row],[Authentication_Type]]="OTP")), "safe location transaction", "unsafe location transaction")</f>
        <v>unsafe location transaction</v>
      </c>
      <c r="R1687" s="6" t="str">
        <f>IF(AND(Table1[[#This Row],[Country_of_Residence]]&lt;&gt;Table1[[#This Row],[Country_of_Transaction]], OR(Table1[[#This Row],[Merchant_Category]]="Electronics", Table1[[#This Row],[Merchant_Category]]="Travel")), "unsafe merchant transaction", "safe merchant transaction")</f>
        <v>safe merchant transaction</v>
      </c>
    </row>
    <row r="1688" spans="1:18">
      <c r="A1688" t="s">
        <v>3482</v>
      </c>
      <c r="B1688" t="s">
        <v>265</v>
      </c>
      <c r="C1688">
        <v>1</v>
      </c>
      <c r="D1688" t="s">
        <v>15</v>
      </c>
      <c r="E1688" t="s">
        <v>420</v>
      </c>
      <c r="F1688" s="2">
        <v>45750</v>
      </c>
      <c r="G1688">
        <v>1891.03</v>
      </c>
      <c r="H1688" s="1">
        <f>AVERAGEIF(Table1[Customer_ID], Table1[[#This Row],[Customer_ID]], Table1[Transaction_Amount])</f>
        <v>5428.9163492063508</v>
      </c>
      <c r="I1688" t="s">
        <v>1099</v>
      </c>
      <c r="J1688" t="s">
        <v>31</v>
      </c>
      <c r="K1688" t="s">
        <v>14</v>
      </c>
      <c r="L1688">
        <v>1</v>
      </c>
      <c r="M1688" t="s">
        <v>42</v>
      </c>
      <c r="N1688" t="s">
        <v>56</v>
      </c>
      <c r="O1688" t="s">
        <v>392</v>
      </c>
      <c r="P1688" s="6" t="str">
        <f>IF(Table1[[#This Row],[Transaction_Amount]]&lt;=Table1[[#This Row],[avg_transaction_amount]], "usual transaction", "unusual transaction")</f>
        <v>usual transaction</v>
      </c>
      <c r="Q1688" s="6" t="str">
        <f>IF(AND(Table1[[#This Row],[Country_of_Residence]]&lt;&gt;Table1[[#This Row],[Country_of_Transaction]], OR(Table1[[#This Row],[Authentication_Type]]="Biometric", Table1[[#This Row],[Authentication_Type]]="OTP")), "safe location transaction", "unsafe location transaction")</f>
        <v>unsafe location transaction</v>
      </c>
      <c r="R1688" s="6" t="str">
        <f>IF(AND(Table1[[#This Row],[Country_of_Residence]]&lt;&gt;Table1[[#This Row],[Country_of_Transaction]], OR(Table1[[#This Row],[Merchant_Category]]="Electronics", Table1[[#This Row],[Merchant_Category]]="Travel")), "unsafe merchant transaction", "safe merchant transaction")</f>
        <v>safe merchant transaction</v>
      </c>
    </row>
    <row r="1689" spans="1:18">
      <c r="A1689" t="s">
        <v>3527</v>
      </c>
      <c r="B1689" t="s">
        <v>265</v>
      </c>
      <c r="C1689">
        <v>1</v>
      </c>
      <c r="D1689" t="s">
        <v>15</v>
      </c>
      <c r="E1689" t="s">
        <v>6</v>
      </c>
      <c r="F1689" s="2">
        <v>45992</v>
      </c>
      <c r="G1689">
        <v>6362.91</v>
      </c>
      <c r="H1689" s="1">
        <f>AVERAGEIF(Table1[Customer_ID], Table1[[#This Row],[Customer_ID]], Table1[Transaction_Amount])</f>
        <v>5428.9163492063508</v>
      </c>
      <c r="I1689" t="s">
        <v>1142</v>
      </c>
      <c r="J1689" t="s">
        <v>46</v>
      </c>
      <c r="K1689" t="s">
        <v>12</v>
      </c>
      <c r="L1689">
        <v>5</v>
      </c>
      <c r="M1689" t="s">
        <v>56</v>
      </c>
      <c r="N1689" t="s">
        <v>37</v>
      </c>
      <c r="O1689" t="s">
        <v>392</v>
      </c>
      <c r="P1689" s="6" t="str">
        <f>IF(Table1[[#This Row],[Transaction_Amount]]&lt;=Table1[[#This Row],[avg_transaction_amount]], "usual transaction", "unusual transaction")</f>
        <v>unusual transaction</v>
      </c>
      <c r="Q1689" s="6" t="str">
        <f>IF(AND(Table1[[#This Row],[Country_of_Residence]]&lt;&gt;Table1[[#This Row],[Country_of_Transaction]], OR(Table1[[#This Row],[Authentication_Type]]="Biometric", Table1[[#This Row],[Authentication_Type]]="OTP")), "safe location transaction", "unsafe location transaction")</f>
        <v>unsafe location transaction</v>
      </c>
      <c r="R1689" s="6" t="str">
        <f>IF(AND(Table1[[#This Row],[Country_of_Residence]]&lt;&gt;Table1[[#This Row],[Country_of_Transaction]], OR(Table1[[#This Row],[Merchant_Category]]="Electronics", Table1[[#This Row],[Merchant_Category]]="Travel")), "unsafe merchant transaction", "safe merchant transaction")</f>
        <v>safe merchant transaction</v>
      </c>
    </row>
    <row r="1690" spans="1:18">
      <c r="A1690" t="s">
        <v>3621</v>
      </c>
      <c r="B1690" t="s">
        <v>265</v>
      </c>
      <c r="C1690">
        <v>1</v>
      </c>
      <c r="D1690" t="s">
        <v>15</v>
      </c>
      <c r="E1690" t="s">
        <v>5</v>
      </c>
      <c r="F1690" s="2">
        <v>45677</v>
      </c>
      <c r="G1690">
        <v>6324.71</v>
      </c>
      <c r="H1690" s="1">
        <f>AVERAGEIF(Table1[Customer_ID], Table1[[#This Row],[Customer_ID]], Table1[Transaction_Amount])</f>
        <v>5428.9163492063508</v>
      </c>
      <c r="I1690" t="s">
        <v>1227</v>
      </c>
      <c r="J1690" t="s">
        <v>41</v>
      </c>
      <c r="K1690" t="s">
        <v>14</v>
      </c>
      <c r="L1690">
        <v>1</v>
      </c>
      <c r="M1690" t="s">
        <v>33</v>
      </c>
      <c r="N1690" t="s">
        <v>412</v>
      </c>
      <c r="O1690" t="s">
        <v>392</v>
      </c>
      <c r="P1690" s="6" t="str">
        <f>IF(Table1[[#This Row],[Transaction_Amount]]&lt;=Table1[[#This Row],[avg_transaction_amount]], "usual transaction", "unusual transaction")</f>
        <v>unusual transaction</v>
      </c>
      <c r="Q1690" s="6" t="str">
        <f>IF(AND(Table1[[#This Row],[Country_of_Residence]]&lt;&gt;Table1[[#This Row],[Country_of_Transaction]], OR(Table1[[#This Row],[Authentication_Type]]="Biometric", Table1[[#This Row],[Authentication_Type]]="OTP")), "safe location transaction", "unsafe location transaction")</f>
        <v>unsafe location transaction</v>
      </c>
      <c r="R1690" s="6" t="str">
        <f>IF(AND(Table1[[#This Row],[Country_of_Residence]]&lt;&gt;Table1[[#This Row],[Country_of_Transaction]], OR(Table1[[#This Row],[Merchant_Category]]="Electronics", Table1[[#This Row],[Merchant_Category]]="Travel")), "unsafe merchant transaction", "safe merchant transaction")</f>
        <v>safe merchant transaction</v>
      </c>
    </row>
    <row r="1691" spans="1:18">
      <c r="A1691" t="s">
        <v>3626</v>
      </c>
      <c r="B1691" t="s">
        <v>265</v>
      </c>
      <c r="C1691">
        <v>1</v>
      </c>
      <c r="D1691" t="s">
        <v>9</v>
      </c>
      <c r="E1691" t="s">
        <v>420</v>
      </c>
      <c r="F1691" s="2">
        <v>46018</v>
      </c>
      <c r="G1691">
        <v>9565.34</v>
      </c>
      <c r="H1691" s="1">
        <f>AVERAGEIF(Table1[Customer_ID], Table1[[#This Row],[Customer_ID]], Table1[Transaction_Amount])</f>
        <v>5428.9163492063508</v>
      </c>
      <c r="I1691" t="s">
        <v>738</v>
      </c>
      <c r="J1691" t="s">
        <v>36</v>
      </c>
      <c r="K1691" t="s">
        <v>8</v>
      </c>
      <c r="L1691">
        <v>5</v>
      </c>
      <c r="M1691" t="s">
        <v>55</v>
      </c>
      <c r="N1691" t="s">
        <v>412</v>
      </c>
      <c r="O1691" t="s">
        <v>393</v>
      </c>
      <c r="P1691" s="6" t="str">
        <f>IF(Table1[[#This Row],[Transaction_Amount]]&lt;=Table1[[#This Row],[avg_transaction_amount]], "usual transaction", "unusual transaction")</f>
        <v>unusual transaction</v>
      </c>
      <c r="Q1691" s="6" t="str">
        <f>IF(AND(Table1[[#This Row],[Country_of_Residence]]&lt;&gt;Table1[[#This Row],[Country_of_Transaction]], OR(Table1[[#This Row],[Authentication_Type]]="Biometric", Table1[[#This Row],[Authentication_Type]]="OTP")), "safe location transaction", "unsafe location transaction")</f>
        <v>safe location transaction</v>
      </c>
      <c r="R1691" s="6" t="str">
        <f>IF(AND(Table1[[#This Row],[Country_of_Residence]]&lt;&gt;Table1[[#This Row],[Country_of_Transaction]], OR(Table1[[#This Row],[Merchant_Category]]="Electronics", Table1[[#This Row],[Merchant_Category]]="Travel")), "unsafe merchant transaction", "safe merchant transaction")</f>
        <v>safe merchant transaction</v>
      </c>
    </row>
    <row r="1692" spans="1:18">
      <c r="A1692" t="s">
        <v>3734</v>
      </c>
      <c r="B1692" t="s">
        <v>265</v>
      </c>
      <c r="C1692">
        <v>1</v>
      </c>
      <c r="D1692" t="s">
        <v>9</v>
      </c>
      <c r="E1692" t="s">
        <v>6</v>
      </c>
      <c r="F1692" s="2">
        <v>45966</v>
      </c>
      <c r="G1692">
        <v>9834.52</v>
      </c>
      <c r="H1692" s="1">
        <f>AVERAGEIF(Table1[Customer_ID], Table1[[#This Row],[Customer_ID]], Table1[Transaction_Amount])</f>
        <v>5428.9163492063508</v>
      </c>
      <c r="I1692" t="s">
        <v>1329</v>
      </c>
      <c r="J1692" t="s">
        <v>50</v>
      </c>
      <c r="K1692" t="s">
        <v>8</v>
      </c>
      <c r="L1692">
        <v>3</v>
      </c>
      <c r="M1692" t="s">
        <v>37</v>
      </c>
      <c r="N1692" t="s">
        <v>42</v>
      </c>
      <c r="O1692" t="s">
        <v>393</v>
      </c>
      <c r="P1692" s="6" t="str">
        <f>IF(Table1[[#This Row],[Transaction_Amount]]&lt;=Table1[[#This Row],[avg_transaction_amount]], "usual transaction", "unusual transaction")</f>
        <v>unusual transaction</v>
      </c>
      <c r="Q1692" s="6" t="str">
        <f>IF(AND(Table1[[#This Row],[Country_of_Residence]]&lt;&gt;Table1[[#This Row],[Country_of_Transaction]], OR(Table1[[#This Row],[Authentication_Type]]="Biometric", Table1[[#This Row],[Authentication_Type]]="OTP")), "safe location transaction", "unsafe location transaction")</f>
        <v>safe location transaction</v>
      </c>
      <c r="R1692" s="6" t="str">
        <f>IF(AND(Table1[[#This Row],[Country_of_Residence]]&lt;&gt;Table1[[#This Row],[Country_of_Transaction]], OR(Table1[[#This Row],[Merchant_Category]]="Electronics", Table1[[#This Row],[Merchant_Category]]="Travel")), "unsafe merchant transaction", "safe merchant transaction")</f>
        <v>unsafe merchant transaction</v>
      </c>
    </row>
    <row r="1693" spans="1:18">
      <c r="A1693" t="s">
        <v>3841</v>
      </c>
      <c r="B1693" t="s">
        <v>265</v>
      </c>
      <c r="C1693">
        <v>1</v>
      </c>
      <c r="D1693" t="s">
        <v>15</v>
      </c>
      <c r="E1693" t="s">
        <v>420</v>
      </c>
      <c r="F1693" s="2">
        <v>45903</v>
      </c>
      <c r="G1693">
        <v>9843.08</v>
      </c>
      <c r="H1693" s="1">
        <f>AVERAGEIF(Table1[Customer_ID], Table1[[#This Row],[Customer_ID]], Table1[Transaction_Amount])</f>
        <v>5428.9163492063508</v>
      </c>
      <c r="I1693" t="s">
        <v>1418</v>
      </c>
      <c r="J1693" t="s">
        <v>46</v>
      </c>
      <c r="K1693" t="s">
        <v>10</v>
      </c>
      <c r="L1693">
        <v>4</v>
      </c>
      <c r="M1693" t="s">
        <v>32</v>
      </c>
      <c r="N1693" t="s">
        <v>412</v>
      </c>
      <c r="O1693" t="s">
        <v>392</v>
      </c>
      <c r="P1693" s="6" t="str">
        <f>IF(Table1[[#This Row],[Transaction_Amount]]&lt;=Table1[[#This Row],[avg_transaction_amount]], "usual transaction", "unusual transaction")</f>
        <v>unusual transaction</v>
      </c>
      <c r="Q1693" s="6" t="str">
        <f>IF(AND(Table1[[#This Row],[Country_of_Residence]]&lt;&gt;Table1[[#This Row],[Country_of_Transaction]], OR(Table1[[#This Row],[Authentication_Type]]="Biometric", Table1[[#This Row],[Authentication_Type]]="OTP")), "safe location transaction", "unsafe location transaction")</f>
        <v>safe location transaction</v>
      </c>
      <c r="R1693" s="6" t="str">
        <f>IF(AND(Table1[[#This Row],[Country_of_Residence]]&lt;&gt;Table1[[#This Row],[Country_of_Transaction]], OR(Table1[[#This Row],[Merchant_Category]]="Electronics", Table1[[#This Row],[Merchant_Category]]="Travel")), "unsafe merchant transaction", "safe merchant transaction")</f>
        <v>safe merchant transaction</v>
      </c>
    </row>
    <row r="1694" spans="1:18">
      <c r="A1694" t="s">
        <v>3844</v>
      </c>
      <c r="B1694" t="s">
        <v>265</v>
      </c>
      <c r="C1694">
        <v>1</v>
      </c>
      <c r="D1694" t="s">
        <v>15</v>
      </c>
      <c r="E1694" t="s">
        <v>3</v>
      </c>
      <c r="F1694" s="2">
        <v>45983</v>
      </c>
      <c r="G1694">
        <v>9304.75</v>
      </c>
      <c r="H1694" s="1">
        <f>AVERAGEIF(Table1[Customer_ID], Table1[[#This Row],[Customer_ID]], Table1[Transaction_Amount])</f>
        <v>5428.9163492063508</v>
      </c>
      <c r="I1694" t="s">
        <v>1420</v>
      </c>
      <c r="J1694" t="s">
        <v>36</v>
      </c>
      <c r="K1694" t="s">
        <v>12</v>
      </c>
      <c r="L1694">
        <v>0</v>
      </c>
      <c r="M1694" t="s">
        <v>32</v>
      </c>
      <c r="N1694" t="s">
        <v>32</v>
      </c>
      <c r="O1694" t="s">
        <v>392</v>
      </c>
      <c r="P1694" s="6" t="str">
        <f>IF(Table1[[#This Row],[Transaction_Amount]]&lt;=Table1[[#This Row],[avg_transaction_amount]], "usual transaction", "unusual transaction")</f>
        <v>unusual transaction</v>
      </c>
      <c r="Q1694" s="6" t="str">
        <f>IF(AND(Table1[[#This Row],[Country_of_Residence]]&lt;&gt;Table1[[#This Row],[Country_of_Transaction]], OR(Table1[[#This Row],[Authentication_Type]]="Biometric", Table1[[#This Row],[Authentication_Type]]="OTP")), "safe location transaction", "unsafe location transaction")</f>
        <v>unsafe location transaction</v>
      </c>
      <c r="R1694" s="6" t="str">
        <f>IF(AND(Table1[[#This Row],[Country_of_Residence]]&lt;&gt;Table1[[#This Row],[Country_of_Transaction]], OR(Table1[[#This Row],[Merchant_Category]]="Electronics", Table1[[#This Row],[Merchant_Category]]="Travel")), "unsafe merchant transaction", "safe merchant transaction")</f>
        <v>safe merchant transaction</v>
      </c>
    </row>
    <row r="1695" spans="1:18">
      <c r="A1695" t="s">
        <v>3845</v>
      </c>
      <c r="B1695" t="s">
        <v>265</v>
      </c>
      <c r="C1695">
        <v>1</v>
      </c>
      <c r="D1695" t="s">
        <v>9</v>
      </c>
      <c r="E1695" t="s">
        <v>5</v>
      </c>
      <c r="F1695" s="2">
        <v>45669</v>
      </c>
      <c r="G1695">
        <v>8704.43</v>
      </c>
      <c r="H1695" s="1">
        <f>AVERAGEIF(Table1[Customer_ID], Table1[[#This Row],[Customer_ID]], Table1[Transaction_Amount])</f>
        <v>5428.9163492063508</v>
      </c>
      <c r="I1695" t="s">
        <v>1421</v>
      </c>
      <c r="J1695" t="s">
        <v>31</v>
      </c>
      <c r="K1695" t="s">
        <v>12</v>
      </c>
      <c r="L1695">
        <v>1</v>
      </c>
      <c r="M1695" t="s">
        <v>32</v>
      </c>
      <c r="N1695" t="s">
        <v>56</v>
      </c>
      <c r="O1695" t="s">
        <v>393</v>
      </c>
      <c r="P1695" s="6" t="str">
        <f>IF(Table1[[#This Row],[Transaction_Amount]]&lt;=Table1[[#This Row],[avg_transaction_amount]], "usual transaction", "unusual transaction")</f>
        <v>unusual transaction</v>
      </c>
      <c r="Q1695" s="6" t="str">
        <f>IF(AND(Table1[[#This Row],[Country_of_Residence]]&lt;&gt;Table1[[#This Row],[Country_of_Transaction]], OR(Table1[[#This Row],[Authentication_Type]]="Biometric", Table1[[#This Row],[Authentication_Type]]="OTP")), "safe location transaction", "unsafe location transaction")</f>
        <v>unsafe location transaction</v>
      </c>
      <c r="R1695" s="6" t="str">
        <f>IF(AND(Table1[[#This Row],[Country_of_Residence]]&lt;&gt;Table1[[#This Row],[Country_of_Transaction]], OR(Table1[[#This Row],[Merchant_Category]]="Electronics", Table1[[#This Row],[Merchant_Category]]="Travel")), "unsafe merchant transaction", "safe merchant transaction")</f>
        <v>safe merchant transaction</v>
      </c>
    </row>
    <row r="1696" spans="1:18">
      <c r="A1696" t="s">
        <v>3922</v>
      </c>
      <c r="B1696" t="s">
        <v>265</v>
      </c>
      <c r="C1696">
        <v>1</v>
      </c>
      <c r="D1696" t="s">
        <v>9</v>
      </c>
      <c r="E1696" t="s">
        <v>420</v>
      </c>
      <c r="F1696" s="2">
        <v>45680</v>
      </c>
      <c r="G1696">
        <v>9643.2199999999993</v>
      </c>
      <c r="H1696" s="1">
        <f>AVERAGEIF(Table1[Customer_ID], Table1[[#This Row],[Customer_ID]], Table1[Transaction_Amount])</f>
        <v>5428.9163492063508</v>
      </c>
      <c r="I1696" t="s">
        <v>1486</v>
      </c>
      <c r="J1696" t="s">
        <v>31</v>
      </c>
      <c r="K1696" t="s">
        <v>8</v>
      </c>
      <c r="L1696">
        <v>4</v>
      </c>
      <c r="M1696" t="s">
        <v>32</v>
      </c>
      <c r="N1696" t="s">
        <v>47</v>
      </c>
      <c r="O1696" t="s">
        <v>393</v>
      </c>
      <c r="P1696" s="6" t="str">
        <f>IF(Table1[[#This Row],[Transaction_Amount]]&lt;=Table1[[#This Row],[avg_transaction_amount]], "usual transaction", "unusual transaction")</f>
        <v>unusual transaction</v>
      </c>
      <c r="Q1696" s="6" t="str">
        <f>IF(AND(Table1[[#This Row],[Country_of_Residence]]&lt;&gt;Table1[[#This Row],[Country_of_Transaction]], OR(Table1[[#This Row],[Authentication_Type]]="Biometric", Table1[[#This Row],[Authentication_Type]]="OTP")), "safe location transaction", "unsafe location transaction")</f>
        <v>safe location transaction</v>
      </c>
      <c r="R1696" s="6" t="str">
        <f>IF(AND(Table1[[#This Row],[Country_of_Residence]]&lt;&gt;Table1[[#This Row],[Country_of_Transaction]], OR(Table1[[#This Row],[Merchant_Category]]="Electronics", Table1[[#This Row],[Merchant_Category]]="Travel")), "unsafe merchant transaction", "safe merchant transaction")</f>
        <v>safe merchant transaction</v>
      </c>
    </row>
    <row r="1697" spans="1:18">
      <c r="A1697" t="s">
        <v>3923</v>
      </c>
      <c r="B1697" t="s">
        <v>265</v>
      </c>
      <c r="C1697">
        <v>1</v>
      </c>
      <c r="D1697" t="s">
        <v>15</v>
      </c>
      <c r="E1697" t="s">
        <v>5</v>
      </c>
      <c r="F1697" s="2">
        <v>45960</v>
      </c>
      <c r="G1697">
        <v>9145.35</v>
      </c>
      <c r="H1697" s="1">
        <f>AVERAGEIF(Table1[Customer_ID], Table1[[#This Row],[Customer_ID]], Table1[Transaction_Amount])</f>
        <v>5428.9163492063508</v>
      </c>
      <c r="I1697" t="s">
        <v>1487</v>
      </c>
      <c r="J1697" t="s">
        <v>50</v>
      </c>
      <c r="K1697" t="s">
        <v>14</v>
      </c>
      <c r="L1697">
        <v>5</v>
      </c>
      <c r="M1697" t="s">
        <v>412</v>
      </c>
      <c r="N1697" t="s">
        <v>55</v>
      </c>
      <c r="O1697" t="s">
        <v>393</v>
      </c>
      <c r="P1697" s="6" t="str">
        <f>IF(Table1[[#This Row],[Transaction_Amount]]&lt;=Table1[[#This Row],[avg_transaction_amount]], "usual transaction", "unusual transaction")</f>
        <v>unusual transaction</v>
      </c>
      <c r="Q1697" s="6" t="str">
        <f>IF(AND(Table1[[#This Row],[Country_of_Residence]]&lt;&gt;Table1[[#This Row],[Country_of_Transaction]], OR(Table1[[#This Row],[Authentication_Type]]="Biometric", Table1[[#This Row],[Authentication_Type]]="OTP")), "safe location transaction", "unsafe location transaction")</f>
        <v>unsafe location transaction</v>
      </c>
      <c r="R1697" s="6" t="str">
        <f>IF(AND(Table1[[#This Row],[Country_of_Residence]]&lt;&gt;Table1[[#This Row],[Country_of_Transaction]], OR(Table1[[#This Row],[Merchant_Category]]="Electronics", Table1[[#This Row],[Merchant_Category]]="Travel")), "unsafe merchant transaction", "safe merchant transaction")</f>
        <v>unsafe merchant transaction</v>
      </c>
    </row>
    <row r="1698" spans="1:18">
      <c r="A1698" t="s">
        <v>4012</v>
      </c>
      <c r="B1698" t="s">
        <v>265</v>
      </c>
      <c r="C1698">
        <v>1</v>
      </c>
      <c r="D1698" t="s">
        <v>15</v>
      </c>
      <c r="E1698" t="s">
        <v>6</v>
      </c>
      <c r="F1698" s="2">
        <v>45742</v>
      </c>
      <c r="G1698">
        <v>5469.62</v>
      </c>
      <c r="H1698" s="1">
        <f>AVERAGEIF(Table1[Customer_ID], Table1[[#This Row],[Customer_ID]], Table1[Transaction_Amount])</f>
        <v>5428.9163492063508</v>
      </c>
      <c r="I1698" t="s">
        <v>1568</v>
      </c>
      <c r="J1698" t="s">
        <v>31</v>
      </c>
      <c r="K1698" t="s">
        <v>12</v>
      </c>
      <c r="L1698">
        <v>0</v>
      </c>
      <c r="M1698" t="s">
        <v>56</v>
      </c>
      <c r="N1698" t="s">
        <v>32</v>
      </c>
      <c r="O1698" t="s">
        <v>392</v>
      </c>
      <c r="P1698" s="6" t="str">
        <f>IF(Table1[[#This Row],[Transaction_Amount]]&lt;=Table1[[#This Row],[avg_transaction_amount]], "usual transaction", "unusual transaction")</f>
        <v>unusual transaction</v>
      </c>
      <c r="Q1698" s="6" t="str">
        <f>IF(AND(Table1[[#This Row],[Country_of_Residence]]&lt;&gt;Table1[[#This Row],[Country_of_Transaction]], OR(Table1[[#This Row],[Authentication_Type]]="Biometric", Table1[[#This Row],[Authentication_Type]]="OTP")), "safe location transaction", "unsafe location transaction")</f>
        <v>unsafe location transaction</v>
      </c>
      <c r="R1698" s="6" t="str">
        <f>IF(AND(Table1[[#This Row],[Country_of_Residence]]&lt;&gt;Table1[[#This Row],[Country_of_Transaction]], OR(Table1[[#This Row],[Merchant_Category]]="Electronics", Table1[[#This Row],[Merchant_Category]]="Travel")), "unsafe merchant transaction", "safe merchant transaction")</f>
        <v>safe merchant transaction</v>
      </c>
    </row>
    <row r="1699" spans="1:18">
      <c r="A1699" t="s">
        <v>4030</v>
      </c>
      <c r="B1699" t="s">
        <v>265</v>
      </c>
      <c r="C1699">
        <v>1</v>
      </c>
      <c r="D1699" t="s">
        <v>9</v>
      </c>
      <c r="E1699" t="s">
        <v>5</v>
      </c>
      <c r="F1699" s="2">
        <v>45753</v>
      </c>
      <c r="G1699">
        <v>5956.27</v>
      </c>
      <c r="H1699" s="1">
        <f>AVERAGEIF(Table1[Customer_ID], Table1[[#This Row],[Customer_ID]], Table1[Transaction_Amount])</f>
        <v>5428.9163492063508</v>
      </c>
      <c r="I1699" t="s">
        <v>1586</v>
      </c>
      <c r="J1699" t="s">
        <v>46</v>
      </c>
      <c r="K1699" t="s">
        <v>14</v>
      </c>
      <c r="L1699">
        <v>3</v>
      </c>
      <c r="M1699" t="s">
        <v>55</v>
      </c>
      <c r="N1699" t="s">
        <v>55</v>
      </c>
      <c r="O1699" t="s">
        <v>392</v>
      </c>
      <c r="P1699" s="6" t="str">
        <f>IF(Table1[[#This Row],[Transaction_Amount]]&lt;=Table1[[#This Row],[avg_transaction_amount]], "usual transaction", "unusual transaction")</f>
        <v>unusual transaction</v>
      </c>
      <c r="Q1699" s="6" t="str">
        <f>IF(AND(Table1[[#This Row],[Country_of_Residence]]&lt;&gt;Table1[[#This Row],[Country_of_Transaction]], OR(Table1[[#This Row],[Authentication_Type]]="Biometric", Table1[[#This Row],[Authentication_Type]]="OTP")), "safe location transaction", "unsafe location transaction")</f>
        <v>unsafe location transaction</v>
      </c>
      <c r="R1699" s="6" t="str">
        <f>IF(AND(Table1[[#This Row],[Country_of_Residence]]&lt;&gt;Table1[[#This Row],[Country_of_Transaction]], OR(Table1[[#This Row],[Merchant_Category]]="Electronics", Table1[[#This Row],[Merchant_Category]]="Travel")), "unsafe merchant transaction", "safe merchant transaction")</f>
        <v>safe merchant transaction</v>
      </c>
    </row>
    <row r="1700" spans="1:18">
      <c r="A1700" t="s">
        <v>4059</v>
      </c>
      <c r="B1700" t="s">
        <v>265</v>
      </c>
      <c r="C1700">
        <v>1</v>
      </c>
      <c r="D1700" t="s">
        <v>15</v>
      </c>
      <c r="E1700" t="s">
        <v>6</v>
      </c>
      <c r="F1700" s="2">
        <v>45950</v>
      </c>
      <c r="G1700">
        <v>710.76</v>
      </c>
      <c r="H1700" s="1">
        <f>AVERAGEIF(Table1[Customer_ID], Table1[[#This Row],[Customer_ID]], Table1[Transaction_Amount])</f>
        <v>5428.9163492063508</v>
      </c>
      <c r="I1700" t="s">
        <v>1611</v>
      </c>
      <c r="J1700" t="s">
        <v>46</v>
      </c>
      <c r="K1700" t="s">
        <v>12</v>
      </c>
      <c r="L1700">
        <v>5</v>
      </c>
      <c r="M1700" t="s">
        <v>51</v>
      </c>
      <c r="N1700" t="s">
        <v>412</v>
      </c>
      <c r="O1700" t="s">
        <v>392</v>
      </c>
      <c r="P1700" s="6" t="str">
        <f>IF(Table1[[#This Row],[Transaction_Amount]]&lt;=Table1[[#This Row],[avg_transaction_amount]], "usual transaction", "unusual transaction")</f>
        <v>usual transaction</v>
      </c>
      <c r="Q1700" s="6" t="str">
        <f>IF(AND(Table1[[#This Row],[Country_of_Residence]]&lt;&gt;Table1[[#This Row],[Country_of_Transaction]], OR(Table1[[#This Row],[Authentication_Type]]="Biometric", Table1[[#This Row],[Authentication_Type]]="OTP")), "safe location transaction", "unsafe location transaction")</f>
        <v>unsafe location transaction</v>
      </c>
      <c r="R1700" s="6" t="str">
        <f>IF(AND(Table1[[#This Row],[Country_of_Residence]]&lt;&gt;Table1[[#This Row],[Country_of_Transaction]], OR(Table1[[#This Row],[Merchant_Category]]="Electronics", Table1[[#This Row],[Merchant_Category]]="Travel")), "unsafe merchant transaction", "safe merchant transaction")</f>
        <v>safe merchant transaction</v>
      </c>
    </row>
    <row r="1701" spans="1:18">
      <c r="A1701" t="s">
        <v>4062</v>
      </c>
      <c r="B1701" t="s">
        <v>265</v>
      </c>
      <c r="C1701">
        <v>1</v>
      </c>
      <c r="D1701" t="s">
        <v>15</v>
      </c>
      <c r="E1701" t="s">
        <v>3</v>
      </c>
      <c r="F1701" s="2">
        <v>45717</v>
      </c>
      <c r="G1701">
        <v>7538.97</v>
      </c>
      <c r="H1701" s="1">
        <f>AVERAGEIF(Table1[Customer_ID], Table1[[#This Row],[Customer_ID]], Table1[Transaction_Amount])</f>
        <v>5428.9163492063508</v>
      </c>
      <c r="I1701" t="s">
        <v>1343</v>
      </c>
      <c r="J1701" t="s">
        <v>36</v>
      </c>
      <c r="K1701" t="s">
        <v>10</v>
      </c>
      <c r="L1701">
        <v>1</v>
      </c>
      <c r="M1701" t="s">
        <v>42</v>
      </c>
      <c r="N1701" t="s">
        <v>412</v>
      </c>
      <c r="O1701" t="s">
        <v>392</v>
      </c>
      <c r="P1701" s="6" t="str">
        <f>IF(Table1[[#This Row],[Transaction_Amount]]&lt;=Table1[[#This Row],[avg_transaction_amount]], "usual transaction", "unusual transaction")</f>
        <v>unusual transaction</v>
      </c>
      <c r="Q1701" s="6" t="str">
        <f>IF(AND(Table1[[#This Row],[Country_of_Residence]]&lt;&gt;Table1[[#This Row],[Country_of_Transaction]], OR(Table1[[#This Row],[Authentication_Type]]="Biometric", Table1[[#This Row],[Authentication_Type]]="OTP")), "safe location transaction", "unsafe location transaction")</f>
        <v>safe location transaction</v>
      </c>
      <c r="R1701" s="6" t="str">
        <f>IF(AND(Table1[[#This Row],[Country_of_Residence]]&lt;&gt;Table1[[#This Row],[Country_of_Transaction]], OR(Table1[[#This Row],[Merchant_Category]]="Electronics", Table1[[#This Row],[Merchant_Category]]="Travel")), "unsafe merchant transaction", "safe merchant transaction")</f>
        <v>safe merchant transaction</v>
      </c>
    </row>
    <row r="1702" spans="1:18">
      <c r="A1702" t="s">
        <v>4083</v>
      </c>
      <c r="B1702" t="s">
        <v>265</v>
      </c>
      <c r="C1702">
        <v>1</v>
      </c>
      <c r="D1702" t="s">
        <v>9</v>
      </c>
      <c r="E1702" t="s">
        <v>420</v>
      </c>
      <c r="F1702" s="2">
        <v>45966</v>
      </c>
      <c r="G1702">
        <v>5923.66</v>
      </c>
      <c r="H1702" s="1">
        <f>AVERAGEIF(Table1[Customer_ID], Table1[[#This Row],[Customer_ID]], Table1[Transaction_Amount])</f>
        <v>5428.9163492063508</v>
      </c>
      <c r="I1702" t="s">
        <v>1627</v>
      </c>
      <c r="J1702" t="s">
        <v>31</v>
      </c>
      <c r="K1702" t="s">
        <v>8</v>
      </c>
      <c r="L1702">
        <v>3</v>
      </c>
      <c r="M1702" t="s">
        <v>32</v>
      </c>
      <c r="N1702" t="s">
        <v>42</v>
      </c>
      <c r="O1702" t="s">
        <v>392</v>
      </c>
      <c r="P1702" s="6" t="str">
        <f>IF(Table1[[#This Row],[Transaction_Amount]]&lt;=Table1[[#This Row],[avg_transaction_amount]], "usual transaction", "unusual transaction")</f>
        <v>unusual transaction</v>
      </c>
      <c r="Q1702" s="6" t="str">
        <f>IF(AND(Table1[[#This Row],[Country_of_Residence]]&lt;&gt;Table1[[#This Row],[Country_of_Transaction]], OR(Table1[[#This Row],[Authentication_Type]]="Biometric", Table1[[#This Row],[Authentication_Type]]="OTP")), "safe location transaction", "unsafe location transaction")</f>
        <v>safe location transaction</v>
      </c>
      <c r="R1702" s="6" t="str">
        <f>IF(AND(Table1[[#This Row],[Country_of_Residence]]&lt;&gt;Table1[[#This Row],[Country_of_Transaction]], OR(Table1[[#This Row],[Merchant_Category]]="Electronics", Table1[[#This Row],[Merchant_Category]]="Travel")), "unsafe merchant transaction", "safe merchant transaction")</f>
        <v>safe merchant transaction</v>
      </c>
    </row>
    <row r="1703" spans="1:18">
      <c r="A1703" t="s">
        <v>4086</v>
      </c>
      <c r="B1703" t="s">
        <v>265</v>
      </c>
      <c r="C1703">
        <v>1</v>
      </c>
      <c r="D1703" t="s">
        <v>15</v>
      </c>
      <c r="E1703" t="s">
        <v>3</v>
      </c>
      <c r="F1703" s="2">
        <v>45703</v>
      </c>
      <c r="G1703">
        <v>557.26</v>
      </c>
      <c r="H1703" s="1">
        <f>AVERAGEIF(Table1[Customer_ID], Table1[[#This Row],[Customer_ID]], Table1[Transaction_Amount])</f>
        <v>5428.9163492063508</v>
      </c>
      <c r="I1703" t="s">
        <v>1630</v>
      </c>
      <c r="J1703" t="s">
        <v>46</v>
      </c>
      <c r="K1703" t="s">
        <v>10</v>
      </c>
      <c r="L1703">
        <v>5</v>
      </c>
      <c r="M1703" t="s">
        <v>37</v>
      </c>
      <c r="N1703" t="s">
        <v>32</v>
      </c>
      <c r="O1703" t="s">
        <v>392</v>
      </c>
      <c r="P1703" s="6" t="str">
        <f>IF(Table1[[#This Row],[Transaction_Amount]]&lt;=Table1[[#This Row],[avg_transaction_amount]], "usual transaction", "unusual transaction")</f>
        <v>usual transaction</v>
      </c>
      <c r="Q1703" s="6" t="str">
        <f>IF(AND(Table1[[#This Row],[Country_of_Residence]]&lt;&gt;Table1[[#This Row],[Country_of_Transaction]], OR(Table1[[#This Row],[Authentication_Type]]="Biometric", Table1[[#This Row],[Authentication_Type]]="OTP")), "safe location transaction", "unsafe location transaction")</f>
        <v>safe location transaction</v>
      </c>
      <c r="R1703" s="6" t="str">
        <f>IF(AND(Table1[[#This Row],[Country_of_Residence]]&lt;&gt;Table1[[#This Row],[Country_of_Transaction]], OR(Table1[[#This Row],[Merchant_Category]]="Electronics", Table1[[#This Row],[Merchant_Category]]="Travel")), "unsafe merchant transaction", "safe merchant transaction")</f>
        <v>safe merchant transaction</v>
      </c>
    </row>
    <row r="1704" spans="1:18">
      <c r="A1704" t="s">
        <v>4173</v>
      </c>
      <c r="B1704" t="s">
        <v>265</v>
      </c>
      <c r="C1704">
        <v>1</v>
      </c>
      <c r="D1704" t="s">
        <v>15</v>
      </c>
      <c r="E1704" t="s">
        <v>5</v>
      </c>
      <c r="F1704" s="2">
        <v>45894</v>
      </c>
      <c r="G1704">
        <v>3731.94</v>
      </c>
      <c r="H1704" s="1">
        <f>AVERAGEIF(Table1[Customer_ID], Table1[[#This Row],[Customer_ID]], Table1[Transaction_Amount])</f>
        <v>5428.9163492063508</v>
      </c>
      <c r="I1704" t="s">
        <v>1695</v>
      </c>
      <c r="J1704" t="s">
        <v>41</v>
      </c>
      <c r="K1704" t="s">
        <v>12</v>
      </c>
      <c r="L1704">
        <v>0</v>
      </c>
      <c r="M1704" t="s">
        <v>47</v>
      </c>
      <c r="N1704" t="s">
        <v>32</v>
      </c>
      <c r="O1704" t="s">
        <v>392</v>
      </c>
      <c r="P1704" s="6" t="str">
        <f>IF(Table1[[#This Row],[Transaction_Amount]]&lt;=Table1[[#This Row],[avg_transaction_amount]], "usual transaction", "unusual transaction")</f>
        <v>usual transaction</v>
      </c>
      <c r="Q1704" s="6" t="str">
        <f>IF(AND(Table1[[#This Row],[Country_of_Residence]]&lt;&gt;Table1[[#This Row],[Country_of_Transaction]], OR(Table1[[#This Row],[Authentication_Type]]="Biometric", Table1[[#This Row],[Authentication_Type]]="OTP")), "safe location transaction", "unsafe location transaction")</f>
        <v>unsafe location transaction</v>
      </c>
      <c r="R1704" s="6" t="str">
        <f>IF(AND(Table1[[#This Row],[Country_of_Residence]]&lt;&gt;Table1[[#This Row],[Country_of_Transaction]], OR(Table1[[#This Row],[Merchant_Category]]="Electronics", Table1[[#This Row],[Merchant_Category]]="Travel")), "unsafe merchant transaction", "safe merchant transaction")</f>
        <v>safe merchant transaction</v>
      </c>
    </row>
    <row r="1705" spans="1:18">
      <c r="A1705" t="s">
        <v>4222</v>
      </c>
      <c r="B1705" t="s">
        <v>265</v>
      </c>
      <c r="C1705">
        <v>1</v>
      </c>
      <c r="D1705" t="s">
        <v>9</v>
      </c>
      <c r="E1705" t="s">
        <v>3</v>
      </c>
      <c r="F1705" s="2">
        <v>45947</v>
      </c>
      <c r="G1705">
        <v>5343.2</v>
      </c>
      <c r="H1705" s="1">
        <f>AVERAGEIF(Table1[Customer_ID], Table1[[#This Row],[Customer_ID]], Table1[Transaction_Amount])</f>
        <v>5428.9163492063508</v>
      </c>
      <c r="I1705" t="s">
        <v>1168</v>
      </c>
      <c r="J1705" t="s">
        <v>46</v>
      </c>
      <c r="K1705" t="s">
        <v>10</v>
      </c>
      <c r="L1705">
        <v>1</v>
      </c>
      <c r="M1705" t="s">
        <v>56</v>
      </c>
      <c r="N1705" t="s">
        <v>47</v>
      </c>
      <c r="O1705" t="s">
        <v>393</v>
      </c>
      <c r="P1705" s="6" t="str">
        <f>IF(Table1[[#This Row],[Transaction_Amount]]&lt;=Table1[[#This Row],[avg_transaction_amount]], "usual transaction", "unusual transaction")</f>
        <v>usual transaction</v>
      </c>
      <c r="Q1705" s="6" t="str">
        <f>IF(AND(Table1[[#This Row],[Country_of_Residence]]&lt;&gt;Table1[[#This Row],[Country_of_Transaction]], OR(Table1[[#This Row],[Authentication_Type]]="Biometric", Table1[[#This Row],[Authentication_Type]]="OTP")), "safe location transaction", "unsafe location transaction")</f>
        <v>safe location transaction</v>
      </c>
      <c r="R1705" s="6" t="str">
        <f>IF(AND(Table1[[#This Row],[Country_of_Residence]]&lt;&gt;Table1[[#This Row],[Country_of_Transaction]], OR(Table1[[#This Row],[Merchant_Category]]="Electronics", Table1[[#This Row],[Merchant_Category]]="Travel")), "unsafe merchant transaction", "safe merchant transaction")</f>
        <v>safe merchant transaction</v>
      </c>
    </row>
    <row r="1706" spans="1:18">
      <c r="A1706" t="s">
        <v>4275</v>
      </c>
      <c r="B1706" t="s">
        <v>265</v>
      </c>
      <c r="C1706">
        <v>1</v>
      </c>
      <c r="D1706" t="s">
        <v>15</v>
      </c>
      <c r="E1706" t="s">
        <v>6</v>
      </c>
      <c r="F1706" s="2">
        <v>45942</v>
      </c>
      <c r="G1706">
        <v>7575.05</v>
      </c>
      <c r="H1706" s="1">
        <f>AVERAGEIF(Table1[Customer_ID], Table1[[#This Row],[Customer_ID]], Table1[Transaction_Amount])</f>
        <v>5428.9163492063508</v>
      </c>
      <c r="I1706" t="s">
        <v>1788</v>
      </c>
      <c r="J1706" t="s">
        <v>41</v>
      </c>
      <c r="K1706" t="s">
        <v>8</v>
      </c>
      <c r="L1706">
        <v>5</v>
      </c>
      <c r="M1706" t="s">
        <v>55</v>
      </c>
      <c r="N1706" t="s">
        <v>55</v>
      </c>
      <c r="O1706" t="s">
        <v>393</v>
      </c>
      <c r="P1706" s="6" t="str">
        <f>IF(Table1[[#This Row],[Transaction_Amount]]&lt;=Table1[[#This Row],[avg_transaction_amount]], "usual transaction", "unusual transaction")</f>
        <v>unusual transaction</v>
      </c>
      <c r="Q1706" s="6" t="str">
        <f>IF(AND(Table1[[#This Row],[Country_of_Residence]]&lt;&gt;Table1[[#This Row],[Country_of_Transaction]], OR(Table1[[#This Row],[Authentication_Type]]="Biometric", Table1[[#This Row],[Authentication_Type]]="OTP")), "safe location transaction", "unsafe location transaction")</f>
        <v>unsafe location transaction</v>
      </c>
      <c r="R1706" s="6" t="str">
        <f>IF(AND(Table1[[#This Row],[Country_of_Residence]]&lt;&gt;Table1[[#This Row],[Country_of_Transaction]], OR(Table1[[#This Row],[Merchant_Category]]="Electronics", Table1[[#This Row],[Merchant_Category]]="Travel")), "unsafe merchant transaction", "safe merchant transaction")</f>
        <v>safe merchant transaction</v>
      </c>
    </row>
    <row r="1707" spans="1:18">
      <c r="A1707" t="s">
        <v>4302</v>
      </c>
      <c r="B1707" t="s">
        <v>265</v>
      </c>
      <c r="C1707">
        <v>1</v>
      </c>
      <c r="D1707" t="s">
        <v>9</v>
      </c>
      <c r="E1707" t="s">
        <v>6</v>
      </c>
      <c r="F1707" s="2">
        <v>45840</v>
      </c>
      <c r="G1707">
        <v>3107.2</v>
      </c>
      <c r="H1707" s="1">
        <f>AVERAGEIF(Table1[Customer_ID], Table1[[#This Row],[Customer_ID]], Table1[Transaction_Amount])</f>
        <v>5428.9163492063508</v>
      </c>
      <c r="I1707" t="s">
        <v>1812</v>
      </c>
      <c r="J1707" t="s">
        <v>36</v>
      </c>
      <c r="K1707" t="s">
        <v>14</v>
      </c>
      <c r="L1707">
        <v>0</v>
      </c>
      <c r="M1707" t="s">
        <v>47</v>
      </c>
      <c r="N1707" t="s">
        <v>32</v>
      </c>
      <c r="O1707" t="s">
        <v>393</v>
      </c>
      <c r="P1707" s="6" t="str">
        <f>IF(Table1[[#This Row],[Transaction_Amount]]&lt;=Table1[[#This Row],[avg_transaction_amount]], "usual transaction", "unusual transaction")</f>
        <v>usual transaction</v>
      </c>
      <c r="Q1707" s="6" t="str">
        <f>IF(AND(Table1[[#This Row],[Country_of_Residence]]&lt;&gt;Table1[[#This Row],[Country_of_Transaction]], OR(Table1[[#This Row],[Authentication_Type]]="Biometric", Table1[[#This Row],[Authentication_Type]]="OTP")), "safe location transaction", "unsafe location transaction")</f>
        <v>unsafe location transaction</v>
      </c>
      <c r="R1707" s="6" t="str">
        <f>IF(AND(Table1[[#This Row],[Country_of_Residence]]&lt;&gt;Table1[[#This Row],[Country_of_Transaction]], OR(Table1[[#This Row],[Merchant_Category]]="Electronics", Table1[[#This Row],[Merchant_Category]]="Travel")), "unsafe merchant transaction", "safe merchant transaction")</f>
        <v>safe merchant transaction</v>
      </c>
    </row>
    <row r="1708" spans="1:18">
      <c r="A1708" t="s">
        <v>4335</v>
      </c>
      <c r="B1708" t="s">
        <v>265</v>
      </c>
      <c r="C1708">
        <v>1</v>
      </c>
      <c r="D1708" t="s">
        <v>9</v>
      </c>
      <c r="E1708" t="s">
        <v>3</v>
      </c>
      <c r="F1708" s="2">
        <v>45668</v>
      </c>
      <c r="G1708">
        <v>1382.81</v>
      </c>
      <c r="H1708" s="1">
        <f>AVERAGEIF(Table1[Customer_ID], Table1[[#This Row],[Customer_ID]], Table1[Transaction_Amount])</f>
        <v>5428.9163492063508</v>
      </c>
      <c r="I1708" t="s">
        <v>1841</v>
      </c>
      <c r="J1708" t="s">
        <v>41</v>
      </c>
      <c r="K1708" t="s">
        <v>14</v>
      </c>
      <c r="L1708">
        <v>0</v>
      </c>
      <c r="M1708" t="s">
        <v>55</v>
      </c>
      <c r="N1708" t="s">
        <v>42</v>
      </c>
      <c r="O1708" t="s">
        <v>393</v>
      </c>
      <c r="P1708" s="6" t="str">
        <f>IF(Table1[[#This Row],[Transaction_Amount]]&lt;=Table1[[#This Row],[avg_transaction_amount]], "usual transaction", "unusual transaction")</f>
        <v>usual transaction</v>
      </c>
      <c r="Q1708" s="6" t="str">
        <f>IF(AND(Table1[[#This Row],[Country_of_Residence]]&lt;&gt;Table1[[#This Row],[Country_of_Transaction]], OR(Table1[[#This Row],[Authentication_Type]]="Biometric", Table1[[#This Row],[Authentication_Type]]="OTP")), "safe location transaction", "unsafe location transaction")</f>
        <v>unsafe location transaction</v>
      </c>
      <c r="R1708" s="6" t="str">
        <f>IF(AND(Table1[[#This Row],[Country_of_Residence]]&lt;&gt;Table1[[#This Row],[Country_of_Transaction]], OR(Table1[[#This Row],[Merchant_Category]]="Electronics", Table1[[#This Row],[Merchant_Category]]="Travel")), "unsafe merchant transaction", "safe merchant transaction")</f>
        <v>safe merchant transaction</v>
      </c>
    </row>
    <row r="1709" spans="1:18">
      <c r="A1709" t="s">
        <v>4345</v>
      </c>
      <c r="B1709" t="s">
        <v>265</v>
      </c>
      <c r="C1709">
        <v>1</v>
      </c>
      <c r="D1709" t="s">
        <v>15</v>
      </c>
      <c r="E1709" t="s">
        <v>6</v>
      </c>
      <c r="F1709" s="2">
        <v>45773</v>
      </c>
      <c r="G1709">
        <v>2605.5100000000002</v>
      </c>
      <c r="H1709" s="1">
        <f>AVERAGEIF(Table1[Customer_ID], Table1[[#This Row],[Customer_ID]], Table1[Transaction_Amount])</f>
        <v>5428.9163492063508</v>
      </c>
      <c r="I1709" t="s">
        <v>1851</v>
      </c>
      <c r="J1709" t="s">
        <v>46</v>
      </c>
      <c r="K1709" t="s">
        <v>12</v>
      </c>
      <c r="L1709">
        <v>2</v>
      </c>
      <c r="M1709" t="s">
        <v>42</v>
      </c>
      <c r="N1709" t="s">
        <v>32</v>
      </c>
      <c r="O1709" t="s">
        <v>393</v>
      </c>
      <c r="P1709" s="6" t="str">
        <f>IF(Table1[[#This Row],[Transaction_Amount]]&lt;=Table1[[#This Row],[avg_transaction_amount]], "usual transaction", "unusual transaction")</f>
        <v>usual transaction</v>
      </c>
      <c r="Q1709" s="6" t="str">
        <f>IF(AND(Table1[[#This Row],[Country_of_Residence]]&lt;&gt;Table1[[#This Row],[Country_of_Transaction]], OR(Table1[[#This Row],[Authentication_Type]]="Biometric", Table1[[#This Row],[Authentication_Type]]="OTP")), "safe location transaction", "unsafe location transaction")</f>
        <v>unsafe location transaction</v>
      </c>
      <c r="R1709" s="6" t="str">
        <f>IF(AND(Table1[[#This Row],[Country_of_Residence]]&lt;&gt;Table1[[#This Row],[Country_of_Transaction]], OR(Table1[[#This Row],[Merchant_Category]]="Electronics", Table1[[#This Row],[Merchant_Category]]="Travel")), "unsafe merchant transaction", "safe merchant transaction")</f>
        <v>safe merchant transaction</v>
      </c>
    </row>
    <row r="1710" spans="1:18">
      <c r="A1710" t="s">
        <v>4351</v>
      </c>
      <c r="B1710" t="s">
        <v>265</v>
      </c>
      <c r="C1710">
        <v>1</v>
      </c>
      <c r="D1710" t="s">
        <v>15</v>
      </c>
      <c r="E1710" t="s">
        <v>420</v>
      </c>
      <c r="F1710" s="2">
        <v>45994</v>
      </c>
      <c r="G1710">
        <v>2625.24</v>
      </c>
      <c r="H1710" s="1">
        <f>AVERAGEIF(Table1[Customer_ID], Table1[[#This Row],[Customer_ID]], Table1[Transaction_Amount])</f>
        <v>5428.9163492063508</v>
      </c>
      <c r="I1710" t="s">
        <v>1857</v>
      </c>
      <c r="J1710" t="s">
        <v>41</v>
      </c>
      <c r="K1710" t="s">
        <v>10</v>
      </c>
      <c r="L1710">
        <v>4</v>
      </c>
      <c r="M1710" t="s">
        <v>412</v>
      </c>
      <c r="N1710" t="s">
        <v>47</v>
      </c>
      <c r="O1710" t="s">
        <v>393</v>
      </c>
      <c r="P1710" s="6" t="str">
        <f>IF(Table1[[#This Row],[Transaction_Amount]]&lt;=Table1[[#This Row],[avg_transaction_amount]], "usual transaction", "unusual transaction")</f>
        <v>usual transaction</v>
      </c>
      <c r="Q1710" s="6" t="str">
        <f>IF(AND(Table1[[#This Row],[Country_of_Residence]]&lt;&gt;Table1[[#This Row],[Country_of_Transaction]], OR(Table1[[#This Row],[Authentication_Type]]="Biometric", Table1[[#This Row],[Authentication_Type]]="OTP")), "safe location transaction", "unsafe location transaction")</f>
        <v>safe location transaction</v>
      </c>
      <c r="R1710" s="6" t="str">
        <f>IF(AND(Table1[[#This Row],[Country_of_Residence]]&lt;&gt;Table1[[#This Row],[Country_of_Transaction]], OR(Table1[[#This Row],[Merchant_Category]]="Electronics", Table1[[#This Row],[Merchant_Category]]="Travel")), "unsafe merchant transaction", "safe merchant transaction")</f>
        <v>safe merchant transaction</v>
      </c>
    </row>
    <row r="1711" spans="1:18">
      <c r="A1711" t="s">
        <v>4372</v>
      </c>
      <c r="B1711" t="s">
        <v>265</v>
      </c>
      <c r="C1711">
        <v>1</v>
      </c>
      <c r="D1711" t="s">
        <v>9</v>
      </c>
      <c r="E1711" t="s">
        <v>3</v>
      </c>
      <c r="F1711" s="2">
        <v>45918</v>
      </c>
      <c r="G1711">
        <v>6698.38</v>
      </c>
      <c r="H1711" s="1">
        <f>AVERAGEIF(Table1[Customer_ID], Table1[[#This Row],[Customer_ID]], Table1[Transaction_Amount])</f>
        <v>5428.9163492063508</v>
      </c>
      <c r="I1711" t="s">
        <v>1872</v>
      </c>
      <c r="J1711" t="s">
        <v>36</v>
      </c>
      <c r="K1711" t="s">
        <v>14</v>
      </c>
      <c r="L1711">
        <v>5</v>
      </c>
      <c r="M1711" t="s">
        <v>56</v>
      </c>
      <c r="N1711" t="s">
        <v>42</v>
      </c>
      <c r="O1711" t="s">
        <v>392</v>
      </c>
      <c r="P1711" s="6" t="str">
        <f>IF(Table1[[#This Row],[Transaction_Amount]]&lt;=Table1[[#This Row],[avg_transaction_amount]], "usual transaction", "unusual transaction")</f>
        <v>unusual transaction</v>
      </c>
      <c r="Q1711" s="6" t="str">
        <f>IF(AND(Table1[[#This Row],[Country_of_Residence]]&lt;&gt;Table1[[#This Row],[Country_of_Transaction]], OR(Table1[[#This Row],[Authentication_Type]]="Biometric", Table1[[#This Row],[Authentication_Type]]="OTP")), "safe location transaction", "unsafe location transaction")</f>
        <v>unsafe location transaction</v>
      </c>
      <c r="R1711" s="6" t="str">
        <f>IF(AND(Table1[[#This Row],[Country_of_Residence]]&lt;&gt;Table1[[#This Row],[Country_of_Transaction]], OR(Table1[[#This Row],[Merchant_Category]]="Electronics", Table1[[#This Row],[Merchant_Category]]="Travel")), "unsafe merchant transaction", "safe merchant transaction")</f>
        <v>safe merchant transaction</v>
      </c>
    </row>
    <row r="1712" spans="1:18">
      <c r="A1712" t="s">
        <v>4534</v>
      </c>
      <c r="B1712" t="s">
        <v>265</v>
      </c>
      <c r="C1712">
        <v>1</v>
      </c>
      <c r="D1712" t="s">
        <v>15</v>
      </c>
      <c r="E1712" t="s">
        <v>420</v>
      </c>
      <c r="F1712" s="2">
        <v>45739</v>
      </c>
      <c r="G1712">
        <v>4231.47</v>
      </c>
      <c r="H1712" s="1">
        <f>AVERAGEIF(Table1[Customer_ID], Table1[[#This Row],[Customer_ID]], Table1[Transaction_Amount])</f>
        <v>5428.9163492063508</v>
      </c>
      <c r="I1712" t="s">
        <v>2013</v>
      </c>
      <c r="J1712" t="s">
        <v>46</v>
      </c>
      <c r="K1712" t="s">
        <v>8</v>
      </c>
      <c r="L1712">
        <v>1</v>
      </c>
      <c r="M1712" t="s">
        <v>33</v>
      </c>
      <c r="N1712" t="s">
        <v>51</v>
      </c>
      <c r="O1712" t="s">
        <v>393</v>
      </c>
      <c r="P1712" s="6" t="str">
        <f>IF(Table1[[#This Row],[Transaction_Amount]]&lt;=Table1[[#This Row],[avg_transaction_amount]], "usual transaction", "unusual transaction")</f>
        <v>usual transaction</v>
      </c>
      <c r="Q1712" s="6" t="str">
        <f>IF(AND(Table1[[#This Row],[Country_of_Residence]]&lt;&gt;Table1[[#This Row],[Country_of_Transaction]], OR(Table1[[#This Row],[Authentication_Type]]="Biometric", Table1[[#This Row],[Authentication_Type]]="OTP")), "safe location transaction", "unsafe location transaction")</f>
        <v>safe location transaction</v>
      </c>
      <c r="R1712" s="6" t="str">
        <f>IF(AND(Table1[[#This Row],[Country_of_Residence]]&lt;&gt;Table1[[#This Row],[Country_of_Transaction]], OR(Table1[[#This Row],[Merchant_Category]]="Electronics", Table1[[#This Row],[Merchant_Category]]="Travel")), "unsafe merchant transaction", "safe merchant transaction")</f>
        <v>safe merchant transaction</v>
      </c>
    </row>
    <row r="1713" spans="1:18">
      <c r="A1713" t="s">
        <v>4555</v>
      </c>
      <c r="B1713" t="s">
        <v>265</v>
      </c>
      <c r="C1713">
        <v>1</v>
      </c>
      <c r="D1713" t="s">
        <v>15</v>
      </c>
      <c r="E1713" t="s">
        <v>6</v>
      </c>
      <c r="F1713" s="2">
        <v>45707</v>
      </c>
      <c r="G1713">
        <v>1952.54</v>
      </c>
      <c r="H1713" s="1">
        <f>AVERAGEIF(Table1[Customer_ID], Table1[[#This Row],[Customer_ID]], Table1[Transaction_Amount])</f>
        <v>5428.9163492063508</v>
      </c>
      <c r="I1713" t="s">
        <v>2032</v>
      </c>
      <c r="J1713" t="s">
        <v>36</v>
      </c>
      <c r="K1713" t="s">
        <v>8</v>
      </c>
      <c r="L1713">
        <v>2</v>
      </c>
      <c r="M1713" t="s">
        <v>33</v>
      </c>
      <c r="N1713" t="s">
        <v>56</v>
      </c>
      <c r="O1713" t="s">
        <v>393</v>
      </c>
      <c r="P1713" s="6" t="str">
        <f>IF(Table1[[#This Row],[Transaction_Amount]]&lt;=Table1[[#This Row],[avg_transaction_amount]], "usual transaction", "unusual transaction")</f>
        <v>usual transaction</v>
      </c>
      <c r="Q1713" s="6" t="str">
        <f>IF(AND(Table1[[#This Row],[Country_of_Residence]]&lt;&gt;Table1[[#This Row],[Country_of_Transaction]], OR(Table1[[#This Row],[Authentication_Type]]="Biometric", Table1[[#This Row],[Authentication_Type]]="OTP")), "safe location transaction", "unsafe location transaction")</f>
        <v>safe location transaction</v>
      </c>
      <c r="R1713" s="6" t="str">
        <f>IF(AND(Table1[[#This Row],[Country_of_Residence]]&lt;&gt;Table1[[#This Row],[Country_of_Transaction]], OR(Table1[[#This Row],[Merchant_Category]]="Electronics", Table1[[#This Row],[Merchant_Category]]="Travel")), "unsafe merchant transaction", "safe merchant transaction")</f>
        <v>safe merchant transaction</v>
      </c>
    </row>
    <row r="1714" spans="1:18">
      <c r="A1714" t="s">
        <v>4561</v>
      </c>
      <c r="B1714" t="s">
        <v>265</v>
      </c>
      <c r="C1714">
        <v>1</v>
      </c>
      <c r="D1714" t="s">
        <v>9</v>
      </c>
      <c r="E1714" t="s">
        <v>3</v>
      </c>
      <c r="F1714" s="2">
        <v>45888</v>
      </c>
      <c r="G1714">
        <v>7263.08</v>
      </c>
      <c r="H1714" s="1">
        <f>AVERAGEIF(Table1[Customer_ID], Table1[[#This Row],[Customer_ID]], Table1[Transaction_Amount])</f>
        <v>5428.9163492063508</v>
      </c>
      <c r="I1714" t="s">
        <v>2037</v>
      </c>
      <c r="J1714" t="s">
        <v>41</v>
      </c>
      <c r="K1714" t="s">
        <v>10</v>
      </c>
      <c r="L1714">
        <v>1</v>
      </c>
      <c r="M1714" t="s">
        <v>42</v>
      </c>
      <c r="N1714" t="s">
        <v>55</v>
      </c>
      <c r="O1714" t="s">
        <v>393</v>
      </c>
      <c r="P1714" s="6" t="str">
        <f>IF(Table1[[#This Row],[Transaction_Amount]]&lt;=Table1[[#This Row],[avg_transaction_amount]], "usual transaction", "unusual transaction")</f>
        <v>unusual transaction</v>
      </c>
      <c r="Q1714" s="6" t="str">
        <f>IF(AND(Table1[[#This Row],[Country_of_Residence]]&lt;&gt;Table1[[#This Row],[Country_of_Transaction]], OR(Table1[[#This Row],[Authentication_Type]]="Biometric", Table1[[#This Row],[Authentication_Type]]="OTP")), "safe location transaction", "unsafe location transaction")</f>
        <v>safe location transaction</v>
      </c>
      <c r="R1714" s="6" t="str">
        <f>IF(AND(Table1[[#This Row],[Country_of_Residence]]&lt;&gt;Table1[[#This Row],[Country_of_Transaction]], OR(Table1[[#This Row],[Merchant_Category]]="Electronics", Table1[[#This Row],[Merchant_Category]]="Travel")), "unsafe merchant transaction", "safe merchant transaction")</f>
        <v>safe merchant transaction</v>
      </c>
    </row>
    <row r="1715" spans="1:18">
      <c r="A1715" t="s">
        <v>4580</v>
      </c>
      <c r="B1715" t="s">
        <v>265</v>
      </c>
      <c r="C1715">
        <v>1</v>
      </c>
      <c r="D1715" t="s">
        <v>9</v>
      </c>
      <c r="E1715" t="s">
        <v>420</v>
      </c>
      <c r="F1715" s="2">
        <v>46021</v>
      </c>
      <c r="G1715">
        <v>9108.2999999999993</v>
      </c>
      <c r="H1715" s="1">
        <f>AVERAGEIF(Table1[Customer_ID], Table1[[#This Row],[Customer_ID]], Table1[Transaction_Amount])</f>
        <v>5428.9163492063508</v>
      </c>
      <c r="I1715" t="s">
        <v>2050</v>
      </c>
      <c r="J1715" t="s">
        <v>46</v>
      </c>
      <c r="K1715" t="s">
        <v>10</v>
      </c>
      <c r="L1715">
        <v>2</v>
      </c>
      <c r="M1715" t="s">
        <v>51</v>
      </c>
      <c r="N1715" t="s">
        <v>33</v>
      </c>
      <c r="O1715" t="s">
        <v>393</v>
      </c>
      <c r="P1715" s="6" t="str">
        <f>IF(Table1[[#This Row],[Transaction_Amount]]&lt;=Table1[[#This Row],[avg_transaction_amount]], "usual transaction", "unusual transaction")</f>
        <v>unusual transaction</v>
      </c>
      <c r="Q1715" s="6" t="str">
        <f>IF(AND(Table1[[#This Row],[Country_of_Residence]]&lt;&gt;Table1[[#This Row],[Country_of_Transaction]], OR(Table1[[#This Row],[Authentication_Type]]="Biometric", Table1[[#This Row],[Authentication_Type]]="OTP")), "safe location transaction", "unsafe location transaction")</f>
        <v>safe location transaction</v>
      </c>
      <c r="R1715" s="6" t="str">
        <f>IF(AND(Table1[[#This Row],[Country_of_Residence]]&lt;&gt;Table1[[#This Row],[Country_of_Transaction]], OR(Table1[[#This Row],[Merchant_Category]]="Electronics", Table1[[#This Row],[Merchant_Category]]="Travel")), "unsafe merchant transaction", "safe merchant transaction")</f>
        <v>safe merchant transaction</v>
      </c>
    </row>
    <row r="1716" spans="1:18">
      <c r="A1716" t="s">
        <v>4704</v>
      </c>
      <c r="B1716" t="s">
        <v>265</v>
      </c>
      <c r="C1716">
        <v>1</v>
      </c>
      <c r="D1716" t="s">
        <v>15</v>
      </c>
      <c r="E1716" t="s">
        <v>6</v>
      </c>
      <c r="F1716" s="2">
        <v>45821</v>
      </c>
      <c r="G1716">
        <v>9101.86</v>
      </c>
      <c r="H1716" s="1">
        <f>AVERAGEIF(Table1[Customer_ID], Table1[[#This Row],[Customer_ID]], Table1[Transaction_Amount])</f>
        <v>5428.9163492063508</v>
      </c>
      <c r="I1716" t="s">
        <v>1197</v>
      </c>
      <c r="J1716" t="s">
        <v>41</v>
      </c>
      <c r="K1716" t="s">
        <v>12</v>
      </c>
      <c r="L1716">
        <v>2</v>
      </c>
      <c r="M1716" t="s">
        <v>47</v>
      </c>
      <c r="N1716" t="s">
        <v>32</v>
      </c>
      <c r="O1716" t="s">
        <v>392</v>
      </c>
      <c r="P1716" s="6" t="str">
        <f>IF(Table1[[#This Row],[Transaction_Amount]]&lt;=Table1[[#This Row],[avg_transaction_amount]], "usual transaction", "unusual transaction")</f>
        <v>unusual transaction</v>
      </c>
      <c r="Q1716" s="6" t="str">
        <f>IF(AND(Table1[[#This Row],[Country_of_Residence]]&lt;&gt;Table1[[#This Row],[Country_of_Transaction]], OR(Table1[[#This Row],[Authentication_Type]]="Biometric", Table1[[#This Row],[Authentication_Type]]="OTP")), "safe location transaction", "unsafe location transaction")</f>
        <v>unsafe location transaction</v>
      </c>
      <c r="R1716" s="6" t="str">
        <f>IF(AND(Table1[[#This Row],[Country_of_Residence]]&lt;&gt;Table1[[#This Row],[Country_of_Transaction]], OR(Table1[[#This Row],[Merchant_Category]]="Electronics", Table1[[#This Row],[Merchant_Category]]="Travel")), "unsafe merchant transaction", "safe merchant transaction")</f>
        <v>safe merchant transaction</v>
      </c>
    </row>
    <row r="1717" spans="1:18">
      <c r="A1717" t="s">
        <v>4718</v>
      </c>
      <c r="B1717" t="s">
        <v>265</v>
      </c>
      <c r="C1717">
        <v>1</v>
      </c>
      <c r="D1717" t="s">
        <v>15</v>
      </c>
      <c r="E1717" t="s">
        <v>6</v>
      </c>
      <c r="F1717" s="2">
        <v>45875</v>
      </c>
      <c r="G1717">
        <v>9246.9699999999993</v>
      </c>
      <c r="H1717" s="1">
        <f>AVERAGEIF(Table1[Customer_ID], Table1[[#This Row],[Customer_ID]], Table1[Transaction_Amount])</f>
        <v>5428.9163492063508</v>
      </c>
      <c r="I1717" t="s">
        <v>758</v>
      </c>
      <c r="J1717" t="s">
        <v>36</v>
      </c>
      <c r="K1717" t="s">
        <v>10</v>
      </c>
      <c r="L1717">
        <v>4</v>
      </c>
      <c r="M1717" t="s">
        <v>55</v>
      </c>
      <c r="N1717" t="s">
        <v>47</v>
      </c>
      <c r="O1717" t="s">
        <v>393</v>
      </c>
      <c r="P1717" s="6" t="str">
        <f>IF(Table1[[#This Row],[Transaction_Amount]]&lt;=Table1[[#This Row],[avg_transaction_amount]], "usual transaction", "unusual transaction")</f>
        <v>unusual transaction</v>
      </c>
      <c r="Q1717" s="6" t="str">
        <f>IF(AND(Table1[[#This Row],[Country_of_Residence]]&lt;&gt;Table1[[#This Row],[Country_of_Transaction]], OR(Table1[[#This Row],[Authentication_Type]]="Biometric", Table1[[#This Row],[Authentication_Type]]="OTP")), "safe location transaction", "unsafe location transaction")</f>
        <v>safe location transaction</v>
      </c>
      <c r="R1717" s="6" t="str">
        <f>IF(AND(Table1[[#This Row],[Country_of_Residence]]&lt;&gt;Table1[[#This Row],[Country_of_Transaction]], OR(Table1[[#This Row],[Merchant_Category]]="Electronics", Table1[[#This Row],[Merchant_Category]]="Travel")), "unsafe merchant transaction", "safe merchant transaction")</f>
        <v>safe merchant transaction</v>
      </c>
    </row>
    <row r="1718" spans="1:18">
      <c r="A1718" t="s">
        <v>4750</v>
      </c>
      <c r="B1718" t="s">
        <v>265</v>
      </c>
      <c r="C1718">
        <v>1</v>
      </c>
      <c r="D1718" t="s">
        <v>15</v>
      </c>
      <c r="E1718" t="s">
        <v>5</v>
      </c>
      <c r="F1718" s="2">
        <v>45807</v>
      </c>
      <c r="G1718">
        <v>1888.81</v>
      </c>
      <c r="H1718" s="1">
        <f>AVERAGEIF(Table1[Customer_ID], Table1[[#This Row],[Customer_ID]], Table1[Transaction_Amount])</f>
        <v>5428.9163492063508</v>
      </c>
      <c r="I1718" t="s">
        <v>2185</v>
      </c>
      <c r="J1718" t="s">
        <v>50</v>
      </c>
      <c r="K1718" t="s">
        <v>14</v>
      </c>
      <c r="L1718">
        <v>1</v>
      </c>
      <c r="M1718" t="s">
        <v>32</v>
      </c>
      <c r="N1718" t="s">
        <v>33</v>
      </c>
      <c r="O1718" t="s">
        <v>392</v>
      </c>
      <c r="P1718" s="6" t="str">
        <f>IF(Table1[[#This Row],[Transaction_Amount]]&lt;=Table1[[#This Row],[avg_transaction_amount]], "usual transaction", "unusual transaction")</f>
        <v>usual transaction</v>
      </c>
      <c r="Q1718" s="6" t="str">
        <f>IF(AND(Table1[[#This Row],[Country_of_Residence]]&lt;&gt;Table1[[#This Row],[Country_of_Transaction]], OR(Table1[[#This Row],[Authentication_Type]]="Biometric", Table1[[#This Row],[Authentication_Type]]="OTP")), "safe location transaction", "unsafe location transaction")</f>
        <v>unsafe location transaction</v>
      </c>
      <c r="R1718" s="6" t="str">
        <f>IF(AND(Table1[[#This Row],[Country_of_Residence]]&lt;&gt;Table1[[#This Row],[Country_of_Transaction]], OR(Table1[[#This Row],[Merchant_Category]]="Electronics", Table1[[#This Row],[Merchant_Category]]="Travel")), "unsafe merchant transaction", "safe merchant transaction")</f>
        <v>unsafe merchant transaction</v>
      </c>
    </row>
    <row r="1719" spans="1:18">
      <c r="A1719" t="s">
        <v>4885</v>
      </c>
      <c r="B1719" t="s">
        <v>265</v>
      </c>
      <c r="C1719">
        <v>1</v>
      </c>
      <c r="D1719" t="s">
        <v>9</v>
      </c>
      <c r="E1719" t="s">
        <v>3</v>
      </c>
      <c r="F1719" s="2">
        <v>45667</v>
      </c>
      <c r="G1719">
        <v>302.70999999999998</v>
      </c>
      <c r="H1719" s="1">
        <f>AVERAGEIF(Table1[Customer_ID], Table1[[#This Row],[Customer_ID]], Table1[Transaction_Amount])</f>
        <v>5428.9163492063508</v>
      </c>
      <c r="I1719" t="s">
        <v>2289</v>
      </c>
      <c r="J1719" t="s">
        <v>50</v>
      </c>
      <c r="K1719" t="s">
        <v>10</v>
      </c>
      <c r="L1719">
        <v>5</v>
      </c>
      <c r="M1719" t="s">
        <v>412</v>
      </c>
      <c r="N1719" t="s">
        <v>32</v>
      </c>
      <c r="O1719" t="s">
        <v>393</v>
      </c>
      <c r="P1719" s="6" t="str">
        <f>IF(Table1[[#This Row],[Transaction_Amount]]&lt;=Table1[[#This Row],[avg_transaction_amount]], "usual transaction", "unusual transaction")</f>
        <v>usual transaction</v>
      </c>
      <c r="Q1719" s="6" t="str">
        <f>IF(AND(Table1[[#This Row],[Country_of_Residence]]&lt;&gt;Table1[[#This Row],[Country_of_Transaction]], OR(Table1[[#This Row],[Authentication_Type]]="Biometric", Table1[[#This Row],[Authentication_Type]]="OTP")), "safe location transaction", "unsafe location transaction")</f>
        <v>safe location transaction</v>
      </c>
      <c r="R1719" s="6" t="str">
        <f>IF(AND(Table1[[#This Row],[Country_of_Residence]]&lt;&gt;Table1[[#This Row],[Country_of_Transaction]], OR(Table1[[#This Row],[Merchant_Category]]="Electronics", Table1[[#This Row],[Merchant_Category]]="Travel")), "unsafe merchant transaction", "safe merchant transaction")</f>
        <v>unsafe merchant transaction</v>
      </c>
    </row>
    <row r="1720" spans="1:18">
      <c r="A1720" t="s">
        <v>4913</v>
      </c>
      <c r="B1720" t="s">
        <v>265</v>
      </c>
      <c r="C1720">
        <v>1</v>
      </c>
      <c r="D1720" t="s">
        <v>15</v>
      </c>
      <c r="E1720" t="s">
        <v>3</v>
      </c>
      <c r="F1720" s="2">
        <v>45856</v>
      </c>
      <c r="G1720">
        <v>4674.6400000000003</v>
      </c>
      <c r="H1720" s="1">
        <f>AVERAGEIF(Table1[Customer_ID], Table1[[#This Row],[Customer_ID]], Table1[Transaction_Amount])</f>
        <v>5428.9163492063508</v>
      </c>
      <c r="I1720" t="s">
        <v>2308</v>
      </c>
      <c r="J1720" t="s">
        <v>50</v>
      </c>
      <c r="K1720" t="s">
        <v>14</v>
      </c>
      <c r="L1720">
        <v>5</v>
      </c>
      <c r="M1720" t="s">
        <v>47</v>
      </c>
      <c r="N1720" t="s">
        <v>55</v>
      </c>
      <c r="O1720" t="s">
        <v>392</v>
      </c>
      <c r="P1720" s="6" t="str">
        <f>IF(Table1[[#This Row],[Transaction_Amount]]&lt;=Table1[[#This Row],[avg_transaction_amount]], "usual transaction", "unusual transaction")</f>
        <v>usual transaction</v>
      </c>
      <c r="Q1720" s="6" t="str">
        <f>IF(AND(Table1[[#This Row],[Country_of_Residence]]&lt;&gt;Table1[[#This Row],[Country_of_Transaction]], OR(Table1[[#This Row],[Authentication_Type]]="Biometric", Table1[[#This Row],[Authentication_Type]]="OTP")), "safe location transaction", "unsafe location transaction")</f>
        <v>unsafe location transaction</v>
      </c>
      <c r="R1720" s="6" t="str">
        <f>IF(AND(Table1[[#This Row],[Country_of_Residence]]&lt;&gt;Table1[[#This Row],[Country_of_Transaction]], OR(Table1[[#This Row],[Merchant_Category]]="Electronics", Table1[[#This Row],[Merchant_Category]]="Travel")), "unsafe merchant transaction", "safe merchant transaction")</f>
        <v>unsafe merchant transaction</v>
      </c>
    </row>
    <row r="1721" spans="1:18">
      <c r="A1721" t="s">
        <v>5002</v>
      </c>
      <c r="B1721" t="s">
        <v>265</v>
      </c>
      <c r="C1721">
        <v>1</v>
      </c>
      <c r="D1721" t="s">
        <v>15</v>
      </c>
      <c r="E1721" t="s">
        <v>420</v>
      </c>
      <c r="F1721" s="2">
        <v>45906</v>
      </c>
      <c r="G1721">
        <v>7989.43</v>
      </c>
      <c r="H1721" s="1">
        <f>AVERAGEIF(Table1[Customer_ID], Table1[[#This Row],[Customer_ID]], Table1[Transaction_Amount])</f>
        <v>5428.9163492063508</v>
      </c>
      <c r="I1721" t="s">
        <v>2362</v>
      </c>
      <c r="J1721" t="s">
        <v>50</v>
      </c>
      <c r="K1721" t="s">
        <v>14</v>
      </c>
      <c r="L1721">
        <v>4</v>
      </c>
      <c r="M1721" t="s">
        <v>55</v>
      </c>
      <c r="N1721" t="s">
        <v>55</v>
      </c>
      <c r="O1721" t="s">
        <v>392</v>
      </c>
      <c r="P1721" s="6" t="str">
        <f>IF(Table1[[#This Row],[Transaction_Amount]]&lt;=Table1[[#This Row],[avg_transaction_amount]], "usual transaction", "unusual transaction")</f>
        <v>unusual transaction</v>
      </c>
      <c r="Q1721" s="6" t="str">
        <f>IF(AND(Table1[[#This Row],[Country_of_Residence]]&lt;&gt;Table1[[#This Row],[Country_of_Transaction]], OR(Table1[[#This Row],[Authentication_Type]]="Biometric", Table1[[#This Row],[Authentication_Type]]="OTP")), "safe location transaction", "unsafe location transaction")</f>
        <v>unsafe location transaction</v>
      </c>
      <c r="R1721" s="6" t="str">
        <f>IF(AND(Table1[[#This Row],[Country_of_Residence]]&lt;&gt;Table1[[#This Row],[Country_of_Transaction]], OR(Table1[[#This Row],[Merchant_Category]]="Electronics", Table1[[#This Row],[Merchant_Category]]="Travel")), "unsafe merchant transaction", "safe merchant transaction")</f>
        <v>safe merchant transaction</v>
      </c>
    </row>
    <row r="1722" spans="1:18">
      <c r="A1722" t="s">
        <v>5055</v>
      </c>
      <c r="B1722" t="s">
        <v>265</v>
      </c>
      <c r="C1722">
        <v>1</v>
      </c>
      <c r="D1722" t="s">
        <v>9</v>
      </c>
      <c r="E1722" t="s">
        <v>5</v>
      </c>
      <c r="F1722" s="2">
        <v>45799</v>
      </c>
      <c r="G1722">
        <v>6855.71</v>
      </c>
      <c r="H1722" s="1">
        <f>AVERAGEIF(Table1[Customer_ID], Table1[[#This Row],[Customer_ID]], Table1[Transaction_Amount])</f>
        <v>5428.9163492063508</v>
      </c>
      <c r="I1722" t="s">
        <v>1803</v>
      </c>
      <c r="J1722" t="s">
        <v>36</v>
      </c>
      <c r="K1722" t="s">
        <v>8</v>
      </c>
      <c r="L1722">
        <v>4</v>
      </c>
      <c r="M1722" t="s">
        <v>42</v>
      </c>
      <c r="N1722" t="s">
        <v>56</v>
      </c>
      <c r="O1722" t="s">
        <v>392</v>
      </c>
      <c r="P1722" s="6" t="str">
        <f>IF(Table1[[#This Row],[Transaction_Amount]]&lt;=Table1[[#This Row],[avg_transaction_amount]], "usual transaction", "unusual transaction")</f>
        <v>unusual transaction</v>
      </c>
      <c r="Q1722" s="6" t="str">
        <f>IF(AND(Table1[[#This Row],[Country_of_Residence]]&lt;&gt;Table1[[#This Row],[Country_of_Transaction]], OR(Table1[[#This Row],[Authentication_Type]]="Biometric", Table1[[#This Row],[Authentication_Type]]="OTP")), "safe location transaction", "unsafe location transaction")</f>
        <v>safe location transaction</v>
      </c>
      <c r="R1722" s="6" t="str">
        <f>IF(AND(Table1[[#This Row],[Country_of_Residence]]&lt;&gt;Table1[[#This Row],[Country_of_Transaction]], OR(Table1[[#This Row],[Merchant_Category]]="Electronics", Table1[[#This Row],[Merchant_Category]]="Travel")), "unsafe merchant transaction", "safe merchant transaction")</f>
        <v>safe merchant transaction</v>
      </c>
    </row>
    <row r="1723" spans="1:18">
      <c r="A1723" t="s">
        <v>5083</v>
      </c>
      <c r="B1723" t="s">
        <v>265</v>
      </c>
      <c r="C1723">
        <v>1</v>
      </c>
      <c r="D1723" t="s">
        <v>15</v>
      </c>
      <c r="E1723" t="s">
        <v>6</v>
      </c>
      <c r="F1723" s="2">
        <v>45792</v>
      </c>
      <c r="G1723">
        <v>5847.2</v>
      </c>
      <c r="H1723" s="1">
        <f>AVERAGEIF(Table1[Customer_ID], Table1[[#This Row],[Customer_ID]], Table1[Transaction_Amount])</f>
        <v>5428.9163492063508</v>
      </c>
      <c r="I1723" t="s">
        <v>2436</v>
      </c>
      <c r="J1723" t="s">
        <v>46</v>
      </c>
      <c r="K1723" t="s">
        <v>14</v>
      </c>
      <c r="L1723">
        <v>5</v>
      </c>
      <c r="M1723" t="s">
        <v>37</v>
      </c>
      <c r="N1723" t="s">
        <v>32</v>
      </c>
      <c r="O1723" t="s">
        <v>393</v>
      </c>
      <c r="P1723" s="6" t="str">
        <f>IF(Table1[[#This Row],[Transaction_Amount]]&lt;=Table1[[#This Row],[avg_transaction_amount]], "usual transaction", "unusual transaction")</f>
        <v>unusual transaction</v>
      </c>
      <c r="Q1723" s="6" t="str">
        <f>IF(AND(Table1[[#This Row],[Country_of_Residence]]&lt;&gt;Table1[[#This Row],[Country_of_Transaction]], OR(Table1[[#This Row],[Authentication_Type]]="Biometric", Table1[[#This Row],[Authentication_Type]]="OTP")), "safe location transaction", "unsafe location transaction")</f>
        <v>unsafe location transaction</v>
      </c>
      <c r="R1723" s="6" t="str">
        <f>IF(AND(Table1[[#This Row],[Country_of_Residence]]&lt;&gt;Table1[[#This Row],[Country_of_Transaction]], OR(Table1[[#This Row],[Merchant_Category]]="Electronics", Table1[[#This Row],[Merchant_Category]]="Travel")), "unsafe merchant transaction", "safe merchant transaction")</f>
        <v>safe merchant transaction</v>
      </c>
    </row>
    <row r="1724" spans="1:18">
      <c r="A1724" t="s">
        <v>5107</v>
      </c>
      <c r="B1724" t="s">
        <v>265</v>
      </c>
      <c r="C1724">
        <v>1</v>
      </c>
      <c r="D1724" t="s">
        <v>15</v>
      </c>
      <c r="E1724" t="s">
        <v>3</v>
      </c>
      <c r="F1724" s="2">
        <v>45711</v>
      </c>
      <c r="G1724">
        <v>8728.44</v>
      </c>
      <c r="H1724" s="1">
        <f>AVERAGEIF(Table1[Customer_ID], Table1[[#This Row],[Customer_ID]], Table1[Transaction_Amount])</f>
        <v>5428.9163492063508</v>
      </c>
      <c r="I1724" t="s">
        <v>2243</v>
      </c>
      <c r="J1724" t="s">
        <v>46</v>
      </c>
      <c r="K1724" t="s">
        <v>10</v>
      </c>
      <c r="L1724">
        <v>3</v>
      </c>
      <c r="M1724" t="s">
        <v>33</v>
      </c>
      <c r="N1724" t="s">
        <v>42</v>
      </c>
      <c r="O1724" t="s">
        <v>393</v>
      </c>
      <c r="P1724" s="6" t="str">
        <f>IF(Table1[[#This Row],[Transaction_Amount]]&lt;=Table1[[#This Row],[avg_transaction_amount]], "usual transaction", "unusual transaction")</f>
        <v>unusual transaction</v>
      </c>
      <c r="Q1724" s="6" t="str">
        <f>IF(AND(Table1[[#This Row],[Country_of_Residence]]&lt;&gt;Table1[[#This Row],[Country_of_Transaction]], OR(Table1[[#This Row],[Authentication_Type]]="Biometric", Table1[[#This Row],[Authentication_Type]]="OTP")), "safe location transaction", "unsafe location transaction")</f>
        <v>safe location transaction</v>
      </c>
      <c r="R1724" s="6" t="str">
        <f>IF(AND(Table1[[#This Row],[Country_of_Residence]]&lt;&gt;Table1[[#This Row],[Country_of_Transaction]], OR(Table1[[#This Row],[Merchant_Category]]="Electronics", Table1[[#This Row],[Merchant_Category]]="Travel")), "unsafe merchant transaction", "safe merchant transaction")</f>
        <v>safe merchant transaction</v>
      </c>
    </row>
    <row r="1725" spans="1:18">
      <c r="A1725" t="s">
        <v>5230</v>
      </c>
      <c r="B1725" t="s">
        <v>265</v>
      </c>
      <c r="C1725">
        <v>1</v>
      </c>
      <c r="D1725" t="s">
        <v>15</v>
      </c>
      <c r="E1725" t="s">
        <v>5</v>
      </c>
      <c r="F1725" s="2">
        <v>45757</v>
      </c>
      <c r="G1725">
        <v>4092.05</v>
      </c>
      <c r="H1725" s="1">
        <f>AVERAGEIF(Table1[Customer_ID], Table1[[#This Row],[Customer_ID]], Table1[Transaction_Amount])</f>
        <v>5428.9163492063508</v>
      </c>
      <c r="I1725" t="s">
        <v>2552</v>
      </c>
      <c r="J1725" t="s">
        <v>36</v>
      </c>
      <c r="K1725" t="s">
        <v>14</v>
      </c>
      <c r="L1725">
        <v>3</v>
      </c>
      <c r="M1725" t="s">
        <v>42</v>
      </c>
      <c r="N1725" t="s">
        <v>33</v>
      </c>
      <c r="O1725" t="s">
        <v>393</v>
      </c>
      <c r="P1725" s="6" t="str">
        <f>IF(Table1[[#This Row],[Transaction_Amount]]&lt;=Table1[[#This Row],[avg_transaction_amount]], "usual transaction", "unusual transaction")</f>
        <v>usual transaction</v>
      </c>
      <c r="Q1725" s="6" t="str">
        <f>IF(AND(Table1[[#This Row],[Country_of_Residence]]&lt;&gt;Table1[[#This Row],[Country_of_Transaction]], OR(Table1[[#This Row],[Authentication_Type]]="Biometric", Table1[[#This Row],[Authentication_Type]]="OTP")), "safe location transaction", "unsafe location transaction")</f>
        <v>unsafe location transaction</v>
      </c>
      <c r="R1725" s="6" t="str">
        <f>IF(AND(Table1[[#This Row],[Country_of_Residence]]&lt;&gt;Table1[[#This Row],[Country_of_Transaction]], OR(Table1[[#This Row],[Merchant_Category]]="Electronics", Table1[[#This Row],[Merchant_Category]]="Travel")), "unsafe merchant transaction", "safe merchant transaction")</f>
        <v>safe merchant transaction</v>
      </c>
    </row>
    <row r="1726" spans="1:18">
      <c r="A1726" t="s">
        <v>5271</v>
      </c>
      <c r="B1726" t="s">
        <v>265</v>
      </c>
      <c r="C1726">
        <v>1</v>
      </c>
      <c r="D1726" t="s">
        <v>9</v>
      </c>
      <c r="E1726" t="s">
        <v>5</v>
      </c>
      <c r="F1726" s="2">
        <v>46005</v>
      </c>
      <c r="G1726">
        <v>120.77</v>
      </c>
      <c r="H1726" s="1">
        <f>AVERAGEIF(Table1[Customer_ID], Table1[[#This Row],[Customer_ID]], Table1[Transaction_Amount])</f>
        <v>5428.9163492063508</v>
      </c>
      <c r="I1726" t="s">
        <v>2583</v>
      </c>
      <c r="J1726" t="s">
        <v>36</v>
      </c>
      <c r="K1726" t="s">
        <v>8</v>
      </c>
      <c r="L1726">
        <v>1</v>
      </c>
      <c r="M1726" t="s">
        <v>42</v>
      </c>
      <c r="N1726" t="s">
        <v>56</v>
      </c>
      <c r="O1726" t="s">
        <v>392</v>
      </c>
      <c r="P1726" s="6" t="str">
        <f>IF(Table1[[#This Row],[Transaction_Amount]]&lt;=Table1[[#This Row],[avg_transaction_amount]], "usual transaction", "unusual transaction")</f>
        <v>usual transaction</v>
      </c>
      <c r="Q1726" s="6" t="str">
        <f>IF(AND(Table1[[#This Row],[Country_of_Residence]]&lt;&gt;Table1[[#This Row],[Country_of_Transaction]], OR(Table1[[#This Row],[Authentication_Type]]="Biometric", Table1[[#This Row],[Authentication_Type]]="OTP")), "safe location transaction", "unsafe location transaction")</f>
        <v>safe location transaction</v>
      </c>
      <c r="R1726" s="6" t="str">
        <f>IF(AND(Table1[[#This Row],[Country_of_Residence]]&lt;&gt;Table1[[#This Row],[Country_of_Transaction]], OR(Table1[[#This Row],[Merchant_Category]]="Electronics", Table1[[#This Row],[Merchant_Category]]="Travel")), "unsafe merchant transaction", "safe merchant transaction")</f>
        <v>safe merchant transaction</v>
      </c>
    </row>
    <row r="1727" spans="1:18">
      <c r="A1727" t="s">
        <v>5293</v>
      </c>
      <c r="B1727" t="s">
        <v>265</v>
      </c>
      <c r="C1727">
        <v>1</v>
      </c>
      <c r="D1727" t="s">
        <v>15</v>
      </c>
      <c r="E1727" t="s">
        <v>5</v>
      </c>
      <c r="F1727" s="2">
        <v>45737</v>
      </c>
      <c r="G1727">
        <v>6282.02</v>
      </c>
      <c r="H1727" s="1">
        <f>AVERAGEIF(Table1[Customer_ID], Table1[[#This Row],[Customer_ID]], Table1[Transaction_Amount])</f>
        <v>5428.9163492063508</v>
      </c>
      <c r="I1727" t="s">
        <v>2598</v>
      </c>
      <c r="J1727" t="s">
        <v>31</v>
      </c>
      <c r="K1727" t="s">
        <v>14</v>
      </c>
      <c r="L1727">
        <v>1</v>
      </c>
      <c r="M1727" t="s">
        <v>55</v>
      </c>
      <c r="N1727" t="s">
        <v>412</v>
      </c>
      <c r="O1727" t="s">
        <v>392</v>
      </c>
      <c r="P1727" s="6" t="str">
        <f>IF(Table1[[#This Row],[Transaction_Amount]]&lt;=Table1[[#This Row],[avg_transaction_amount]], "usual transaction", "unusual transaction")</f>
        <v>unusual transaction</v>
      </c>
      <c r="Q1727" s="6" t="str">
        <f>IF(AND(Table1[[#This Row],[Country_of_Residence]]&lt;&gt;Table1[[#This Row],[Country_of_Transaction]], OR(Table1[[#This Row],[Authentication_Type]]="Biometric", Table1[[#This Row],[Authentication_Type]]="OTP")), "safe location transaction", "unsafe location transaction")</f>
        <v>unsafe location transaction</v>
      </c>
      <c r="R1727" s="6" t="str">
        <f>IF(AND(Table1[[#This Row],[Country_of_Residence]]&lt;&gt;Table1[[#This Row],[Country_of_Transaction]], OR(Table1[[#This Row],[Merchant_Category]]="Electronics", Table1[[#This Row],[Merchant_Category]]="Travel")), "unsafe merchant transaction", "safe merchant transaction")</f>
        <v>safe merchant transaction</v>
      </c>
    </row>
    <row r="1728" spans="1:18">
      <c r="A1728" t="s">
        <v>5320</v>
      </c>
      <c r="B1728" t="s">
        <v>265</v>
      </c>
      <c r="C1728">
        <v>1</v>
      </c>
      <c r="D1728" t="s">
        <v>15</v>
      </c>
      <c r="E1728" t="s">
        <v>420</v>
      </c>
      <c r="F1728" s="2">
        <v>45964</v>
      </c>
      <c r="G1728">
        <v>6500.03</v>
      </c>
      <c r="H1728" s="1">
        <f>AVERAGEIF(Table1[Customer_ID], Table1[[#This Row],[Customer_ID]], Table1[Transaction_Amount])</f>
        <v>5428.9163492063508</v>
      </c>
      <c r="I1728" t="s">
        <v>2620</v>
      </c>
      <c r="J1728" t="s">
        <v>46</v>
      </c>
      <c r="K1728" t="s">
        <v>8</v>
      </c>
      <c r="L1728">
        <v>4</v>
      </c>
      <c r="M1728" t="s">
        <v>51</v>
      </c>
      <c r="N1728" t="s">
        <v>33</v>
      </c>
      <c r="O1728" t="s">
        <v>392</v>
      </c>
      <c r="P1728" s="6" t="str">
        <f>IF(Table1[[#This Row],[Transaction_Amount]]&lt;=Table1[[#This Row],[avg_transaction_amount]], "usual transaction", "unusual transaction")</f>
        <v>unusual transaction</v>
      </c>
      <c r="Q1728" s="6" t="str">
        <f>IF(AND(Table1[[#This Row],[Country_of_Residence]]&lt;&gt;Table1[[#This Row],[Country_of_Transaction]], OR(Table1[[#This Row],[Authentication_Type]]="Biometric", Table1[[#This Row],[Authentication_Type]]="OTP")), "safe location transaction", "unsafe location transaction")</f>
        <v>safe location transaction</v>
      </c>
      <c r="R1728" s="6" t="str">
        <f>IF(AND(Table1[[#This Row],[Country_of_Residence]]&lt;&gt;Table1[[#This Row],[Country_of_Transaction]], OR(Table1[[#This Row],[Merchant_Category]]="Electronics", Table1[[#This Row],[Merchant_Category]]="Travel")), "unsafe merchant transaction", "safe merchant transaction")</f>
        <v>safe merchant transaction</v>
      </c>
    </row>
    <row r="1729" spans="1:18">
      <c r="A1729" t="s">
        <v>5341</v>
      </c>
      <c r="B1729" t="s">
        <v>265</v>
      </c>
      <c r="C1729">
        <v>1</v>
      </c>
      <c r="D1729" t="s">
        <v>15</v>
      </c>
      <c r="E1729" t="s">
        <v>3</v>
      </c>
      <c r="F1729" s="2">
        <v>46015</v>
      </c>
      <c r="G1729">
        <v>9571.48</v>
      </c>
      <c r="H1729" s="1">
        <f>AVERAGEIF(Table1[Customer_ID], Table1[[#This Row],[Customer_ID]], Table1[Transaction_Amount])</f>
        <v>5428.9163492063508</v>
      </c>
      <c r="I1729" t="s">
        <v>2636</v>
      </c>
      <c r="J1729" t="s">
        <v>36</v>
      </c>
      <c r="K1729" t="s">
        <v>8</v>
      </c>
      <c r="L1729">
        <v>5</v>
      </c>
      <c r="M1729" t="s">
        <v>55</v>
      </c>
      <c r="N1729" t="s">
        <v>42</v>
      </c>
      <c r="O1729" t="s">
        <v>392</v>
      </c>
      <c r="P1729" s="6" t="str">
        <f>IF(Table1[[#This Row],[Transaction_Amount]]&lt;=Table1[[#This Row],[avg_transaction_amount]], "usual transaction", "unusual transaction")</f>
        <v>unusual transaction</v>
      </c>
      <c r="Q1729" s="6" t="str">
        <f>IF(AND(Table1[[#This Row],[Country_of_Residence]]&lt;&gt;Table1[[#This Row],[Country_of_Transaction]], OR(Table1[[#This Row],[Authentication_Type]]="Biometric", Table1[[#This Row],[Authentication_Type]]="OTP")), "safe location transaction", "unsafe location transaction")</f>
        <v>safe location transaction</v>
      </c>
      <c r="R1729" s="6" t="str">
        <f>IF(AND(Table1[[#This Row],[Country_of_Residence]]&lt;&gt;Table1[[#This Row],[Country_of_Transaction]], OR(Table1[[#This Row],[Merchant_Category]]="Electronics", Table1[[#This Row],[Merchant_Category]]="Travel")), "unsafe merchant transaction", "safe merchant transaction")</f>
        <v>safe merchant transaction</v>
      </c>
    </row>
    <row r="1730" spans="1:18">
      <c r="A1730" t="s">
        <v>5352</v>
      </c>
      <c r="B1730" t="s">
        <v>265</v>
      </c>
      <c r="C1730">
        <v>1</v>
      </c>
      <c r="D1730" t="s">
        <v>9</v>
      </c>
      <c r="E1730" t="s">
        <v>5</v>
      </c>
      <c r="F1730" s="2">
        <v>45661</v>
      </c>
      <c r="G1730">
        <v>263.47000000000003</v>
      </c>
      <c r="H1730" s="1">
        <f>AVERAGEIF(Table1[Customer_ID], Table1[[#This Row],[Customer_ID]], Table1[Transaction_Amount])</f>
        <v>5428.9163492063508</v>
      </c>
      <c r="I1730" t="s">
        <v>1280</v>
      </c>
      <c r="J1730" t="s">
        <v>36</v>
      </c>
      <c r="K1730" t="s">
        <v>12</v>
      </c>
      <c r="L1730">
        <v>0</v>
      </c>
      <c r="M1730" t="s">
        <v>47</v>
      </c>
      <c r="N1730" t="s">
        <v>33</v>
      </c>
      <c r="O1730" t="s">
        <v>393</v>
      </c>
      <c r="P1730" s="6" t="str">
        <f>IF(Table1[[#This Row],[Transaction_Amount]]&lt;=Table1[[#This Row],[avg_transaction_amount]], "usual transaction", "unusual transaction")</f>
        <v>usual transaction</v>
      </c>
      <c r="Q1730" s="6" t="str">
        <f>IF(AND(Table1[[#This Row],[Country_of_Residence]]&lt;&gt;Table1[[#This Row],[Country_of_Transaction]], OR(Table1[[#This Row],[Authentication_Type]]="Biometric", Table1[[#This Row],[Authentication_Type]]="OTP")), "safe location transaction", "unsafe location transaction")</f>
        <v>unsafe location transaction</v>
      </c>
      <c r="R1730" s="6" t="str">
        <f>IF(AND(Table1[[#This Row],[Country_of_Residence]]&lt;&gt;Table1[[#This Row],[Country_of_Transaction]], OR(Table1[[#This Row],[Merchant_Category]]="Electronics", Table1[[#This Row],[Merchant_Category]]="Travel")), "unsafe merchant transaction", "safe merchant transaction")</f>
        <v>safe merchant transaction</v>
      </c>
    </row>
    <row r="1731" spans="1:18">
      <c r="A1731" t="s">
        <v>5427</v>
      </c>
      <c r="B1731" t="s">
        <v>265</v>
      </c>
      <c r="C1731">
        <v>1</v>
      </c>
      <c r="D1731" t="s">
        <v>9</v>
      </c>
      <c r="E1731" t="s">
        <v>6</v>
      </c>
      <c r="F1731" s="2">
        <v>45672</v>
      </c>
      <c r="G1731">
        <v>7776.75</v>
      </c>
      <c r="H1731" s="1">
        <f>AVERAGEIF(Table1[Customer_ID], Table1[[#This Row],[Customer_ID]], Table1[Transaction_Amount])</f>
        <v>5428.9163492063508</v>
      </c>
      <c r="I1731" t="s">
        <v>2698</v>
      </c>
      <c r="J1731" t="s">
        <v>46</v>
      </c>
      <c r="K1731" t="s">
        <v>14</v>
      </c>
      <c r="L1731">
        <v>3</v>
      </c>
      <c r="M1731" t="s">
        <v>56</v>
      </c>
      <c r="N1731" t="s">
        <v>33</v>
      </c>
      <c r="O1731" t="s">
        <v>393</v>
      </c>
      <c r="P1731" s="6" t="str">
        <f>IF(Table1[[#This Row],[Transaction_Amount]]&lt;=Table1[[#This Row],[avg_transaction_amount]], "usual transaction", "unusual transaction")</f>
        <v>unusual transaction</v>
      </c>
      <c r="Q1731" s="6" t="str">
        <f>IF(AND(Table1[[#This Row],[Country_of_Residence]]&lt;&gt;Table1[[#This Row],[Country_of_Transaction]], OR(Table1[[#This Row],[Authentication_Type]]="Biometric", Table1[[#This Row],[Authentication_Type]]="OTP")), "safe location transaction", "unsafe location transaction")</f>
        <v>unsafe location transaction</v>
      </c>
      <c r="R1731" s="6" t="str">
        <f>IF(AND(Table1[[#This Row],[Country_of_Residence]]&lt;&gt;Table1[[#This Row],[Country_of_Transaction]], OR(Table1[[#This Row],[Merchant_Category]]="Electronics", Table1[[#This Row],[Merchant_Category]]="Travel")), "unsafe merchant transaction", "safe merchant transaction")</f>
        <v>safe merchant transaction</v>
      </c>
    </row>
    <row r="1732" spans="1:18">
      <c r="A1732" t="s">
        <v>5457</v>
      </c>
      <c r="B1732" t="s">
        <v>265</v>
      </c>
      <c r="C1732">
        <v>1</v>
      </c>
      <c r="D1732" t="s">
        <v>15</v>
      </c>
      <c r="E1732" t="s">
        <v>3</v>
      </c>
      <c r="F1732" s="2">
        <v>45724</v>
      </c>
      <c r="G1732">
        <v>4520.46</v>
      </c>
      <c r="H1732" s="1">
        <f>AVERAGEIF(Table1[Customer_ID], Table1[[#This Row],[Customer_ID]], Table1[Transaction_Amount])</f>
        <v>5428.9163492063508</v>
      </c>
      <c r="I1732" t="s">
        <v>2722</v>
      </c>
      <c r="J1732" t="s">
        <v>46</v>
      </c>
      <c r="K1732" t="s">
        <v>14</v>
      </c>
      <c r="L1732">
        <v>0</v>
      </c>
      <c r="M1732" t="s">
        <v>37</v>
      </c>
      <c r="N1732" t="s">
        <v>33</v>
      </c>
      <c r="O1732" t="s">
        <v>393</v>
      </c>
      <c r="P1732" s="6" t="str">
        <f>IF(Table1[[#This Row],[Transaction_Amount]]&lt;=Table1[[#This Row],[avg_transaction_amount]], "usual transaction", "unusual transaction")</f>
        <v>usual transaction</v>
      </c>
      <c r="Q1732" s="6" t="str">
        <f>IF(AND(Table1[[#This Row],[Country_of_Residence]]&lt;&gt;Table1[[#This Row],[Country_of_Transaction]], OR(Table1[[#This Row],[Authentication_Type]]="Biometric", Table1[[#This Row],[Authentication_Type]]="OTP")), "safe location transaction", "unsafe location transaction")</f>
        <v>unsafe location transaction</v>
      </c>
      <c r="R1732" s="6" t="str">
        <f>IF(AND(Table1[[#This Row],[Country_of_Residence]]&lt;&gt;Table1[[#This Row],[Country_of_Transaction]], OR(Table1[[#This Row],[Merchant_Category]]="Electronics", Table1[[#This Row],[Merchant_Category]]="Travel")), "unsafe merchant transaction", "safe merchant transaction")</f>
        <v>safe merchant transaction</v>
      </c>
    </row>
    <row r="1733" spans="1:18">
      <c r="A1733" t="s">
        <v>5481</v>
      </c>
      <c r="B1733" t="s">
        <v>265</v>
      </c>
      <c r="C1733">
        <v>1</v>
      </c>
      <c r="D1733" t="s">
        <v>15</v>
      </c>
      <c r="E1733" t="s">
        <v>3</v>
      </c>
      <c r="F1733" s="2">
        <v>45806</v>
      </c>
      <c r="G1733">
        <v>7001.83</v>
      </c>
      <c r="H1733" s="1">
        <f>AVERAGEIF(Table1[Customer_ID], Table1[[#This Row],[Customer_ID]], Table1[Transaction_Amount])</f>
        <v>5428.9163492063508</v>
      </c>
      <c r="I1733" t="s">
        <v>2740</v>
      </c>
      <c r="J1733" t="s">
        <v>41</v>
      </c>
      <c r="K1733" t="s">
        <v>14</v>
      </c>
      <c r="L1733">
        <v>2</v>
      </c>
      <c r="M1733" t="s">
        <v>56</v>
      </c>
      <c r="N1733" t="s">
        <v>47</v>
      </c>
      <c r="O1733" t="s">
        <v>393</v>
      </c>
      <c r="P1733" s="6" t="str">
        <f>IF(Table1[[#This Row],[Transaction_Amount]]&lt;=Table1[[#This Row],[avg_transaction_amount]], "usual transaction", "unusual transaction")</f>
        <v>unusual transaction</v>
      </c>
      <c r="Q1733" s="6" t="str">
        <f>IF(AND(Table1[[#This Row],[Country_of_Residence]]&lt;&gt;Table1[[#This Row],[Country_of_Transaction]], OR(Table1[[#This Row],[Authentication_Type]]="Biometric", Table1[[#This Row],[Authentication_Type]]="OTP")), "safe location transaction", "unsafe location transaction")</f>
        <v>unsafe location transaction</v>
      </c>
      <c r="R1733" s="6" t="str">
        <f>IF(AND(Table1[[#This Row],[Country_of_Residence]]&lt;&gt;Table1[[#This Row],[Country_of_Transaction]], OR(Table1[[#This Row],[Merchant_Category]]="Electronics", Table1[[#This Row],[Merchant_Category]]="Travel")), "unsafe merchant transaction", "safe merchant transaction")</f>
        <v>safe merchant transaction</v>
      </c>
    </row>
    <row r="1734" spans="1:18">
      <c r="A1734" t="s">
        <v>268</v>
      </c>
      <c r="B1734" t="s">
        <v>269</v>
      </c>
      <c r="C1734">
        <v>1</v>
      </c>
      <c r="D1734" t="s">
        <v>15</v>
      </c>
      <c r="E1734" t="s">
        <v>4</v>
      </c>
      <c r="F1734" s="2">
        <v>45820.844444444403</v>
      </c>
      <c r="G1734">
        <v>9631.15</v>
      </c>
      <c r="H1734" s="1">
        <f>AVERAGEIF(Table1[Customer_ID], Table1[[#This Row],[Customer_ID]], Table1[Transaction_Amount])</f>
        <v>4912.8857407407413</v>
      </c>
      <c r="I1734" t="s">
        <v>270</v>
      </c>
      <c r="J1734" t="s">
        <v>59</v>
      </c>
      <c r="K1734" t="s">
        <v>12</v>
      </c>
      <c r="L1734">
        <v>3</v>
      </c>
      <c r="M1734" t="s">
        <v>200</v>
      </c>
      <c r="N1734" t="s">
        <v>271</v>
      </c>
      <c r="O1734" t="s">
        <v>392</v>
      </c>
      <c r="P1734" t="str">
        <f>IF(Table1[[#This Row],[Transaction_Amount]]&lt;=Table1[[#This Row],[avg_transaction_amount]], "usual transaction", "unusual transaction")</f>
        <v>unusual transaction</v>
      </c>
      <c r="Q1734" t="str">
        <f>IF(AND(Table1[[#This Row],[Country_of_Residence]]&lt;&gt;Table1[[#This Row],[Country_of_Transaction]], OR(Table1[[#This Row],[Authentication_Type]]="Biometric", Table1[[#This Row],[Authentication_Type]]="OTP")), "safe location transaction", "unsafe location transaction")</f>
        <v>unsafe location transaction</v>
      </c>
      <c r="R1734" t="str">
        <f>IF(AND(Table1[[#This Row],[Country_of_Residence]]&lt;&gt;Table1[[#This Row],[Country_of_Transaction]], OR(Table1[[#This Row],[Merchant_Category]]="Electronics", Table1[[#This Row],[Merchant_Category]]="Travel")), "unsafe merchant transaction", "safe merchant transaction")</f>
        <v>unsafe merchant transaction</v>
      </c>
    </row>
    <row r="1735" spans="1:18">
      <c r="A1735" t="s">
        <v>272</v>
      </c>
      <c r="B1735" t="s">
        <v>269</v>
      </c>
      <c r="C1735">
        <v>1</v>
      </c>
      <c r="D1735" t="s">
        <v>11</v>
      </c>
      <c r="E1735" t="s">
        <v>4</v>
      </c>
      <c r="F1735" s="2">
        <v>45879.355555555601</v>
      </c>
      <c r="G1735">
        <v>2070.9899999999998</v>
      </c>
      <c r="H1735" s="1">
        <f>AVERAGEIF(Table1[Customer_ID], Table1[[#This Row],[Customer_ID]], Table1[Transaction_Amount])</f>
        <v>4912.8857407407413</v>
      </c>
      <c r="I1735" t="s">
        <v>273</v>
      </c>
      <c r="J1735" t="s">
        <v>46</v>
      </c>
      <c r="K1735" t="s">
        <v>8</v>
      </c>
      <c r="L1735">
        <v>5</v>
      </c>
      <c r="M1735" t="s">
        <v>200</v>
      </c>
      <c r="N1735" t="s">
        <v>274</v>
      </c>
      <c r="O1735" t="s">
        <v>393</v>
      </c>
      <c r="P1735" t="str">
        <f>IF(Table1[[#This Row],[Transaction_Amount]]&lt;=Table1[[#This Row],[avg_transaction_amount]], "usual transaction", "unusual transaction")</f>
        <v>usual transaction</v>
      </c>
      <c r="Q1735" t="str">
        <f>IF(AND(Table1[[#This Row],[Country_of_Residence]]&lt;&gt;Table1[[#This Row],[Country_of_Transaction]], OR(Table1[[#This Row],[Authentication_Type]]="Biometric", Table1[[#This Row],[Authentication_Type]]="OTP")), "safe location transaction", "unsafe location transaction")</f>
        <v>safe location transaction</v>
      </c>
      <c r="R1735" t="str">
        <f>IF(AND(Table1[[#This Row],[Country_of_Residence]]&lt;&gt;Table1[[#This Row],[Country_of_Transaction]], OR(Table1[[#This Row],[Merchant_Category]]="Electronics", Table1[[#This Row],[Merchant_Category]]="Travel")), "unsafe merchant transaction", "safe merchant transaction")</f>
        <v>safe merchant transaction</v>
      </c>
    </row>
    <row r="1736" spans="1:18">
      <c r="A1736" t="s">
        <v>2818</v>
      </c>
      <c r="B1736" t="s">
        <v>269</v>
      </c>
      <c r="C1736">
        <v>1</v>
      </c>
      <c r="D1736" t="s">
        <v>15</v>
      </c>
      <c r="E1736" t="s">
        <v>5</v>
      </c>
      <c r="F1736" s="2">
        <v>45902</v>
      </c>
      <c r="G1736">
        <v>4432.66</v>
      </c>
      <c r="H1736" s="1">
        <f>AVERAGEIF(Table1[Customer_ID], Table1[[#This Row],[Customer_ID]], Table1[Transaction_Amount])</f>
        <v>4912.8857407407413</v>
      </c>
      <c r="I1736" t="s">
        <v>469</v>
      </c>
      <c r="J1736" t="s">
        <v>36</v>
      </c>
      <c r="K1736" t="s">
        <v>8</v>
      </c>
      <c r="L1736">
        <v>0</v>
      </c>
      <c r="M1736" t="s">
        <v>412</v>
      </c>
      <c r="N1736" t="s">
        <v>42</v>
      </c>
      <c r="O1736" t="s">
        <v>392</v>
      </c>
      <c r="P1736" s="6" t="str">
        <f>IF(Table1[[#This Row],[Transaction_Amount]]&lt;=Table1[[#This Row],[avg_transaction_amount]], "usual transaction", "unusual transaction")</f>
        <v>usual transaction</v>
      </c>
      <c r="Q1736" s="6" t="str">
        <f>IF(AND(Table1[[#This Row],[Country_of_Residence]]&lt;&gt;Table1[[#This Row],[Country_of_Transaction]], OR(Table1[[#This Row],[Authentication_Type]]="Biometric", Table1[[#This Row],[Authentication_Type]]="OTP")), "safe location transaction", "unsafe location transaction")</f>
        <v>safe location transaction</v>
      </c>
      <c r="R1736" s="6" t="str">
        <f>IF(AND(Table1[[#This Row],[Country_of_Residence]]&lt;&gt;Table1[[#This Row],[Country_of_Transaction]], OR(Table1[[#This Row],[Merchant_Category]]="Electronics", Table1[[#This Row],[Merchant_Category]]="Travel")), "unsafe merchant transaction", "safe merchant transaction")</f>
        <v>safe merchant transaction</v>
      </c>
    </row>
    <row r="1737" spans="1:18">
      <c r="A1737" t="s">
        <v>2975</v>
      </c>
      <c r="B1737" t="s">
        <v>269</v>
      </c>
      <c r="C1737">
        <v>1</v>
      </c>
      <c r="D1737" t="s">
        <v>9</v>
      </c>
      <c r="E1737" t="s">
        <v>3</v>
      </c>
      <c r="F1737" s="2">
        <v>45662</v>
      </c>
      <c r="G1737">
        <v>825.49</v>
      </c>
      <c r="H1737" s="1">
        <f>AVERAGEIF(Table1[Customer_ID], Table1[[#This Row],[Customer_ID]], Table1[Transaction_Amount])</f>
        <v>4912.8857407407413</v>
      </c>
      <c r="I1737" t="s">
        <v>623</v>
      </c>
      <c r="J1737" t="s">
        <v>31</v>
      </c>
      <c r="K1737" t="s">
        <v>8</v>
      </c>
      <c r="L1737">
        <v>5</v>
      </c>
      <c r="M1737" t="s">
        <v>42</v>
      </c>
      <c r="N1737" t="s">
        <v>47</v>
      </c>
      <c r="O1737" t="s">
        <v>392</v>
      </c>
      <c r="P1737" s="6" t="str">
        <f>IF(Table1[[#This Row],[Transaction_Amount]]&lt;=Table1[[#This Row],[avg_transaction_amount]], "usual transaction", "unusual transaction")</f>
        <v>usual transaction</v>
      </c>
      <c r="Q1737" s="6" t="str">
        <f>IF(AND(Table1[[#This Row],[Country_of_Residence]]&lt;&gt;Table1[[#This Row],[Country_of_Transaction]], OR(Table1[[#This Row],[Authentication_Type]]="Biometric", Table1[[#This Row],[Authentication_Type]]="OTP")), "safe location transaction", "unsafe location transaction")</f>
        <v>safe location transaction</v>
      </c>
      <c r="R1737" s="6" t="str">
        <f>IF(AND(Table1[[#This Row],[Country_of_Residence]]&lt;&gt;Table1[[#This Row],[Country_of_Transaction]], OR(Table1[[#This Row],[Merchant_Category]]="Electronics", Table1[[#This Row],[Merchant_Category]]="Travel")), "unsafe merchant transaction", "safe merchant transaction")</f>
        <v>safe merchant transaction</v>
      </c>
    </row>
    <row r="1738" spans="1:18">
      <c r="A1738" t="s">
        <v>3105</v>
      </c>
      <c r="B1738" t="s">
        <v>269</v>
      </c>
      <c r="C1738">
        <v>1</v>
      </c>
      <c r="D1738" t="s">
        <v>9</v>
      </c>
      <c r="E1738" t="s">
        <v>420</v>
      </c>
      <c r="F1738" s="2">
        <v>45751</v>
      </c>
      <c r="G1738">
        <v>3743.41</v>
      </c>
      <c r="H1738" s="1">
        <f>AVERAGEIF(Table1[Customer_ID], Table1[[#This Row],[Customer_ID]], Table1[Transaction_Amount])</f>
        <v>4912.8857407407413</v>
      </c>
      <c r="I1738" t="s">
        <v>748</v>
      </c>
      <c r="J1738" t="s">
        <v>36</v>
      </c>
      <c r="K1738" t="s">
        <v>12</v>
      </c>
      <c r="L1738">
        <v>4</v>
      </c>
      <c r="M1738" t="s">
        <v>42</v>
      </c>
      <c r="N1738" t="s">
        <v>412</v>
      </c>
      <c r="O1738" t="s">
        <v>393</v>
      </c>
      <c r="P1738" s="6" t="str">
        <f>IF(Table1[[#This Row],[Transaction_Amount]]&lt;=Table1[[#This Row],[avg_transaction_amount]], "usual transaction", "unusual transaction")</f>
        <v>usual transaction</v>
      </c>
      <c r="Q1738" s="6" t="str">
        <f>IF(AND(Table1[[#This Row],[Country_of_Residence]]&lt;&gt;Table1[[#This Row],[Country_of_Transaction]], OR(Table1[[#This Row],[Authentication_Type]]="Biometric", Table1[[#This Row],[Authentication_Type]]="OTP")), "safe location transaction", "unsafe location transaction")</f>
        <v>unsafe location transaction</v>
      </c>
      <c r="R1738" s="6" t="str">
        <f>IF(AND(Table1[[#This Row],[Country_of_Residence]]&lt;&gt;Table1[[#This Row],[Country_of_Transaction]], OR(Table1[[#This Row],[Merchant_Category]]="Electronics", Table1[[#This Row],[Merchant_Category]]="Travel")), "unsafe merchant transaction", "safe merchant transaction")</f>
        <v>safe merchant transaction</v>
      </c>
    </row>
    <row r="1739" spans="1:18">
      <c r="A1739" t="s">
        <v>3106</v>
      </c>
      <c r="B1739" t="s">
        <v>269</v>
      </c>
      <c r="C1739">
        <v>1</v>
      </c>
      <c r="D1739" t="s">
        <v>9</v>
      </c>
      <c r="E1739" t="s">
        <v>420</v>
      </c>
      <c r="F1739" s="2">
        <v>46009</v>
      </c>
      <c r="G1739">
        <v>9399.56</v>
      </c>
      <c r="H1739" s="1">
        <f>AVERAGEIF(Table1[Customer_ID], Table1[[#This Row],[Customer_ID]], Table1[Transaction_Amount])</f>
        <v>4912.8857407407413</v>
      </c>
      <c r="I1739" t="s">
        <v>749</v>
      </c>
      <c r="J1739" t="s">
        <v>31</v>
      </c>
      <c r="K1739" t="s">
        <v>8</v>
      </c>
      <c r="L1739">
        <v>2</v>
      </c>
      <c r="M1739" t="s">
        <v>412</v>
      </c>
      <c r="N1739" t="s">
        <v>412</v>
      </c>
      <c r="O1739" t="s">
        <v>392</v>
      </c>
      <c r="P1739" s="6" t="str">
        <f>IF(Table1[[#This Row],[Transaction_Amount]]&lt;=Table1[[#This Row],[avg_transaction_amount]], "usual transaction", "unusual transaction")</f>
        <v>unusual transaction</v>
      </c>
      <c r="Q1739" s="6" t="str">
        <f>IF(AND(Table1[[#This Row],[Country_of_Residence]]&lt;&gt;Table1[[#This Row],[Country_of_Transaction]], OR(Table1[[#This Row],[Authentication_Type]]="Biometric", Table1[[#This Row],[Authentication_Type]]="OTP")), "safe location transaction", "unsafe location transaction")</f>
        <v>unsafe location transaction</v>
      </c>
      <c r="R1739" s="6" t="str">
        <f>IF(AND(Table1[[#This Row],[Country_of_Residence]]&lt;&gt;Table1[[#This Row],[Country_of_Transaction]], OR(Table1[[#This Row],[Merchant_Category]]="Electronics", Table1[[#This Row],[Merchant_Category]]="Travel")), "unsafe merchant transaction", "safe merchant transaction")</f>
        <v>safe merchant transaction</v>
      </c>
    </row>
    <row r="1740" spans="1:18">
      <c r="A1740" t="s">
        <v>3115</v>
      </c>
      <c r="B1740" t="s">
        <v>269</v>
      </c>
      <c r="C1740">
        <v>1</v>
      </c>
      <c r="D1740" t="s">
        <v>9</v>
      </c>
      <c r="E1740" t="s">
        <v>3</v>
      </c>
      <c r="F1740" s="2">
        <v>45711</v>
      </c>
      <c r="G1740">
        <v>5506.92</v>
      </c>
      <c r="H1740" s="1">
        <f>AVERAGEIF(Table1[Customer_ID], Table1[[#This Row],[Customer_ID]], Table1[Transaction_Amount])</f>
        <v>4912.8857407407413</v>
      </c>
      <c r="I1740" t="s">
        <v>757</v>
      </c>
      <c r="J1740" t="s">
        <v>31</v>
      </c>
      <c r="K1740" t="s">
        <v>8</v>
      </c>
      <c r="L1740">
        <v>2</v>
      </c>
      <c r="M1740" t="s">
        <v>55</v>
      </c>
      <c r="N1740" t="s">
        <v>55</v>
      </c>
      <c r="O1740" t="s">
        <v>393</v>
      </c>
      <c r="P1740" s="6" t="str">
        <f>IF(Table1[[#This Row],[Transaction_Amount]]&lt;=Table1[[#This Row],[avg_transaction_amount]], "usual transaction", "unusual transaction")</f>
        <v>unusual transaction</v>
      </c>
      <c r="Q1740" s="6" t="str">
        <f>IF(AND(Table1[[#This Row],[Country_of_Residence]]&lt;&gt;Table1[[#This Row],[Country_of_Transaction]], OR(Table1[[#This Row],[Authentication_Type]]="Biometric", Table1[[#This Row],[Authentication_Type]]="OTP")), "safe location transaction", "unsafe location transaction")</f>
        <v>unsafe location transaction</v>
      </c>
      <c r="R1740" s="6" t="str">
        <f>IF(AND(Table1[[#This Row],[Country_of_Residence]]&lt;&gt;Table1[[#This Row],[Country_of_Transaction]], OR(Table1[[#This Row],[Merchant_Category]]="Electronics", Table1[[#This Row],[Merchant_Category]]="Travel")), "unsafe merchant transaction", "safe merchant transaction")</f>
        <v>safe merchant transaction</v>
      </c>
    </row>
    <row r="1741" spans="1:18">
      <c r="A1741" t="s">
        <v>3126</v>
      </c>
      <c r="B1741" t="s">
        <v>269</v>
      </c>
      <c r="C1741">
        <v>1</v>
      </c>
      <c r="D1741" t="s">
        <v>9</v>
      </c>
      <c r="E1741" t="s">
        <v>6</v>
      </c>
      <c r="F1741" s="2">
        <v>45980</v>
      </c>
      <c r="G1741">
        <v>3921.77</v>
      </c>
      <c r="H1741" s="1">
        <f>AVERAGEIF(Table1[Customer_ID], Table1[[#This Row],[Customer_ID]], Table1[Transaction_Amount])</f>
        <v>4912.8857407407413</v>
      </c>
      <c r="I1741" t="s">
        <v>767</v>
      </c>
      <c r="J1741" t="s">
        <v>41</v>
      </c>
      <c r="K1741" t="s">
        <v>10</v>
      </c>
      <c r="L1741">
        <v>2</v>
      </c>
      <c r="M1741" t="s">
        <v>47</v>
      </c>
      <c r="N1741" t="s">
        <v>37</v>
      </c>
      <c r="O1741" t="s">
        <v>392</v>
      </c>
      <c r="P1741" s="6" t="str">
        <f>IF(Table1[[#This Row],[Transaction_Amount]]&lt;=Table1[[#This Row],[avg_transaction_amount]], "usual transaction", "unusual transaction")</f>
        <v>usual transaction</v>
      </c>
      <c r="Q1741" s="6" t="str">
        <f>IF(AND(Table1[[#This Row],[Country_of_Residence]]&lt;&gt;Table1[[#This Row],[Country_of_Transaction]], OR(Table1[[#This Row],[Authentication_Type]]="Biometric", Table1[[#This Row],[Authentication_Type]]="OTP")), "safe location transaction", "unsafe location transaction")</f>
        <v>safe location transaction</v>
      </c>
      <c r="R1741" s="6" t="str">
        <f>IF(AND(Table1[[#This Row],[Country_of_Residence]]&lt;&gt;Table1[[#This Row],[Country_of_Transaction]], OR(Table1[[#This Row],[Merchant_Category]]="Electronics", Table1[[#This Row],[Merchant_Category]]="Travel")), "unsafe merchant transaction", "safe merchant transaction")</f>
        <v>safe merchant transaction</v>
      </c>
    </row>
    <row r="1742" spans="1:18">
      <c r="A1742" t="s">
        <v>3142</v>
      </c>
      <c r="B1742" t="s">
        <v>269</v>
      </c>
      <c r="C1742">
        <v>1</v>
      </c>
      <c r="D1742" t="s">
        <v>15</v>
      </c>
      <c r="E1742" t="s">
        <v>5</v>
      </c>
      <c r="F1742" s="2">
        <v>45677</v>
      </c>
      <c r="G1742">
        <v>1770.38</v>
      </c>
      <c r="H1742" s="1">
        <f>AVERAGEIF(Table1[Customer_ID], Table1[[#This Row],[Customer_ID]], Table1[Transaction_Amount])</f>
        <v>4912.8857407407413</v>
      </c>
      <c r="I1742" t="s">
        <v>782</v>
      </c>
      <c r="J1742" t="s">
        <v>31</v>
      </c>
      <c r="K1742" t="s">
        <v>10</v>
      </c>
      <c r="L1742">
        <v>2</v>
      </c>
      <c r="M1742" t="s">
        <v>51</v>
      </c>
      <c r="N1742" t="s">
        <v>56</v>
      </c>
      <c r="O1742" t="s">
        <v>393</v>
      </c>
      <c r="P1742" s="6" t="str">
        <f>IF(Table1[[#This Row],[Transaction_Amount]]&lt;=Table1[[#This Row],[avg_transaction_amount]], "usual transaction", "unusual transaction")</f>
        <v>usual transaction</v>
      </c>
      <c r="Q1742" s="6" t="str">
        <f>IF(AND(Table1[[#This Row],[Country_of_Residence]]&lt;&gt;Table1[[#This Row],[Country_of_Transaction]], OR(Table1[[#This Row],[Authentication_Type]]="Biometric", Table1[[#This Row],[Authentication_Type]]="OTP")), "safe location transaction", "unsafe location transaction")</f>
        <v>safe location transaction</v>
      </c>
      <c r="R1742" s="6" t="str">
        <f>IF(AND(Table1[[#This Row],[Country_of_Residence]]&lt;&gt;Table1[[#This Row],[Country_of_Transaction]], OR(Table1[[#This Row],[Merchant_Category]]="Electronics", Table1[[#This Row],[Merchant_Category]]="Travel")), "unsafe merchant transaction", "safe merchant transaction")</f>
        <v>safe merchant transaction</v>
      </c>
    </row>
    <row r="1743" spans="1:18">
      <c r="A1743" t="s">
        <v>3149</v>
      </c>
      <c r="B1743" t="s">
        <v>269</v>
      </c>
      <c r="C1743">
        <v>1</v>
      </c>
      <c r="D1743" t="s">
        <v>15</v>
      </c>
      <c r="E1743" t="s">
        <v>6</v>
      </c>
      <c r="F1743" s="2">
        <v>45937</v>
      </c>
      <c r="G1743">
        <v>276.33999999999997</v>
      </c>
      <c r="H1743" s="1">
        <f>AVERAGEIF(Table1[Customer_ID], Table1[[#This Row],[Customer_ID]], Table1[Transaction_Amount])</f>
        <v>4912.8857407407413</v>
      </c>
      <c r="I1743" t="s">
        <v>672</v>
      </c>
      <c r="J1743" t="s">
        <v>41</v>
      </c>
      <c r="K1743" t="s">
        <v>8</v>
      </c>
      <c r="L1743">
        <v>4</v>
      </c>
      <c r="M1743" t="s">
        <v>42</v>
      </c>
      <c r="N1743" t="s">
        <v>412</v>
      </c>
      <c r="O1743" t="s">
        <v>393</v>
      </c>
      <c r="P1743" s="6" t="str">
        <f>IF(Table1[[#This Row],[Transaction_Amount]]&lt;=Table1[[#This Row],[avg_transaction_amount]], "usual transaction", "unusual transaction")</f>
        <v>usual transaction</v>
      </c>
      <c r="Q1743" s="6" t="str">
        <f>IF(AND(Table1[[#This Row],[Country_of_Residence]]&lt;&gt;Table1[[#This Row],[Country_of_Transaction]], OR(Table1[[#This Row],[Authentication_Type]]="Biometric", Table1[[#This Row],[Authentication_Type]]="OTP")), "safe location transaction", "unsafe location transaction")</f>
        <v>safe location transaction</v>
      </c>
      <c r="R1743" s="6" t="str">
        <f>IF(AND(Table1[[#This Row],[Country_of_Residence]]&lt;&gt;Table1[[#This Row],[Country_of_Transaction]], OR(Table1[[#This Row],[Merchant_Category]]="Electronics", Table1[[#This Row],[Merchant_Category]]="Travel")), "unsafe merchant transaction", "safe merchant transaction")</f>
        <v>safe merchant transaction</v>
      </c>
    </row>
    <row r="1744" spans="1:18">
      <c r="A1744" t="s">
        <v>3188</v>
      </c>
      <c r="B1744" t="s">
        <v>269</v>
      </c>
      <c r="C1744">
        <v>1</v>
      </c>
      <c r="D1744" t="s">
        <v>9</v>
      </c>
      <c r="E1744" t="s">
        <v>420</v>
      </c>
      <c r="F1744" s="2">
        <v>45948</v>
      </c>
      <c r="G1744">
        <v>3868.97</v>
      </c>
      <c r="H1744" s="1">
        <f>AVERAGEIF(Table1[Customer_ID], Table1[[#This Row],[Customer_ID]], Table1[Transaction_Amount])</f>
        <v>4912.8857407407413</v>
      </c>
      <c r="I1744" t="s">
        <v>823</v>
      </c>
      <c r="J1744" t="s">
        <v>46</v>
      </c>
      <c r="K1744" t="s">
        <v>12</v>
      </c>
      <c r="L1744">
        <v>5</v>
      </c>
      <c r="M1744" t="s">
        <v>32</v>
      </c>
      <c r="N1744" t="s">
        <v>47</v>
      </c>
      <c r="O1744" t="s">
        <v>392</v>
      </c>
      <c r="P1744" s="6" t="str">
        <f>IF(Table1[[#This Row],[Transaction_Amount]]&lt;=Table1[[#This Row],[avg_transaction_amount]], "usual transaction", "unusual transaction")</f>
        <v>usual transaction</v>
      </c>
      <c r="Q1744" s="6" t="str">
        <f>IF(AND(Table1[[#This Row],[Country_of_Residence]]&lt;&gt;Table1[[#This Row],[Country_of_Transaction]], OR(Table1[[#This Row],[Authentication_Type]]="Biometric", Table1[[#This Row],[Authentication_Type]]="OTP")), "safe location transaction", "unsafe location transaction")</f>
        <v>unsafe location transaction</v>
      </c>
      <c r="R1744" s="6" t="str">
        <f>IF(AND(Table1[[#This Row],[Country_of_Residence]]&lt;&gt;Table1[[#This Row],[Country_of_Transaction]], OR(Table1[[#This Row],[Merchant_Category]]="Electronics", Table1[[#This Row],[Merchant_Category]]="Travel")), "unsafe merchant transaction", "safe merchant transaction")</f>
        <v>safe merchant transaction</v>
      </c>
    </row>
    <row r="1745" spans="1:18">
      <c r="A1745" t="s">
        <v>3198</v>
      </c>
      <c r="B1745" t="s">
        <v>269</v>
      </c>
      <c r="C1745">
        <v>1</v>
      </c>
      <c r="D1745" t="s">
        <v>9</v>
      </c>
      <c r="E1745" t="s">
        <v>420</v>
      </c>
      <c r="F1745" s="2">
        <v>45838</v>
      </c>
      <c r="G1745">
        <v>4567.6499999999996</v>
      </c>
      <c r="H1745" s="1">
        <f>AVERAGEIF(Table1[Customer_ID], Table1[[#This Row],[Customer_ID]], Table1[Transaction_Amount])</f>
        <v>4912.8857407407413</v>
      </c>
      <c r="I1745" t="s">
        <v>833</v>
      </c>
      <c r="J1745" t="s">
        <v>46</v>
      </c>
      <c r="K1745" t="s">
        <v>10</v>
      </c>
      <c r="L1745">
        <v>5</v>
      </c>
      <c r="M1745" t="s">
        <v>37</v>
      </c>
      <c r="N1745" t="s">
        <v>37</v>
      </c>
      <c r="O1745" t="s">
        <v>392</v>
      </c>
      <c r="P1745" s="6" t="str">
        <f>IF(Table1[[#This Row],[Transaction_Amount]]&lt;=Table1[[#This Row],[avg_transaction_amount]], "usual transaction", "unusual transaction")</f>
        <v>usual transaction</v>
      </c>
      <c r="Q1745" s="6" t="str">
        <f>IF(AND(Table1[[#This Row],[Country_of_Residence]]&lt;&gt;Table1[[#This Row],[Country_of_Transaction]], OR(Table1[[#This Row],[Authentication_Type]]="Biometric", Table1[[#This Row],[Authentication_Type]]="OTP")), "safe location transaction", "unsafe location transaction")</f>
        <v>unsafe location transaction</v>
      </c>
      <c r="R1745" s="6" t="str">
        <f>IF(AND(Table1[[#This Row],[Country_of_Residence]]&lt;&gt;Table1[[#This Row],[Country_of_Transaction]], OR(Table1[[#This Row],[Merchant_Category]]="Electronics", Table1[[#This Row],[Merchant_Category]]="Travel")), "unsafe merchant transaction", "safe merchant transaction")</f>
        <v>safe merchant transaction</v>
      </c>
    </row>
    <row r="1746" spans="1:18">
      <c r="A1746" t="s">
        <v>3273</v>
      </c>
      <c r="B1746" t="s">
        <v>269</v>
      </c>
      <c r="C1746">
        <v>1</v>
      </c>
      <c r="D1746" t="s">
        <v>15</v>
      </c>
      <c r="E1746" t="s">
        <v>420</v>
      </c>
      <c r="F1746" s="2">
        <v>45792</v>
      </c>
      <c r="G1746">
        <v>5644.44</v>
      </c>
      <c r="H1746" s="1">
        <f>AVERAGEIF(Table1[Customer_ID], Table1[[#This Row],[Customer_ID]], Table1[Transaction_Amount])</f>
        <v>4912.8857407407413</v>
      </c>
      <c r="I1746" t="s">
        <v>901</v>
      </c>
      <c r="J1746" t="s">
        <v>41</v>
      </c>
      <c r="K1746" t="s">
        <v>14</v>
      </c>
      <c r="L1746">
        <v>2</v>
      </c>
      <c r="M1746" t="s">
        <v>51</v>
      </c>
      <c r="N1746" t="s">
        <v>412</v>
      </c>
      <c r="O1746" t="s">
        <v>392</v>
      </c>
      <c r="P1746" s="6" t="str">
        <f>IF(Table1[[#This Row],[Transaction_Amount]]&lt;=Table1[[#This Row],[avg_transaction_amount]], "usual transaction", "unusual transaction")</f>
        <v>unusual transaction</v>
      </c>
      <c r="Q1746" s="6" t="str">
        <f>IF(AND(Table1[[#This Row],[Country_of_Residence]]&lt;&gt;Table1[[#This Row],[Country_of_Transaction]], OR(Table1[[#This Row],[Authentication_Type]]="Biometric", Table1[[#This Row],[Authentication_Type]]="OTP")), "safe location transaction", "unsafe location transaction")</f>
        <v>unsafe location transaction</v>
      </c>
      <c r="R1746" s="6" t="str">
        <f>IF(AND(Table1[[#This Row],[Country_of_Residence]]&lt;&gt;Table1[[#This Row],[Country_of_Transaction]], OR(Table1[[#This Row],[Merchant_Category]]="Electronics", Table1[[#This Row],[Merchant_Category]]="Travel")), "unsafe merchant transaction", "safe merchant transaction")</f>
        <v>safe merchant transaction</v>
      </c>
    </row>
    <row r="1747" spans="1:18">
      <c r="A1747" t="s">
        <v>3322</v>
      </c>
      <c r="B1747" t="s">
        <v>269</v>
      </c>
      <c r="C1747">
        <v>1</v>
      </c>
      <c r="D1747" t="s">
        <v>15</v>
      </c>
      <c r="E1747" t="s">
        <v>5</v>
      </c>
      <c r="F1747" s="2">
        <v>45966</v>
      </c>
      <c r="G1747">
        <v>3471.28</v>
      </c>
      <c r="H1747" s="1">
        <f>AVERAGEIF(Table1[Customer_ID], Table1[[#This Row],[Customer_ID]], Table1[Transaction_Amount])</f>
        <v>4912.8857407407413</v>
      </c>
      <c r="I1747" t="s">
        <v>948</v>
      </c>
      <c r="J1747" t="s">
        <v>46</v>
      </c>
      <c r="K1747" t="s">
        <v>14</v>
      </c>
      <c r="L1747">
        <v>5</v>
      </c>
      <c r="M1747" t="s">
        <v>56</v>
      </c>
      <c r="N1747" t="s">
        <v>56</v>
      </c>
      <c r="O1747" t="s">
        <v>393</v>
      </c>
      <c r="P1747" s="6" t="str">
        <f>IF(Table1[[#This Row],[Transaction_Amount]]&lt;=Table1[[#This Row],[avg_transaction_amount]], "usual transaction", "unusual transaction")</f>
        <v>usual transaction</v>
      </c>
      <c r="Q1747" s="6" t="str">
        <f>IF(AND(Table1[[#This Row],[Country_of_Residence]]&lt;&gt;Table1[[#This Row],[Country_of_Transaction]], OR(Table1[[#This Row],[Authentication_Type]]="Biometric", Table1[[#This Row],[Authentication_Type]]="OTP")), "safe location transaction", "unsafe location transaction")</f>
        <v>unsafe location transaction</v>
      </c>
      <c r="R1747" s="6" t="str">
        <f>IF(AND(Table1[[#This Row],[Country_of_Residence]]&lt;&gt;Table1[[#This Row],[Country_of_Transaction]], OR(Table1[[#This Row],[Merchant_Category]]="Electronics", Table1[[#This Row],[Merchant_Category]]="Travel")), "unsafe merchant transaction", "safe merchant transaction")</f>
        <v>safe merchant transaction</v>
      </c>
    </row>
    <row r="1748" spans="1:18">
      <c r="A1748" t="s">
        <v>3323</v>
      </c>
      <c r="B1748" t="s">
        <v>269</v>
      </c>
      <c r="C1748">
        <v>1</v>
      </c>
      <c r="D1748" t="s">
        <v>15</v>
      </c>
      <c r="E1748" t="s">
        <v>5</v>
      </c>
      <c r="F1748" s="2">
        <v>46011</v>
      </c>
      <c r="G1748">
        <v>8007.56</v>
      </c>
      <c r="H1748" s="1">
        <f>AVERAGEIF(Table1[Customer_ID], Table1[[#This Row],[Customer_ID]], Table1[Transaction_Amount])</f>
        <v>4912.8857407407413</v>
      </c>
      <c r="I1748" t="s">
        <v>949</v>
      </c>
      <c r="J1748" t="s">
        <v>36</v>
      </c>
      <c r="K1748" t="s">
        <v>12</v>
      </c>
      <c r="L1748">
        <v>1</v>
      </c>
      <c r="M1748" t="s">
        <v>55</v>
      </c>
      <c r="N1748" t="s">
        <v>42</v>
      </c>
      <c r="O1748" t="s">
        <v>393</v>
      </c>
      <c r="P1748" s="6" t="str">
        <f>IF(Table1[[#This Row],[Transaction_Amount]]&lt;=Table1[[#This Row],[avg_transaction_amount]], "usual transaction", "unusual transaction")</f>
        <v>unusual transaction</v>
      </c>
      <c r="Q1748" s="6" t="str">
        <f>IF(AND(Table1[[#This Row],[Country_of_Residence]]&lt;&gt;Table1[[#This Row],[Country_of_Transaction]], OR(Table1[[#This Row],[Authentication_Type]]="Biometric", Table1[[#This Row],[Authentication_Type]]="OTP")), "safe location transaction", "unsafe location transaction")</f>
        <v>unsafe location transaction</v>
      </c>
      <c r="R1748" s="6" t="str">
        <f>IF(AND(Table1[[#This Row],[Country_of_Residence]]&lt;&gt;Table1[[#This Row],[Country_of_Transaction]], OR(Table1[[#This Row],[Merchant_Category]]="Electronics", Table1[[#This Row],[Merchant_Category]]="Travel")), "unsafe merchant transaction", "safe merchant transaction")</f>
        <v>safe merchant transaction</v>
      </c>
    </row>
    <row r="1749" spans="1:18">
      <c r="A1749" t="s">
        <v>3378</v>
      </c>
      <c r="B1749" t="s">
        <v>269</v>
      </c>
      <c r="C1749">
        <v>1</v>
      </c>
      <c r="D1749" t="s">
        <v>15</v>
      </c>
      <c r="E1749" t="s">
        <v>420</v>
      </c>
      <c r="F1749" s="2">
        <v>45988</v>
      </c>
      <c r="G1749">
        <v>7920.42</v>
      </c>
      <c r="H1749" s="1">
        <f>AVERAGEIF(Table1[Customer_ID], Table1[[#This Row],[Customer_ID]], Table1[Transaction_Amount])</f>
        <v>4912.8857407407413</v>
      </c>
      <c r="I1749" t="s">
        <v>675</v>
      </c>
      <c r="J1749" t="s">
        <v>36</v>
      </c>
      <c r="K1749" t="s">
        <v>8</v>
      </c>
      <c r="L1749">
        <v>1</v>
      </c>
      <c r="M1749" t="s">
        <v>51</v>
      </c>
      <c r="N1749" t="s">
        <v>51</v>
      </c>
      <c r="O1749" t="s">
        <v>393</v>
      </c>
      <c r="P1749" s="6" t="str">
        <f>IF(Table1[[#This Row],[Transaction_Amount]]&lt;=Table1[[#This Row],[avg_transaction_amount]], "usual transaction", "unusual transaction")</f>
        <v>unusual transaction</v>
      </c>
      <c r="Q1749" s="6" t="str">
        <f>IF(AND(Table1[[#This Row],[Country_of_Residence]]&lt;&gt;Table1[[#This Row],[Country_of_Transaction]], OR(Table1[[#This Row],[Authentication_Type]]="Biometric", Table1[[#This Row],[Authentication_Type]]="OTP")), "safe location transaction", "unsafe location transaction")</f>
        <v>unsafe location transaction</v>
      </c>
      <c r="R1749" s="6" t="str">
        <f>IF(AND(Table1[[#This Row],[Country_of_Residence]]&lt;&gt;Table1[[#This Row],[Country_of_Transaction]], OR(Table1[[#This Row],[Merchant_Category]]="Electronics", Table1[[#This Row],[Merchant_Category]]="Travel")), "unsafe merchant transaction", "safe merchant transaction")</f>
        <v>safe merchant transaction</v>
      </c>
    </row>
    <row r="1750" spans="1:18">
      <c r="A1750" t="s">
        <v>3385</v>
      </c>
      <c r="B1750" t="s">
        <v>269</v>
      </c>
      <c r="C1750">
        <v>1</v>
      </c>
      <c r="D1750" t="s">
        <v>9</v>
      </c>
      <c r="E1750" t="s">
        <v>420</v>
      </c>
      <c r="F1750" s="2">
        <v>45832</v>
      </c>
      <c r="G1750">
        <v>2375.5500000000002</v>
      </c>
      <c r="H1750" s="1">
        <f>AVERAGEIF(Table1[Customer_ID], Table1[[#This Row],[Customer_ID]], Table1[Transaction_Amount])</f>
        <v>4912.8857407407413</v>
      </c>
      <c r="I1750" t="s">
        <v>1006</v>
      </c>
      <c r="J1750" t="s">
        <v>46</v>
      </c>
      <c r="K1750" t="s">
        <v>8</v>
      </c>
      <c r="L1750">
        <v>5</v>
      </c>
      <c r="M1750" t="s">
        <v>56</v>
      </c>
      <c r="N1750" t="s">
        <v>55</v>
      </c>
      <c r="O1750" t="s">
        <v>393</v>
      </c>
      <c r="P1750" s="6" t="str">
        <f>IF(Table1[[#This Row],[Transaction_Amount]]&lt;=Table1[[#This Row],[avg_transaction_amount]], "usual transaction", "unusual transaction")</f>
        <v>usual transaction</v>
      </c>
      <c r="Q1750" s="6" t="str">
        <f>IF(AND(Table1[[#This Row],[Country_of_Residence]]&lt;&gt;Table1[[#This Row],[Country_of_Transaction]], OR(Table1[[#This Row],[Authentication_Type]]="Biometric", Table1[[#This Row],[Authentication_Type]]="OTP")), "safe location transaction", "unsafe location transaction")</f>
        <v>safe location transaction</v>
      </c>
      <c r="R1750" s="6" t="str">
        <f>IF(AND(Table1[[#This Row],[Country_of_Residence]]&lt;&gt;Table1[[#This Row],[Country_of_Transaction]], OR(Table1[[#This Row],[Merchant_Category]]="Electronics", Table1[[#This Row],[Merchant_Category]]="Travel")), "unsafe merchant transaction", "safe merchant transaction")</f>
        <v>safe merchant transaction</v>
      </c>
    </row>
    <row r="1751" spans="1:18">
      <c r="A1751" t="s">
        <v>3456</v>
      </c>
      <c r="B1751" t="s">
        <v>269</v>
      </c>
      <c r="C1751">
        <v>1</v>
      </c>
      <c r="D1751" t="s">
        <v>15</v>
      </c>
      <c r="E1751" t="s">
        <v>420</v>
      </c>
      <c r="F1751" s="2">
        <v>45665</v>
      </c>
      <c r="G1751">
        <v>5003.16</v>
      </c>
      <c r="H1751" s="1">
        <f>AVERAGEIF(Table1[Customer_ID], Table1[[#This Row],[Customer_ID]], Table1[Transaction_Amount])</f>
        <v>4912.8857407407413</v>
      </c>
      <c r="I1751" t="s">
        <v>1074</v>
      </c>
      <c r="J1751" t="s">
        <v>31</v>
      </c>
      <c r="K1751" t="s">
        <v>8</v>
      </c>
      <c r="L1751">
        <v>5</v>
      </c>
      <c r="M1751" t="s">
        <v>33</v>
      </c>
      <c r="N1751" t="s">
        <v>51</v>
      </c>
      <c r="O1751" t="s">
        <v>392</v>
      </c>
      <c r="P1751" s="6" t="str">
        <f>IF(Table1[[#This Row],[Transaction_Amount]]&lt;=Table1[[#This Row],[avg_transaction_amount]], "usual transaction", "unusual transaction")</f>
        <v>unusual transaction</v>
      </c>
      <c r="Q1751" s="6" t="str">
        <f>IF(AND(Table1[[#This Row],[Country_of_Residence]]&lt;&gt;Table1[[#This Row],[Country_of_Transaction]], OR(Table1[[#This Row],[Authentication_Type]]="Biometric", Table1[[#This Row],[Authentication_Type]]="OTP")), "safe location transaction", "unsafe location transaction")</f>
        <v>safe location transaction</v>
      </c>
      <c r="R1751" s="6" t="str">
        <f>IF(AND(Table1[[#This Row],[Country_of_Residence]]&lt;&gt;Table1[[#This Row],[Country_of_Transaction]], OR(Table1[[#This Row],[Merchant_Category]]="Electronics", Table1[[#This Row],[Merchant_Category]]="Travel")), "unsafe merchant transaction", "safe merchant transaction")</f>
        <v>safe merchant transaction</v>
      </c>
    </row>
    <row r="1752" spans="1:18">
      <c r="A1752" t="s">
        <v>3574</v>
      </c>
      <c r="B1752" t="s">
        <v>269</v>
      </c>
      <c r="C1752">
        <v>1</v>
      </c>
      <c r="D1752" t="s">
        <v>15</v>
      </c>
      <c r="E1752" t="s">
        <v>420</v>
      </c>
      <c r="F1752" s="2">
        <v>45846</v>
      </c>
      <c r="G1752">
        <v>4830.6400000000003</v>
      </c>
      <c r="H1752" s="1">
        <f>AVERAGEIF(Table1[Customer_ID], Table1[[#This Row],[Customer_ID]], Table1[Transaction_Amount])</f>
        <v>4912.8857407407413</v>
      </c>
      <c r="I1752" t="s">
        <v>1185</v>
      </c>
      <c r="J1752" t="s">
        <v>36</v>
      </c>
      <c r="K1752" t="s">
        <v>8</v>
      </c>
      <c r="L1752">
        <v>5</v>
      </c>
      <c r="M1752" t="s">
        <v>32</v>
      </c>
      <c r="N1752" t="s">
        <v>47</v>
      </c>
      <c r="O1752" t="s">
        <v>393</v>
      </c>
      <c r="P1752" s="6" t="str">
        <f>IF(Table1[[#This Row],[Transaction_Amount]]&lt;=Table1[[#This Row],[avg_transaction_amount]], "usual transaction", "unusual transaction")</f>
        <v>usual transaction</v>
      </c>
      <c r="Q1752" s="6" t="str">
        <f>IF(AND(Table1[[#This Row],[Country_of_Residence]]&lt;&gt;Table1[[#This Row],[Country_of_Transaction]], OR(Table1[[#This Row],[Authentication_Type]]="Biometric", Table1[[#This Row],[Authentication_Type]]="OTP")), "safe location transaction", "unsafe location transaction")</f>
        <v>safe location transaction</v>
      </c>
      <c r="R1752" s="6" t="str">
        <f>IF(AND(Table1[[#This Row],[Country_of_Residence]]&lt;&gt;Table1[[#This Row],[Country_of_Transaction]], OR(Table1[[#This Row],[Merchant_Category]]="Electronics", Table1[[#This Row],[Merchant_Category]]="Travel")), "unsafe merchant transaction", "safe merchant transaction")</f>
        <v>safe merchant transaction</v>
      </c>
    </row>
    <row r="1753" spans="1:18">
      <c r="A1753" t="s">
        <v>3662</v>
      </c>
      <c r="B1753" t="s">
        <v>269</v>
      </c>
      <c r="C1753">
        <v>1</v>
      </c>
      <c r="D1753" t="s">
        <v>9</v>
      </c>
      <c r="E1753" t="s">
        <v>420</v>
      </c>
      <c r="F1753" s="2">
        <v>45995</v>
      </c>
      <c r="G1753">
        <v>1441.16</v>
      </c>
      <c r="H1753" s="1">
        <f>AVERAGEIF(Table1[Customer_ID], Table1[[#This Row],[Customer_ID]], Table1[Transaction_Amount])</f>
        <v>4912.8857407407413</v>
      </c>
      <c r="I1753" t="s">
        <v>1265</v>
      </c>
      <c r="J1753" t="s">
        <v>50</v>
      </c>
      <c r="K1753" t="s">
        <v>10</v>
      </c>
      <c r="L1753">
        <v>5</v>
      </c>
      <c r="M1753" t="s">
        <v>51</v>
      </c>
      <c r="N1753" t="s">
        <v>412</v>
      </c>
      <c r="O1753" t="s">
        <v>392</v>
      </c>
      <c r="P1753" s="6" t="str">
        <f>IF(Table1[[#This Row],[Transaction_Amount]]&lt;=Table1[[#This Row],[avg_transaction_amount]], "usual transaction", "unusual transaction")</f>
        <v>usual transaction</v>
      </c>
      <c r="Q1753" s="6" t="str">
        <f>IF(AND(Table1[[#This Row],[Country_of_Residence]]&lt;&gt;Table1[[#This Row],[Country_of_Transaction]], OR(Table1[[#This Row],[Authentication_Type]]="Biometric", Table1[[#This Row],[Authentication_Type]]="OTP")), "safe location transaction", "unsafe location transaction")</f>
        <v>safe location transaction</v>
      </c>
      <c r="R1753" s="6" t="str">
        <f>IF(AND(Table1[[#This Row],[Country_of_Residence]]&lt;&gt;Table1[[#This Row],[Country_of_Transaction]], OR(Table1[[#This Row],[Merchant_Category]]="Electronics", Table1[[#This Row],[Merchant_Category]]="Travel")), "unsafe merchant transaction", "safe merchant transaction")</f>
        <v>unsafe merchant transaction</v>
      </c>
    </row>
    <row r="1754" spans="1:18">
      <c r="A1754" t="s">
        <v>3700</v>
      </c>
      <c r="B1754" t="s">
        <v>269</v>
      </c>
      <c r="C1754">
        <v>1</v>
      </c>
      <c r="D1754" t="s">
        <v>9</v>
      </c>
      <c r="E1754" t="s">
        <v>6</v>
      </c>
      <c r="F1754" s="2">
        <v>45958</v>
      </c>
      <c r="G1754">
        <v>6203.68</v>
      </c>
      <c r="H1754" s="1">
        <f>AVERAGEIF(Table1[Customer_ID], Table1[[#This Row],[Customer_ID]], Table1[Transaction_Amount])</f>
        <v>4912.8857407407413</v>
      </c>
      <c r="I1754" t="s">
        <v>1297</v>
      </c>
      <c r="J1754" t="s">
        <v>41</v>
      </c>
      <c r="K1754" t="s">
        <v>14</v>
      </c>
      <c r="L1754">
        <v>3</v>
      </c>
      <c r="M1754" t="s">
        <v>47</v>
      </c>
      <c r="N1754" t="s">
        <v>42</v>
      </c>
      <c r="O1754" t="s">
        <v>393</v>
      </c>
      <c r="P1754" s="6" t="str">
        <f>IF(Table1[[#This Row],[Transaction_Amount]]&lt;=Table1[[#This Row],[avg_transaction_amount]], "usual transaction", "unusual transaction")</f>
        <v>unusual transaction</v>
      </c>
      <c r="Q1754" s="6" t="str">
        <f>IF(AND(Table1[[#This Row],[Country_of_Residence]]&lt;&gt;Table1[[#This Row],[Country_of_Transaction]], OR(Table1[[#This Row],[Authentication_Type]]="Biometric", Table1[[#This Row],[Authentication_Type]]="OTP")), "safe location transaction", "unsafe location transaction")</f>
        <v>unsafe location transaction</v>
      </c>
      <c r="R1754" s="6" t="str">
        <f>IF(AND(Table1[[#This Row],[Country_of_Residence]]&lt;&gt;Table1[[#This Row],[Country_of_Transaction]], OR(Table1[[#This Row],[Merchant_Category]]="Electronics", Table1[[#This Row],[Merchant_Category]]="Travel")), "unsafe merchant transaction", "safe merchant transaction")</f>
        <v>safe merchant transaction</v>
      </c>
    </row>
    <row r="1755" spans="1:18">
      <c r="A1755" t="s">
        <v>3785</v>
      </c>
      <c r="B1755" t="s">
        <v>269</v>
      </c>
      <c r="C1755">
        <v>1</v>
      </c>
      <c r="D1755" t="s">
        <v>15</v>
      </c>
      <c r="E1755" t="s">
        <v>420</v>
      </c>
      <c r="F1755" s="2">
        <v>45752</v>
      </c>
      <c r="G1755">
        <v>4814.26</v>
      </c>
      <c r="H1755" s="1">
        <f>AVERAGEIF(Table1[Customer_ID], Table1[[#This Row],[Customer_ID]], Table1[Transaction_Amount])</f>
        <v>4912.8857407407413</v>
      </c>
      <c r="I1755" t="s">
        <v>1372</v>
      </c>
      <c r="J1755" t="s">
        <v>46</v>
      </c>
      <c r="K1755" t="s">
        <v>8</v>
      </c>
      <c r="L1755">
        <v>4</v>
      </c>
      <c r="M1755" t="s">
        <v>51</v>
      </c>
      <c r="N1755" t="s">
        <v>47</v>
      </c>
      <c r="O1755" t="s">
        <v>392</v>
      </c>
      <c r="P1755" s="6" t="str">
        <f>IF(Table1[[#This Row],[Transaction_Amount]]&lt;=Table1[[#This Row],[avg_transaction_amount]], "usual transaction", "unusual transaction")</f>
        <v>usual transaction</v>
      </c>
      <c r="Q1755" s="6" t="str">
        <f>IF(AND(Table1[[#This Row],[Country_of_Residence]]&lt;&gt;Table1[[#This Row],[Country_of_Transaction]], OR(Table1[[#This Row],[Authentication_Type]]="Biometric", Table1[[#This Row],[Authentication_Type]]="OTP")), "safe location transaction", "unsafe location transaction")</f>
        <v>safe location transaction</v>
      </c>
      <c r="R1755" s="6" t="str">
        <f>IF(AND(Table1[[#This Row],[Country_of_Residence]]&lt;&gt;Table1[[#This Row],[Country_of_Transaction]], OR(Table1[[#This Row],[Merchant_Category]]="Electronics", Table1[[#This Row],[Merchant_Category]]="Travel")), "unsafe merchant transaction", "safe merchant transaction")</f>
        <v>safe merchant transaction</v>
      </c>
    </row>
    <row r="1756" spans="1:18">
      <c r="A1756" t="s">
        <v>3802</v>
      </c>
      <c r="B1756" t="s">
        <v>269</v>
      </c>
      <c r="C1756">
        <v>1</v>
      </c>
      <c r="D1756" t="s">
        <v>9</v>
      </c>
      <c r="E1756" t="s">
        <v>420</v>
      </c>
      <c r="F1756" s="2">
        <v>45957</v>
      </c>
      <c r="G1756">
        <v>1746.06</v>
      </c>
      <c r="H1756" s="1">
        <f>AVERAGEIF(Table1[Customer_ID], Table1[[#This Row],[Customer_ID]], Table1[Transaction_Amount])</f>
        <v>4912.8857407407413</v>
      </c>
      <c r="I1756" t="s">
        <v>1386</v>
      </c>
      <c r="J1756" t="s">
        <v>36</v>
      </c>
      <c r="K1756" t="s">
        <v>10</v>
      </c>
      <c r="L1756">
        <v>3</v>
      </c>
      <c r="M1756" t="s">
        <v>51</v>
      </c>
      <c r="N1756" t="s">
        <v>51</v>
      </c>
      <c r="O1756" t="s">
        <v>392</v>
      </c>
      <c r="P1756" s="6" t="str">
        <f>IF(Table1[[#This Row],[Transaction_Amount]]&lt;=Table1[[#This Row],[avg_transaction_amount]], "usual transaction", "unusual transaction")</f>
        <v>usual transaction</v>
      </c>
      <c r="Q1756" s="6" t="str">
        <f>IF(AND(Table1[[#This Row],[Country_of_Residence]]&lt;&gt;Table1[[#This Row],[Country_of_Transaction]], OR(Table1[[#This Row],[Authentication_Type]]="Biometric", Table1[[#This Row],[Authentication_Type]]="OTP")), "safe location transaction", "unsafe location transaction")</f>
        <v>unsafe location transaction</v>
      </c>
      <c r="R1756" s="6" t="str">
        <f>IF(AND(Table1[[#This Row],[Country_of_Residence]]&lt;&gt;Table1[[#This Row],[Country_of_Transaction]], OR(Table1[[#This Row],[Merchant_Category]]="Electronics", Table1[[#This Row],[Merchant_Category]]="Travel")), "unsafe merchant transaction", "safe merchant transaction")</f>
        <v>safe merchant transaction</v>
      </c>
    </row>
    <row r="1757" spans="1:18">
      <c r="A1757" t="s">
        <v>3819</v>
      </c>
      <c r="B1757" t="s">
        <v>269</v>
      </c>
      <c r="C1757">
        <v>1</v>
      </c>
      <c r="D1757" t="s">
        <v>15</v>
      </c>
      <c r="E1757" t="s">
        <v>420</v>
      </c>
      <c r="F1757" s="2">
        <v>45858</v>
      </c>
      <c r="G1757">
        <v>1541.5</v>
      </c>
      <c r="H1757" s="1">
        <f>AVERAGEIF(Table1[Customer_ID], Table1[[#This Row],[Customer_ID]], Table1[Transaction_Amount])</f>
        <v>4912.8857407407413</v>
      </c>
      <c r="I1757" t="s">
        <v>1401</v>
      </c>
      <c r="J1757" t="s">
        <v>41</v>
      </c>
      <c r="K1757" t="s">
        <v>14</v>
      </c>
      <c r="L1757">
        <v>1</v>
      </c>
      <c r="M1757" t="s">
        <v>55</v>
      </c>
      <c r="N1757" t="s">
        <v>47</v>
      </c>
      <c r="O1757" t="s">
        <v>393</v>
      </c>
      <c r="P1757" s="6" t="str">
        <f>IF(Table1[[#This Row],[Transaction_Amount]]&lt;=Table1[[#This Row],[avg_transaction_amount]], "usual transaction", "unusual transaction")</f>
        <v>usual transaction</v>
      </c>
      <c r="Q1757" s="6" t="str">
        <f>IF(AND(Table1[[#This Row],[Country_of_Residence]]&lt;&gt;Table1[[#This Row],[Country_of_Transaction]], OR(Table1[[#This Row],[Authentication_Type]]="Biometric", Table1[[#This Row],[Authentication_Type]]="OTP")), "safe location transaction", "unsafe location transaction")</f>
        <v>unsafe location transaction</v>
      </c>
      <c r="R1757" s="6" t="str">
        <f>IF(AND(Table1[[#This Row],[Country_of_Residence]]&lt;&gt;Table1[[#This Row],[Country_of_Transaction]], OR(Table1[[#This Row],[Merchant_Category]]="Electronics", Table1[[#This Row],[Merchant_Category]]="Travel")), "unsafe merchant transaction", "safe merchant transaction")</f>
        <v>safe merchant transaction</v>
      </c>
    </row>
    <row r="1758" spans="1:18">
      <c r="A1758" t="s">
        <v>3826</v>
      </c>
      <c r="B1758" t="s">
        <v>269</v>
      </c>
      <c r="C1758">
        <v>1</v>
      </c>
      <c r="D1758" t="s">
        <v>9</v>
      </c>
      <c r="E1758" t="s">
        <v>5</v>
      </c>
      <c r="F1758" s="2">
        <v>45975</v>
      </c>
      <c r="G1758">
        <v>2503.5300000000002</v>
      </c>
      <c r="H1758" s="1">
        <f>AVERAGEIF(Table1[Customer_ID], Table1[[#This Row],[Customer_ID]], Table1[Transaction_Amount])</f>
        <v>4912.8857407407413</v>
      </c>
      <c r="I1758" t="s">
        <v>1406</v>
      </c>
      <c r="J1758" t="s">
        <v>50</v>
      </c>
      <c r="K1758" t="s">
        <v>14</v>
      </c>
      <c r="L1758">
        <v>3</v>
      </c>
      <c r="M1758" t="s">
        <v>51</v>
      </c>
      <c r="N1758" t="s">
        <v>33</v>
      </c>
      <c r="O1758" t="s">
        <v>392</v>
      </c>
      <c r="P1758" s="6" t="str">
        <f>IF(Table1[[#This Row],[Transaction_Amount]]&lt;=Table1[[#This Row],[avg_transaction_amount]], "usual transaction", "unusual transaction")</f>
        <v>usual transaction</v>
      </c>
      <c r="Q1758" s="6" t="str">
        <f>IF(AND(Table1[[#This Row],[Country_of_Residence]]&lt;&gt;Table1[[#This Row],[Country_of_Transaction]], OR(Table1[[#This Row],[Authentication_Type]]="Biometric", Table1[[#This Row],[Authentication_Type]]="OTP")), "safe location transaction", "unsafe location transaction")</f>
        <v>unsafe location transaction</v>
      </c>
      <c r="R1758" s="6" t="str">
        <f>IF(AND(Table1[[#This Row],[Country_of_Residence]]&lt;&gt;Table1[[#This Row],[Country_of_Transaction]], OR(Table1[[#This Row],[Merchant_Category]]="Electronics", Table1[[#This Row],[Merchant_Category]]="Travel")), "unsafe merchant transaction", "safe merchant transaction")</f>
        <v>unsafe merchant transaction</v>
      </c>
    </row>
    <row r="1759" spans="1:18">
      <c r="A1759" t="s">
        <v>3858</v>
      </c>
      <c r="B1759" t="s">
        <v>269</v>
      </c>
      <c r="C1759">
        <v>1</v>
      </c>
      <c r="D1759" t="s">
        <v>15</v>
      </c>
      <c r="E1759" t="s">
        <v>3</v>
      </c>
      <c r="F1759" s="2">
        <v>45890</v>
      </c>
      <c r="G1759">
        <v>2558.96</v>
      </c>
      <c r="H1759" s="1">
        <f>AVERAGEIF(Table1[Customer_ID], Table1[[#This Row],[Customer_ID]], Table1[Transaction_Amount])</f>
        <v>4912.8857407407413</v>
      </c>
      <c r="I1759" t="s">
        <v>1433</v>
      </c>
      <c r="J1759" t="s">
        <v>46</v>
      </c>
      <c r="K1759" t="s">
        <v>8</v>
      </c>
      <c r="L1759">
        <v>0</v>
      </c>
      <c r="M1759" t="s">
        <v>51</v>
      </c>
      <c r="N1759" t="s">
        <v>37</v>
      </c>
      <c r="O1759" t="s">
        <v>393</v>
      </c>
      <c r="P1759" s="6" t="str">
        <f>IF(Table1[[#This Row],[Transaction_Amount]]&lt;=Table1[[#This Row],[avg_transaction_amount]], "usual transaction", "unusual transaction")</f>
        <v>usual transaction</v>
      </c>
      <c r="Q1759" s="6" t="str">
        <f>IF(AND(Table1[[#This Row],[Country_of_Residence]]&lt;&gt;Table1[[#This Row],[Country_of_Transaction]], OR(Table1[[#This Row],[Authentication_Type]]="Biometric", Table1[[#This Row],[Authentication_Type]]="OTP")), "safe location transaction", "unsafe location transaction")</f>
        <v>safe location transaction</v>
      </c>
      <c r="R1759" s="6" t="str">
        <f>IF(AND(Table1[[#This Row],[Country_of_Residence]]&lt;&gt;Table1[[#This Row],[Country_of_Transaction]], OR(Table1[[#This Row],[Merchant_Category]]="Electronics", Table1[[#This Row],[Merchant_Category]]="Travel")), "unsafe merchant transaction", "safe merchant transaction")</f>
        <v>safe merchant transaction</v>
      </c>
    </row>
    <row r="1760" spans="1:18">
      <c r="A1760" t="s">
        <v>3906</v>
      </c>
      <c r="B1760" t="s">
        <v>269</v>
      </c>
      <c r="C1760">
        <v>1</v>
      </c>
      <c r="D1760" t="s">
        <v>9</v>
      </c>
      <c r="E1760" t="s">
        <v>5</v>
      </c>
      <c r="F1760" s="2">
        <v>45927</v>
      </c>
      <c r="G1760">
        <v>9558.9</v>
      </c>
      <c r="H1760" s="1">
        <f>AVERAGEIF(Table1[Customer_ID], Table1[[#This Row],[Customer_ID]], Table1[Transaction_Amount])</f>
        <v>4912.8857407407413</v>
      </c>
      <c r="I1760" t="s">
        <v>1472</v>
      </c>
      <c r="J1760" t="s">
        <v>50</v>
      </c>
      <c r="K1760" t="s">
        <v>12</v>
      </c>
      <c r="L1760">
        <v>1</v>
      </c>
      <c r="M1760" t="s">
        <v>412</v>
      </c>
      <c r="N1760" t="s">
        <v>56</v>
      </c>
      <c r="O1760" t="s">
        <v>393</v>
      </c>
      <c r="P1760" s="6" t="str">
        <f>IF(Table1[[#This Row],[Transaction_Amount]]&lt;=Table1[[#This Row],[avg_transaction_amount]], "usual transaction", "unusual transaction")</f>
        <v>unusual transaction</v>
      </c>
      <c r="Q1760" s="6" t="str">
        <f>IF(AND(Table1[[#This Row],[Country_of_Residence]]&lt;&gt;Table1[[#This Row],[Country_of_Transaction]], OR(Table1[[#This Row],[Authentication_Type]]="Biometric", Table1[[#This Row],[Authentication_Type]]="OTP")), "safe location transaction", "unsafe location transaction")</f>
        <v>unsafe location transaction</v>
      </c>
      <c r="R1760" s="6" t="str">
        <f>IF(AND(Table1[[#This Row],[Country_of_Residence]]&lt;&gt;Table1[[#This Row],[Country_of_Transaction]], OR(Table1[[#This Row],[Merchant_Category]]="Electronics", Table1[[#This Row],[Merchant_Category]]="Travel")), "unsafe merchant transaction", "safe merchant transaction")</f>
        <v>unsafe merchant transaction</v>
      </c>
    </row>
    <row r="1761" spans="1:18">
      <c r="A1761" t="s">
        <v>3972</v>
      </c>
      <c r="B1761" t="s">
        <v>269</v>
      </c>
      <c r="C1761">
        <v>1</v>
      </c>
      <c r="D1761" t="s">
        <v>15</v>
      </c>
      <c r="E1761" t="s">
        <v>3</v>
      </c>
      <c r="F1761" s="2">
        <v>45964</v>
      </c>
      <c r="G1761">
        <v>451.81</v>
      </c>
      <c r="H1761" s="1">
        <f>AVERAGEIF(Table1[Customer_ID], Table1[[#This Row],[Customer_ID]], Table1[Transaction_Amount])</f>
        <v>4912.8857407407413</v>
      </c>
      <c r="I1761" t="s">
        <v>1533</v>
      </c>
      <c r="J1761" t="s">
        <v>50</v>
      </c>
      <c r="K1761" t="s">
        <v>12</v>
      </c>
      <c r="L1761">
        <v>3</v>
      </c>
      <c r="M1761" t="s">
        <v>51</v>
      </c>
      <c r="N1761" t="s">
        <v>51</v>
      </c>
      <c r="O1761" t="s">
        <v>392</v>
      </c>
      <c r="P1761" s="6" t="str">
        <f>IF(Table1[[#This Row],[Transaction_Amount]]&lt;=Table1[[#This Row],[avg_transaction_amount]], "usual transaction", "unusual transaction")</f>
        <v>usual transaction</v>
      </c>
      <c r="Q1761" s="6" t="str">
        <f>IF(AND(Table1[[#This Row],[Country_of_Residence]]&lt;&gt;Table1[[#This Row],[Country_of_Transaction]], OR(Table1[[#This Row],[Authentication_Type]]="Biometric", Table1[[#This Row],[Authentication_Type]]="OTP")), "safe location transaction", "unsafe location transaction")</f>
        <v>unsafe location transaction</v>
      </c>
      <c r="R1761" s="6" t="str">
        <f>IF(AND(Table1[[#This Row],[Country_of_Residence]]&lt;&gt;Table1[[#This Row],[Country_of_Transaction]], OR(Table1[[#This Row],[Merchant_Category]]="Electronics", Table1[[#This Row],[Merchant_Category]]="Travel")), "unsafe merchant transaction", "safe merchant transaction")</f>
        <v>safe merchant transaction</v>
      </c>
    </row>
    <row r="1762" spans="1:18">
      <c r="A1762" t="s">
        <v>4016</v>
      </c>
      <c r="B1762" t="s">
        <v>269</v>
      </c>
      <c r="C1762">
        <v>1</v>
      </c>
      <c r="D1762" t="s">
        <v>9</v>
      </c>
      <c r="E1762" t="s">
        <v>420</v>
      </c>
      <c r="F1762" s="2">
        <v>45999</v>
      </c>
      <c r="G1762">
        <v>5365.11</v>
      </c>
      <c r="H1762" s="1">
        <f>AVERAGEIF(Table1[Customer_ID], Table1[[#This Row],[Customer_ID]], Table1[Transaction_Amount])</f>
        <v>4912.8857407407413</v>
      </c>
      <c r="I1762" t="s">
        <v>1572</v>
      </c>
      <c r="J1762" t="s">
        <v>46</v>
      </c>
      <c r="K1762" t="s">
        <v>10</v>
      </c>
      <c r="L1762">
        <v>0</v>
      </c>
      <c r="M1762" t="s">
        <v>42</v>
      </c>
      <c r="N1762" t="s">
        <v>32</v>
      </c>
      <c r="O1762" t="s">
        <v>393</v>
      </c>
      <c r="P1762" s="6" t="str">
        <f>IF(Table1[[#This Row],[Transaction_Amount]]&lt;=Table1[[#This Row],[avg_transaction_amount]], "usual transaction", "unusual transaction")</f>
        <v>unusual transaction</v>
      </c>
      <c r="Q1762" s="6" t="str">
        <f>IF(AND(Table1[[#This Row],[Country_of_Residence]]&lt;&gt;Table1[[#This Row],[Country_of_Transaction]], OR(Table1[[#This Row],[Authentication_Type]]="Biometric", Table1[[#This Row],[Authentication_Type]]="OTP")), "safe location transaction", "unsafe location transaction")</f>
        <v>safe location transaction</v>
      </c>
      <c r="R1762" s="6" t="str">
        <f>IF(AND(Table1[[#This Row],[Country_of_Residence]]&lt;&gt;Table1[[#This Row],[Country_of_Transaction]], OR(Table1[[#This Row],[Merchant_Category]]="Electronics", Table1[[#This Row],[Merchant_Category]]="Travel")), "unsafe merchant transaction", "safe merchant transaction")</f>
        <v>safe merchant transaction</v>
      </c>
    </row>
    <row r="1763" spans="1:18">
      <c r="A1763" t="s">
        <v>4137</v>
      </c>
      <c r="B1763" t="s">
        <v>269</v>
      </c>
      <c r="C1763">
        <v>1</v>
      </c>
      <c r="D1763" t="s">
        <v>9</v>
      </c>
      <c r="E1763" t="s">
        <v>3</v>
      </c>
      <c r="F1763" s="2">
        <v>45844</v>
      </c>
      <c r="G1763">
        <v>5314.93</v>
      </c>
      <c r="H1763" s="1">
        <f>AVERAGEIF(Table1[Customer_ID], Table1[[#This Row],[Customer_ID]], Table1[Transaction_Amount])</f>
        <v>4912.8857407407413</v>
      </c>
      <c r="I1763" t="s">
        <v>1669</v>
      </c>
      <c r="J1763" t="s">
        <v>41</v>
      </c>
      <c r="K1763" t="s">
        <v>8</v>
      </c>
      <c r="L1763">
        <v>1</v>
      </c>
      <c r="M1763" t="s">
        <v>51</v>
      </c>
      <c r="N1763" t="s">
        <v>47</v>
      </c>
      <c r="O1763" t="s">
        <v>392</v>
      </c>
      <c r="P1763" s="6" t="str">
        <f>IF(Table1[[#This Row],[Transaction_Amount]]&lt;=Table1[[#This Row],[avg_transaction_amount]], "usual transaction", "unusual transaction")</f>
        <v>unusual transaction</v>
      </c>
      <c r="Q1763" s="6" t="str">
        <f>IF(AND(Table1[[#This Row],[Country_of_Residence]]&lt;&gt;Table1[[#This Row],[Country_of_Transaction]], OR(Table1[[#This Row],[Authentication_Type]]="Biometric", Table1[[#This Row],[Authentication_Type]]="OTP")), "safe location transaction", "unsafe location transaction")</f>
        <v>safe location transaction</v>
      </c>
      <c r="R1763" s="6" t="str">
        <f>IF(AND(Table1[[#This Row],[Country_of_Residence]]&lt;&gt;Table1[[#This Row],[Country_of_Transaction]], OR(Table1[[#This Row],[Merchant_Category]]="Electronics", Table1[[#This Row],[Merchant_Category]]="Travel")), "unsafe merchant transaction", "safe merchant transaction")</f>
        <v>safe merchant transaction</v>
      </c>
    </row>
    <row r="1764" spans="1:18">
      <c r="A1764" t="s">
        <v>4151</v>
      </c>
      <c r="B1764" t="s">
        <v>269</v>
      </c>
      <c r="C1764">
        <v>1</v>
      </c>
      <c r="D1764" t="s">
        <v>15</v>
      </c>
      <c r="E1764" t="s">
        <v>6</v>
      </c>
      <c r="F1764" s="2">
        <v>45694</v>
      </c>
      <c r="G1764">
        <v>2061.7399999999998</v>
      </c>
      <c r="H1764" s="1">
        <f>AVERAGEIF(Table1[Customer_ID], Table1[[#This Row],[Customer_ID]], Table1[Transaction_Amount])</f>
        <v>4912.8857407407413</v>
      </c>
      <c r="I1764" t="s">
        <v>1679</v>
      </c>
      <c r="J1764" t="s">
        <v>50</v>
      </c>
      <c r="K1764" t="s">
        <v>10</v>
      </c>
      <c r="L1764">
        <v>1</v>
      </c>
      <c r="M1764" t="s">
        <v>51</v>
      </c>
      <c r="N1764" t="s">
        <v>33</v>
      </c>
      <c r="O1764" t="s">
        <v>393</v>
      </c>
      <c r="P1764" s="6" t="str">
        <f>IF(Table1[[#This Row],[Transaction_Amount]]&lt;=Table1[[#This Row],[avg_transaction_amount]], "usual transaction", "unusual transaction")</f>
        <v>usual transaction</v>
      </c>
      <c r="Q1764" s="6" t="str">
        <f>IF(AND(Table1[[#This Row],[Country_of_Residence]]&lt;&gt;Table1[[#This Row],[Country_of_Transaction]], OR(Table1[[#This Row],[Authentication_Type]]="Biometric", Table1[[#This Row],[Authentication_Type]]="OTP")), "safe location transaction", "unsafe location transaction")</f>
        <v>safe location transaction</v>
      </c>
      <c r="R1764" s="6" t="str">
        <f>IF(AND(Table1[[#This Row],[Country_of_Residence]]&lt;&gt;Table1[[#This Row],[Country_of_Transaction]], OR(Table1[[#This Row],[Merchant_Category]]="Electronics", Table1[[#This Row],[Merchant_Category]]="Travel")), "unsafe merchant transaction", "safe merchant transaction")</f>
        <v>unsafe merchant transaction</v>
      </c>
    </row>
    <row r="1765" spans="1:18">
      <c r="A1765" t="s">
        <v>4210</v>
      </c>
      <c r="B1765" t="s">
        <v>269</v>
      </c>
      <c r="C1765">
        <v>1</v>
      </c>
      <c r="D1765" t="s">
        <v>9</v>
      </c>
      <c r="E1765" t="s">
        <v>3</v>
      </c>
      <c r="F1765" s="2">
        <v>45919</v>
      </c>
      <c r="G1765">
        <v>4001.11</v>
      </c>
      <c r="H1765" s="1">
        <f>AVERAGEIF(Table1[Customer_ID], Table1[[#This Row],[Customer_ID]], Table1[Transaction_Amount])</f>
        <v>4912.8857407407413</v>
      </c>
      <c r="I1765" t="s">
        <v>1730</v>
      </c>
      <c r="J1765" t="s">
        <v>41</v>
      </c>
      <c r="K1765" t="s">
        <v>8</v>
      </c>
      <c r="L1765">
        <v>0</v>
      </c>
      <c r="M1765" t="s">
        <v>33</v>
      </c>
      <c r="N1765" t="s">
        <v>42</v>
      </c>
      <c r="O1765" t="s">
        <v>392</v>
      </c>
      <c r="P1765" s="6" t="str">
        <f>IF(Table1[[#This Row],[Transaction_Amount]]&lt;=Table1[[#This Row],[avg_transaction_amount]], "usual transaction", "unusual transaction")</f>
        <v>usual transaction</v>
      </c>
      <c r="Q1765" s="6" t="str">
        <f>IF(AND(Table1[[#This Row],[Country_of_Residence]]&lt;&gt;Table1[[#This Row],[Country_of_Transaction]], OR(Table1[[#This Row],[Authentication_Type]]="Biometric", Table1[[#This Row],[Authentication_Type]]="OTP")), "safe location transaction", "unsafe location transaction")</f>
        <v>safe location transaction</v>
      </c>
      <c r="R1765" s="6" t="str">
        <f>IF(AND(Table1[[#This Row],[Country_of_Residence]]&lt;&gt;Table1[[#This Row],[Country_of_Transaction]], OR(Table1[[#This Row],[Merchant_Category]]="Electronics", Table1[[#This Row],[Merchant_Category]]="Travel")), "unsafe merchant transaction", "safe merchant transaction")</f>
        <v>safe merchant transaction</v>
      </c>
    </row>
    <row r="1766" spans="1:18">
      <c r="A1766" t="s">
        <v>4307</v>
      </c>
      <c r="B1766" t="s">
        <v>269</v>
      </c>
      <c r="C1766">
        <v>1</v>
      </c>
      <c r="D1766" t="s">
        <v>15</v>
      </c>
      <c r="E1766" t="s">
        <v>3</v>
      </c>
      <c r="F1766" s="2">
        <v>45920</v>
      </c>
      <c r="G1766">
        <v>8131.07</v>
      </c>
      <c r="H1766" s="1">
        <f>AVERAGEIF(Table1[Customer_ID], Table1[[#This Row],[Customer_ID]], Table1[Transaction_Amount])</f>
        <v>4912.8857407407413</v>
      </c>
      <c r="I1766" t="s">
        <v>1816</v>
      </c>
      <c r="J1766" t="s">
        <v>50</v>
      </c>
      <c r="K1766" t="s">
        <v>8</v>
      </c>
      <c r="L1766">
        <v>5</v>
      </c>
      <c r="M1766" t="s">
        <v>47</v>
      </c>
      <c r="N1766" t="s">
        <v>55</v>
      </c>
      <c r="O1766" t="s">
        <v>393</v>
      </c>
      <c r="P1766" s="6" t="str">
        <f>IF(Table1[[#This Row],[Transaction_Amount]]&lt;=Table1[[#This Row],[avg_transaction_amount]], "usual transaction", "unusual transaction")</f>
        <v>unusual transaction</v>
      </c>
      <c r="Q1766" s="6" t="str">
        <f>IF(AND(Table1[[#This Row],[Country_of_Residence]]&lt;&gt;Table1[[#This Row],[Country_of_Transaction]], OR(Table1[[#This Row],[Authentication_Type]]="Biometric", Table1[[#This Row],[Authentication_Type]]="OTP")), "safe location transaction", "unsafe location transaction")</f>
        <v>safe location transaction</v>
      </c>
      <c r="R1766" s="6" t="str">
        <f>IF(AND(Table1[[#This Row],[Country_of_Residence]]&lt;&gt;Table1[[#This Row],[Country_of_Transaction]], OR(Table1[[#This Row],[Merchant_Category]]="Electronics", Table1[[#This Row],[Merchant_Category]]="Travel")), "unsafe merchant transaction", "safe merchant transaction")</f>
        <v>unsafe merchant transaction</v>
      </c>
    </row>
    <row r="1767" spans="1:18">
      <c r="A1767" t="s">
        <v>4358</v>
      </c>
      <c r="B1767" t="s">
        <v>269</v>
      </c>
      <c r="C1767">
        <v>1</v>
      </c>
      <c r="D1767" t="s">
        <v>15</v>
      </c>
      <c r="E1767" t="s">
        <v>3</v>
      </c>
      <c r="F1767" s="2">
        <v>45669</v>
      </c>
      <c r="G1767">
        <v>9999.75</v>
      </c>
      <c r="H1767" s="1">
        <f>AVERAGEIF(Table1[Customer_ID], Table1[[#This Row],[Customer_ID]], Table1[Transaction_Amount])</f>
        <v>4912.8857407407413</v>
      </c>
      <c r="I1767" t="s">
        <v>1861</v>
      </c>
      <c r="J1767" t="s">
        <v>50</v>
      </c>
      <c r="K1767" t="s">
        <v>12</v>
      </c>
      <c r="L1767">
        <v>1</v>
      </c>
      <c r="M1767" t="s">
        <v>56</v>
      </c>
      <c r="N1767" t="s">
        <v>32</v>
      </c>
      <c r="O1767" t="s">
        <v>392</v>
      </c>
      <c r="P1767" s="6" t="str">
        <f>IF(Table1[[#This Row],[Transaction_Amount]]&lt;=Table1[[#This Row],[avg_transaction_amount]], "usual transaction", "unusual transaction")</f>
        <v>unusual transaction</v>
      </c>
      <c r="Q1767" s="6" t="str">
        <f>IF(AND(Table1[[#This Row],[Country_of_Residence]]&lt;&gt;Table1[[#This Row],[Country_of_Transaction]], OR(Table1[[#This Row],[Authentication_Type]]="Biometric", Table1[[#This Row],[Authentication_Type]]="OTP")), "safe location transaction", "unsafe location transaction")</f>
        <v>unsafe location transaction</v>
      </c>
      <c r="R1767" s="6" t="str">
        <f>IF(AND(Table1[[#This Row],[Country_of_Residence]]&lt;&gt;Table1[[#This Row],[Country_of_Transaction]], OR(Table1[[#This Row],[Merchant_Category]]="Electronics", Table1[[#This Row],[Merchant_Category]]="Travel")), "unsafe merchant transaction", "safe merchant transaction")</f>
        <v>unsafe merchant transaction</v>
      </c>
    </row>
    <row r="1768" spans="1:18">
      <c r="A1768" t="s">
        <v>4446</v>
      </c>
      <c r="B1768" t="s">
        <v>269</v>
      </c>
      <c r="C1768">
        <v>1</v>
      </c>
      <c r="D1768" t="s">
        <v>15</v>
      </c>
      <c r="E1768" t="s">
        <v>420</v>
      </c>
      <c r="F1768" s="2">
        <v>46012</v>
      </c>
      <c r="G1768">
        <v>9512.67</v>
      </c>
      <c r="H1768" s="1">
        <f>AVERAGEIF(Table1[Customer_ID], Table1[[#This Row],[Customer_ID]], Table1[Transaction_Amount])</f>
        <v>4912.8857407407413</v>
      </c>
      <c r="I1768" t="s">
        <v>1940</v>
      </c>
      <c r="J1768" t="s">
        <v>41</v>
      </c>
      <c r="K1768" t="s">
        <v>14</v>
      </c>
      <c r="L1768">
        <v>1</v>
      </c>
      <c r="M1768" t="s">
        <v>412</v>
      </c>
      <c r="N1768" t="s">
        <v>37</v>
      </c>
      <c r="O1768" t="s">
        <v>393</v>
      </c>
      <c r="P1768" s="6" t="str">
        <f>IF(Table1[[#This Row],[Transaction_Amount]]&lt;=Table1[[#This Row],[avg_transaction_amount]], "usual transaction", "unusual transaction")</f>
        <v>unusual transaction</v>
      </c>
      <c r="Q1768" s="6" t="str">
        <f>IF(AND(Table1[[#This Row],[Country_of_Residence]]&lt;&gt;Table1[[#This Row],[Country_of_Transaction]], OR(Table1[[#This Row],[Authentication_Type]]="Biometric", Table1[[#This Row],[Authentication_Type]]="OTP")), "safe location transaction", "unsafe location transaction")</f>
        <v>unsafe location transaction</v>
      </c>
      <c r="R1768" s="6" t="str">
        <f>IF(AND(Table1[[#This Row],[Country_of_Residence]]&lt;&gt;Table1[[#This Row],[Country_of_Transaction]], OR(Table1[[#This Row],[Merchant_Category]]="Electronics", Table1[[#This Row],[Merchant_Category]]="Travel")), "unsafe merchant transaction", "safe merchant transaction")</f>
        <v>safe merchant transaction</v>
      </c>
    </row>
    <row r="1769" spans="1:18">
      <c r="A1769" t="s">
        <v>4458</v>
      </c>
      <c r="B1769" t="s">
        <v>269</v>
      </c>
      <c r="C1769">
        <v>1</v>
      </c>
      <c r="D1769" t="s">
        <v>15</v>
      </c>
      <c r="E1769" t="s">
        <v>6</v>
      </c>
      <c r="F1769" s="2">
        <v>45751</v>
      </c>
      <c r="G1769">
        <v>7023.39</v>
      </c>
      <c r="H1769" s="1">
        <f>AVERAGEIF(Table1[Customer_ID], Table1[[#This Row],[Customer_ID]], Table1[Transaction_Amount])</f>
        <v>4912.8857407407413</v>
      </c>
      <c r="I1769" t="s">
        <v>1952</v>
      </c>
      <c r="J1769" t="s">
        <v>36</v>
      </c>
      <c r="K1769" t="s">
        <v>8</v>
      </c>
      <c r="L1769">
        <v>3</v>
      </c>
      <c r="M1769" t="s">
        <v>37</v>
      </c>
      <c r="N1769" t="s">
        <v>32</v>
      </c>
      <c r="O1769" t="s">
        <v>392</v>
      </c>
      <c r="P1769" s="6" t="str">
        <f>IF(Table1[[#This Row],[Transaction_Amount]]&lt;=Table1[[#This Row],[avg_transaction_amount]], "usual transaction", "unusual transaction")</f>
        <v>unusual transaction</v>
      </c>
      <c r="Q1769" s="6" t="str">
        <f>IF(AND(Table1[[#This Row],[Country_of_Residence]]&lt;&gt;Table1[[#This Row],[Country_of_Transaction]], OR(Table1[[#This Row],[Authentication_Type]]="Biometric", Table1[[#This Row],[Authentication_Type]]="OTP")), "safe location transaction", "unsafe location transaction")</f>
        <v>safe location transaction</v>
      </c>
      <c r="R1769" s="6" t="str">
        <f>IF(AND(Table1[[#This Row],[Country_of_Residence]]&lt;&gt;Table1[[#This Row],[Country_of_Transaction]], OR(Table1[[#This Row],[Merchant_Category]]="Electronics", Table1[[#This Row],[Merchant_Category]]="Travel")), "unsafe merchant transaction", "safe merchant transaction")</f>
        <v>safe merchant transaction</v>
      </c>
    </row>
    <row r="1770" spans="1:18">
      <c r="A1770" t="s">
        <v>4684</v>
      </c>
      <c r="B1770" t="s">
        <v>269</v>
      </c>
      <c r="C1770">
        <v>1</v>
      </c>
      <c r="D1770" t="s">
        <v>15</v>
      </c>
      <c r="E1770" t="s">
        <v>3</v>
      </c>
      <c r="F1770" s="2">
        <v>45768</v>
      </c>
      <c r="G1770">
        <v>3482.56</v>
      </c>
      <c r="H1770" s="1">
        <f>AVERAGEIF(Table1[Customer_ID], Table1[[#This Row],[Customer_ID]], Table1[Transaction_Amount])</f>
        <v>4912.8857407407413</v>
      </c>
      <c r="I1770" t="s">
        <v>1442</v>
      </c>
      <c r="J1770" t="s">
        <v>41</v>
      </c>
      <c r="K1770" t="s">
        <v>10</v>
      </c>
      <c r="L1770">
        <v>2</v>
      </c>
      <c r="M1770" t="s">
        <v>37</v>
      </c>
      <c r="N1770" t="s">
        <v>32</v>
      </c>
      <c r="O1770" t="s">
        <v>392</v>
      </c>
      <c r="P1770" s="6" t="str">
        <f>IF(Table1[[#This Row],[Transaction_Amount]]&lt;=Table1[[#This Row],[avg_transaction_amount]], "usual transaction", "unusual transaction")</f>
        <v>usual transaction</v>
      </c>
      <c r="Q1770" s="6" t="str">
        <f>IF(AND(Table1[[#This Row],[Country_of_Residence]]&lt;&gt;Table1[[#This Row],[Country_of_Transaction]], OR(Table1[[#This Row],[Authentication_Type]]="Biometric", Table1[[#This Row],[Authentication_Type]]="OTP")), "safe location transaction", "unsafe location transaction")</f>
        <v>safe location transaction</v>
      </c>
      <c r="R1770" s="6" t="str">
        <f>IF(AND(Table1[[#This Row],[Country_of_Residence]]&lt;&gt;Table1[[#This Row],[Country_of_Transaction]], OR(Table1[[#This Row],[Merchant_Category]]="Electronics", Table1[[#This Row],[Merchant_Category]]="Travel")), "unsafe merchant transaction", "safe merchant transaction")</f>
        <v>safe merchant transaction</v>
      </c>
    </row>
    <row r="1771" spans="1:18">
      <c r="A1771" t="s">
        <v>4702</v>
      </c>
      <c r="B1771" t="s">
        <v>269</v>
      </c>
      <c r="C1771">
        <v>1</v>
      </c>
      <c r="D1771" t="s">
        <v>15</v>
      </c>
      <c r="E1771" t="s">
        <v>5</v>
      </c>
      <c r="F1771" s="2">
        <v>45910</v>
      </c>
      <c r="G1771">
        <v>6734.03</v>
      </c>
      <c r="H1771" s="1">
        <f>AVERAGEIF(Table1[Customer_ID], Table1[[#This Row],[Customer_ID]], Table1[Transaction_Amount])</f>
        <v>4912.8857407407413</v>
      </c>
      <c r="I1771" t="s">
        <v>2150</v>
      </c>
      <c r="J1771" t="s">
        <v>31</v>
      </c>
      <c r="K1771" t="s">
        <v>14</v>
      </c>
      <c r="L1771">
        <v>0</v>
      </c>
      <c r="M1771" t="s">
        <v>32</v>
      </c>
      <c r="N1771" t="s">
        <v>412</v>
      </c>
      <c r="O1771" t="s">
        <v>392</v>
      </c>
      <c r="P1771" s="6" t="str">
        <f>IF(Table1[[#This Row],[Transaction_Amount]]&lt;=Table1[[#This Row],[avg_transaction_amount]], "usual transaction", "unusual transaction")</f>
        <v>unusual transaction</v>
      </c>
      <c r="Q1771" s="6" t="str">
        <f>IF(AND(Table1[[#This Row],[Country_of_Residence]]&lt;&gt;Table1[[#This Row],[Country_of_Transaction]], OR(Table1[[#This Row],[Authentication_Type]]="Biometric", Table1[[#This Row],[Authentication_Type]]="OTP")), "safe location transaction", "unsafe location transaction")</f>
        <v>unsafe location transaction</v>
      </c>
      <c r="R1771" s="6" t="str">
        <f>IF(AND(Table1[[#This Row],[Country_of_Residence]]&lt;&gt;Table1[[#This Row],[Country_of_Transaction]], OR(Table1[[#This Row],[Merchant_Category]]="Electronics", Table1[[#This Row],[Merchant_Category]]="Travel")), "unsafe merchant transaction", "safe merchant transaction")</f>
        <v>safe merchant transaction</v>
      </c>
    </row>
    <row r="1772" spans="1:18">
      <c r="A1772" t="s">
        <v>4722</v>
      </c>
      <c r="B1772" t="s">
        <v>269</v>
      </c>
      <c r="C1772">
        <v>1</v>
      </c>
      <c r="D1772" t="s">
        <v>15</v>
      </c>
      <c r="E1772" t="s">
        <v>6</v>
      </c>
      <c r="F1772" s="2">
        <v>45960</v>
      </c>
      <c r="G1772">
        <v>5536.79</v>
      </c>
      <c r="H1772" s="1">
        <f>AVERAGEIF(Table1[Customer_ID], Table1[[#This Row],[Customer_ID]], Table1[Transaction_Amount])</f>
        <v>4912.8857407407413</v>
      </c>
      <c r="I1772" t="s">
        <v>2163</v>
      </c>
      <c r="J1772" t="s">
        <v>50</v>
      </c>
      <c r="K1772" t="s">
        <v>10</v>
      </c>
      <c r="L1772">
        <v>4</v>
      </c>
      <c r="M1772" t="s">
        <v>33</v>
      </c>
      <c r="N1772" t="s">
        <v>47</v>
      </c>
      <c r="O1772" t="s">
        <v>392</v>
      </c>
      <c r="P1772" s="6" t="str">
        <f>IF(Table1[[#This Row],[Transaction_Amount]]&lt;=Table1[[#This Row],[avg_transaction_amount]], "usual transaction", "unusual transaction")</f>
        <v>unusual transaction</v>
      </c>
      <c r="Q1772" s="6" t="str">
        <f>IF(AND(Table1[[#This Row],[Country_of_Residence]]&lt;&gt;Table1[[#This Row],[Country_of_Transaction]], OR(Table1[[#This Row],[Authentication_Type]]="Biometric", Table1[[#This Row],[Authentication_Type]]="OTP")), "safe location transaction", "unsafe location transaction")</f>
        <v>safe location transaction</v>
      </c>
      <c r="R1772" s="6" t="str">
        <f>IF(AND(Table1[[#This Row],[Country_of_Residence]]&lt;&gt;Table1[[#This Row],[Country_of_Transaction]], OR(Table1[[#This Row],[Merchant_Category]]="Electronics", Table1[[#This Row],[Merchant_Category]]="Travel")), "unsafe merchant transaction", "safe merchant transaction")</f>
        <v>unsafe merchant transaction</v>
      </c>
    </row>
    <row r="1773" spans="1:18">
      <c r="A1773" t="s">
        <v>4790</v>
      </c>
      <c r="B1773" t="s">
        <v>269</v>
      </c>
      <c r="C1773">
        <v>1</v>
      </c>
      <c r="D1773" t="s">
        <v>15</v>
      </c>
      <c r="E1773" t="s">
        <v>6</v>
      </c>
      <c r="F1773" s="2">
        <v>45814</v>
      </c>
      <c r="G1773">
        <v>6585.78</v>
      </c>
      <c r="H1773" s="1">
        <f>AVERAGEIF(Table1[Customer_ID], Table1[[#This Row],[Customer_ID]], Table1[Transaction_Amount])</f>
        <v>4912.8857407407413</v>
      </c>
      <c r="I1773" t="s">
        <v>2213</v>
      </c>
      <c r="J1773" t="s">
        <v>46</v>
      </c>
      <c r="K1773" t="s">
        <v>14</v>
      </c>
      <c r="L1773">
        <v>0</v>
      </c>
      <c r="M1773" t="s">
        <v>33</v>
      </c>
      <c r="N1773" t="s">
        <v>55</v>
      </c>
      <c r="O1773" t="s">
        <v>392</v>
      </c>
      <c r="P1773" s="6" t="str">
        <f>IF(Table1[[#This Row],[Transaction_Amount]]&lt;=Table1[[#This Row],[avg_transaction_amount]], "usual transaction", "unusual transaction")</f>
        <v>unusual transaction</v>
      </c>
      <c r="Q1773" s="6" t="str">
        <f>IF(AND(Table1[[#This Row],[Country_of_Residence]]&lt;&gt;Table1[[#This Row],[Country_of_Transaction]], OR(Table1[[#This Row],[Authentication_Type]]="Biometric", Table1[[#This Row],[Authentication_Type]]="OTP")), "safe location transaction", "unsafe location transaction")</f>
        <v>unsafe location transaction</v>
      </c>
      <c r="R1773" s="6" t="str">
        <f>IF(AND(Table1[[#This Row],[Country_of_Residence]]&lt;&gt;Table1[[#This Row],[Country_of_Transaction]], OR(Table1[[#This Row],[Merchant_Category]]="Electronics", Table1[[#This Row],[Merchant_Category]]="Travel")), "unsafe merchant transaction", "safe merchant transaction")</f>
        <v>safe merchant transaction</v>
      </c>
    </row>
    <row r="1774" spans="1:18">
      <c r="A1774" t="s">
        <v>4860</v>
      </c>
      <c r="B1774" t="s">
        <v>269</v>
      </c>
      <c r="C1774">
        <v>1</v>
      </c>
      <c r="D1774" t="s">
        <v>9</v>
      </c>
      <c r="E1774" t="s">
        <v>6</v>
      </c>
      <c r="F1774" s="2">
        <v>45915</v>
      </c>
      <c r="G1774">
        <v>3257.65</v>
      </c>
      <c r="H1774" s="1">
        <f>AVERAGEIF(Table1[Customer_ID], Table1[[#This Row],[Customer_ID]], Table1[Transaction_Amount])</f>
        <v>4912.8857407407413</v>
      </c>
      <c r="I1774" t="s">
        <v>2267</v>
      </c>
      <c r="J1774" t="s">
        <v>50</v>
      </c>
      <c r="K1774" t="s">
        <v>8</v>
      </c>
      <c r="L1774">
        <v>2</v>
      </c>
      <c r="M1774" t="s">
        <v>32</v>
      </c>
      <c r="N1774" t="s">
        <v>32</v>
      </c>
      <c r="O1774" t="s">
        <v>393</v>
      </c>
      <c r="P1774" s="6" t="str">
        <f>IF(Table1[[#This Row],[Transaction_Amount]]&lt;=Table1[[#This Row],[avg_transaction_amount]], "usual transaction", "unusual transaction")</f>
        <v>usual transaction</v>
      </c>
      <c r="Q1774" s="6" t="str">
        <f>IF(AND(Table1[[#This Row],[Country_of_Residence]]&lt;&gt;Table1[[#This Row],[Country_of_Transaction]], OR(Table1[[#This Row],[Authentication_Type]]="Biometric", Table1[[#This Row],[Authentication_Type]]="OTP")), "safe location transaction", "unsafe location transaction")</f>
        <v>unsafe location transaction</v>
      </c>
      <c r="R1774" s="6" t="str">
        <f>IF(AND(Table1[[#This Row],[Country_of_Residence]]&lt;&gt;Table1[[#This Row],[Country_of_Transaction]], OR(Table1[[#This Row],[Merchant_Category]]="Electronics", Table1[[#This Row],[Merchant_Category]]="Travel")), "unsafe merchant transaction", "safe merchant transaction")</f>
        <v>safe merchant transaction</v>
      </c>
    </row>
    <row r="1775" spans="1:18">
      <c r="A1775" t="s">
        <v>4865</v>
      </c>
      <c r="B1775" t="s">
        <v>269</v>
      </c>
      <c r="C1775">
        <v>1</v>
      </c>
      <c r="D1775" t="s">
        <v>9</v>
      </c>
      <c r="E1775" t="s">
        <v>420</v>
      </c>
      <c r="F1775" s="2">
        <v>45993</v>
      </c>
      <c r="G1775">
        <v>3846.63</v>
      </c>
      <c r="H1775" s="1">
        <f>AVERAGEIF(Table1[Customer_ID], Table1[[#This Row],[Customer_ID]], Table1[Transaction_Amount])</f>
        <v>4912.8857407407413</v>
      </c>
      <c r="I1775" t="s">
        <v>35</v>
      </c>
      <c r="J1775" t="s">
        <v>31</v>
      </c>
      <c r="K1775" t="s">
        <v>10</v>
      </c>
      <c r="L1775">
        <v>2</v>
      </c>
      <c r="M1775" t="s">
        <v>412</v>
      </c>
      <c r="N1775" t="s">
        <v>55</v>
      </c>
      <c r="O1775" t="s">
        <v>392</v>
      </c>
      <c r="P1775" s="6" t="str">
        <f>IF(Table1[[#This Row],[Transaction_Amount]]&lt;=Table1[[#This Row],[avg_transaction_amount]], "usual transaction", "unusual transaction")</f>
        <v>usual transaction</v>
      </c>
      <c r="Q1775" s="6" t="str">
        <f>IF(AND(Table1[[#This Row],[Country_of_Residence]]&lt;&gt;Table1[[#This Row],[Country_of_Transaction]], OR(Table1[[#This Row],[Authentication_Type]]="Biometric", Table1[[#This Row],[Authentication_Type]]="OTP")), "safe location transaction", "unsafe location transaction")</f>
        <v>safe location transaction</v>
      </c>
      <c r="R1775" s="6" t="str">
        <f>IF(AND(Table1[[#This Row],[Country_of_Residence]]&lt;&gt;Table1[[#This Row],[Country_of_Transaction]], OR(Table1[[#This Row],[Merchant_Category]]="Electronics", Table1[[#This Row],[Merchant_Category]]="Travel")), "unsafe merchant transaction", "safe merchant transaction")</f>
        <v>safe merchant transaction</v>
      </c>
    </row>
    <row r="1776" spans="1:18">
      <c r="A1776" t="s">
        <v>4932</v>
      </c>
      <c r="B1776" t="s">
        <v>269</v>
      </c>
      <c r="C1776">
        <v>1</v>
      </c>
      <c r="D1776" t="s">
        <v>15</v>
      </c>
      <c r="E1776" t="s">
        <v>6</v>
      </c>
      <c r="F1776" s="2">
        <v>45927</v>
      </c>
      <c r="G1776">
        <v>94.67</v>
      </c>
      <c r="H1776" s="1">
        <f>AVERAGEIF(Table1[Customer_ID], Table1[[#This Row],[Customer_ID]], Table1[Transaction_Amount])</f>
        <v>4912.8857407407413</v>
      </c>
      <c r="I1776" t="s">
        <v>2325</v>
      </c>
      <c r="J1776" t="s">
        <v>50</v>
      </c>
      <c r="K1776" t="s">
        <v>10</v>
      </c>
      <c r="L1776">
        <v>1</v>
      </c>
      <c r="M1776" t="s">
        <v>412</v>
      </c>
      <c r="N1776" t="s">
        <v>42</v>
      </c>
      <c r="O1776" t="s">
        <v>392</v>
      </c>
      <c r="P1776" s="6" t="str">
        <f>IF(Table1[[#This Row],[Transaction_Amount]]&lt;=Table1[[#This Row],[avg_transaction_amount]], "usual transaction", "unusual transaction")</f>
        <v>usual transaction</v>
      </c>
      <c r="Q1776" s="6" t="str">
        <f>IF(AND(Table1[[#This Row],[Country_of_Residence]]&lt;&gt;Table1[[#This Row],[Country_of_Transaction]], OR(Table1[[#This Row],[Authentication_Type]]="Biometric", Table1[[#This Row],[Authentication_Type]]="OTP")), "safe location transaction", "unsafe location transaction")</f>
        <v>safe location transaction</v>
      </c>
      <c r="R1776" s="6" t="str">
        <f>IF(AND(Table1[[#This Row],[Country_of_Residence]]&lt;&gt;Table1[[#This Row],[Country_of_Transaction]], OR(Table1[[#This Row],[Merchant_Category]]="Electronics", Table1[[#This Row],[Merchant_Category]]="Travel")), "unsafe merchant transaction", "safe merchant transaction")</f>
        <v>unsafe merchant transaction</v>
      </c>
    </row>
    <row r="1777" spans="1:18">
      <c r="A1777" t="s">
        <v>4948</v>
      </c>
      <c r="B1777" t="s">
        <v>269</v>
      </c>
      <c r="C1777">
        <v>1</v>
      </c>
      <c r="D1777" t="s">
        <v>9</v>
      </c>
      <c r="E1777" t="s">
        <v>6</v>
      </c>
      <c r="F1777" s="2">
        <v>45865</v>
      </c>
      <c r="G1777">
        <v>2319.14</v>
      </c>
      <c r="H1777" s="1">
        <f>AVERAGEIF(Table1[Customer_ID], Table1[[#This Row],[Customer_ID]], Table1[Transaction_Amount])</f>
        <v>4912.8857407407413</v>
      </c>
      <c r="I1777" t="s">
        <v>527</v>
      </c>
      <c r="J1777" t="s">
        <v>46</v>
      </c>
      <c r="K1777" t="s">
        <v>14</v>
      </c>
      <c r="L1777">
        <v>2</v>
      </c>
      <c r="M1777" t="s">
        <v>42</v>
      </c>
      <c r="N1777" t="s">
        <v>412</v>
      </c>
      <c r="O1777" t="s">
        <v>392</v>
      </c>
      <c r="P1777" s="6" t="str">
        <f>IF(Table1[[#This Row],[Transaction_Amount]]&lt;=Table1[[#This Row],[avg_transaction_amount]], "usual transaction", "unusual transaction")</f>
        <v>usual transaction</v>
      </c>
      <c r="Q1777" s="6" t="str">
        <f>IF(AND(Table1[[#This Row],[Country_of_Residence]]&lt;&gt;Table1[[#This Row],[Country_of_Transaction]], OR(Table1[[#This Row],[Authentication_Type]]="Biometric", Table1[[#This Row],[Authentication_Type]]="OTP")), "safe location transaction", "unsafe location transaction")</f>
        <v>unsafe location transaction</v>
      </c>
      <c r="R1777" s="6" t="str">
        <f>IF(AND(Table1[[#This Row],[Country_of_Residence]]&lt;&gt;Table1[[#This Row],[Country_of_Transaction]], OR(Table1[[#This Row],[Merchant_Category]]="Electronics", Table1[[#This Row],[Merchant_Category]]="Travel")), "unsafe merchant transaction", "safe merchant transaction")</f>
        <v>safe merchant transaction</v>
      </c>
    </row>
    <row r="1778" spans="1:18">
      <c r="A1778" t="s">
        <v>5066</v>
      </c>
      <c r="B1778" t="s">
        <v>269</v>
      </c>
      <c r="C1778">
        <v>1</v>
      </c>
      <c r="D1778" t="s">
        <v>15</v>
      </c>
      <c r="E1778" t="s">
        <v>420</v>
      </c>
      <c r="F1778" s="2">
        <v>45824</v>
      </c>
      <c r="G1778">
        <v>6786.16</v>
      </c>
      <c r="H1778" s="1">
        <f>AVERAGEIF(Table1[Customer_ID], Table1[[#This Row],[Customer_ID]], Table1[Transaction_Amount])</f>
        <v>4912.8857407407413</v>
      </c>
      <c r="I1778" t="s">
        <v>2425</v>
      </c>
      <c r="J1778" t="s">
        <v>36</v>
      </c>
      <c r="K1778" t="s">
        <v>10</v>
      </c>
      <c r="L1778">
        <v>1</v>
      </c>
      <c r="M1778" t="s">
        <v>42</v>
      </c>
      <c r="N1778" t="s">
        <v>42</v>
      </c>
      <c r="O1778" t="s">
        <v>392</v>
      </c>
      <c r="P1778" s="6" t="str">
        <f>IF(Table1[[#This Row],[Transaction_Amount]]&lt;=Table1[[#This Row],[avg_transaction_amount]], "usual transaction", "unusual transaction")</f>
        <v>unusual transaction</v>
      </c>
      <c r="Q1778" s="6" t="str">
        <f>IF(AND(Table1[[#This Row],[Country_of_Residence]]&lt;&gt;Table1[[#This Row],[Country_of_Transaction]], OR(Table1[[#This Row],[Authentication_Type]]="Biometric", Table1[[#This Row],[Authentication_Type]]="OTP")), "safe location transaction", "unsafe location transaction")</f>
        <v>unsafe location transaction</v>
      </c>
      <c r="R1778" s="6" t="str">
        <f>IF(AND(Table1[[#This Row],[Country_of_Residence]]&lt;&gt;Table1[[#This Row],[Country_of_Transaction]], OR(Table1[[#This Row],[Merchant_Category]]="Electronics", Table1[[#This Row],[Merchant_Category]]="Travel")), "unsafe merchant transaction", "safe merchant transaction")</f>
        <v>safe merchant transaction</v>
      </c>
    </row>
    <row r="1779" spans="1:18">
      <c r="A1779" t="s">
        <v>5184</v>
      </c>
      <c r="B1779" t="s">
        <v>269</v>
      </c>
      <c r="C1779">
        <v>1</v>
      </c>
      <c r="D1779" t="s">
        <v>15</v>
      </c>
      <c r="E1779" t="s">
        <v>3</v>
      </c>
      <c r="F1779" s="2">
        <v>45841</v>
      </c>
      <c r="G1779">
        <v>7612.56</v>
      </c>
      <c r="H1779" s="1">
        <f>AVERAGEIF(Table1[Customer_ID], Table1[[#This Row],[Customer_ID]], Table1[Transaction_Amount])</f>
        <v>4912.8857407407413</v>
      </c>
      <c r="I1779" t="s">
        <v>2261</v>
      </c>
      <c r="J1779" t="s">
        <v>36</v>
      </c>
      <c r="K1779" t="s">
        <v>12</v>
      </c>
      <c r="L1779">
        <v>1</v>
      </c>
      <c r="M1779" t="s">
        <v>42</v>
      </c>
      <c r="N1779" t="s">
        <v>47</v>
      </c>
      <c r="O1779" t="s">
        <v>393</v>
      </c>
      <c r="P1779" s="6" t="str">
        <f>IF(Table1[[#This Row],[Transaction_Amount]]&lt;=Table1[[#This Row],[avg_transaction_amount]], "usual transaction", "unusual transaction")</f>
        <v>unusual transaction</v>
      </c>
      <c r="Q1779" s="6" t="str">
        <f>IF(AND(Table1[[#This Row],[Country_of_Residence]]&lt;&gt;Table1[[#This Row],[Country_of_Transaction]], OR(Table1[[#This Row],[Authentication_Type]]="Biometric", Table1[[#This Row],[Authentication_Type]]="OTP")), "safe location transaction", "unsafe location transaction")</f>
        <v>unsafe location transaction</v>
      </c>
      <c r="R1779" s="6" t="str">
        <f>IF(AND(Table1[[#This Row],[Country_of_Residence]]&lt;&gt;Table1[[#This Row],[Country_of_Transaction]], OR(Table1[[#This Row],[Merchant_Category]]="Electronics", Table1[[#This Row],[Merchant_Category]]="Travel")), "unsafe merchant transaction", "safe merchant transaction")</f>
        <v>safe merchant transaction</v>
      </c>
    </row>
    <row r="1780" spans="1:18">
      <c r="A1780" t="s">
        <v>5211</v>
      </c>
      <c r="B1780" t="s">
        <v>269</v>
      </c>
      <c r="C1780">
        <v>1</v>
      </c>
      <c r="D1780" t="s">
        <v>9</v>
      </c>
      <c r="E1780" t="s">
        <v>420</v>
      </c>
      <c r="F1780" s="2">
        <v>45956</v>
      </c>
      <c r="G1780">
        <v>4053.49</v>
      </c>
      <c r="H1780" s="1">
        <f>AVERAGEIF(Table1[Customer_ID], Table1[[#This Row],[Customer_ID]], Table1[Transaction_Amount])</f>
        <v>4912.8857407407413</v>
      </c>
      <c r="I1780" t="s">
        <v>2538</v>
      </c>
      <c r="J1780" t="s">
        <v>36</v>
      </c>
      <c r="K1780" t="s">
        <v>10</v>
      </c>
      <c r="L1780">
        <v>1</v>
      </c>
      <c r="M1780" t="s">
        <v>42</v>
      </c>
      <c r="N1780" t="s">
        <v>32</v>
      </c>
      <c r="O1780" t="s">
        <v>393</v>
      </c>
      <c r="P1780" s="6" t="str">
        <f>IF(Table1[[#This Row],[Transaction_Amount]]&lt;=Table1[[#This Row],[avg_transaction_amount]], "usual transaction", "unusual transaction")</f>
        <v>usual transaction</v>
      </c>
      <c r="Q1780" s="6" t="str">
        <f>IF(AND(Table1[[#This Row],[Country_of_Residence]]&lt;&gt;Table1[[#This Row],[Country_of_Transaction]], OR(Table1[[#This Row],[Authentication_Type]]="Biometric", Table1[[#This Row],[Authentication_Type]]="OTP")), "safe location transaction", "unsafe location transaction")</f>
        <v>safe location transaction</v>
      </c>
      <c r="R1780" s="6" t="str">
        <f>IF(AND(Table1[[#This Row],[Country_of_Residence]]&lt;&gt;Table1[[#This Row],[Country_of_Transaction]], OR(Table1[[#This Row],[Merchant_Category]]="Electronics", Table1[[#This Row],[Merchant_Category]]="Travel")), "unsafe merchant transaction", "safe merchant transaction")</f>
        <v>safe merchant transaction</v>
      </c>
    </row>
    <row r="1781" spans="1:18">
      <c r="A1781" t="s">
        <v>5233</v>
      </c>
      <c r="B1781" t="s">
        <v>269</v>
      </c>
      <c r="C1781">
        <v>1</v>
      </c>
      <c r="D1781" t="s">
        <v>9</v>
      </c>
      <c r="E1781" t="s">
        <v>420</v>
      </c>
      <c r="F1781" s="2">
        <v>45738</v>
      </c>
      <c r="G1781">
        <v>6522.15</v>
      </c>
      <c r="H1781" s="1">
        <f>AVERAGEIF(Table1[Customer_ID], Table1[[#This Row],[Customer_ID]], Table1[Transaction_Amount])</f>
        <v>4912.8857407407413</v>
      </c>
      <c r="I1781" t="s">
        <v>2555</v>
      </c>
      <c r="J1781" t="s">
        <v>50</v>
      </c>
      <c r="K1781" t="s">
        <v>10</v>
      </c>
      <c r="L1781">
        <v>1</v>
      </c>
      <c r="M1781" t="s">
        <v>32</v>
      </c>
      <c r="N1781" t="s">
        <v>51</v>
      </c>
      <c r="O1781" t="s">
        <v>393</v>
      </c>
      <c r="P1781" s="6" t="str">
        <f>IF(Table1[[#This Row],[Transaction_Amount]]&lt;=Table1[[#This Row],[avg_transaction_amount]], "usual transaction", "unusual transaction")</f>
        <v>unusual transaction</v>
      </c>
      <c r="Q1781" s="6" t="str">
        <f>IF(AND(Table1[[#This Row],[Country_of_Residence]]&lt;&gt;Table1[[#This Row],[Country_of_Transaction]], OR(Table1[[#This Row],[Authentication_Type]]="Biometric", Table1[[#This Row],[Authentication_Type]]="OTP")), "safe location transaction", "unsafe location transaction")</f>
        <v>safe location transaction</v>
      </c>
      <c r="R1781" s="6" t="str">
        <f>IF(AND(Table1[[#This Row],[Country_of_Residence]]&lt;&gt;Table1[[#This Row],[Country_of_Transaction]], OR(Table1[[#This Row],[Merchant_Category]]="Electronics", Table1[[#This Row],[Merchant_Category]]="Travel")), "unsafe merchant transaction", "safe merchant transaction")</f>
        <v>unsafe merchant transaction</v>
      </c>
    </row>
    <row r="1782" spans="1:18">
      <c r="A1782" t="s">
        <v>5273</v>
      </c>
      <c r="B1782" t="s">
        <v>269</v>
      </c>
      <c r="C1782">
        <v>1</v>
      </c>
      <c r="D1782" t="s">
        <v>9</v>
      </c>
      <c r="E1782" t="s">
        <v>6</v>
      </c>
      <c r="F1782" s="2">
        <v>46014</v>
      </c>
      <c r="G1782">
        <v>8626.82</v>
      </c>
      <c r="H1782" s="1">
        <f>AVERAGEIF(Table1[Customer_ID], Table1[[#This Row],[Customer_ID]], Table1[Transaction_Amount])</f>
        <v>4912.8857407407413</v>
      </c>
      <c r="I1782" t="s">
        <v>2584</v>
      </c>
      <c r="J1782" t="s">
        <v>50</v>
      </c>
      <c r="K1782" t="s">
        <v>14</v>
      </c>
      <c r="L1782">
        <v>3</v>
      </c>
      <c r="M1782" t="s">
        <v>412</v>
      </c>
      <c r="N1782" t="s">
        <v>42</v>
      </c>
      <c r="O1782" t="s">
        <v>393</v>
      </c>
      <c r="P1782" s="6" t="str">
        <f>IF(Table1[[#This Row],[Transaction_Amount]]&lt;=Table1[[#This Row],[avg_transaction_amount]], "usual transaction", "unusual transaction")</f>
        <v>unusual transaction</v>
      </c>
      <c r="Q1782" s="6" t="str">
        <f>IF(AND(Table1[[#This Row],[Country_of_Residence]]&lt;&gt;Table1[[#This Row],[Country_of_Transaction]], OR(Table1[[#This Row],[Authentication_Type]]="Biometric", Table1[[#This Row],[Authentication_Type]]="OTP")), "safe location transaction", "unsafe location transaction")</f>
        <v>unsafe location transaction</v>
      </c>
      <c r="R1782" s="6" t="str">
        <f>IF(AND(Table1[[#This Row],[Country_of_Residence]]&lt;&gt;Table1[[#This Row],[Country_of_Transaction]], OR(Table1[[#This Row],[Merchant_Category]]="Electronics", Table1[[#This Row],[Merchant_Category]]="Travel")), "unsafe merchant transaction", "safe merchant transaction")</f>
        <v>unsafe merchant transaction</v>
      </c>
    </row>
    <row r="1783" spans="1:18">
      <c r="A1783" t="s">
        <v>5284</v>
      </c>
      <c r="B1783" t="s">
        <v>269</v>
      </c>
      <c r="C1783">
        <v>1</v>
      </c>
      <c r="D1783" t="s">
        <v>15</v>
      </c>
      <c r="E1783" t="s">
        <v>6</v>
      </c>
      <c r="F1783" s="2">
        <v>45669</v>
      </c>
      <c r="G1783">
        <v>5679.53</v>
      </c>
      <c r="H1783" s="1">
        <f>AVERAGEIF(Table1[Customer_ID], Table1[[#This Row],[Customer_ID]], Table1[Transaction_Amount])</f>
        <v>4912.8857407407413</v>
      </c>
      <c r="I1783" t="s">
        <v>2592</v>
      </c>
      <c r="J1783" t="s">
        <v>50</v>
      </c>
      <c r="K1783" t="s">
        <v>14</v>
      </c>
      <c r="L1783">
        <v>1</v>
      </c>
      <c r="M1783" t="s">
        <v>51</v>
      </c>
      <c r="N1783" t="s">
        <v>47</v>
      </c>
      <c r="O1783" t="s">
        <v>393</v>
      </c>
      <c r="P1783" s="6" t="str">
        <f>IF(Table1[[#This Row],[Transaction_Amount]]&lt;=Table1[[#This Row],[avg_transaction_amount]], "usual transaction", "unusual transaction")</f>
        <v>unusual transaction</v>
      </c>
      <c r="Q1783" s="6" t="str">
        <f>IF(AND(Table1[[#This Row],[Country_of_Residence]]&lt;&gt;Table1[[#This Row],[Country_of_Transaction]], OR(Table1[[#This Row],[Authentication_Type]]="Biometric", Table1[[#This Row],[Authentication_Type]]="OTP")), "safe location transaction", "unsafe location transaction")</f>
        <v>unsafe location transaction</v>
      </c>
      <c r="R1783" s="6" t="str">
        <f>IF(AND(Table1[[#This Row],[Country_of_Residence]]&lt;&gt;Table1[[#This Row],[Country_of_Transaction]], OR(Table1[[#This Row],[Merchant_Category]]="Electronics", Table1[[#This Row],[Merchant_Category]]="Travel")), "unsafe merchant transaction", "safe merchant transaction")</f>
        <v>unsafe merchant transaction</v>
      </c>
    </row>
    <row r="1784" spans="1:18">
      <c r="A1784" t="s">
        <v>5368</v>
      </c>
      <c r="B1784" t="s">
        <v>269</v>
      </c>
      <c r="C1784">
        <v>1</v>
      </c>
      <c r="D1784" t="s">
        <v>9</v>
      </c>
      <c r="E1784" t="s">
        <v>3</v>
      </c>
      <c r="F1784" s="2">
        <v>45892</v>
      </c>
      <c r="G1784">
        <v>6942.6</v>
      </c>
      <c r="H1784" s="1">
        <f>AVERAGEIF(Table1[Customer_ID], Table1[[#This Row],[Customer_ID]], Table1[Transaction_Amount])</f>
        <v>4912.8857407407413</v>
      </c>
      <c r="I1784" t="s">
        <v>2478</v>
      </c>
      <c r="J1784" t="s">
        <v>31</v>
      </c>
      <c r="K1784" t="s">
        <v>12</v>
      </c>
      <c r="L1784">
        <v>5</v>
      </c>
      <c r="M1784" t="s">
        <v>37</v>
      </c>
      <c r="N1784" t="s">
        <v>55</v>
      </c>
      <c r="O1784" t="s">
        <v>393</v>
      </c>
      <c r="P1784" s="6" t="str">
        <f>IF(Table1[[#This Row],[Transaction_Amount]]&lt;=Table1[[#This Row],[avg_transaction_amount]], "usual transaction", "unusual transaction")</f>
        <v>unusual transaction</v>
      </c>
      <c r="Q1784" s="6" t="str">
        <f>IF(AND(Table1[[#This Row],[Country_of_Residence]]&lt;&gt;Table1[[#This Row],[Country_of_Transaction]], OR(Table1[[#This Row],[Authentication_Type]]="Biometric", Table1[[#This Row],[Authentication_Type]]="OTP")), "safe location transaction", "unsafe location transaction")</f>
        <v>unsafe location transaction</v>
      </c>
      <c r="R1784" s="6" t="str">
        <f>IF(AND(Table1[[#This Row],[Country_of_Residence]]&lt;&gt;Table1[[#This Row],[Country_of_Transaction]], OR(Table1[[#This Row],[Merchant_Category]]="Electronics", Table1[[#This Row],[Merchant_Category]]="Travel")), "unsafe merchant transaction", "safe merchant transaction")</f>
        <v>safe merchant transaction</v>
      </c>
    </row>
    <row r="1785" spans="1:18">
      <c r="A1785" t="s">
        <v>5503</v>
      </c>
      <c r="B1785" t="s">
        <v>269</v>
      </c>
      <c r="C1785">
        <v>1</v>
      </c>
      <c r="D1785" t="s">
        <v>9</v>
      </c>
      <c r="E1785" t="s">
        <v>5</v>
      </c>
      <c r="F1785" s="2">
        <v>45833</v>
      </c>
      <c r="G1785">
        <v>6314.52</v>
      </c>
      <c r="H1785" s="1">
        <f>AVERAGEIF(Table1[Customer_ID], Table1[[#This Row],[Customer_ID]], Table1[Transaction_Amount])</f>
        <v>4912.8857407407413</v>
      </c>
      <c r="I1785" t="s">
        <v>2757</v>
      </c>
      <c r="J1785" t="s">
        <v>36</v>
      </c>
      <c r="K1785" t="s">
        <v>10</v>
      </c>
      <c r="L1785">
        <v>3</v>
      </c>
      <c r="M1785" t="s">
        <v>42</v>
      </c>
      <c r="N1785" t="s">
        <v>47</v>
      </c>
      <c r="O1785" t="s">
        <v>393</v>
      </c>
      <c r="P1785" s="6" t="str">
        <f>IF(Table1[[#This Row],[Transaction_Amount]]&lt;=Table1[[#This Row],[avg_transaction_amount]], "usual transaction", "unusual transaction")</f>
        <v>unusual transaction</v>
      </c>
      <c r="Q1785" s="6" t="str">
        <f>IF(AND(Table1[[#This Row],[Country_of_Residence]]&lt;&gt;Table1[[#This Row],[Country_of_Transaction]], OR(Table1[[#This Row],[Authentication_Type]]="Biometric", Table1[[#This Row],[Authentication_Type]]="OTP")), "safe location transaction", "unsafe location transaction")</f>
        <v>safe location transaction</v>
      </c>
      <c r="R1785" s="6" t="str">
        <f>IF(AND(Table1[[#This Row],[Country_of_Residence]]&lt;&gt;Table1[[#This Row],[Country_of_Transaction]], OR(Table1[[#This Row],[Merchant_Category]]="Electronics", Table1[[#This Row],[Merchant_Category]]="Travel")), "unsafe merchant transaction", "safe merchant transaction")</f>
        <v>safe merchant transaction</v>
      </c>
    </row>
    <row r="1786" spans="1:18">
      <c r="A1786" t="s">
        <v>5504</v>
      </c>
      <c r="B1786" t="s">
        <v>269</v>
      </c>
      <c r="C1786">
        <v>1</v>
      </c>
      <c r="D1786" t="s">
        <v>9</v>
      </c>
      <c r="E1786" t="s">
        <v>3</v>
      </c>
      <c r="F1786" s="2">
        <v>45805</v>
      </c>
      <c r="G1786">
        <v>9472.7900000000009</v>
      </c>
      <c r="H1786" s="1">
        <f>AVERAGEIF(Table1[Customer_ID], Table1[[#This Row],[Customer_ID]], Table1[Transaction_Amount])</f>
        <v>4912.8857407407413</v>
      </c>
      <c r="I1786" t="s">
        <v>2065</v>
      </c>
      <c r="J1786" t="s">
        <v>46</v>
      </c>
      <c r="K1786" t="s">
        <v>8</v>
      </c>
      <c r="L1786">
        <v>3</v>
      </c>
      <c r="M1786" t="s">
        <v>56</v>
      </c>
      <c r="N1786" t="s">
        <v>32</v>
      </c>
      <c r="O1786" t="s">
        <v>393</v>
      </c>
      <c r="P1786" s="6" t="str">
        <f>IF(Table1[[#This Row],[Transaction_Amount]]&lt;=Table1[[#This Row],[avg_transaction_amount]], "usual transaction", "unusual transaction")</f>
        <v>unusual transaction</v>
      </c>
      <c r="Q1786" s="6" t="str">
        <f>IF(AND(Table1[[#This Row],[Country_of_Residence]]&lt;&gt;Table1[[#This Row],[Country_of_Transaction]], OR(Table1[[#This Row],[Authentication_Type]]="Biometric", Table1[[#This Row],[Authentication_Type]]="OTP")), "safe location transaction", "unsafe location transaction")</f>
        <v>safe location transaction</v>
      </c>
      <c r="R1786" s="6" t="str">
        <f>IF(AND(Table1[[#This Row],[Country_of_Residence]]&lt;&gt;Table1[[#This Row],[Country_of_Transaction]], OR(Table1[[#This Row],[Merchant_Category]]="Electronics", Table1[[#This Row],[Merchant_Category]]="Travel")), "unsafe merchant transaction", "safe merchant transaction")</f>
        <v>safe merchant transaction</v>
      </c>
    </row>
    <row r="1787" spans="1:18">
      <c r="A1787" t="s">
        <v>5507</v>
      </c>
      <c r="B1787" t="s">
        <v>269</v>
      </c>
      <c r="C1787">
        <v>1</v>
      </c>
      <c r="D1787" t="s">
        <v>15</v>
      </c>
      <c r="E1787" t="s">
        <v>6</v>
      </c>
      <c r="F1787" s="2">
        <v>45966</v>
      </c>
      <c r="G1787">
        <v>1929.99</v>
      </c>
      <c r="H1787" s="1">
        <f>AVERAGEIF(Table1[Customer_ID], Table1[[#This Row],[Customer_ID]], Table1[Transaction_Amount])</f>
        <v>4912.8857407407413</v>
      </c>
      <c r="I1787" t="s">
        <v>2759</v>
      </c>
      <c r="J1787" t="s">
        <v>46</v>
      </c>
      <c r="K1787" t="s">
        <v>8</v>
      </c>
      <c r="L1787">
        <v>0</v>
      </c>
      <c r="M1787" t="s">
        <v>32</v>
      </c>
      <c r="N1787" t="s">
        <v>42</v>
      </c>
      <c r="O1787" t="s">
        <v>393</v>
      </c>
      <c r="P1787" s="6" t="str">
        <f>IF(Table1[[#This Row],[Transaction_Amount]]&lt;=Table1[[#This Row],[avg_transaction_amount]], "usual transaction", "unusual transaction")</f>
        <v>usual transaction</v>
      </c>
      <c r="Q1787" s="6" t="str">
        <f>IF(AND(Table1[[#This Row],[Country_of_Residence]]&lt;&gt;Table1[[#This Row],[Country_of_Transaction]], OR(Table1[[#This Row],[Authentication_Type]]="Biometric", Table1[[#This Row],[Authentication_Type]]="OTP")), "safe location transaction", "unsafe location transaction")</f>
        <v>safe location transaction</v>
      </c>
      <c r="R1787" s="6" t="str">
        <f>IF(AND(Table1[[#This Row],[Country_of_Residence]]&lt;&gt;Table1[[#This Row],[Country_of_Transaction]], OR(Table1[[#This Row],[Merchant_Category]]="Electronics", Table1[[#This Row],[Merchant_Category]]="Travel")), "unsafe merchant transaction", "safe merchant transaction")</f>
        <v>safe merchant transaction</v>
      </c>
    </row>
    <row r="1788" spans="1:18">
      <c r="A1788" t="s">
        <v>279</v>
      </c>
      <c r="B1788" t="s">
        <v>276</v>
      </c>
      <c r="C1788">
        <v>1</v>
      </c>
      <c r="D1788" t="s">
        <v>13</v>
      </c>
      <c r="E1788" t="s">
        <v>3</v>
      </c>
      <c r="F1788" s="2">
        <v>45832.95</v>
      </c>
      <c r="G1788">
        <v>5663.63</v>
      </c>
      <c r="H1788" s="1">
        <f>AVERAGEIF(Table1[Customer_ID], Table1[[#This Row],[Customer_ID]], Table1[Transaction_Amount])</f>
        <v>4981.743968253968</v>
      </c>
      <c r="I1788" t="s">
        <v>280</v>
      </c>
      <c r="J1788" t="s">
        <v>50</v>
      </c>
      <c r="K1788" t="s">
        <v>12</v>
      </c>
      <c r="L1788">
        <v>0</v>
      </c>
      <c r="M1788" t="s">
        <v>278</v>
      </c>
      <c r="N1788" t="s">
        <v>172</v>
      </c>
      <c r="O1788" t="s">
        <v>393</v>
      </c>
      <c r="P1788" t="str">
        <f>IF(Table1[[#This Row],[Transaction_Amount]]&lt;=Table1[[#This Row],[avg_transaction_amount]], "usual transaction", "unusual transaction")</f>
        <v>unusual transaction</v>
      </c>
      <c r="Q1788" t="str">
        <f>IF(AND(Table1[[#This Row],[Country_of_Residence]]&lt;&gt;Table1[[#This Row],[Country_of_Transaction]], OR(Table1[[#This Row],[Authentication_Type]]="Biometric", Table1[[#This Row],[Authentication_Type]]="OTP")), "safe location transaction", "unsafe location transaction")</f>
        <v>unsafe location transaction</v>
      </c>
      <c r="R1788" t="str">
        <f>IF(AND(Table1[[#This Row],[Country_of_Residence]]&lt;&gt;Table1[[#This Row],[Country_of_Transaction]], OR(Table1[[#This Row],[Merchant_Category]]="Electronics", Table1[[#This Row],[Merchant_Category]]="Travel")), "unsafe merchant transaction", "safe merchant transaction")</f>
        <v>unsafe merchant transaction</v>
      </c>
    </row>
    <row r="1789" spans="1:18">
      <c r="A1789" t="s">
        <v>281</v>
      </c>
      <c r="B1789" t="s">
        <v>276</v>
      </c>
      <c r="C1789">
        <v>1</v>
      </c>
      <c r="D1789" t="s">
        <v>15</v>
      </c>
      <c r="E1789" t="s">
        <v>5</v>
      </c>
      <c r="F1789" s="2">
        <v>45843.929861111101</v>
      </c>
      <c r="G1789">
        <v>949.45</v>
      </c>
      <c r="H1789" s="1">
        <f>AVERAGEIF(Table1[Customer_ID], Table1[[#This Row],[Customer_ID]], Table1[Transaction_Amount])</f>
        <v>4981.743968253968</v>
      </c>
      <c r="I1789" t="s">
        <v>282</v>
      </c>
      <c r="J1789" t="s">
        <v>31</v>
      </c>
      <c r="K1789" t="s">
        <v>10</v>
      </c>
      <c r="L1789">
        <v>3</v>
      </c>
      <c r="M1789" t="s">
        <v>278</v>
      </c>
      <c r="N1789" t="s">
        <v>283</v>
      </c>
      <c r="O1789" t="s">
        <v>392</v>
      </c>
      <c r="P1789" t="str">
        <f>IF(Table1[[#This Row],[Transaction_Amount]]&lt;=Table1[[#This Row],[avg_transaction_amount]], "usual transaction", "unusual transaction")</f>
        <v>usual transaction</v>
      </c>
      <c r="Q1789" t="str">
        <f>IF(AND(Table1[[#This Row],[Country_of_Residence]]&lt;&gt;Table1[[#This Row],[Country_of_Transaction]], OR(Table1[[#This Row],[Authentication_Type]]="Biometric", Table1[[#This Row],[Authentication_Type]]="OTP")), "safe location transaction", "unsafe location transaction")</f>
        <v>safe location transaction</v>
      </c>
      <c r="R1789" t="str">
        <f>IF(AND(Table1[[#This Row],[Country_of_Residence]]&lt;&gt;Table1[[#This Row],[Country_of_Transaction]], OR(Table1[[#This Row],[Merchant_Category]]="Electronics", Table1[[#This Row],[Merchant_Category]]="Travel")), "unsafe merchant transaction", "safe merchant transaction")</f>
        <v>safe merchant transaction</v>
      </c>
    </row>
    <row r="1790" spans="1:18">
      <c r="A1790" t="s">
        <v>275</v>
      </c>
      <c r="B1790" t="s">
        <v>276</v>
      </c>
      <c r="C1790">
        <v>1</v>
      </c>
      <c r="D1790" t="s">
        <v>15</v>
      </c>
      <c r="E1790" t="s">
        <v>4</v>
      </c>
      <c r="F1790" s="2">
        <v>45831.542361111096</v>
      </c>
      <c r="G1790">
        <v>1737.71</v>
      </c>
      <c r="H1790" s="1">
        <f>AVERAGEIF(Table1[Customer_ID], Table1[[#This Row],[Customer_ID]], Table1[Transaction_Amount])</f>
        <v>4981.743968253968</v>
      </c>
      <c r="I1790" t="s">
        <v>277</v>
      </c>
      <c r="J1790" t="s">
        <v>59</v>
      </c>
      <c r="K1790" t="s">
        <v>14</v>
      </c>
      <c r="L1790">
        <v>0</v>
      </c>
      <c r="M1790" t="s">
        <v>278</v>
      </c>
      <c r="N1790" t="s">
        <v>118</v>
      </c>
      <c r="O1790" t="s">
        <v>393</v>
      </c>
      <c r="P1790" t="str">
        <f>IF(Table1[[#This Row],[Transaction_Amount]]&lt;=Table1[[#This Row],[avg_transaction_amount]], "usual transaction", "unusual transaction")</f>
        <v>usual transaction</v>
      </c>
      <c r="Q1790" t="str">
        <f>IF(AND(Table1[[#This Row],[Country_of_Residence]]&lt;&gt;Table1[[#This Row],[Country_of_Transaction]], OR(Table1[[#This Row],[Authentication_Type]]="Biometric", Table1[[#This Row],[Authentication_Type]]="OTP")), "safe location transaction", "unsafe location transaction")</f>
        <v>unsafe location transaction</v>
      </c>
      <c r="R1790" t="str">
        <f>IF(AND(Table1[[#This Row],[Country_of_Residence]]&lt;&gt;Table1[[#This Row],[Country_of_Transaction]], OR(Table1[[#This Row],[Merchant_Category]]="Electronics", Table1[[#This Row],[Merchant_Category]]="Travel")), "unsafe merchant transaction", "safe merchant transaction")</f>
        <v>unsafe merchant transaction</v>
      </c>
    </row>
    <row r="1791" spans="1:18">
      <c r="A1791" t="s">
        <v>2782</v>
      </c>
      <c r="B1791" t="s">
        <v>276</v>
      </c>
      <c r="C1791">
        <v>1</v>
      </c>
      <c r="D1791" t="s">
        <v>15</v>
      </c>
      <c r="E1791" t="s">
        <v>6</v>
      </c>
      <c r="F1791" s="2">
        <v>45852</v>
      </c>
      <c r="G1791">
        <v>4839.5200000000004</v>
      </c>
      <c r="H1791" s="1">
        <f>AVERAGEIF(Table1[Customer_ID], Table1[[#This Row],[Customer_ID]], Table1[Transaction_Amount])</f>
        <v>4981.743968253968</v>
      </c>
      <c r="I1791" t="s">
        <v>431</v>
      </c>
      <c r="J1791" t="s">
        <v>50</v>
      </c>
      <c r="K1791" t="s">
        <v>8</v>
      </c>
      <c r="L1791">
        <v>2</v>
      </c>
      <c r="M1791" t="s">
        <v>56</v>
      </c>
      <c r="N1791" t="s">
        <v>33</v>
      </c>
      <c r="O1791" t="s">
        <v>393</v>
      </c>
      <c r="P1791" s="6" t="str">
        <f>IF(Table1[[#This Row],[Transaction_Amount]]&lt;=Table1[[#This Row],[avg_transaction_amount]], "usual transaction", "unusual transaction")</f>
        <v>usual transaction</v>
      </c>
      <c r="Q1791" s="6" t="str">
        <f>IF(AND(Table1[[#This Row],[Country_of_Residence]]&lt;&gt;Table1[[#This Row],[Country_of_Transaction]], OR(Table1[[#This Row],[Authentication_Type]]="Biometric", Table1[[#This Row],[Authentication_Type]]="OTP")), "safe location transaction", "unsafe location transaction")</f>
        <v>safe location transaction</v>
      </c>
      <c r="R1791" s="6" t="str">
        <f>IF(AND(Table1[[#This Row],[Country_of_Residence]]&lt;&gt;Table1[[#This Row],[Country_of_Transaction]], OR(Table1[[#This Row],[Merchant_Category]]="Electronics", Table1[[#This Row],[Merchant_Category]]="Travel")), "unsafe merchant transaction", "safe merchant transaction")</f>
        <v>unsafe merchant transaction</v>
      </c>
    </row>
    <row r="1792" spans="1:18">
      <c r="A1792" t="s">
        <v>2805</v>
      </c>
      <c r="B1792" t="s">
        <v>276</v>
      </c>
      <c r="C1792">
        <v>1</v>
      </c>
      <c r="D1792" t="s">
        <v>9</v>
      </c>
      <c r="E1792" t="s">
        <v>6</v>
      </c>
      <c r="F1792" s="2">
        <v>45897</v>
      </c>
      <c r="G1792">
        <v>338.8</v>
      </c>
      <c r="H1792" s="1">
        <f>AVERAGEIF(Table1[Customer_ID], Table1[[#This Row],[Customer_ID]], Table1[Transaction_Amount])</f>
        <v>4981.743968253968</v>
      </c>
      <c r="I1792" t="s">
        <v>456</v>
      </c>
      <c r="J1792" t="s">
        <v>31</v>
      </c>
      <c r="K1792" t="s">
        <v>8</v>
      </c>
      <c r="L1792">
        <v>4</v>
      </c>
      <c r="M1792" t="s">
        <v>412</v>
      </c>
      <c r="N1792" t="s">
        <v>32</v>
      </c>
      <c r="O1792" t="s">
        <v>393</v>
      </c>
      <c r="P1792" s="6" t="str">
        <f>IF(Table1[[#This Row],[Transaction_Amount]]&lt;=Table1[[#This Row],[avg_transaction_amount]], "usual transaction", "unusual transaction")</f>
        <v>usual transaction</v>
      </c>
      <c r="Q1792" s="6" t="str">
        <f>IF(AND(Table1[[#This Row],[Country_of_Residence]]&lt;&gt;Table1[[#This Row],[Country_of_Transaction]], OR(Table1[[#This Row],[Authentication_Type]]="Biometric", Table1[[#This Row],[Authentication_Type]]="OTP")), "safe location transaction", "unsafe location transaction")</f>
        <v>safe location transaction</v>
      </c>
      <c r="R1792" s="6" t="str">
        <f>IF(AND(Table1[[#This Row],[Country_of_Residence]]&lt;&gt;Table1[[#This Row],[Country_of_Transaction]], OR(Table1[[#This Row],[Merchant_Category]]="Electronics", Table1[[#This Row],[Merchant_Category]]="Travel")), "unsafe merchant transaction", "safe merchant transaction")</f>
        <v>safe merchant transaction</v>
      </c>
    </row>
    <row r="1793" spans="1:18">
      <c r="A1793" t="s">
        <v>2829</v>
      </c>
      <c r="B1793" t="s">
        <v>276</v>
      </c>
      <c r="C1793">
        <v>1</v>
      </c>
      <c r="D1793" t="s">
        <v>9</v>
      </c>
      <c r="E1793" t="s">
        <v>420</v>
      </c>
      <c r="F1793" s="2">
        <v>45905</v>
      </c>
      <c r="G1793">
        <v>9329.9</v>
      </c>
      <c r="H1793" s="1">
        <f>AVERAGEIF(Table1[Customer_ID], Table1[[#This Row],[Customer_ID]], Table1[Transaction_Amount])</f>
        <v>4981.743968253968</v>
      </c>
      <c r="I1793" t="s">
        <v>480</v>
      </c>
      <c r="J1793" t="s">
        <v>36</v>
      </c>
      <c r="K1793" t="s">
        <v>12</v>
      </c>
      <c r="L1793">
        <v>3</v>
      </c>
      <c r="M1793" t="s">
        <v>55</v>
      </c>
      <c r="N1793" t="s">
        <v>33</v>
      </c>
      <c r="O1793" t="s">
        <v>392</v>
      </c>
      <c r="P1793" s="6" t="str">
        <f>IF(Table1[[#This Row],[Transaction_Amount]]&lt;=Table1[[#This Row],[avg_transaction_amount]], "usual transaction", "unusual transaction")</f>
        <v>unusual transaction</v>
      </c>
      <c r="Q1793" s="6" t="str">
        <f>IF(AND(Table1[[#This Row],[Country_of_Residence]]&lt;&gt;Table1[[#This Row],[Country_of_Transaction]], OR(Table1[[#This Row],[Authentication_Type]]="Biometric", Table1[[#This Row],[Authentication_Type]]="OTP")), "safe location transaction", "unsafe location transaction")</f>
        <v>unsafe location transaction</v>
      </c>
      <c r="R1793" s="6" t="str">
        <f>IF(AND(Table1[[#This Row],[Country_of_Residence]]&lt;&gt;Table1[[#This Row],[Country_of_Transaction]], OR(Table1[[#This Row],[Merchant_Category]]="Electronics", Table1[[#This Row],[Merchant_Category]]="Travel")), "unsafe merchant transaction", "safe merchant transaction")</f>
        <v>safe merchant transaction</v>
      </c>
    </row>
    <row r="1794" spans="1:18">
      <c r="A1794" t="s">
        <v>2897</v>
      </c>
      <c r="B1794" t="s">
        <v>276</v>
      </c>
      <c r="C1794">
        <v>1</v>
      </c>
      <c r="D1794" t="s">
        <v>9</v>
      </c>
      <c r="E1794" t="s">
        <v>420</v>
      </c>
      <c r="F1794" s="2">
        <v>45783</v>
      </c>
      <c r="G1794">
        <v>8895.52</v>
      </c>
      <c r="H1794" s="1">
        <f>AVERAGEIF(Table1[Customer_ID], Table1[[#This Row],[Customer_ID]], Table1[Transaction_Amount])</f>
        <v>4981.743968253968</v>
      </c>
      <c r="I1794" t="s">
        <v>547</v>
      </c>
      <c r="J1794" t="s">
        <v>50</v>
      </c>
      <c r="K1794" t="s">
        <v>8</v>
      </c>
      <c r="L1794">
        <v>0</v>
      </c>
      <c r="M1794" t="s">
        <v>412</v>
      </c>
      <c r="N1794" t="s">
        <v>42</v>
      </c>
      <c r="O1794" t="s">
        <v>393</v>
      </c>
      <c r="P1794" s="6" t="str">
        <f>IF(Table1[[#This Row],[Transaction_Amount]]&lt;=Table1[[#This Row],[avg_transaction_amount]], "usual transaction", "unusual transaction")</f>
        <v>unusual transaction</v>
      </c>
      <c r="Q1794" s="6" t="str">
        <f>IF(AND(Table1[[#This Row],[Country_of_Residence]]&lt;&gt;Table1[[#This Row],[Country_of_Transaction]], OR(Table1[[#This Row],[Authentication_Type]]="Biometric", Table1[[#This Row],[Authentication_Type]]="OTP")), "safe location transaction", "unsafe location transaction")</f>
        <v>safe location transaction</v>
      </c>
      <c r="R1794" s="6" t="str">
        <f>IF(AND(Table1[[#This Row],[Country_of_Residence]]&lt;&gt;Table1[[#This Row],[Country_of_Transaction]], OR(Table1[[#This Row],[Merchant_Category]]="Electronics", Table1[[#This Row],[Merchant_Category]]="Travel")), "unsafe merchant transaction", "safe merchant transaction")</f>
        <v>unsafe merchant transaction</v>
      </c>
    </row>
    <row r="1795" spans="1:18">
      <c r="A1795" t="s">
        <v>2965</v>
      </c>
      <c r="B1795" t="s">
        <v>276</v>
      </c>
      <c r="C1795">
        <v>1</v>
      </c>
      <c r="D1795" t="s">
        <v>15</v>
      </c>
      <c r="E1795" t="s">
        <v>5</v>
      </c>
      <c r="F1795" s="2">
        <v>45674</v>
      </c>
      <c r="G1795">
        <v>1714.17</v>
      </c>
      <c r="H1795" s="1">
        <f>AVERAGEIF(Table1[Customer_ID], Table1[[#This Row],[Customer_ID]], Table1[Transaction_Amount])</f>
        <v>4981.743968253968</v>
      </c>
      <c r="I1795" t="s">
        <v>613</v>
      </c>
      <c r="J1795" t="s">
        <v>41</v>
      </c>
      <c r="K1795" t="s">
        <v>14</v>
      </c>
      <c r="L1795">
        <v>1</v>
      </c>
      <c r="M1795" t="s">
        <v>47</v>
      </c>
      <c r="N1795" t="s">
        <v>47</v>
      </c>
      <c r="O1795" t="s">
        <v>392</v>
      </c>
      <c r="P1795" s="6" t="str">
        <f>IF(Table1[[#This Row],[Transaction_Amount]]&lt;=Table1[[#This Row],[avg_transaction_amount]], "usual transaction", "unusual transaction")</f>
        <v>usual transaction</v>
      </c>
      <c r="Q1795" s="6" t="str">
        <f>IF(AND(Table1[[#This Row],[Country_of_Residence]]&lt;&gt;Table1[[#This Row],[Country_of_Transaction]], OR(Table1[[#This Row],[Authentication_Type]]="Biometric", Table1[[#This Row],[Authentication_Type]]="OTP")), "safe location transaction", "unsafe location transaction")</f>
        <v>unsafe location transaction</v>
      </c>
      <c r="R1795" s="6" t="str">
        <f>IF(AND(Table1[[#This Row],[Country_of_Residence]]&lt;&gt;Table1[[#This Row],[Country_of_Transaction]], OR(Table1[[#This Row],[Merchant_Category]]="Electronics", Table1[[#This Row],[Merchant_Category]]="Travel")), "unsafe merchant transaction", "safe merchant transaction")</f>
        <v>safe merchant transaction</v>
      </c>
    </row>
    <row r="1796" spans="1:18">
      <c r="A1796" t="s">
        <v>2970</v>
      </c>
      <c r="B1796" t="s">
        <v>276</v>
      </c>
      <c r="C1796">
        <v>1</v>
      </c>
      <c r="D1796" t="s">
        <v>9</v>
      </c>
      <c r="E1796" t="s">
        <v>420</v>
      </c>
      <c r="F1796" s="2">
        <v>45889</v>
      </c>
      <c r="G1796">
        <v>1464.61</v>
      </c>
      <c r="H1796" s="1">
        <f>AVERAGEIF(Table1[Customer_ID], Table1[[#This Row],[Customer_ID]], Table1[Transaction_Amount])</f>
        <v>4981.743968253968</v>
      </c>
      <c r="I1796" t="s">
        <v>618</v>
      </c>
      <c r="J1796" t="s">
        <v>36</v>
      </c>
      <c r="K1796" t="s">
        <v>14</v>
      </c>
      <c r="L1796">
        <v>5</v>
      </c>
      <c r="M1796" t="s">
        <v>51</v>
      </c>
      <c r="N1796" t="s">
        <v>47</v>
      </c>
      <c r="O1796" t="s">
        <v>393</v>
      </c>
      <c r="P1796" s="6" t="str">
        <f>IF(Table1[[#This Row],[Transaction_Amount]]&lt;=Table1[[#This Row],[avg_transaction_amount]], "usual transaction", "unusual transaction")</f>
        <v>usual transaction</v>
      </c>
      <c r="Q1796" s="6" t="str">
        <f>IF(AND(Table1[[#This Row],[Country_of_Residence]]&lt;&gt;Table1[[#This Row],[Country_of_Transaction]], OR(Table1[[#This Row],[Authentication_Type]]="Biometric", Table1[[#This Row],[Authentication_Type]]="OTP")), "safe location transaction", "unsafe location transaction")</f>
        <v>unsafe location transaction</v>
      </c>
      <c r="R1796" s="6" t="str">
        <f>IF(AND(Table1[[#This Row],[Country_of_Residence]]&lt;&gt;Table1[[#This Row],[Country_of_Transaction]], OR(Table1[[#This Row],[Merchant_Category]]="Electronics", Table1[[#This Row],[Merchant_Category]]="Travel")), "unsafe merchant transaction", "safe merchant transaction")</f>
        <v>safe merchant transaction</v>
      </c>
    </row>
    <row r="1797" spans="1:18">
      <c r="A1797" t="s">
        <v>2984</v>
      </c>
      <c r="B1797" t="s">
        <v>276</v>
      </c>
      <c r="C1797">
        <v>1</v>
      </c>
      <c r="D1797" t="s">
        <v>9</v>
      </c>
      <c r="E1797" t="s">
        <v>6</v>
      </c>
      <c r="F1797" s="2">
        <v>45848</v>
      </c>
      <c r="G1797">
        <v>9532.51</v>
      </c>
      <c r="H1797" s="1">
        <f>AVERAGEIF(Table1[Customer_ID], Table1[[#This Row],[Customer_ID]], Table1[Transaction_Amount])</f>
        <v>4981.743968253968</v>
      </c>
      <c r="I1797" t="s">
        <v>632</v>
      </c>
      <c r="J1797" t="s">
        <v>31</v>
      </c>
      <c r="K1797" t="s">
        <v>10</v>
      </c>
      <c r="L1797">
        <v>2</v>
      </c>
      <c r="M1797" t="s">
        <v>56</v>
      </c>
      <c r="N1797" t="s">
        <v>37</v>
      </c>
      <c r="O1797" t="s">
        <v>392</v>
      </c>
      <c r="P1797" s="6" t="str">
        <f>IF(Table1[[#This Row],[Transaction_Amount]]&lt;=Table1[[#This Row],[avg_transaction_amount]], "usual transaction", "unusual transaction")</f>
        <v>unusual transaction</v>
      </c>
      <c r="Q1797" s="6" t="str">
        <f>IF(AND(Table1[[#This Row],[Country_of_Residence]]&lt;&gt;Table1[[#This Row],[Country_of_Transaction]], OR(Table1[[#This Row],[Authentication_Type]]="Biometric", Table1[[#This Row],[Authentication_Type]]="OTP")), "safe location transaction", "unsafe location transaction")</f>
        <v>safe location transaction</v>
      </c>
      <c r="R1797" s="6" t="str">
        <f>IF(AND(Table1[[#This Row],[Country_of_Residence]]&lt;&gt;Table1[[#This Row],[Country_of_Transaction]], OR(Table1[[#This Row],[Merchant_Category]]="Electronics", Table1[[#This Row],[Merchant_Category]]="Travel")), "unsafe merchant transaction", "safe merchant transaction")</f>
        <v>safe merchant transaction</v>
      </c>
    </row>
    <row r="1798" spans="1:18">
      <c r="A1798" t="s">
        <v>2991</v>
      </c>
      <c r="B1798" t="s">
        <v>276</v>
      </c>
      <c r="C1798">
        <v>1</v>
      </c>
      <c r="D1798" t="s">
        <v>15</v>
      </c>
      <c r="E1798" t="s">
        <v>5</v>
      </c>
      <c r="F1798" s="2">
        <v>45705</v>
      </c>
      <c r="G1798">
        <v>9613.7900000000009</v>
      </c>
      <c r="H1798" s="1">
        <f>AVERAGEIF(Table1[Customer_ID], Table1[[#This Row],[Customer_ID]], Table1[Transaction_Amount])</f>
        <v>4981.743968253968</v>
      </c>
      <c r="I1798" t="s">
        <v>638</v>
      </c>
      <c r="J1798" t="s">
        <v>41</v>
      </c>
      <c r="K1798" t="s">
        <v>8</v>
      </c>
      <c r="L1798">
        <v>5</v>
      </c>
      <c r="M1798" t="s">
        <v>51</v>
      </c>
      <c r="N1798" t="s">
        <v>47</v>
      </c>
      <c r="O1798" t="s">
        <v>392</v>
      </c>
      <c r="P1798" s="6" t="str">
        <f>IF(Table1[[#This Row],[Transaction_Amount]]&lt;=Table1[[#This Row],[avg_transaction_amount]], "usual transaction", "unusual transaction")</f>
        <v>unusual transaction</v>
      </c>
      <c r="Q1798" s="6" t="str">
        <f>IF(AND(Table1[[#This Row],[Country_of_Residence]]&lt;&gt;Table1[[#This Row],[Country_of_Transaction]], OR(Table1[[#This Row],[Authentication_Type]]="Biometric", Table1[[#This Row],[Authentication_Type]]="OTP")), "safe location transaction", "unsafe location transaction")</f>
        <v>safe location transaction</v>
      </c>
      <c r="R1798" s="6" t="str">
        <f>IF(AND(Table1[[#This Row],[Country_of_Residence]]&lt;&gt;Table1[[#This Row],[Country_of_Transaction]], OR(Table1[[#This Row],[Merchant_Category]]="Electronics", Table1[[#This Row],[Merchant_Category]]="Travel")), "unsafe merchant transaction", "safe merchant transaction")</f>
        <v>safe merchant transaction</v>
      </c>
    </row>
    <row r="1799" spans="1:18">
      <c r="A1799" t="s">
        <v>3025</v>
      </c>
      <c r="B1799" t="s">
        <v>276</v>
      </c>
      <c r="C1799">
        <v>1</v>
      </c>
      <c r="D1799" t="s">
        <v>9</v>
      </c>
      <c r="E1799" t="s">
        <v>5</v>
      </c>
      <c r="F1799" s="2">
        <v>45834</v>
      </c>
      <c r="G1799">
        <v>5960.73</v>
      </c>
      <c r="H1799" s="1">
        <f>AVERAGEIF(Table1[Customer_ID], Table1[[#This Row],[Customer_ID]], Table1[Transaction_Amount])</f>
        <v>4981.743968253968</v>
      </c>
      <c r="I1799" t="s">
        <v>672</v>
      </c>
      <c r="J1799" t="s">
        <v>31</v>
      </c>
      <c r="K1799" t="s">
        <v>14</v>
      </c>
      <c r="L1799">
        <v>0</v>
      </c>
      <c r="M1799" t="s">
        <v>56</v>
      </c>
      <c r="N1799" t="s">
        <v>412</v>
      </c>
      <c r="O1799" t="s">
        <v>392</v>
      </c>
      <c r="P1799" s="6" t="str">
        <f>IF(Table1[[#This Row],[Transaction_Amount]]&lt;=Table1[[#This Row],[avg_transaction_amount]], "usual transaction", "unusual transaction")</f>
        <v>unusual transaction</v>
      </c>
      <c r="Q1799" s="6" t="str">
        <f>IF(AND(Table1[[#This Row],[Country_of_Residence]]&lt;&gt;Table1[[#This Row],[Country_of_Transaction]], OR(Table1[[#This Row],[Authentication_Type]]="Biometric", Table1[[#This Row],[Authentication_Type]]="OTP")), "safe location transaction", "unsafe location transaction")</f>
        <v>unsafe location transaction</v>
      </c>
      <c r="R1799" s="6" t="str">
        <f>IF(AND(Table1[[#This Row],[Country_of_Residence]]&lt;&gt;Table1[[#This Row],[Country_of_Transaction]], OR(Table1[[#This Row],[Merchant_Category]]="Electronics", Table1[[#This Row],[Merchant_Category]]="Travel")), "unsafe merchant transaction", "safe merchant transaction")</f>
        <v>safe merchant transaction</v>
      </c>
    </row>
    <row r="1800" spans="1:18">
      <c r="A1800" t="s">
        <v>3055</v>
      </c>
      <c r="B1800" t="s">
        <v>276</v>
      </c>
      <c r="C1800">
        <v>1</v>
      </c>
      <c r="D1800" t="s">
        <v>9</v>
      </c>
      <c r="E1800" t="s">
        <v>3</v>
      </c>
      <c r="F1800" s="2">
        <v>45788</v>
      </c>
      <c r="G1800">
        <v>1447.47</v>
      </c>
      <c r="H1800" s="1">
        <f>AVERAGEIF(Table1[Customer_ID], Table1[[#This Row],[Customer_ID]], Table1[Transaction_Amount])</f>
        <v>4981.743968253968</v>
      </c>
      <c r="I1800" t="s">
        <v>700</v>
      </c>
      <c r="J1800" t="s">
        <v>46</v>
      </c>
      <c r="K1800" t="s">
        <v>10</v>
      </c>
      <c r="L1800">
        <v>3</v>
      </c>
      <c r="M1800" t="s">
        <v>55</v>
      </c>
      <c r="N1800" t="s">
        <v>47</v>
      </c>
      <c r="O1800" t="s">
        <v>392</v>
      </c>
      <c r="P1800" s="6" t="str">
        <f>IF(Table1[[#This Row],[Transaction_Amount]]&lt;=Table1[[#This Row],[avg_transaction_amount]], "usual transaction", "unusual transaction")</f>
        <v>usual transaction</v>
      </c>
      <c r="Q1800" s="6" t="str">
        <f>IF(AND(Table1[[#This Row],[Country_of_Residence]]&lt;&gt;Table1[[#This Row],[Country_of_Transaction]], OR(Table1[[#This Row],[Authentication_Type]]="Biometric", Table1[[#This Row],[Authentication_Type]]="OTP")), "safe location transaction", "unsafe location transaction")</f>
        <v>safe location transaction</v>
      </c>
      <c r="R1800" s="6" t="str">
        <f>IF(AND(Table1[[#This Row],[Country_of_Residence]]&lt;&gt;Table1[[#This Row],[Country_of_Transaction]], OR(Table1[[#This Row],[Merchant_Category]]="Electronics", Table1[[#This Row],[Merchant_Category]]="Travel")), "unsafe merchant transaction", "safe merchant transaction")</f>
        <v>safe merchant transaction</v>
      </c>
    </row>
    <row r="1801" spans="1:18">
      <c r="A1801" t="s">
        <v>3108</v>
      </c>
      <c r="B1801" t="s">
        <v>276</v>
      </c>
      <c r="C1801">
        <v>1</v>
      </c>
      <c r="D1801" t="s">
        <v>9</v>
      </c>
      <c r="E1801" t="s">
        <v>5</v>
      </c>
      <c r="F1801" s="2">
        <v>45863</v>
      </c>
      <c r="G1801">
        <v>4268.2299999999996</v>
      </c>
      <c r="H1801" s="1">
        <f>AVERAGEIF(Table1[Customer_ID], Table1[[#This Row],[Customer_ID]], Table1[Transaction_Amount])</f>
        <v>4981.743968253968</v>
      </c>
      <c r="I1801" t="s">
        <v>751</v>
      </c>
      <c r="J1801" t="s">
        <v>46</v>
      </c>
      <c r="K1801" t="s">
        <v>12</v>
      </c>
      <c r="L1801">
        <v>4</v>
      </c>
      <c r="M1801" t="s">
        <v>55</v>
      </c>
      <c r="N1801" t="s">
        <v>32</v>
      </c>
      <c r="O1801" t="s">
        <v>393</v>
      </c>
      <c r="P1801" s="6" t="str">
        <f>IF(Table1[[#This Row],[Transaction_Amount]]&lt;=Table1[[#This Row],[avg_transaction_amount]], "usual transaction", "unusual transaction")</f>
        <v>usual transaction</v>
      </c>
      <c r="Q1801" s="6" t="str">
        <f>IF(AND(Table1[[#This Row],[Country_of_Residence]]&lt;&gt;Table1[[#This Row],[Country_of_Transaction]], OR(Table1[[#This Row],[Authentication_Type]]="Biometric", Table1[[#This Row],[Authentication_Type]]="OTP")), "safe location transaction", "unsafe location transaction")</f>
        <v>unsafe location transaction</v>
      </c>
      <c r="R1801" s="6" t="str">
        <f>IF(AND(Table1[[#This Row],[Country_of_Residence]]&lt;&gt;Table1[[#This Row],[Country_of_Transaction]], OR(Table1[[#This Row],[Merchant_Category]]="Electronics", Table1[[#This Row],[Merchant_Category]]="Travel")), "unsafe merchant transaction", "safe merchant transaction")</f>
        <v>safe merchant transaction</v>
      </c>
    </row>
    <row r="1802" spans="1:18">
      <c r="A1802" t="s">
        <v>3110</v>
      </c>
      <c r="B1802" t="s">
        <v>276</v>
      </c>
      <c r="C1802">
        <v>1</v>
      </c>
      <c r="D1802" t="s">
        <v>15</v>
      </c>
      <c r="E1802" t="s">
        <v>420</v>
      </c>
      <c r="F1802" s="2">
        <v>45708</v>
      </c>
      <c r="G1802">
        <v>3035.34</v>
      </c>
      <c r="H1802" s="1">
        <f>AVERAGEIF(Table1[Customer_ID], Table1[[#This Row],[Customer_ID]], Table1[Transaction_Amount])</f>
        <v>4981.743968253968</v>
      </c>
      <c r="I1802" t="s">
        <v>752</v>
      </c>
      <c r="J1802" t="s">
        <v>31</v>
      </c>
      <c r="K1802" t="s">
        <v>12</v>
      </c>
      <c r="L1802">
        <v>2</v>
      </c>
      <c r="M1802" t="s">
        <v>47</v>
      </c>
      <c r="N1802" t="s">
        <v>32</v>
      </c>
      <c r="O1802" t="s">
        <v>393</v>
      </c>
      <c r="P1802" s="6" t="str">
        <f>IF(Table1[[#This Row],[Transaction_Amount]]&lt;=Table1[[#This Row],[avg_transaction_amount]], "usual transaction", "unusual transaction")</f>
        <v>usual transaction</v>
      </c>
      <c r="Q1802" s="6" t="str">
        <f>IF(AND(Table1[[#This Row],[Country_of_Residence]]&lt;&gt;Table1[[#This Row],[Country_of_Transaction]], OR(Table1[[#This Row],[Authentication_Type]]="Biometric", Table1[[#This Row],[Authentication_Type]]="OTP")), "safe location transaction", "unsafe location transaction")</f>
        <v>unsafe location transaction</v>
      </c>
      <c r="R1802" s="6" t="str">
        <f>IF(AND(Table1[[#This Row],[Country_of_Residence]]&lt;&gt;Table1[[#This Row],[Country_of_Transaction]], OR(Table1[[#This Row],[Merchant_Category]]="Electronics", Table1[[#This Row],[Merchant_Category]]="Travel")), "unsafe merchant transaction", "safe merchant transaction")</f>
        <v>safe merchant transaction</v>
      </c>
    </row>
    <row r="1803" spans="1:18">
      <c r="A1803" t="s">
        <v>3211</v>
      </c>
      <c r="B1803" t="s">
        <v>276</v>
      </c>
      <c r="C1803">
        <v>1</v>
      </c>
      <c r="D1803" t="s">
        <v>15</v>
      </c>
      <c r="E1803" t="s">
        <v>420</v>
      </c>
      <c r="F1803" s="2">
        <v>45794</v>
      </c>
      <c r="G1803">
        <v>1531.1</v>
      </c>
      <c r="H1803" s="1">
        <f>AVERAGEIF(Table1[Customer_ID], Table1[[#This Row],[Customer_ID]], Table1[Transaction_Amount])</f>
        <v>4981.743968253968</v>
      </c>
      <c r="I1803" t="s">
        <v>845</v>
      </c>
      <c r="J1803" t="s">
        <v>36</v>
      </c>
      <c r="K1803" t="s">
        <v>10</v>
      </c>
      <c r="L1803">
        <v>4</v>
      </c>
      <c r="M1803" t="s">
        <v>47</v>
      </c>
      <c r="N1803" t="s">
        <v>47</v>
      </c>
      <c r="O1803" t="s">
        <v>393</v>
      </c>
      <c r="P1803" s="6" t="str">
        <f>IF(Table1[[#This Row],[Transaction_Amount]]&lt;=Table1[[#This Row],[avg_transaction_amount]], "usual transaction", "unusual transaction")</f>
        <v>usual transaction</v>
      </c>
      <c r="Q1803" s="6" t="str">
        <f>IF(AND(Table1[[#This Row],[Country_of_Residence]]&lt;&gt;Table1[[#This Row],[Country_of_Transaction]], OR(Table1[[#This Row],[Authentication_Type]]="Biometric", Table1[[#This Row],[Authentication_Type]]="OTP")), "safe location transaction", "unsafe location transaction")</f>
        <v>unsafe location transaction</v>
      </c>
      <c r="R1803" s="6" t="str">
        <f>IF(AND(Table1[[#This Row],[Country_of_Residence]]&lt;&gt;Table1[[#This Row],[Country_of_Transaction]], OR(Table1[[#This Row],[Merchant_Category]]="Electronics", Table1[[#This Row],[Merchant_Category]]="Travel")), "unsafe merchant transaction", "safe merchant transaction")</f>
        <v>safe merchant transaction</v>
      </c>
    </row>
    <row r="1804" spans="1:18">
      <c r="A1804" t="s">
        <v>3215</v>
      </c>
      <c r="B1804" t="s">
        <v>276</v>
      </c>
      <c r="C1804">
        <v>1</v>
      </c>
      <c r="D1804" t="s">
        <v>9</v>
      </c>
      <c r="E1804" t="s">
        <v>420</v>
      </c>
      <c r="F1804" s="2">
        <v>45931</v>
      </c>
      <c r="G1804">
        <v>3918.24</v>
      </c>
      <c r="H1804" s="1">
        <f>AVERAGEIF(Table1[Customer_ID], Table1[[#This Row],[Customer_ID]], Table1[Transaction_Amount])</f>
        <v>4981.743968253968</v>
      </c>
      <c r="I1804" t="s">
        <v>848</v>
      </c>
      <c r="J1804" t="s">
        <v>31</v>
      </c>
      <c r="K1804" t="s">
        <v>14</v>
      </c>
      <c r="L1804">
        <v>0</v>
      </c>
      <c r="M1804" t="s">
        <v>51</v>
      </c>
      <c r="N1804" t="s">
        <v>412</v>
      </c>
      <c r="O1804" t="s">
        <v>393</v>
      </c>
      <c r="P1804" s="6" t="str">
        <f>IF(Table1[[#This Row],[Transaction_Amount]]&lt;=Table1[[#This Row],[avg_transaction_amount]], "usual transaction", "unusual transaction")</f>
        <v>usual transaction</v>
      </c>
      <c r="Q1804" s="6" t="str">
        <f>IF(AND(Table1[[#This Row],[Country_of_Residence]]&lt;&gt;Table1[[#This Row],[Country_of_Transaction]], OR(Table1[[#This Row],[Authentication_Type]]="Biometric", Table1[[#This Row],[Authentication_Type]]="OTP")), "safe location transaction", "unsafe location transaction")</f>
        <v>unsafe location transaction</v>
      </c>
      <c r="R1804" s="6" t="str">
        <f>IF(AND(Table1[[#This Row],[Country_of_Residence]]&lt;&gt;Table1[[#This Row],[Country_of_Transaction]], OR(Table1[[#This Row],[Merchant_Category]]="Electronics", Table1[[#This Row],[Merchant_Category]]="Travel")), "unsafe merchant transaction", "safe merchant transaction")</f>
        <v>safe merchant transaction</v>
      </c>
    </row>
    <row r="1805" spans="1:18">
      <c r="A1805" t="s">
        <v>3218</v>
      </c>
      <c r="B1805" t="s">
        <v>276</v>
      </c>
      <c r="C1805">
        <v>1</v>
      </c>
      <c r="D1805" t="s">
        <v>15</v>
      </c>
      <c r="E1805" t="s">
        <v>6</v>
      </c>
      <c r="F1805" s="2">
        <v>45876</v>
      </c>
      <c r="G1805">
        <v>5970.03</v>
      </c>
      <c r="H1805" s="1">
        <f>AVERAGEIF(Table1[Customer_ID], Table1[[#This Row],[Customer_ID]], Table1[Transaction_Amount])</f>
        <v>4981.743968253968</v>
      </c>
      <c r="I1805" t="s">
        <v>851</v>
      </c>
      <c r="J1805" t="s">
        <v>50</v>
      </c>
      <c r="K1805" t="s">
        <v>10</v>
      </c>
      <c r="L1805">
        <v>5</v>
      </c>
      <c r="M1805" t="s">
        <v>33</v>
      </c>
      <c r="N1805" t="s">
        <v>42</v>
      </c>
      <c r="O1805" t="s">
        <v>393</v>
      </c>
      <c r="P1805" s="6" t="str">
        <f>IF(Table1[[#This Row],[Transaction_Amount]]&lt;=Table1[[#This Row],[avg_transaction_amount]], "usual transaction", "unusual transaction")</f>
        <v>unusual transaction</v>
      </c>
      <c r="Q1805" s="6" t="str">
        <f>IF(AND(Table1[[#This Row],[Country_of_Residence]]&lt;&gt;Table1[[#This Row],[Country_of_Transaction]], OR(Table1[[#This Row],[Authentication_Type]]="Biometric", Table1[[#This Row],[Authentication_Type]]="OTP")), "safe location transaction", "unsafe location transaction")</f>
        <v>safe location transaction</v>
      </c>
      <c r="R1805" s="6" t="str">
        <f>IF(AND(Table1[[#This Row],[Country_of_Residence]]&lt;&gt;Table1[[#This Row],[Country_of_Transaction]], OR(Table1[[#This Row],[Merchant_Category]]="Electronics", Table1[[#This Row],[Merchant_Category]]="Travel")), "unsafe merchant transaction", "safe merchant transaction")</f>
        <v>unsafe merchant transaction</v>
      </c>
    </row>
    <row r="1806" spans="1:18">
      <c r="A1806" t="s">
        <v>3309</v>
      </c>
      <c r="B1806" t="s">
        <v>276</v>
      </c>
      <c r="C1806">
        <v>1</v>
      </c>
      <c r="D1806" t="s">
        <v>9</v>
      </c>
      <c r="E1806" t="s">
        <v>6</v>
      </c>
      <c r="F1806" s="2">
        <v>45841</v>
      </c>
      <c r="G1806">
        <v>8020.95</v>
      </c>
      <c r="H1806" s="1">
        <f>AVERAGEIF(Table1[Customer_ID], Table1[[#This Row],[Customer_ID]], Table1[Transaction_Amount])</f>
        <v>4981.743968253968</v>
      </c>
      <c r="I1806" t="s">
        <v>936</v>
      </c>
      <c r="J1806" t="s">
        <v>50</v>
      </c>
      <c r="K1806" t="s">
        <v>12</v>
      </c>
      <c r="L1806">
        <v>3</v>
      </c>
      <c r="M1806" t="s">
        <v>47</v>
      </c>
      <c r="N1806" t="s">
        <v>56</v>
      </c>
      <c r="O1806" t="s">
        <v>393</v>
      </c>
      <c r="P1806" s="6" t="str">
        <f>IF(Table1[[#This Row],[Transaction_Amount]]&lt;=Table1[[#This Row],[avg_transaction_amount]], "usual transaction", "unusual transaction")</f>
        <v>unusual transaction</v>
      </c>
      <c r="Q1806" s="6" t="str">
        <f>IF(AND(Table1[[#This Row],[Country_of_Residence]]&lt;&gt;Table1[[#This Row],[Country_of_Transaction]], OR(Table1[[#This Row],[Authentication_Type]]="Biometric", Table1[[#This Row],[Authentication_Type]]="OTP")), "safe location transaction", "unsafe location transaction")</f>
        <v>unsafe location transaction</v>
      </c>
      <c r="R1806" s="6" t="str">
        <f>IF(AND(Table1[[#This Row],[Country_of_Residence]]&lt;&gt;Table1[[#This Row],[Country_of_Transaction]], OR(Table1[[#This Row],[Merchant_Category]]="Electronics", Table1[[#This Row],[Merchant_Category]]="Travel")), "unsafe merchant transaction", "safe merchant transaction")</f>
        <v>unsafe merchant transaction</v>
      </c>
    </row>
    <row r="1807" spans="1:18">
      <c r="A1807" t="s">
        <v>3320</v>
      </c>
      <c r="B1807" t="s">
        <v>276</v>
      </c>
      <c r="C1807">
        <v>1</v>
      </c>
      <c r="D1807" t="s">
        <v>9</v>
      </c>
      <c r="E1807" t="s">
        <v>6</v>
      </c>
      <c r="F1807" s="2">
        <v>46023</v>
      </c>
      <c r="G1807">
        <v>4026.82</v>
      </c>
      <c r="H1807" s="1">
        <f>AVERAGEIF(Table1[Customer_ID], Table1[[#This Row],[Customer_ID]], Table1[Transaction_Amount])</f>
        <v>4981.743968253968</v>
      </c>
      <c r="I1807" t="s">
        <v>946</v>
      </c>
      <c r="J1807" t="s">
        <v>31</v>
      </c>
      <c r="K1807" t="s">
        <v>8</v>
      </c>
      <c r="L1807">
        <v>4</v>
      </c>
      <c r="M1807" t="s">
        <v>51</v>
      </c>
      <c r="N1807" t="s">
        <v>33</v>
      </c>
      <c r="O1807" t="s">
        <v>392</v>
      </c>
      <c r="P1807" s="6" t="str">
        <f>IF(Table1[[#This Row],[Transaction_Amount]]&lt;=Table1[[#This Row],[avg_transaction_amount]], "usual transaction", "unusual transaction")</f>
        <v>usual transaction</v>
      </c>
      <c r="Q1807" s="6" t="str">
        <f>IF(AND(Table1[[#This Row],[Country_of_Residence]]&lt;&gt;Table1[[#This Row],[Country_of_Transaction]], OR(Table1[[#This Row],[Authentication_Type]]="Biometric", Table1[[#This Row],[Authentication_Type]]="OTP")), "safe location transaction", "unsafe location transaction")</f>
        <v>safe location transaction</v>
      </c>
      <c r="R1807" s="6" t="str">
        <f>IF(AND(Table1[[#This Row],[Country_of_Residence]]&lt;&gt;Table1[[#This Row],[Country_of_Transaction]], OR(Table1[[#This Row],[Merchant_Category]]="Electronics", Table1[[#This Row],[Merchant_Category]]="Travel")), "unsafe merchant transaction", "safe merchant transaction")</f>
        <v>safe merchant transaction</v>
      </c>
    </row>
    <row r="1808" spans="1:18">
      <c r="A1808" t="s">
        <v>3433</v>
      </c>
      <c r="B1808" t="s">
        <v>276</v>
      </c>
      <c r="C1808">
        <v>1</v>
      </c>
      <c r="D1808" t="s">
        <v>9</v>
      </c>
      <c r="E1808" t="s">
        <v>6</v>
      </c>
      <c r="F1808" s="2">
        <v>45998</v>
      </c>
      <c r="G1808">
        <v>6815.81</v>
      </c>
      <c r="H1808" s="1">
        <f>AVERAGEIF(Table1[Customer_ID], Table1[[#This Row],[Customer_ID]], Table1[Transaction_Amount])</f>
        <v>4981.743968253968</v>
      </c>
      <c r="I1808" t="s">
        <v>1052</v>
      </c>
      <c r="J1808" t="s">
        <v>41</v>
      </c>
      <c r="K1808" t="s">
        <v>14</v>
      </c>
      <c r="L1808">
        <v>2</v>
      </c>
      <c r="M1808" t="s">
        <v>33</v>
      </c>
      <c r="N1808" t="s">
        <v>32</v>
      </c>
      <c r="O1808" t="s">
        <v>393</v>
      </c>
      <c r="P1808" s="6" t="str">
        <f>IF(Table1[[#This Row],[Transaction_Amount]]&lt;=Table1[[#This Row],[avg_transaction_amount]], "usual transaction", "unusual transaction")</f>
        <v>unusual transaction</v>
      </c>
      <c r="Q1808" s="6" t="str">
        <f>IF(AND(Table1[[#This Row],[Country_of_Residence]]&lt;&gt;Table1[[#This Row],[Country_of_Transaction]], OR(Table1[[#This Row],[Authentication_Type]]="Biometric", Table1[[#This Row],[Authentication_Type]]="OTP")), "safe location transaction", "unsafe location transaction")</f>
        <v>unsafe location transaction</v>
      </c>
      <c r="R1808" s="6" t="str">
        <f>IF(AND(Table1[[#This Row],[Country_of_Residence]]&lt;&gt;Table1[[#This Row],[Country_of_Transaction]], OR(Table1[[#This Row],[Merchant_Category]]="Electronics", Table1[[#This Row],[Merchant_Category]]="Travel")), "unsafe merchant transaction", "safe merchant transaction")</f>
        <v>safe merchant transaction</v>
      </c>
    </row>
    <row r="1809" spans="1:18">
      <c r="A1809" t="s">
        <v>3466</v>
      </c>
      <c r="B1809" t="s">
        <v>276</v>
      </c>
      <c r="C1809">
        <v>1</v>
      </c>
      <c r="D1809" t="s">
        <v>15</v>
      </c>
      <c r="E1809" t="s">
        <v>6</v>
      </c>
      <c r="F1809" s="2">
        <v>45785</v>
      </c>
      <c r="G1809">
        <v>872.02</v>
      </c>
      <c r="H1809" s="1">
        <f>AVERAGEIF(Table1[Customer_ID], Table1[[#This Row],[Customer_ID]], Table1[Transaction_Amount])</f>
        <v>4981.743968253968</v>
      </c>
      <c r="I1809" t="s">
        <v>1084</v>
      </c>
      <c r="J1809" t="s">
        <v>50</v>
      </c>
      <c r="K1809" t="s">
        <v>12</v>
      </c>
      <c r="L1809">
        <v>5</v>
      </c>
      <c r="M1809" t="s">
        <v>56</v>
      </c>
      <c r="N1809" t="s">
        <v>55</v>
      </c>
      <c r="O1809" t="s">
        <v>393</v>
      </c>
      <c r="P1809" s="6" t="str">
        <f>IF(Table1[[#This Row],[Transaction_Amount]]&lt;=Table1[[#This Row],[avg_transaction_amount]], "usual transaction", "unusual transaction")</f>
        <v>usual transaction</v>
      </c>
      <c r="Q1809" s="6" t="str">
        <f>IF(AND(Table1[[#This Row],[Country_of_Residence]]&lt;&gt;Table1[[#This Row],[Country_of_Transaction]], OR(Table1[[#This Row],[Authentication_Type]]="Biometric", Table1[[#This Row],[Authentication_Type]]="OTP")), "safe location transaction", "unsafe location transaction")</f>
        <v>unsafe location transaction</v>
      </c>
      <c r="R1809" s="6" t="str">
        <f>IF(AND(Table1[[#This Row],[Country_of_Residence]]&lt;&gt;Table1[[#This Row],[Country_of_Transaction]], OR(Table1[[#This Row],[Merchant_Category]]="Electronics", Table1[[#This Row],[Merchant_Category]]="Travel")), "unsafe merchant transaction", "safe merchant transaction")</f>
        <v>unsafe merchant transaction</v>
      </c>
    </row>
    <row r="1810" spans="1:18">
      <c r="A1810" t="s">
        <v>3521</v>
      </c>
      <c r="B1810" t="s">
        <v>276</v>
      </c>
      <c r="C1810">
        <v>1</v>
      </c>
      <c r="D1810" t="s">
        <v>15</v>
      </c>
      <c r="E1810" t="s">
        <v>420</v>
      </c>
      <c r="F1810" s="2">
        <v>45915</v>
      </c>
      <c r="G1810">
        <v>7511.94</v>
      </c>
      <c r="H1810" s="1">
        <f>AVERAGEIF(Table1[Customer_ID], Table1[[#This Row],[Customer_ID]], Table1[Transaction_Amount])</f>
        <v>4981.743968253968</v>
      </c>
      <c r="I1810" t="s">
        <v>1136</v>
      </c>
      <c r="J1810" t="s">
        <v>50</v>
      </c>
      <c r="K1810" t="s">
        <v>8</v>
      </c>
      <c r="L1810">
        <v>1</v>
      </c>
      <c r="M1810" t="s">
        <v>55</v>
      </c>
      <c r="N1810" t="s">
        <v>47</v>
      </c>
      <c r="O1810" t="s">
        <v>393</v>
      </c>
      <c r="P1810" s="6" t="str">
        <f>IF(Table1[[#This Row],[Transaction_Amount]]&lt;=Table1[[#This Row],[avg_transaction_amount]], "usual transaction", "unusual transaction")</f>
        <v>unusual transaction</v>
      </c>
      <c r="Q1810" s="6" t="str">
        <f>IF(AND(Table1[[#This Row],[Country_of_Residence]]&lt;&gt;Table1[[#This Row],[Country_of_Transaction]], OR(Table1[[#This Row],[Authentication_Type]]="Biometric", Table1[[#This Row],[Authentication_Type]]="OTP")), "safe location transaction", "unsafe location transaction")</f>
        <v>safe location transaction</v>
      </c>
      <c r="R1810" s="6" t="str">
        <f>IF(AND(Table1[[#This Row],[Country_of_Residence]]&lt;&gt;Table1[[#This Row],[Country_of_Transaction]], OR(Table1[[#This Row],[Merchant_Category]]="Electronics", Table1[[#This Row],[Merchant_Category]]="Travel")), "unsafe merchant transaction", "safe merchant transaction")</f>
        <v>unsafe merchant transaction</v>
      </c>
    </row>
    <row r="1811" spans="1:18">
      <c r="A1811" t="s">
        <v>3547</v>
      </c>
      <c r="B1811" t="s">
        <v>276</v>
      </c>
      <c r="C1811">
        <v>1</v>
      </c>
      <c r="D1811" t="s">
        <v>15</v>
      </c>
      <c r="E1811" t="s">
        <v>420</v>
      </c>
      <c r="F1811" s="2">
        <v>45855</v>
      </c>
      <c r="G1811">
        <v>649.66</v>
      </c>
      <c r="H1811" s="1">
        <f>AVERAGEIF(Table1[Customer_ID], Table1[[#This Row],[Customer_ID]], Table1[Transaction_Amount])</f>
        <v>4981.743968253968</v>
      </c>
      <c r="I1811" t="s">
        <v>1161</v>
      </c>
      <c r="J1811" t="s">
        <v>31</v>
      </c>
      <c r="K1811" t="s">
        <v>14</v>
      </c>
      <c r="L1811">
        <v>1</v>
      </c>
      <c r="M1811" t="s">
        <v>33</v>
      </c>
      <c r="N1811" t="s">
        <v>33</v>
      </c>
      <c r="O1811" t="s">
        <v>393</v>
      </c>
      <c r="P1811" s="6" t="str">
        <f>IF(Table1[[#This Row],[Transaction_Amount]]&lt;=Table1[[#This Row],[avg_transaction_amount]], "usual transaction", "unusual transaction")</f>
        <v>usual transaction</v>
      </c>
      <c r="Q1811" s="6" t="str">
        <f>IF(AND(Table1[[#This Row],[Country_of_Residence]]&lt;&gt;Table1[[#This Row],[Country_of_Transaction]], OR(Table1[[#This Row],[Authentication_Type]]="Biometric", Table1[[#This Row],[Authentication_Type]]="OTP")), "safe location transaction", "unsafe location transaction")</f>
        <v>unsafe location transaction</v>
      </c>
      <c r="R1811" s="6" t="str">
        <f>IF(AND(Table1[[#This Row],[Country_of_Residence]]&lt;&gt;Table1[[#This Row],[Country_of_Transaction]], OR(Table1[[#This Row],[Merchant_Category]]="Electronics", Table1[[#This Row],[Merchant_Category]]="Travel")), "unsafe merchant transaction", "safe merchant transaction")</f>
        <v>safe merchant transaction</v>
      </c>
    </row>
    <row r="1812" spans="1:18">
      <c r="A1812" t="s">
        <v>3620</v>
      </c>
      <c r="B1812" t="s">
        <v>276</v>
      </c>
      <c r="C1812">
        <v>1</v>
      </c>
      <c r="D1812" t="s">
        <v>9</v>
      </c>
      <c r="E1812" t="s">
        <v>3</v>
      </c>
      <c r="F1812" s="2">
        <v>45839</v>
      </c>
      <c r="G1812">
        <v>2667.41</v>
      </c>
      <c r="H1812" s="1">
        <f>AVERAGEIF(Table1[Customer_ID], Table1[[#This Row],[Customer_ID]], Table1[Transaction_Amount])</f>
        <v>4981.743968253968</v>
      </c>
      <c r="I1812" t="s">
        <v>1226</v>
      </c>
      <c r="J1812" t="s">
        <v>31</v>
      </c>
      <c r="K1812" t="s">
        <v>14</v>
      </c>
      <c r="L1812">
        <v>1</v>
      </c>
      <c r="M1812" t="s">
        <v>33</v>
      </c>
      <c r="N1812" t="s">
        <v>51</v>
      </c>
      <c r="O1812" t="s">
        <v>393</v>
      </c>
      <c r="P1812" s="6" t="str">
        <f>IF(Table1[[#This Row],[Transaction_Amount]]&lt;=Table1[[#This Row],[avg_transaction_amount]], "usual transaction", "unusual transaction")</f>
        <v>usual transaction</v>
      </c>
      <c r="Q1812" s="6" t="str">
        <f>IF(AND(Table1[[#This Row],[Country_of_Residence]]&lt;&gt;Table1[[#This Row],[Country_of_Transaction]], OR(Table1[[#This Row],[Authentication_Type]]="Biometric", Table1[[#This Row],[Authentication_Type]]="OTP")), "safe location transaction", "unsafe location transaction")</f>
        <v>unsafe location transaction</v>
      </c>
      <c r="R1812" s="6" t="str">
        <f>IF(AND(Table1[[#This Row],[Country_of_Residence]]&lt;&gt;Table1[[#This Row],[Country_of_Transaction]], OR(Table1[[#This Row],[Merchant_Category]]="Electronics", Table1[[#This Row],[Merchant_Category]]="Travel")), "unsafe merchant transaction", "safe merchant transaction")</f>
        <v>safe merchant transaction</v>
      </c>
    </row>
    <row r="1813" spans="1:18">
      <c r="A1813" t="s">
        <v>3702</v>
      </c>
      <c r="B1813" t="s">
        <v>276</v>
      </c>
      <c r="C1813">
        <v>1</v>
      </c>
      <c r="D1813" t="s">
        <v>15</v>
      </c>
      <c r="E1813" t="s">
        <v>6</v>
      </c>
      <c r="F1813" s="2">
        <v>45761</v>
      </c>
      <c r="G1813">
        <v>4620.25</v>
      </c>
      <c r="H1813" s="1">
        <f>AVERAGEIF(Table1[Customer_ID], Table1[[#This Row],[Customer_ID]], Table1[Transaction_Amount])</f>
        <v>4981.743968253968</v>
      </c>
      <c r="I1813" t="s">
        <v>1299</v>
      </c>
      <c r="J1813" t="s">
        <v>36</v>
      </c>
      <c r="K1813" t="s">
        <v>10</v>
      </c>
      <c r="L1813">
        <v>2</v>
      </c>
      <c r="M1813" t="s">
        <v>33</v>
      </c>
      <c r="N1813" t="s">
        <v>32</v>
      </c>
      <c r="O1813" t="s">
        <v>393</v>
      </c>
      <c r="P1813" s="6" t="str">
        <f>IF(Table1[[#This Row],[Transaction_Amount]]&lt;=Table1[[#This Row],[avg_transaction_amount]], "usual transaction", "unusual transaction")</f>
        <v>usual transaction</v>
      </c>
      <c r="Q1813" s="6" t="str">
        <f>IF(AND(Table1[[#This Row],[Country_of_Residence]]&lt;&gt;Table1[[#This Row],[Country_of_Transaction]], OR(Table1[[#This Row],[Authentication_Type]]="Biometric", Table1[[#This Row],[Authentication_Type]]="OTP")), "safe location transaction", "unsafe location transaction")</f>
        <v>safe location transaction</v>
      </c>
      <c r="R1813" s="6" t="str">
        <f>IF(AND(Table1[[#This Row],[Country_of_Residence]]&lt;&gt;Table1[[#This Row],[Country_of_Transaction]], OR(Table1[[#This Row],[Merchant_Category]]="Electronics", Table1[[#This Row],[Merchant_Category]]="Travel")), "unsafe merchant transaction", "safe merchant transaction")</f>
        <v>safe merchant transaction</v>
      </c>
    </row>
    <row r="1814" spans="1:18">
      <c r="A1814" t="s">
        <v>3740</v>
      </c>
      <c r="B1814" t="s">
        <v>276</v>
      </c>
      <c r="C1814">
        <v>1</v>
      </c>
      <c r="D1814" t="s">
        <v>15</v>
      </c>
      <c r="E1814" t="s">
        <v>5</v>
      </c>
      <c r="F1814" s="2">
        <v>45923</v>
      </c>
      <c r="G1814">
        <v>7731.48</v>
      </c>
      <c r="H1814" s="1">
        <f>AVERAGEIF(Table1[Customer_ID], Table1[[#This Row],[Customer_ID]], Table1[Transaction_Amount])</f>
        <v>4981.743968253968</v>
      </c>
      <c r="I1814" t="s">
        <v>1333</v>
      </c>
      <c r="J1814" t="s">
        <v>50</v>
      </c>
      <c r="K1814" t="s">
        <v>8</v>
      </c>
      <c r="L1814">
        <v>5</v>
      </c>
      <c r="M1814" t="s">
        <v>412</v>
      </c>
      <c r="N1814" t="s">
        <v>33</v>
      </c>
      <c r="O1814" t="s">
        <v>392</v>
      </c>
      <c r="P1814" s="6" t="str">
        <f>IF(Table1[[#This Row],[Transaction_Amount]]&lt;=Table1[[#This Row],[avg_transaction_amount]], "usual transaction", "unusual transaction")</f>
        <v>unusual transaction</v>
      </c>
      <c r="Q1814" s="6" t="str">
        <f>IF(AND(Table1[[#This Row],[Country_of_Residence]]&lt;&gt;Table1[[#This Row],[Country_of_Transaction]], OR(Table1[[#This Row],[Authentication_Type]]="Biometric", Table1[[#This Row],[Authentication_Type]]="OTP")), "safe location transaction", "unsafe location transaction")</f>
        <v>safe location transaction</v>
      </c>
      <c r="R1814" s="6" t="str">
        <f>IF(AND(Table1[[#This Row],[Country_of_Residence]]&lt;&gt;Table1[[#This Row],[Country_of_Transaction]], OR(Table1[[#This Row],[Merchant_Category]]="Electronics", Table1[[#This Row],[Merchant_Category]]="Travel")), "unsafe merchant transaction", "safe merchant transaction")</f>
        <v>unsafe merchant transaction</v>
      </c>
    </row>
    <row r="1815" spans="1:18">
      <c r="A1815" t="s">
        <v>3854</v>
      </c>
      <c r="B1815" t="s">
        <v>276</v>
      </c>
      <c r="C1815">
        <v>1</v>
      </c>
      <c r="D1815" t="s">
        <v>9</v>
      </c>
      <c r="E1815" t="s">
        <v>6</v>
      </c>
      <c r="F1815" s="2">
        <v>45865</v>
      </c>
      <c r="G1815">
        <v>1486.34</v>
      </c>
      <c r="H1815" s="1">
        <f>AVERAGEIF(Table1[Customer_ID], Table1[[#This Row],[Customer_ID]], Table1[Transaction_Amount])</f>
        <v>4981.743968253968</v>
      </c>
      <c r="I1815" t="s">
        <v>1429</v>
      </c>
      <c r="J1815" t="s">
        <v>41</v>
      </c>
      <c r="K1815" t="s">
        <v>10</v>
      </c>
      <c r="L1815">
        <v>1</v>
      </c>
      <c r="M1815" t="s">
        <v>412</v>
      </c>
      <c r="N1815" t="s">
        <v>412</v>
      </c>
      <c r="O1815" t="s">
        <v>392</v>
      </c>
      <c r="P1815" s="6" t="str">
        <f>IF(Table1[[#This Row],[Transaction_Amount]]&lt;=Table1[[#This Row],[avg_transaction_amount]], "usual transaction", "unusual transaction")</f>
        <v>usual transaction</v>
      </c>
      <c r="Q1815" s="6" t="str">
        <f>IF(AND(Table1[[#This Row],[Country_of_Residence]]&lt;&gt;Table1[[#This Row],[Country_of_Transaction]], OR(Table1[[#This Row],[Authentication_Type]]="Biometric", Table1[[#This Row],[Authentication_Type]]="OTP")), "safe location transaction", "unsafe location transaction")</f>
        <v>unsafe location transaction</v>
      </c>
      <c r="R1815" s="6" t="str">
        <f>IF(AND(Table1[[#This Row],[Country_of_Residence]]&lt;&gt;Table1[[#This Row],[Country_of_Transaction]], OR(Table1[[#This Row],[Merchant_Category]]="Electronics", Table1[[#This Row],[Merchant_Category]]="Travel")), "unsafe merchant transaction", "safe merchant transaction")</f>
        <v>safe merchant transaction</v>
      </c>
    </row>
    <row r="1816" spans="1:18">
      <c r="A1816" t="s">
        <v>3863</v>
      </c>
      <c r="B1816" t="s">
        <v>276</v>
      </c>
      <c r="C1816">
        <v>1</v>
      </c>
      <c r="D1816" t="s">
        <v>15</v>
      </c>
      <c r="E1816" t="s">
        <v>5</v>
      </c>
      <c r="F1816" s="2">
        <v>45983</v>
      </c>
      <c r="G1816">
        <v>3698.42</v>
      </c>
      <c r="H1816" s="1">
        <f>AVERAGEIF(Table1[Customer_ID], Table1[[#This Row],[Customer_ID]], Table1[Transaction_Amount])</f>
        <v>4981.743968253968</v>
      </c>
      <c r="I1816" t="s">
        <v>1437</v>
      </c>
      <c r="J1816" t="s">
        <v>36</v>
      </c>
      <c r="K1816" t="s">
        <v>8</v>
      </c>
      <c r="L1816">
        <v>0</v>
      </c>
      <c r="M1816" t="s">
        <v>37</v>
      </c>
      <c r="N1816" t="s">
        <v>56</v>
      </c>
      <c r="O1816" t="s">
        <v>393</v>
      </c>
      <c r="P1816" s="6" t="str">
        <f>IF(Table1[[#This Row],[Transaction_Amount]]&lt;=Table1[[#This Row],[avg_transaction_amount]], "usual transaction", "unusual transaction")</f>
        <v>usual transaction</v>
      </c>
      <c r="Q1816" s="6" t="str">
        <f>IF(AND(Table1[[#This Row],[Country_of_Residence]]&lt;&gt;Table1[[#This Row],[Country_of_Transaction]], OR(Table1[[#This Row],[Authentication_Type]]="Biometric", Table1[[#This Row],[Authentication_Type]]="OTP")), "safe location transaction", "unsafe location transaction")</f>
        <v>safe location transaction</v>
      </c>
      <c r="R1816" s="6" t="str">
        <f>IF(AND(Table1[[#This Row],[Country_of_Residence]]&lt;&gt;Table1[[#This Row],[Country_of_Transaction]], OR(Table1[[#This Row],[Merchant_Category]]="Electronics", Table1[[#This Row],[Merchant_Category]]="Travel")), "unsafe merchant transaction", "safe merchant transaction")</f>
        <v>safe merchant transaction</v>
      </c>
    </row>
    <row r="1817" spans="1:18">
      <c r="A1817" t="s">
        <v>3885</v>
      </c>
      <c r="B1817" t="s">
        <v>276</v>
      </c>
      <c r="C1817">
        <v>1</v>
      </c>
      <c r="D1817" t="s">
        <v>9</v>
      </c>
      <c r="E1817" t="s">
        <v>6</v>
      </c>
      <c r="F1817" s="2">
        <v>45848</v>
      </c>
      <c r="G1817">
        <v>5100.22</v>
      </c>
      <c r="H1817" s="1">
        <f>AVERAGEIF(Table1[Customer_ID], Table1[[#This Row],[Customer_ID]], Table1[Transaction_Amount])</f>
        <v>4981.743968253968</v>
      </c>
      <c r="I1817" t="s">
        <v>1454</v>
      </c>
      <c r="J1817" t="s">
        <v>41</v>
      </c>
      <c r="K1817" t="s">
        <v>8</v>
      </c>
      <c r="L1817">
        <v>1</v>
      </c>
      <c r="M1817" t="s">
        <v>56</v>
      </c>
      <c r="N1817" t="s">
        <v>55</v>
      </c>
      <c r="O1817" t="s">
        <v>392</v>
      </c>
      <c r="P1817" s="6" t="str">
        <f>IF(Table1[[#This Row],[Transaction_Amount]]&lt;=Table1[[#This Row],[avg_transaction_amount]], "usual transaction", "unusual transaction")</f>
        <v>unusual transaction</v>
      </c>
      <c r="Q1817" s="6" t="str">
        <f>IF(AND(Table1[[#This Row],[Country_of_Residence]]&lt;&gt;Table1[[#This Row],[Country_of_Transaction]], OR(Table1[[#This Row],[Authentication_Type]]="Biometric", Table1[[#This Row],[Authentication_Type]]="OTP")), "safe location transaction", "unsafe location transaction")</f>
        <v>safe location transaction</v>
      </c>
      <c r="R1817" s="6" t="str">
        <f>IF(AND(Table1[[#This Row],[Country_of_Residence]]&lt;&gt;Table1[[#This Row],[Country_of_Transaction]], OR(Table1[[#This Row],[Merchant_Category]]="Electronics", Table1[[#This Row],[Merchant_Category]]="Travel")), "unsafe merchant transaction", "safe merchant transaction")</f>
        <v>safe merchant transaction</v>
      </c>
    </row>
    <row r="1818" spans="1:18">
      <c r="A1818" t="s">
        <v>3936</v>
      </c>
      <c r="B1818" t="s">
        <v>276</v>
      </c>
      <c r="C1818">
        <v>1</v>
      </c>
      <c r="D1818" t="s">
        <v>15</v>
      </c>
      <c r="E1818" t="s">
        <v>3</v>
      </c>
      <c r="F1818" s="2">
        <v>45803</v>
      </c>
      <c r="G1818">
        <v>3118.43</v>
      </c>
      <c r="H1818" s="1">
        <f>AVERAGEIF(Table1[Customer_ID], Table1[[#This Row],[Customer_ID]], Table1[Transaction_Amount])</f>
        <v>4981.743968253968</v>
      </c>
      <c r="I1818" t="s">
        <v>1500</v>
      </c>
      <c r="J1818" t="s">
        <v>31</v>
      </c>
      <c r="K1818" t="s">
        <v>12</v>
      </c>
      <c r="L1818">
        <v>4</v>
      </c>
      <c r="M1818" t="s">
        <v>32</v>
      </c>
      <c r="N1818" t="s">
        <v>51</v>
      </c>
      <c r="O1818" t="s">
        <v>392</v>
      </c>
      <c r="P1818" s="6" t="str">
        <f>IF(Table1[[#This Row],[Transaction_Amount]]&lt;=Table1[[#This Row],[avg_transaction_amount]], "usual transaction", "unusual transaction")</f>
        <v>usual transaction</v>
      </c>
      <c r="Q1818" s="6" t="str">
        <f>IF(AND(Table1[[#This Row],[Country_of_Residence]]&lt;&gt;Table1[[#This Row],[Country_of_Transaction]], OR(Table1[[#This Row],[Authentication_Type]]="Biometric", Table1[[#This Row],[Authentication_Type]]="OTP")), "safe location transaction", "unsafe location transaction")</f>
        <v>unsafe location transaction</v>
      </c>
      <c r="R1818" s="6" t="str">
        <f>IF(AND(Table1[[#This Row],[Country_of_Residence]]&lt;&gt;Table1[[#This Row],[Country_of_Transaction]], OR(Table1[[#This Row],[Merchant_Category]]="Electronics", Table1[[#This Row],[Merchant_Category]]="Travel")), "unsafe merchant transaction", "safe merchant transaction")</f>
        <v>safe merchant transaction</v>
      </c>
    </row>
    <row r="1819" spans="1:18">
      <c r="A1819" t="s">
        <v>4078</v>
      </c>
      <c r="B1819" t="s">
        <v>276</v>
      </c>
      <c r="C1819">
        <v>1</v>
      </c>
      <c r="D1819" t="s">
        <v>15</v>
      </c>
      <c r="E1819" t="s">
        <v>5</v>
      </c>
      <c r="F1819" s="2">
        <v>45759</v>
      </c>
      <c r="G1819">
        <v>345.36</v>
      </c>
      <c r="H1819" s="1">
        <f>AVERAGEIF(Table1[Customer_ID], Table1[[#This Row],[Customer_ID]], Table1[Transaction_Amount])</f>
        <v>4981.743968253968</v>
      </c>
      <c r="I1819" t="s">
        <v>994</v>
      </c>
      <c r="J1819" t="s">
        <v>41</v>
      </c>
      <c r="K1819" t="s">
        <v>8</v>
      </c>
      <c r="L1819">
        <v>1</v>
      </c>
      <c r="M1819" t="s">
        <v>47</v>
      </c>
      <c r="N1819" t="s">
        <v>37</v>
      </c>
      <c r="O1819" t="s">
        <v>393</v>
      </c>
      <c r="P1819" s="6" t="str">
        <f>IF(Table1[[#This Row],[Transaction_Amount]]&lt;=Table1[[#This Row],[avg_transaction_amount]], "usual transaction", "unusual transaction")</f>
        <v>usual transaction</v>
      </c>
      <c r="Q1819" s="6" t="str">
        <f>IF(AND(Table1[[#This Row],[Country_of_Residence]]&lt;&gt;Table1[[#This Row],[Country_of_Transaction]], OR(Table1[[#This Row],[Authentication_Type]]="Biometric", Table1[[#This Row],[Authentication_Type]]="OTP")), "safe location transaction", "unsafe location transaction")</f>
        <v>safe location transaction</v>
      </c>
      <c r="R1819" s="6" t="str">
        <f>IF(AND(Table1[[#This Row],[Country_of_Residence]]&lt;&gt;Table1[[#This Row],[Country_of_Transaction]], OR(Table1[[#This Row],[Merchant_Category]]="Electronics", Table1[[#This Row],[Merchant_Category]]="Travel")), "unsafe merchant transaction", "safe merchant transaction")</f>
        <v>safe merchant transaction</v>
      </c>
    </row>
    <row r="1820" spans="1:18">
      <c r="A1820" t="s">
        <v>4084</v>
      </c>
      <c r="B1820" t="s">
        <v>276</v>
      </c>
      <c r="C1820">
        <v>1</v>
      </c>
      <c r="D1820" t="s">
        <v>9</v>
      </c>
      <c r="E1820" t="s">
        <v>5</v>
      </c>
      <c r="F1820" s="2">
        <v>45785</v>
      </c>
      <c r="G1820">
        <v>2902.22</v>
      </c>
      <c r="H1820" s="1">
        <f>AVERAGEIF(Table1[Customer_ID], Table1[[#This Row],[Customer_ID]], Table1[Transaction_Amount])</f>
        <v>4981.743968253968</v>
      </c>
      <c r="I1820" t="s">
        <v>1628</v>
      </c>
      <c r="J1820" t="s">
        <v>50</v>
      </c>
      <c r="K1820" t="s">
        <v>8</v>
      </c>
      <c r="L1820">
        <v>1</v>
      </c>
      <c r="M1820" t="s">
        <v>55</v>
      </c>
      <c r="N1820" t="s">
        <v>33</v>
      </c>
      <c r="O1820" t="s">
        <v>393</v>
      </c>
      <c r="P1820" s="6" t="str">
        <f>IF(Table1[[#This Row],[Transaction_Amount]]&lt;=Table1[[#This Row],[avg_transaction_amount]], "usual transaction", "unusual transaction")</f>
        <v>usual transaction</v>
      </c>
      <c r="Q1820" s="6" t="str">
        <f>IF(AND(Table1[[#This Row],[Country_of_Residence]]&lt;&gt;Table1[[#This Row],[Country_of_Transaction]], OR(Table1[[#This Row],[Authentication_Type]]="Biometric", Table1[[#This Row],[Authentication_Type]]="OTP")), "safe location transaction", "unsafe location transaction")</f>
        <v>safe location transaction</v>
      </c>
      <c r="R1820" s="6" t="str">
        <f>IF(AND(Table1[[#This Row],[Country_of_Residence]]&lt;&gt;Table1[[#This Row],[Country_of_Transaction]], OR(Table1[[#This Row],[Merchant_Category]]="Electronics", Table1[[#This Row],[Merchant_Category]]="Travel")), "unsafe merchant transaction", "safe merchant transaction")</f>
        <v>unsafe merchant transaction</v>
      </c>
    </row>
    <row r="1821" spans="1:18">
      <c r="A1821" t="s">
        <v>4140</v>
      </c>
      <c r="B1821" t="s">
        <v>276</v>
      </c>
      <c r="C1821">
        <v>1</v>
      </c>
      <c r="D1821" t="s">
        <v>15</v>
      </c>
      <c r="E1821" t="s">
        <v>420</v>
      </c>
      <c r="F1821" s="2">
        <v>45809</v>
      </c>
      <c r="G1821">
        <v>4596.34</v>
      </c>
      <c r="H1821" s="1">
        <f>AVERAGEIF(Table1[Customer_ID], Table1[[#This Row],[Customer_ID]], Table1[Transaction_Amount])</f>
        <v>4981.743968253968</v>
      </c>
      <c r="I1821" t="s">
        <v>1670</v>
      </c>
      <c r="J1821" t="s">
        <v>31</v>
      </c>
      <c r="K1821" t="s">
        <v>10</v>
      </c>
      <c r="L1821">
        <v>4</v>
      </c>
      <c r="M1821" t="s">
        <v>33</v>
      </c>
      <c r="N1821" t="s">
        <v>42</v>
      </c>
      <c r="O1821" t="s">
        <v>393</v>
      </c>
      <c r="P1821" s="6" t="str">
        <f>IF(Table1[[#This Row],[Transaction_Amount]]&lt;=Table1[[#This Row],[avg_transaction_amount]], "usual transaction", "unusual transaction")</f>
        <v>usual transaction</v>
      </c>
      <c r="Q1821" s="6" t="str">
        <f>IF(AND(Table1[[#This Row],[Country_of_Residence]]&lt;&gt;Table1[[#This Row],[Country_of_Transaction]], OR(Table1[[#This Row],[Authentication_Type]]="Biometric", Table1[[#This Row],[Authentication_Type]]="OTP")), "safe location transaction", "unsafe location transaction")</f>
        <v>safe location transaction</v>
      </c>
      <c r="R1821" s="6" t="str">
        <f>IF(AND(Table1[[#This Row],[Country_of_Residence]]&lt;&gt;Table1[[#This Row],[Country_of_Transaction]], OR(Table1[[#This Row],[Merchant_Category]]="Electronics", Table1[[#This Row],[Merchant_Category]]="Travel")), "unsafe merchant transaction", "safe merchant transaction")</f>
        <v>safe merchant transaction</v>
      </c>
    </row>
    <row r="1822" spans="1:18">
      <c r="A1822" t="s">
        <v>4168</v>
      </c>
      <c r="B1822" t="s">
        <v>276</v>
      </c>
      <c r="C1822">
        <v>1</v>
      </c>
      <c r="D1822" t="s">
        <v>9</v>
      </c>
      <c r="E1822" t="s">
        <v>6</v>
      </c>
      <c r="F1822" s="2">
        <v>45858</v>
      </c>
      <c r="G1822">
        <v>2164.54</v>
      </c>
      <c r="H1822" s="1">
        <f>AVERAGEIF(Table1[Customer_ID], Table1[[#This Row],[Customer_ID]], Table1[Transaction_Amount])</f>
        <v>4981.743968253968</v>
      </c>
      <c r="I1822" t="s">
        <v>1692</v>
      </c>
      <c r="J1822" t="s">
        <v>31</v>
      </c>
      <c r="K1822" t="s">
        <v>8</v>
      </c>
      <c r="L1822">
        <v>4</v>
      </c>
      <c r="M1822" t="s">
        <v>37</v>
      </c>
      <c r="N1822" t="s">
        <v>42</v>
      </c>
      <c r="O1822" t="s">
        <v>392</v>
      </c>
      <c r="P1822" s="6" t="str">
        <f>IF(Table1[[#This Row],[Transaction_Amount]]&lt;=Table1[[#This Row],[avg_transaction_amount]], "usual transaction", "unusual transaction")</f>
        <v>usual transaction</v>
      </c>
      <c r="Q1822" s="6" t="str">
        <f>IF(AND(Table1[[#This Row],[Country_of_Residence]]&lt;&gt;Table1[[#This Row],[Country_of_Transaction]], OR(Table1[[#This Row],[Authentication_Type]]="Biometric", Table1[[#This Row],[Authentication_Type]]="OTP")), "safe location transaction", "unsafe location transaction")</f>
        <v>safe location transaction</v>
      </c>
      <c r="R1822" s="6" t="str">
        <f>IF(AND(Table1[[#This Row],[Country_of_Residence]]&lt;&gt;Table1[[#This Row],[Country_of_Transaction]], OR(Table1[[#This Row],[Merchant_Category]]="Electronics", Table1[[#This Row],[Merchant_Category]]="Travel")), "unsafe merchant transaction", "safe merchant transaction")</f>
        <v>safe merchant transaction</v>
      </c>
    </row>
    <row r="1823" spans="1:18">
      <c r="A1823" t="s">
        <v>4180</v>
      </c>
      <c r="B1823" t="s">
        <v>276</v>
      </c>
      <c r="C1823">
        <v>1</v>
      </c>
      <c r="D1823" t="s">
        <v>15</v>
      </c>
      <c r="E1823" t="s">
        <v>3</v>
      </c>
      <c r="F1823" s="2">
        <v>45691</v>
      </c>
      <c r="G1823">
        <v>9874.66</v>
      </c>
      <c r="H1823" s="1">
        <f>AVERAGEIF(Table1[Customer_ID], Table1[[#This Row],[Customer_ID]], Table1[Transaction_Amount])</f>
        <v>4981.743968253968</v>
      </c>
      <c r="I1823" t="s">
        <v>1702</v>
      </c>
      <c r="J1823" t="s">
        <v>41</v>
      </c>
      <c r="K1823" t="s">
        <v>12</v>
      </c>
      <c r="L1823">
        <v>5</v>
      </c>
      <c r="M1823" t="s">
        <v>412</v>
      </c>
      <c r="N1823" t="s">
        <v>42</v>
      </c>
      <c r="O1823" t="s">
        <v>392</v>
      </c>
      <c r="P1823" s="6" t="str">
        <f>IF(Table1[[#This Row],[Transaction_Amount]]&lt;=Table1[[#This Row],[avg_transaction_amount]], "usual transaction", "unusual transaction")</f>
        <v>unusual transaction</v>
      </c>
      <c r="Q1823" s="6" t="str">
        <f>IF(AND(Table1[[#This Row],[Country_of_Residence]]&lt;&gt;Table1[[#This Row],[Country_of_Transaction]], OR(Table1[[#This Row],[Authentication_Type]]="Biometric", Table1[[#This Row],[Authentication_Type]]="OTP")), "safe location transaction", "unsafe location transaction")</f>
        <v>unsafe location transaction</v>
      </c>
      <c r="R1823" s="6" t="str">
        <f>IF(AND(Table1[[#This Row],[Country_of_Residence]]&lt;&gt;Table1[[#This Row],[Country_of_Transaction]], OR(Table1[[#This Row],[Merchant_Category]]="Electronics", Table1[[#This Row],[Merchant_Category]]="Travel")), "unsafe merchant transaction", "safe merchant transaction")</f>
        <v>safe merchant transaction</v>
      </c>
    </row>
    <row r="1824" spans="1:18">
      <c r="A1824" t="s">
        <v>4202</v>
      </c>
      <c r="B1824" t="s">
        <v>276</v>
      </c>
      <c r="C1824">
        <v>1</v>
      </c>
      <c r="D1824" t="s">
        <v>15</v>
      </c>
      <c r="E1824" t="s">
        <v>420</v>
      </c>
      <c r="F1824" s="2">
        <v>45832</v>
      </c>
      <c r="G1824">
        <v>1980.26</v>
      </c>
      <c r="H1824" s="1">
        <f>AVERAGEIF(Table1[Customer_ID], Table1[[#This Row],[Customer_ID]], Table1[Transaction_Amount])</f>
        <v>4981.743968253968</v>
      </c>
      <c r="I1824" t="s">
        <v>1722</v>
      </c>
      <c r="J1824" t="s">
        <v>46</v>
      </c>
      <c r="K1824" t="s">
        <v>8</v>
      </c>
      <c r="L1824">
        <v>3</v>
      </c>
      <c r="M1824" t="s">
        <v>47</v>
      </c>
      <c r="N1824" t="s">
        <v>42</v>
      </c>
      <c r="O1824" t="s">
        <v>393</v>
      </c>
      <c r="P1824" s="6" t="str">
        <f>IF(Table1[[#This Row],[Transaction_Amount]]&lt;=Table1[[#This Row],[avg_transaction_amount]], "usual transaction", "unusual transaction")</f>
        <v>usual transaction</v>
      </c>
      <c r="Q1824" s="6" t="str">
        <f>IF(AND(Table1[[#This Row],[Country_of_Residence]]&lt;&gt;Table1[[#This Row],[Country_of_Transaction]], OR(Table1[[#This Row],[Authentication_Type]]="Biometric", Table1[[#This Row],[Authentication_Type]]="OTP")), "safe location transaction", "unsafe location transaction")</f>
        <v>safe location transaction</v>
      </c>
      <c r="R1824" s="6" t="str">
        <f>IF(AND(Table1[[#This Row],[Country_of_Residence]]&lt;&gt;Table1[[#This Row],[Country_of_Transaction]], OR(Table1[[#This Row],[Merchant_Category]]="Electronics", Table1[[#This Row],[Merchant_Category]]="Travel")), "unsafe merchant transaction", "safe merchant transaction")</f>
        <v>safe merchant transaction</v>
      </c>
    </row>
    <row r="1825" spans="1:18">
      <c r="A1825" t="s">
        <v>4206</v>
      </c>
      <c r="B1825" t="s">
        <v>276</v>
      </c>
      <c r="C1825">
        <v>1</v>
      </c>
      <c r="D1825" t="s">
        <v>15</v>
      </c>
      <c r="E1825" t="s">
        <v>3</v>
      </c>
      <c r="F1825" s="2">
        <v>45759</v>
      </c>
      <c r="G1825">
        <v>9934.8700000000008</v>
      </c>
      <c r="H1825" s="1">
        <f>AVERAGEIF(Table1[Customer_ID], Table1[[#This Row],[Customer_ID]], Table1[Transaction_Amount])</f>
        <v>4981.743968253968</v>
      </c>
      <c r="I1825" t="s">
        <v>1726</v>
      </c>
      <c r="J1825" t="s">
        <v>50</v>
      </c>
      <c r="K1825" t="s">
        <v>12</v>
      </c>
      <c r="L1825">
        <v>4</v>
      </c>
      <c r="M1825" t="s">
        <v>56</v>
      </c>
      <c r="N1825" t="s">
        <v>42</v>
      </c>
      <c r="O1825" t="s">
        <v>392</v>
      </c>
      <c r="P1825" s="6" t="str">
        <f>IF(Table1[[#This Row],[Transaction_Amount]]&lt;=Table1[[#This Row],[avg_transaction_amount]], "usual transaction", "unusual transaction")</f>
        <v>unusual transaction</v>
      </c>
      <c r="Q1825" s="6" t="str">
        <f>IF(AND(Table1[[#This Row],[Country_of_Residence]]&lt;&gt;Table1[[#This Row],[Country_of_Transaction]], OR(Table1[[#This Row],[Authentication_Type]]="Biometric", Table1[[#This Row],[Authentication_Type]]="OTP")), "safe location transaction", "unsafe location transaction")</f>
        <v>unsafe location transaction</v>
      </c>
      <c r="R1825" s="6" t="str">
        <f>IF(AND(Table1[[#This Row],[Country_of_Residence]]&lt;&gt;Table1[[#This Row],[Country_of_Transaction]], OR(Table1[[#This Row],[Merchant_Category]]="Electronics", Table1[[#This Row],[Merchant_Category]]="Travel")), "unsafe merchant transaction", "safe merchant transaction")</f>
        <v>unsafe merchant transaction</v>
      </c>
    </row>
    <row r="1826" spans="1:18">
      <c r="A1826" t="s">
        <v>4212</v>
      </c>
      <c r="B1826" t="s">
        <v>276</v>
      </c>
      <c r="C1826">
        <v>1</v>
      </c>
      <c r="D1826" t="s">
        <v>9</v>
      </c>
      <c r="E1826" t="s">
        <v>5</v>
      </c>
      <c r="F1826" s="2">
        <v>45931</v>
      </c>
      <c r="G1826">
        <v>6678.9</v>
      </c>
      <c r="H1826" s="1">
        <f>AVERAGEIF(Table1[Customer_ID], Table1[[#This Row],[Customer_ID]], Table1[Transaction_Amount])</f>
        <v>4981.743968253968</v>
      </c>
      <c r="I1826" t="s">
        <v>1732</v>
      </c>
      <c r="J1826" t="s">
        <v>36</v>
      </c>
      <c r="K1826" t="s">
        <v>12</v>
      </c>
      <c r="L1826">
        <v>2</v>
      </c>
      <c r="M1826" t="s">
        <v>47</v>
      </c>
      <c r="N1826" t="s">
        <v>37</v>
      </c>
      <c r="O1826" t="s">
        <v>392</v>
      </c>
      <c r="P1826" s="6" t="str">
        <f>IF(Table1[[#This Row],[Transaction_Amount]]&lt;=Table1[[#This Row],[avg_transaction_amount]], "usual transaction", "unusual transaction")</f>
        <v>unusual transaction</v>
      </c>
      <c r="Q1826" s="6" t="str">
        <f>IF(AND(Table1[[#This Row],[Country_of_Residence]]&lt;&gt;Table1[[#This Row],[Country_of_Transaction]], OR(Table1[[#This Row],[Authentication_Type]]="Biometric", Table1[[#This Row],[Authentication_Type]]="OTP")), "safe location transaction", "unsafe location transaction")</f>
        <v>unsafe location transaction</v>
      </c>
      <c r="R1826" s="6" t="str">
        <f>IF(AND(Table1[[#This Row],[Country_of_Residence]]&lt;&gt;Table1[[#This Row],[Country_of_Transaction]], OR(Table1[[#This Row],[Merchant_Category]]="Electronics", Table1[[#This Row],[Merchant_Category]]="Travel")), "unsafe merchant transaction", "safe merchant transaction")</f>
        <v>safe merchant transaction</v>
      </c>
    </row>
    <row r="1827" spans="1:18">
      <c r="A1827" t="s">
        <v>4256</v>
      </c>
      <c r="B1827" t="s">
        <v>276</v>
      </c>
      <c r="C1827">
        <v>1</v>
      </c>
      <c r="D1827" t="s">
        <v>15</v>
      </c>
      <c r="E1827" t="s">
        <v>6</v>
      </c>
      <c r="F1827" s="2">
        <v>45943</v>
      </c>
      <c r="G1827">
        <v>9456.2000000000007</v>
      </c>
      <c r="H1827" s="1">
        <f>AVERAGEIF(Table1[Customer_ID], Table1[[#This Row],[Customer_ID]], Table1[Transaction_Amount])</f>
        <v>4981.743968253968</v>
      </c>
      <c r="I1827" t="s">
        <v>1770</v>
      </c>
      <c r="J1827" t="s">
        <v>46</v>
      </c>
      <c r="K1827" t="s">
        <v>10</v>
      </c>
      <c r="L1827">
        <v>2</v>
      </c>
      <c r="M1827" t="s">
        <v>37</v>
      </c>
      <c r="N1827" t="s">
        <v>42</v>
      </c>
      <c r="O1827" t="s">
        <v>392</v>
      </c>
      <c r="P1827" s="6" t="str">
        <f>IF(Table1[[#This Row],[Transaction_Amount]]&lt;=Table1[[#This Row],[avg_transaction_amount]], "usual transaction", "unusual transaction")</f>
        <v>unusual transaction</v>
      </c>
      <c r="Q1827" s="6" t="str">
        <f>IF(AND(Table1[[#This Row],[Country_of_Residence]]&lt;&gt;Table1[[#This Row],[Country_of_Transaction]], OR(Table1[[#This Row],[Authentication_Type]]="Biometric", Table1[[#This Row],[Authentication_Type]]="OTP")), "safe location transaction", "unsafe location transaction")</f>
        <v>safe location transaction</v>
      </c>
      <c r="R1827" s="6" t="str">
        <f>IF(AND(Table1[[#This Row],[Country_of_Residence]]&lt;&gt;Table1[[#This Row],[Country_of_Transaction]], OR(Table1[[#This Row],[Merchant_Category]]="Electronics", Table1[[#This Row],[Merchant_Category]]="Travel")), "unsafe merchant transaction", "safe merchant transaction")</f>
        <v>safe merchant transaction</v>
      </c>
    </row>
    <row r="1828" spans="1:18">
      <c r="A1828" t="s">
        <v>4371</v>
      </c>
      <c r="B1828" t="s">
        <v>276</v>
      </c>
      <c r="C1828">
        <v>1</v>
      </c>
      <c r="D1828" t="s">
        <v>9</v>
      </c>
      <c r="E1828" t="s">
        <v>420</v>
      </c>
      <c r="F1828" s="2">
        <v>45700</v>
      </c>
      <c r="G1828">
        <v>8461.18</v>
      </c>
      <c r="H1828" s="1">
        <f>AVERAGEIF(Table1[Customer_ID], Table1[[#This Row],[Customer_ID]], Table1[Transaction_Amount])</f>
        <v>4981.743968253968</v>
      </c>
      <c r="I1828" t="s">
        <v>1871</v>
      </c>
      <c r="J1828" t="s">
        <v>41</v>
      </c>
      <c r="K1828" t="s">
        <v>12</v>
      </c>
      <c r="L1828">
        <v>1</v>
      </c>
      <c r="M1828" t="s">
        <v>51</v>
      </c>
      <c r="N1828" t="s">
        <v>32</v>
      </c>
      <c r="O1828" t="s">
        <v>392</v>
      </c>
      <c r="P1828" s="6" t="str">
        <f>IF(Table1[[#This Row],[Transaction_Amount]]&lt;=Table1[[#This Row],[avg_transaction_amount]], "usual transaction", "unusual transaction")</f>
        <v>unusual transaction</v>
      </c>
      <c r="Q1828" s="6" t="str">
        <f>IF(AND(Table1[[#This Row],[Country_of_Residence]]&lt;&gt;Table1[[#This Row],[Country_of_Transaction]], OR(Table1[[#This Row],[Authentication_Type]]="Biometric", Table1[[#This Row],[Authentication_Type]]="OTP")), "safe location transaction", "unsafe location transaction")</f>
        <v>unsafe location transaction</v>
      </c>
      <c r="R1828" s="6" t="str">
        <f>IF(AND(Table1[[#This Row],[Country_of_Residence]]&lt;&gt;Table1[[#This Row],[Country_of_Transaction]], OR(Table1[[#This Row],[Merchant_Category]]="Electronics", Table1[[#This Row],[Merchant_Category]]="Travel")), "unsafe merchant transaction", "safe merchant transaction")</f>
        <v>safe merchant transaction</v>
      </c>
    </row>
    <row r="1829" spans="1:18">
      <c r="A1829" t="s">
        <v>4492</v>
      </c>
      <c r="B1829" t="s">
        <v>276</v>
      </c>
      <c r="C1829">
        <v>1</v>
      </c>
      <c r="D1829" t="s">
        <v>15</v>
      </c>
      <c r="E1829" t="s">
        <v>420</v>
      </c>
      <c r="F1829" s="2">
        <v>45702</v>
      </c>
      <c r="G1829">
        <v>9906.26</v>
      </c>
      <c r="H1829" s="1">
        <f>AVERAGEIF(Table1[Customer_ID], Table1[[#This Row],[Customer_ID]], Table1[Transaction_Amount])</f>
        <v>4981.743968253968</v>
      </c>
      <c r="I1829" t="s">
        <v>1357</v>
      </c>
      <c r="J1829" t="s">
        <v>31</v>
      </c>
      <c r="K1829" t="s">
        <v>12</v>
      </c>
      <c r="L1829">
        <v>5</v>
      </c>
      <c r="M1829" t="s">
        <v>51</v>
      </c>
      <c r="N1829" t="s">
        <v>32</v>
      </c>
      <c r="O1829" t="s">
        <v>392</v>
      </c>
      <c r="P1829" s="6" t="str">
        <f>IF(Table1[[#This Row],[Transaction_Amount]]&lt;=Table1[[#This Row],[avg_transaction_amount]], "usual transaction", "unusual transaction")</f>
        <v>unusual transaction</v>
      </c>
      <c r="Q1829" s="6" t="str">
        <f>IF(AND(Table1[[#This Row],[Country_of_Residence]]&lt;&gt;Table1[[#This Row],[Country_of_Transaction]], OR(Table1[[#This Row],[Authentication_Type]]="Biometric", Table1[[#This Row],[Authentication_Type]]="OTP")), "safe location transaction", "unsafe location transaction")</f>
        <v>unsafe location transaction</v>
      </c>
      <c r="R1829" s="6" t="str">
        <f>IF(AND(Table1[[#This Row],[Country_of_Residence]]&lt;&gt;Table1[[#This Row],[Country_of_Transaction]], OR(Table1[[#This Row],[Merchant_Category]]="Electronics", Table1[[#This Row],[Merchant_Category]]="Travel")), "unsafe merchant transaction", "safe merchant transaction")</f>
        <v>safe merchant transaction</v>
      </c>
    </row>
    <row r="1830" spans="1:18">
      <c r="A1830" t="s">
        <v>4553</v>
      </c>
      <c r="B1830" t="s">
        <v>276</v>
      </c>
      <c r="C1830">
        <v>1</v>
      </c>
      <c r="D1830" t="s">
        <v>9</v>
      </c>
      <c r="E1830" t="s">
        <v>3</v>
      </c>
      <c r="F1830" s="2">
        <v>45830</v>
      </c>
      <c r="G1830">
        <v>6420.19</v>
      </c>
      <c r="H1830" s="1">
        <f>AVERAGEIF(Table1[Customer_ID], Table1[[#This Row],[Customer_ID]], Table1[Transaction_Amount])</f>
        <v>4981.743968253968</v>
      </c>
      <c r="I1830" t="s">
        <v>2031</v>
      </c>
      <c r="J1830" t="s">
        <v>31</v>
      </c>
      <c r="K1830" t="s">
        <v>12</v>
      </c>
      <c r="L1830">
        <v>5</v>
      </c>
      <c r="M1830" t="s">
        <v>56</v>
      </c>
      <c r="N1830" t="s">
        <v>412</v>
      </c>
      <c r="O1830" t="s">
        <v>392</v>
      </c>
      <c r="P1830" s="6" t="str">
        <f>IF(Table1[[#This Row],[Transaction_Amount]]&lt;=Table1[[#This Row],[avg_transaction_amount]], "usual transaction", "unusual transaction")</f>
        <v>unusual transaction</v>
      </c>
      <c r="Q1830" s="6" t="str">
        <f>IF(AND(Table1[[#This Row],[Country_of_Residence]]&lt;&gt;Table1[[#This Row],[Country_of_Transaction]], OR(Table1[[#This Row],[Authentication_Type]]="Biometric", Table1[[#This Row],[Authentication_Type]]="OTP")), "safe location transaction", "unsafe location transaction")</f>
        <v>unsafe location transaction</v>
      </c>
      <c r="R1830" s="6" t="str">
        <f>IF(AND(Table1[[#This Row],[Country_of_Residence]]&lt;&gt;Table1[[#This Row],[Country_of_Transaction]], OR(Table1[[#This Row],[Merchant_Category]]="Electronics", Table1[[#This Row],[Merchant_Category]]="Travel")), "unsafe merchant transaction", "safe merchant transaction")</f>
        <v>safe merchant transaction</v>
      </c>
    </row>
    <row r="1831" spans="1:18">
      <c r="A1831" t="s">
        <v>4628</v>
      </c>
      <c r="B1831" t="s">
        <v>276</v>
      </c>
      <c r="C1831">
        <v>1</v>
      </c>
      <c r="D1831" t="s">
        <v>15</v>
      </c>
      <c r="E1831" t="s">
        <v>420</v>
      </c>
      <c r="F1831" s="2">
        <v>45901</v>
      </c>
      <c r="G1831">
        <v>9342.17</v>
      </c>
      <c r="H1831" s="1">
        <f>AVERAGEIF(Table1[Customer_ID], Table1[[#This Row],[Customer_ID]], Table1[Transaction_Amount])</f>
        <v>4981.743968253968</v>
      </c>
      <c r="I1831" t="s">
        <v>2091</v>
      </c>
      <c r="J1831" t="s">
        <v>36</v>
      </c>
      <c r="K1831" t="s">
        <v>8</v>
      </c>
      <c r="L1831">
        <v>2</v>
      </c>
      <c r="M1831" t="s">
        <v>56</v>
      </c>
      <c r="N1831" t="s">
        <v>55</v>
      </c>
      <c r="O1831" t="s">
        <v>392</v>
      </c>
      <c r="P1831" s="6" t="str">
        <f>IF(Table1[[#This Row],[Transaction_Amount]]&lt;=Table1[[#This Row],[avg_transaction_amount]], "usual transaction", "unusual transaction")</f>
        <v>unusual transaction</v>
      </c>
      <c r="Q1831" s="6" t="str">
        <f>IF(AND(Table1[[#This Row],[Country_of_Residence]]&lt;&gt;Table1[[#This Row],[Country_of_Transaction]], OR(Table1[[#This Row],[Authentication_Type]]="Biometric", Table1[[#This Row],[Authentication_Type]]="OTP")), "safe location transaction", "unsafe location transaction")</f>
        <v>safe location transaction</v>
      </c>
      <c r="R1831" s="6" t="str">
        <f>IF(AND(Table1[[#This Row],[Country_of_Residence]]&lt;&gt;Table1[[#This Row],[Country_of_Transaction]], OR(Table1[[#This Row],[Merchant_Category]]="Electronics", Table1[[#This Row],[Merchant_Category]]="Travel")), "unsafe merchant transaction", "safe merchant transaction")</f>
        <v>safe merchant transaction</v>
      </c>
    </row>
    <row r="1832" spans="1:18">
      <c r="A1832" t="s">
        <v>4653</v>
      </c>
      <c r="B1832" t="s">
        <v>276</v>
      </c>
      <c r="C1832">
        <v>1</v>
      </c>
      <c r="D1832" t="s">
        <v>15</v>
      </c>
      <c r="E1832" t="s">
        <v>5</v>
      </c>
      <c r="F1832" s="2">
        <v>45742</v>
      </c>
      <c r="G1832">
        <v>5652.84</v>
      </c>
      <c r="H1832" s="1">
        <f>AVERAGEIF(Table1[Customer_ID], Table1[[#This Row],[Customer_ID]], Table1[Transaction_Amount])</f>
        <v>4981.743968253968</v>
      </c>
      <c r="I1832" t="s">
        <v>2112</v>
      </c>
      <c r="J1832" t="s">
        <v>31</v>
      </c>
      <c r="K1832" t="s">
        <v>12</v>
      </c>
      <c r="L1832">
        <v>1</v>
      </c>
      <c r="M1832" t="s">
        <v>55</v>
      </c>
      <c r="N1832" t="s">
        <v>42</v>
      </c>
      <c r="O1832" t="s">
        <v>393</v>
      </c>
      <c r="P1832" s="6" t="str">
        <f>IF(Table1[[#This Row],[Transaction_Amount]]&lt;=Table1[[#This Row],[avg_transaction_amount]], "usual transaction", "unusual transaction")</f>
        <v>unusual transaction</v>
      </c>
      <c r="Q1832" s="6" t="str">
        <f>IF(AND(Table1[[#This Row],[Country_of_Residence]]&lt;&gt;Table1[[#This Row],[Country_of_Transaction]], OR(Table1[[#This Row],[Authentication_Type]]="Biometric", Table1[[#This Row],[Authentication_Type]]="OTP")), "safe location transaction", "unsafe location transaction")</f>
        <v>unsafe location transaction</v>
      </c>
      <c r="R1832" s="6" t="str">
        <f>IF(AND(Table1[[#This Row],[Country_of_Residence]]&lt;&gt;Table1[[#This Row],[Country_of_Transaction]], OR(Table1[[#This Row],[Merchant_Category]]="Electronics", Table1[[#This Row],[Merchant_Category]]="Travel")), "unsafe merchant transaction", "safe merchant transaction")</f>
        <v>safe merchant transaction</v>
      </c>
    </row>
    <row r="1833" spans="1:18">
      <c r="A1833" t="s">
        <v>4755</v>
      </c>
      <c r="B1833" t="s">
        <v>276</v>
      </c>
      <c r="C1833">
        <v>1</v>
      </c>
      <c r="D1833" t="s">
        <v>9</v>
      </c>
      <c r="E1833" t="s">
        <v>3</v>
      </c>
      <c r="F1833" s="2">
        <v>45849</v>
      </c>
      <c r="G1833">
        <v>59.74</v>
      </c>
      <c r="H1833" s="1">
        <f>AVERAGEIF(Table1[Customer_ID], Table1[[#This Row],[Customer_ID]], Table1[Transaction_Amount])</f>
        <v>4981.743968253968</v>
      </c>
      <c r="I1833" t="s">
        <v>2189</v>
      </c>
      <c r="J1833" t="s">
        <v>50</v>
      </c>
      <c r="K1833" t="s">
        <v>14</v>
      </c>
      <c r="L1833">
        <v>2</v>
      </c>
      <c r="M1833" t="s">
        <v>412</v>
      </c>
      <c r="N1833" t="s">
        <v>412</v>
      </c>
      <c r="O1833" t="s">
        <v>392</v>
      </c>
      <c r="P1833" s="6" t="str">
        <f>IF(Table1[[#This Row],[Transaction_Amount]]&lt;=Table1[[#This Row],[avg_transaction_amount]], "usual transaction", "unusual transaction")</f>
        <v>usual transaction</v>
      </c>
      <c r="Q1833" s="6" t="str">
        <f>IF(AND(Table1[[#This Row],[Country_of_Residence]]&lt;&gt;Table1[[#This Row],[Country_of_Transaction]], OR(Table1[[#This Row],[Authentication_Type]]="Biometric", Table1[[#This Row],[Authentication_Type]]="OTP")), "safe location transaction", "unsafe location transaction")</f>
        <v>unsafe location transaction</v>
      </c>
      <c r="R1833" s="6" t="str">
        <f>IF(AND(Table1[[#This Row],[Country_of_Residence]]&lt;&gt;Table1[[#This Row],[Country_of_Transaction]], OR(Table1[[#This Row],[Merchant_Category]]="Electronics", Table1[[#This Row],[Merchant_Category]]="Travel")), "unsafe merchant transaction", "safe merchant transaction")</f>
        <v>safe merchant transaction</v>
      </c>
    </row>
    <row r="1834" spans="1:18">
      <c r="A1834" t="s">
        <v>4777</v>
      </c>
      <c r="B1834" t="s">
        <v>276</v>
      </c>
      <c r="C1834">
        <v>1</v>
      </c>
      <c r="D1834" t="s">
        <v>9</v>
      </c>
      <c r="E1834" t="s">
        <v>5</v>
      </c>
      <c r="F1834" s="2">
        <v>45871</v>
      </c>
      <c r="G1834">
        <v>1286.18</v>
      </c>
      <c r="H1834" s="1">
        <f>AVERAGEIF(Table1[Customer_ID], Table1[[#This Row],[Customer_ID]], Table1[Transaction_Amount])</f>
        <v>4981.743968253968</v>
      </c>
      <c r="I1834" t="s">
        <v>2203</v>
      </c>
      <c r="J1834" t="s">
        <v>31</v>
      </c>
      <c r="K1834" t="s">
        <v>10</v>
      </c>
      <c r="L1834">
        <v>0</v>
      </c>
      <c r="M1834" t="s">
        <v>56</v>
      </c>
      <c r="N1834" t="s">
        <v>32</v>
      </c>
      <c r="O1834" t="s">
        <v>393</v>
      </c>
      <c r="P1834" s="6" t="str">
        <f>IF(Table1[[#This Row],[Transaction_Amount]]&lt;=Table1[[#This Row],[avg_transaction_amount]], "usual transaction", "unusual transaction")</f>
        <v>usual transaction</v>
      </c>
      <c r="Q1834" s="6" t="str">
        <f>IF(AND(Table1[[#This Row],[Country_of_Residence]]&lt;&gt;Table1[[#This Row],[Country_of_Transaction]], OR(Table1[[#This Row],[Authentication_Type]]="Biometric", Table1[[#This Row],[Authentication_Type]]="OTP")), "safe location transaction", "unsafe location transaction")</f>
        <v>safe location transaction</v>
      </c>
      <c r="R1834" s="6" t="str">
        <f>IF(AND(Table1[[#This Row],[Country_of_Residence]]&lt;&gt;Table1[[#This Row],[Country_of_Transaction]], OR(Table1[[#This Row],[Merchant_Category]]="Electronics", Table1[[#This Row],[Merchant_Category]]="Travel")), "unsafe merchant transaction", "safe merchant transaction")</f>
        <v>safe merchant transaction</v>
      </c>
    </row>
    <row r="1835" spans="1:18">
      <c r="A1835" t="s">
        <v>4785</v>
      </c>
      <c r="B1835" t="s">
        <v>276</v>
      </c>
      <c r="C1835">
        <v>1</v>
      </c>
      <c r="D1835" t="s">
        <v>15</v>
      </c>
      <c r="E1835" t="s">
        <v>6</v>
      </c>
      <c r="F1835" s="2">
        <v>46019</v>
      </c>
      <c r="G1835">
        <v>8683.08</v>
      </c>
      <c r="H1835" s="1">
        <f>AVERAGEIF(Table1[Customer_ID], Table1[[#This Row],[Customer_ID]], Table1[Transaction_Amount])</f>
        <v>4981.743968253968</v>
      </c>
      <c r="I1835" t="s">
        <v>824</v>
      </c>
      <c r="J1835" t="s">
        <v>31</v>
      </c>
      <c r="K1835" t="s">
        <v>10</v>
      </c>
      <c r="L1835">
        <v>5</v>
      </c>
      <c r="M1835" t="s">
        <v>33</v>
      </c>
      <c r="N1835" t="s">
        <v>56</v>
      </c>
      <c r="O1835" t="s">
        <v>392</v>
      </c>
      <c r="P1835" s="6" t="str">
        <f>IF(Table1[[#This Row],[Transaction_Amount]]&lt;=Table1[[#This Row],[avg_transaction_amount]], "usual transaction", "unusual transaction")</f>
        <v>unusual transaction</v>
      </c>
      <c r="Q1835" s="6" t="str">
        <f>IF(AND(Table1[[#This Row],[Country_of_Residence]]&lt;&gt;Table1[[#This Row],[Country_of_Transaction]], OR(Table1[[#This Row],[Authentication_Type]]="Biometric", Table1[[#This Row],[Authentication_Type]]="OTP")), "safe location transaction", "unsafe location transaction")</f>
        <v>safe location transaction</v>
      </c>
      <c r="R1835" s="6" t="str">
        <f>IF(AND(Table1[[#This Row],[Country_of_Residence]]&lt;&gt;Table1[[#This Row],[Country_of_Transaction]], OR(Table1[[#This Row],[Merchant_Category]]="Electronics", Table1[[#This Row],[Merchant_Category]]="Travel")), "unsafe merchant transaction", "safe merchant transaction")</f>
        <v>safe merchant transaction</v>
      </c>
    </row>
    <row r="1836" spans="1:18">
      <c r="A1836" t="s">
        <v>4818</v>
      </c>
      <c r="B1836" t="s">
        <v>276</v>
      </c>
      <c r="C1836">
        <v>1</v>
      </c>
      <c r="D1836" t="s">
        <v>9</v>
      </c>
      <c r="E1836" t="s">
        <v>5</v>
      </c>
      <c r="F1836" s="2">
        <v>46008</v>
      </c>
      <c r="G1836">
        <v>2686.41</v>
      </c>
      <c r="H1836" s="1">
        <f>AVERAGEIF(Table1[Customer_ID], Table1[[#This Row],[Customer_ID]], Table1[Transaction_Amount])</f>
        <v>4981.743968253968</v>
      </c>
      <c r="I1836" t="s">
        <v>2238</v>
      </c>
      <c r="J1836" t="s">
        <v>50</v>
      </c>
      <c r="K1836" t="s">
        <v>14</v>
      </c>
      <c r="L1836">
        <v>1</v>
      </c>
      <c r="M1836" t="s">
        <v>51</v>
      </c>
      <c r="N1836" t="s">
        <v>55</v>
      </c>
      <c r="O1836" t="s">
        <v>393</v>
      </c>
      <c r="P1836" s="6" t="str">
        <f>IF(Table1[[#This Row],[Transaction_Amount]]&lt;=Table1[[#This Row],[avg_transaction_amount]], "usual transaction", "unusual transaction")</f>
        <v>usual transaction</v>
      </c>
      <c r="Q1836" s="6" t="str">
        <f>IF(AND(Table1[[#This Row],[Country_of_Residence]]&lt;&gt;Table1[[#This Row],[Country_of_Transaction]], OR(Table1[[#This Row],[Authentication_Type]]="Biometric", Table1[[#This Row],[Authentication_Type]]="OTP")), "safe location transaction", "unsafe location transaction")</f>
        <v>unsafe location transaction</v>
      </c>
      <c r="R1836" s="6" t="str">
        <f>IF(AND(Table1[[#This Row],[Country_of_Residence]]&lt;&gt;Table1[[#This Row],[Country_of_Transaction]], OR(Table1[[#This Row],[Merchant_Category]]="Electronics", Table1[[#This Row],[Merchant_Category]]="Travel")), "unsafe merchant transaction", "safe merchant transaction")</f>
        <v>unsafe merchant transaction</v>
      </c>
    </row>
    <row r="1837" spans="1:18">
      <c r="A1837" t="s">
        <v>4856</v>
      </c>
      <c r="B1837" t="s">
        <v>276</v>
      </c>
      <c r="C1837">
        <v>1</v>
      </c>
      <c r="D1837" t="s">
        <v>9</v>
      </c>
      <c r="E1837" t="s">
        <v>420</v>
      </c>
      <c r="F1837" s="2">
        <v>45827</v>
      </c>
      <c r="G1837">
        <v>127.87</v>
      </c>
      <c r="H1837" s="1">
        <f>AVERAGEIF(Table1[Customer_ID], Table1[[#This Row],[Customer_ID]], Table1[Transaction_Amount])</f>
        <v>4981.743968253968</v>
      </c>
      <c r="I1837" t="s">
        <v>1703</v>
      </c>
      <c r="J1837" t="s">
        <v>41</v>
      </c>
      <c r="K1837" t="s">
        <v>12</v>
      </c>
      <c r="L1837">
        <v>2</v>
      </c>
      <c r="M1837" t="s">
        <v>33</v>
      </c>
      <c r="N1837" t="s">
        <v>42</v>
      </c>
      <c r="O1837" t="s">
        <v>392</v>
      </c>
      <c r="P1837" s="6" t="str">
        <f>IF(Table1[[#This Row],[Transaction_Amount]]&lt;=Table1[[#This Row],[avg_transaction_amount]], "usual transaction", "unusual transaction")</f>
        <v>usual transaction</v>
      </c>
      <c r="Q1837" s="6" t="str">
        <f>IF(AND(Table1[[#This Row],[Country_of_Residence]]&lt;&gt;Table1[[#This Row],[Country_of_Transaction]], OR(Table1[[#This Row],[Authentication_Type]]="Biometric", Table1[[#This Row],[Authentication_Type]]="OTP")), "safe location transaction", "unsafe location transaction")</f>
        <v>unsafe location transaction</v>
      </c>
      <c r="R1837" s="6" t="str">
        <f>IF(AND(Table1[[#This Row],[Country_of_Residence]]&lt;&gt;Table1[[#This Row],[Country_of_Transaction]], OR(Table1[[#This Row],[Merchant_Category]]="Electronics", Table1[[#This Row],[Merchant_Category]]="Travel")), "unsafe merchant transaction", "safe merchant transaction")</f>
        <v>safe merchant transaction</v>
      </c>
    </row>
    <row r="1838" spans="1:18">
      <c r="A1838" t="s">
        <v>4939</v>
      </c>
      <c r="B1838" t="s">
        <v>276</v>
      </c>
      <c r="C1838">
        <v>1</v>
      </c>
      <c r="D1838" t="s">
        <v>9</v>
      </c>
      <c r="E1838" t="s">
        <v>6</v>
      </c>
      <c r="F1838" s="2">
        <v>45672</v>
      </c>
      <c r="G1838">
        <v>6112.58</v>
      </c>
      <c r="H1838" s="1">
        <f>AVERAGEIF(Table1[Customer_ID], Table1[[#This Row],[Customer_ID]], Table1[Transaction_Amount])</f>
        <v>4981.743968253968</v>
      </c>
      <c r="I1838" t="s">
        <v>2332</v>
      </c>
      <c r="J1838" t="s">
        <v>50</v>
      </c>
      <c r="K1838" t="s">
        <v>10</v>
      </c>
      <c r="L1838">
        <v>4</v>
      </c>
      <c r="M1838" t="s">
        <v>42</v>
      </c>
      <c r="N1838" t="s">
        <v>412</v>
      </c>
      <c r="O1838" t="s">
        <v>392</v>
      </c>
      <c r="P1838" s="6" t="str">
        <f>IF(Table1[[#This Row],[Transaction_Amount]]&lt;=Table1[[#This Row],[avg_transaction_amount]], "usual transaction", "unusual transaction")</f>
        <v>unusual transaction</v>
      </c>
      <c r="Q1838" s="6" t="str">
        <f>IF(AND(Table1[[#This Row],[Country_of_Residence]]&lt;&gt;Table1[[#This Row],[Country_of_Transaction]], OR(Table1[[#This Row],[Authentication_Type]]="Biometric", Table1[[#This Row],[Authentication_Type]]="OTP")), "safe location transaction", "unsafe location transaction")</f>
        <v>safe location transaction</v>
      </c>
      <c r="R1838" s="6" t="str">
        <f>IF(AND(Table1[[#This Row],[Country_of_Residence]]&lt;&gt;Table1[[#This Row],[Country_of_Transaction]], OR(Table1[[#This Row],[Merchant_Category]]="Electronics", Table1[[#This Row],[Merchant_Category]]="Travel")), "unsafe merchant transaction", "safe merchant transaction")</f>
        <v>unsafe merchant transaction</v>
      </c>
    </row>
    <row r="1839" spans="1:18">
      <c r="A1839" t="s">
        <v>5017</v>
      </c>
      <c r="B1839" t="s">
        <v>276</v>
      </c>
      <c r="C1839">
        <v>1</v>
      </c>
      <c r="D1839" t="s">
        <v>9</v>
      </c>
      <c r="E1839" t="s">
        <v>6</v>
      </c>
      <c r="F1839" s="2">
        <v>45979</v>
      </c>
      <c r="G1839">
        <v>6778.88</v>
      </c>
      <c r="H1839" s="1">
        <f>AVERAGEIF(Table1[Customer_ID], Table1[[#This Row],[Customer_ID]], Table1[Transaction_Amount])</f>
        <v>4981.743968253968</v>
      </c>
      <c r="I1839" t="s">
        <v>2394</v>
      </c>
      <c r="J1839" t="s">
        <v>50</v>
      </c>
      <c r="K1839" t="s">
        <v>8</v>
      </c>
      <c r="L1839">
        <v>0</v>
      </c>
      <c r="M1839" t="s">
        <v>42</v>
      </c>
      <c r="N1839" t="s">
        <v>42</v>
      </c>
      <c r="O1839" t="s">
        <v>392</v>
      </c>
      <c r="P1839" s="6" t="str">
        <f>IF(Table1[[#This Row],[Transaction_Amount]]&lt;=Table1[[#This Row],[avg_transaction_amount]], "usual transaction", "unusual transaction")</f>
        <v>unusual transaction</v>
      </c>
      <c r="Q1839" s="6" t="str">
        <f>IF(AND(Table1[[#This Row],[Country_of_Residence]]&lt;&gt;Table1[[#This Row],[Country_of_Transaction]], OR(Table1[[#This Row],[Authentication_Type]]="Biometric", Table1[[#This Row],[Authentication_Type]]="OTP")), "safe location transaction", "unsafe location transaction")</f>
        <v>unsafe location transaction</v>
      </c>
      <c r="R1839" s="6" t="str">
        <f>IF(AND(Table1[[#This Row],[Country_of_Residence]]&lt;&gt;Table1[[#This Row],[Country_of_Transaction]], OR(Table1[[#This Row],[Merchant_Category]]="Electronics", Table1[[#This Row],[Merchant_Category]]="Travel")), "unsafe merchant transaction", "safe merchant transaction")</f>
        <v>safe merchant transaction</v>
      </c>
    </row>
    <row r="1840" spans="1:18">
      <c r="A1840" t="s">
        <v>5079</v>
      </c>
      <c r="B1840" t="s">
        <v>276</v>
      </c>
      <c r="C1840">
        <v>1</v>
      </c>
      <c r="D1840" t="s">
        <v>15</v>
      </c>
      <c r="E1840" t="s">
        <v>420</v>
      </c>
      <c r="F1840" s="2">
        <v>45659</v>
      </c>
      <c r="G1840">
        <v>5497.18</v>
      </c>
      <c r="H1840" s="1">
        <f>AVERAGEIF(Table1[Customer_ID], Table1[[#This Row],[Customer_ID]], Table1[Transaction_Amount])</f>
        <v>4981.743968253968</v>
      </c>
      <c r="I1840" t="s">
        <v>2433</v>
      </c>
      <c r="J1840" t="s">
        <v>36</v>
      </c>
      <c r="K1840" t="s">
        <v>14</v>
      </c>
      <c r="L1840">
        <v>3</v>
      </c>
      <c r="M1840" t="s">
        <v>47</v>
      </c>
      <c r="N1840" t="s">
        <v>47</v>
      </c>
      <c r="O1840" t="s">
        <v>392</v>
      </c>
      <c r="P1840" s="6" t="str">
        <f>IF(Table1[[#This Row],[Transaction_Amount]]&lt;=Table1[[#This Row],[avg_transaction_amount]], "usual transaction", "unusual transaction")</f>
        <v>unusual transaction</v>
      </c>
      <c r="Q1840" s="6" t="str">
        <f>IF(AND(Table1[[#This Row],[Country_of_Residence]]&lt;&gt;Table1[[#This Row],[Country_of_Transaction]], OR(Table1[[#This Row],[Authentication_Type]]="Biometric", Table1[[#This Row],[Authentication_Type]]="OTP")), "safe location transaction", "unsafe location transaction")</f>
        <v>unsafe location transaction</v>
      </c>
      <c r="R1840" s="6" t="str">
        <f>IF(AND(Table1[[#This Row],[Country_of_Residence]]&lt;&gt;Table1[[#This Row],[Country_of_Transaction]], OR(Table1[[#This Row],[Merchant_Category]]="Electronics", Table1[[#This Row],[Merchant_Category]]="Travel")), "unsafe merchant transaction", "safe merchant transaction")</f>
        <v>safe merchant transaction</v>
      </c>
    </row>
    <row r="1841" spans="1:18">
      <c r="A1841" t="s">
        <v>5158</v>
      </c>
      <c r="B1841" t="s">
        <v>276</v>
      </c>
      <c r="C1841">
        <v>1</v>
      </c>
      <c r="D1841" t="s">
        <v>9</v>
      </c>
      <c r="E1841" t="s">
        <v>420</v>
      </c>
      <c r="F1841" s="2">
        <v>45794</v>
      </c>
      <c r="G1841">
        <v>7765.59</v>
      </c>
      <c r="H1841" s="1">
        <f>AVERAGEIF(Table1[Customer_ID], Table1[[#This Row],[Customer_ID]], Table1[Transaction_Amount])</f>
        <v>4981.743968253968</v>
      </c>
      <c r="I1841" t="s">
        <v>2495</v>
      </c>
      <c r="J1841" t="s">
        <v>31</v>
      </c>
      <c r="K1841" t="s">
        <v>8</v>
      </c>
      <c r="L1841">
        <v>5</v>
      </c>
      <c r="M1841" t="s">
        <v>55</v>
      </c>
      <c r="N1841" t="s">
        <v>56</v>
      </c>
      <c r="O1841" t="s">
        <v>392</v>
      </c>
      <c r="P1841" s="6" t="str">
        <f>IF(Table1[[#This Row],[Transaction_Amount]]&lt;=Table1[[#This Row],[avg_transaction_amount]], "usual transaction", "unusual transaction")</f>
        <v>unusual transaction</v>
      </c>
      <c r="Q1841" s="6" t="str">
        <f>IF(AND(Table1[[#This Row],[Country_of_Residence]]&lt;&gt;Table1[[#This Row],[Country_of_Transaction]], OR(Table1[[#This Row],[Authentication_Type]]="Biometric", Table1[[#This Row],[Authentication_Type]]="OTP")), "safe location transaction", "unsafe location transaction")</f>
        <v>safe location transaction</v>
      </c>
      <c r="R1841" s="6" t="str">
        <f>IF(AND(Table1[[#This Row],[Country_of_Residence]]&lt;&gt;Table1[[#This Row],[Country_of_Transaction]], OR(Table1[[#This Row],[Merchant_Category]]="Electronics", Table1[[#This Row],[Merchant_Category]]="Travel")), "unsafe merchant transaction", "safe merchant transaction")</f>
        <v>safe merchant transaction</v>
      </c>
    </row>
    <row r="1842" spans="1:18">
      <c r="A1842" t="s">
        <v>5172</v>
      </c>
      <c r="B1842" t="s">
        <v>276</v>
      </c>
      <c r="C1842">
        <v>1</v>
      </c>
      <c r="D1842" t="s">
        <v>9</v>
      </c>
      <c r="E1842" t="s">
        <v>6</v>
      </c>
      <c r="F1842" s="2">
        <v>45781</v>
      </c>
      <c r="G1842">
        <v>2168.21</v>
      </c>
      <c r="H1842" s="1">
        <f>AVERAGEIF(Table1[Customer_ID], Table1[[#This Row],[Customer_ID]], Table1[Transaction_Amount])</f>
        <v>4981.743968253968</v>
      </c>
      <c r="I1842" t="s">
        <v>2507</v>
      </c>
      <c r="J1842" t="s">
        <v>50</v>
      </c>
      <c r="K1842" t="s">
        <v>8</v>
      </c>
      <c r="L1842">
        <v>3</v>
      </c>
      <c r="M1842" t="s">
        <v>412</v>
      </c>
      <c r="N1842" t="s">
        <v>412</v>
      </c>
      <c r="O1842" t="s">
        <v>393</v>
      </c>
      <c r="P1842" s="6" t="str">
        <f>IF(Table1[[#This Row],[Transaction_Amount]]&lt;=Table1[[#This Row],[avg_transaction_amount]], "usual transaction", "unusual transaction")</f>
        <v>usual transaction</v>
      </c>
      <c r="Q1842" s="6" t="str">
        <f>IF(AND(Table1[[#This Row],[Country_of_Residence]]&lt;&gt;Table1[[#This Row],[Country_of_Transaction]], OR(Table1[[#This Row],[Authentication_Type]]="Biometric", Table1[[#This Row],[Authentication_Type]]="OTP")), "safe location transaction", "unsafe location transaction")</f>
        <v>unsafe location transaction</v>
      </c>
      <c r="R1842" s="6" t="str">
        <f>IF(AND(Table1[[#This Row],[Country_of_Residence]]&lt;&gt;Table1[[#This Row],[Country_of_Transaction]], OR(Table1[[#This Row],[Merchant_Category]]="Electronics", Table1[[#This Row],[Merchant_Category]]="Travel")), "unsafe merchant transaction", "safe merchant transaction")</f>
        <v>safe merchant transaction</v>
      </c>
    </row>
    <row r="1843" spans="1:18">
      <c r="A1843" t="s">
        <v>5220</v>
      </c>
      <c r="B1843" t="s">
        <v>276</v>
      </c>
      <c r="C1843">
        <v>1</v>
      </c>
      <c r="D1843" t="s">
        <v>9</v>
      </c>
      <c r="E1843" t="s">
        <v>6</v>
      </c>
      <c r="F1843" s="2">
        <v>45887</v>
      </c>
      <c r="G1843">
        <v>3663.99</v>
      </c>
      <c r="H1843" s="1">
        <f>AVERAGEIF(Table1[Customer_ID], Table1[[#This Row],[Customer_ID]], Table1[Transaction_Amount])</f>
        <v>4981.743968253968</v>
      </c>
      <c r="I1843" t="s">
        <v>2545</v>
      </c>
      <c r="J1843" t="s">
        <v>31</v>
      </c>
      <c r="K1843" t="s">
        <v>8</v>
      </c>
      <c r="L1843">
        <v>3</v>
      </c>
      <c r="M1843" t="s">
        <v>32</v>
      </c>
      <c r="N1843" t="s">
        <v>32</v>
      </c>
      <c r="O1843" t="s">
        <v>392</v>
      </c>
      <c r="P1843" s="6" t="str">
        <f>IF(Table1[[#This Row],[Transaction_Amount]]&lt;=Table1[[#This Row],[avg_transaction_amount]], "usual transaction", "unusual transaction")</f>
        <v>usual transaction</v>
      </c>
      <c r="Q1843" s="6" t="str">
        <f>IF(AND(Table1[[#This Row],[Country_of_Residence]]&lt;&gt;Table1[[#This Row],[Country_of_Transaction]], OR(Table1[[#This Row],[Authentication_Type]]="Biometric", Table1[[#This Row],[Authentication_Type]]="OTP")), "safe location transaction", "unsafe location transaction")</f>
        <v>unsafe location transaction</v>
      </c>
      <c r="R1843" s="6" t="str">
        <f>IF(AND(Table1[[#This Row],[Country_of_Residence]]&lt;&gt;Table1[[#This Row],[Country_of_Transaction]], OR(Table1[[#This Row],[Merchant_Category]]="Electronics", Table1[[#This Row],[Merchant_Category]]="Travel")), "unsafe merchant transaction", "safe merchant transaction")</f>
        <v>safe merchant transaction</v>
      </c>
    </row>
    <row r="1844" spans="1:18">
      <c r="A1844" t="s">
        <v>5288</v>
      </c>
      <c r="B1844" t="s">
        <v>276</v>
      </c>
      <c r="C1844">
        <v>1</v>
      </c>
      <c r="D1844" t="s">
        <v>15</v>
      </c>
      <c r="E1844" t="s">
        <v>5</v>
      </c>
      <c r="F1844" s="2">
        <v>46013</v>
      </c>
      <c r="G1844">
        <v>4141.7</v>
      </c>
      <c r="H1844" s="1">
        <f>AVERAGEIF(Table1[Customer_ID], Table1[[#This Row],[Customer_ID]], Table1[Transaction_Amount])</f>
        <v>4981.743968253968</v>
      </c>
      <c r="I1844" t="s">
        <v>1332</v>
      </c>
      <c r="J1844" t="s">
        <v>36</v>
      </c>
      <c r="K1844" t="s">
        <v>10</v>
      </c>
      <c r="L1844">
        <v>0</v>
      </c>
      <c r="M1844" t="s">
        <v>56</v>
      </c>
      <c r="N1844" t="s">
        <v>51</v>
      </c>
      <c r="O1844" t="s">
        <v>392</v>
      </c>
      <c r="P1844" s="6" t="str">
        <f>IF(Table1[[#This Row],[Transaction_Amount]]&lt;=Table1[[#This Row],[avg_transaction_amount]], "usual transaction", "unusual transaction")</f>
        <v>usual transaction</v>
      </c>
      <c r="Q1844" s="6" t="str">
        <f>IF(AND(Table1[[#This Row],[Country_of_Residence]]&lt;&gt;Table1[[#This Row],[Country_of_Transaction]], OR(Table1[[#This Row],[Authentication_Type]]="Biometric", Table1[[#This Row],[Authentication_Type]]="OTP")), "safe location transaction", "unsafe location transaction")</f>
        <v>safe location transaction</v>
      </c>
      <c r="R1844" s="6" t="str">
        <f>IF(AND(Table1[[#This Row],[Country_of_Residence]]&lt;&gt;Table1[[#This Row],[Country_of_Transaction]], OR(Table1[[#This Row],[Merchant_Category]]="Electronics", Table1[[#This Row],[Merchant_Category]]="Travel")), "unsafe merchant transaction", "safe merchant transaction")</f>
        <v>safe merchant transaction</v>
      </c>
    </row>
    <row r="1845" spans="1:18">
      <c r="A1845" t="s">
        <v>5292</v>
      </c>
      <c r="B1845" t="s">
        <v>276</v>
      </c>
      <c r="C1845">
        <v>1</v>
      </c>
      <c r="D1845" t="s">
        <v>9</v>
      </c>
      <c r="E1845" t="s">
        <v>5</v>
      </c>
      <c r="F1845" s="2">
        <v>45794</v>
      </c>
      <c r="G1845">
        <v>7454.85</v>
      </c>
      <c r="H1845" s="1">
        <f>AVERAGEIF(Table1[Customer_ID], Table1[[#This Row],[Customer_ID]], Table1[Transaction_Amount])</f>
        <v>4981.743968253968</v>
      </c>
      <c r="I1845" t="s">
        <v>2597</v>
      </c>
      <c r="J1845" t="s">
        <v>41</v>
      </c>
      <c r="K1845" t="s">
        <v>12</v>
      </c>
      <c r="L1845">
        <v>0</v>
      </c>
      <c r="M1845" t="s">
        <v>55</v>
      </c>
      <c r="N1845" t="s">
        <v>42</v>
      </c>
      <c r="O1845" t="s">
        <v>392</v>
      </c>
      <c r="P1845" s="6" t="str">
        <f>IF(Table1[[#This Row],[Transaction_Amount]]&lt;=Table1[[#This Row],[avg_transaction_amount]], "usual transaction", "unusual transaction")</f>
        <v>unusual transaction</v>
      </c>
      <c r="Q1845" s="6" t="str">
        <f>IF(AND(Table1[[#This Row],[Country_of_Residence]]&lt;&gt;Table1[[#This Row],[Country_of_Transaction]], OR(Table1[[#This Row],[Authentication_Type]]="Biometric", Table1[[#This Row],[Authentication_Type]]="OTP")), "safe location transaction", "unsafe location transaction")</f>
        <v>unsafe location transaction</v>
      </c>
      <c r="R1845" s="6" t="str">
        <f>IF(AND(Table1[[#This Row],[Country_of_Residence]]&lt;&gt;Table1[[#This Row],[Country_of_Transaction]], OR(Table1[[#This Row],[Merchant_Category]]="Electronics", Table1[[#This Row],[Merchant_Category]]="Travel")), "unsafe merchant transaction", "safe merchant transaction")</f>
        <v>safe merchant transaction</v>
      </c>
    </row>
    <row r="1846" spans="1:18">
      <c r="A1846" t="s">
        <v>5326</v>
      </c>
      <c r="B1846" t="s">
        <v>276</v>
      </c>
      <c r="C1846">
        <v>1</v>
      </c>
      <c r="D1846" t="s">
        <v>9</v>
      </c>
      <c r="E1846" t="s">
        <v>5</v>
      </c>
      <c r="F1846" s="2">
        <v>45825</v>
      </c>
      <c r="G1846">
        <v>5039.3599999999997</v>
      </c>
      <c r="H1846" s="1">
        <f>AVERAGEIF(Table1[Customer_ID], Table1[[#This Row],[Customer_ID]], Table1[Transaction_Amount])</f>
        <v>4981.743968253968</v>
      </c>
      <c r="I1846" t="s">
        <v>2119</v>
      </c>
      <c r="J1846" t="s">
        <v>50</v>
      </c>
      <c r="K1846" t="s">
        <v>8</v>
      </c>
      <c r="L1846">
        <v>5</v>
      </c>
      <c r="M1846" t="s">
        <v>56</v>
      </c>
      <c r="N1846" t="s">
        <v>51</v>
      </c>
      <c r="O1846" t="s">
        <v>393</v>
      </c>
      <c r="P1846" s="6" t="str">
        <f>IF(Table1[[#This Row],[Transaction_Amount]]&lt;=Table1[[#This Row],[avg_transaction_amount]], "usual transaction", "unusual transaction")</f>
        <v>unusual transaction</v>
      </c>
      <c r="Q1846" s="6" t="str">
        <f>IF(AND(Table1[[#This Row],[Country_of_Residence]]&lt;&gt;Table1[[#This Row],[Country_of_Transaction]], OR(Table1[[#This Row],[Authentication_Type]]="Biometric", Table1[[#This Row],[Authentication_Type]]="OTP")), "safe location transaction", "unsafe location transaction")</f>
        <v>safe location transaction</v>
      </c>
      <c r="R1846" s="6" t="str">
        <f>IF(AND(Table1[[#This Row],[Country_of_Residence]]&lt;&gt;Table1[[#This Row],[Country_of_Transaction]], OR(Table1[[#This Row],[Merchant_Category]]="Electronics", Table1[[#This Row],[Merchant_Category]]="Travel")), "unsafe merchant transaction", "safe merchant transaction")</f>
        <v>unsafe merchant transaction</v>
      </c>
    </row>
    <row r="1847" spans="1:18">
      <c r="A1847" t="s">
        <v>5356</v>
      </c>
      <c r="B1847" t="s">
        <v>276</v>
      </c>
      <c r="C1847">
        <v>1</v>
      </c>
      <c r="D1847" t="s">
        <v>15</v>
      </c>
      <c r="E1847" t="s">
        <v>5</v>
      </c>
      <c r="F1847" s="2">
        <v>46001</v>
      </c>
      <c r="G1847">
        <v>8518.81</v>
      </c>
      <c r="H1847" s="1">
        <f>AVERAGEIF(Table1[Customer_ID], Table1[[#This Row],[Customer_ID]], Table1[Transaction_Amount])</f>
        <v>4981.743968253968</v>
      </c>
      <c r="I1847" t="s">
        <v>2647</v>
      </c>
      <c r="J1847" t="s">
        <v>46</v>
      </c>
      <c r="K1847" t="s">
        <v>8</v>
      </c>
      <c r="L1847">
        <v>4</v>
      </c>
      <c r="M1847" t="s">
        <v>42</v>
      </c>
      <c r="N1847" t="s">
        <v>32</v>
      </c>
      <c r="O1847" t="s">
        <v>392</v>
      </c>
      <c r="P1847" s="6" t="str">
        <f>IF(Table1[[#This Row],[Transaction_Amount]]&lt;=Table1[[#This Row],[avg_transaction_amount]], "usual transaction", "unusual transaction")</f>
        <v>unusual transaction</v>
      </c>
      <c r="Q1847" s="6" t="str">
        <f>IF(AND(Table1[[#This Row],[Country_of_Residence]]&lt;&gt;Table1[[#This Row],[Country_of_Transaction]], OR(Table1[[#This Row],[Authentication_Type]]="Biometric", Table1[[#This Row],[Authentication_Type]]="OTP")), "safe location transaction", "unsafe location transaction")</f>
        <v>safe location transaction</v>
      </c>
      <c r="R1847" s="6" t="str">
        <f>IF(AND(Table1[[#This Row],[Country_of_Residence]]&lt;&gt;Table1[[#This Row],[Country_of_Transaction]], OR(Table1[[#This Row],[Merchant_Category]]="Electronics", Table1[[#This Row],[Merchant_Category]]="Travel")), "unsafe merchant transaction", "safe merchant transaction")</f>
        <v>safe merchant transaction</v>
      </c>
    </row>
    <row r="1848" spans="1:18">
      <c r="A1848" t="s">
        <v>5363</v>
      </c>
      <c r="B1848" t="s">
        <v>276</v>
      </c>
      <c r="C1848">
        <v>1</v>
      </c>
      <c r="D1848" t="s">
        <v>9</v>
      </c>
      <c r="E1848" t="s">
        <v>6</v>
      </c>
      <c r="F1848" s="2">
        <v>45765</v>
      </c>
      <c r="G1848">
        <v>1163.76</v>
      </c>
      <c r="H1848" s="1">
        <f>AVERAGEIF(Table1[Customer_ID], Table1[[#This Row],[Customer_ID]], Table1[Transaction_Amount])</f>
        <v>4981.743968253968</v>
      </c>
      <c r="I1848" t="s">
        <v>2654</v>
      </c>
      <c r="J1848" t="s">
        <v>31</v>
      </c>
      <c r="K1848" t="s">
        <v>12</v>
      </c>
      <c r="L1848">
        <v>5</v>
      </c>
      <c r="M1848" t="s">
        <v>32</v>
      </c>
      <c r="N1848" t="s">
        <v>55</v>
      </c>
      <c r="O1848" t="s">
        <v>393</v>
      </c>
      <c r="P1848" s="6" t="str">
        <f>IF(Table1[[#This Row],[Transaction_Amount]]&lt;=Table1[[#This Row],[avg_transaction_amount]], "usual transaction", "unusual transaction")</f>
        <v>usual transaction</v>
      </c>
      <c r="Q1848" s="6" t="str">
        <f>IF(AND(Table1[[#This Row],[Country_of_Residence]]&lt;&gt;Table1[[#This Row],[Country_of_Transaction]], OR(Table1[[#This Row],[Authentication_Type]]="Biometric", Table1[[#This Row],[Authentication_Type]]="OTP")), "safe location transaction", "unsafe location transaction")</f>
        <v>unsafe location transaction</v>
      </c>
      <c r="R1848" s="6" t="str">
        <f>IF(AND(Table1[[#This Row],[Country_of_Residence]]&lt;&gt;Table1[[#This Row],[Country_of_Transaction]], OR(Table1[[#This Row],[Merchant_Category]]="Electronics", Table1[[#This Row],[Merchant_Category]]="Travel")), "unsafe merchant transaction", "safe merchant transaction")</f>
        <v>safe merchant transaction</v>
      </c>
    </row>
    <row r="1849" spans="1:18">
      <c r="A1849" t="s">
        <v>5404</v>
      </c>
      <c r="B1849" t="s">
        <v>276</v>
      </c>
      <c r="C1849">
        <v>1</v>
      </c>
      <c r="D1849" t="s">
        <v>15</v>
      </c>
      <c r="E1849" t="s">
        <v>6</v>
      </c>
      <c r="F1849" s="2">
        <v>45791</v>
      </c>
      <c r="G1849">
        <v>8834.8799999999992</v>
      </c>
      <c r="H1849" s="1">
        <f>AVERAGEIF(Table1[Customer_ID], Table1[[#This Row],[Customer_ID]], Table1[Transaction_Amount])</f>
        <v>4981.743968253968</v>
      </c>
      <c r="I1849" t="s">
        <v>2683</v>
      </c>
      <c r="J1849" t="s">
        <v>36</v>
      </c>
      <c r="K1849" t="s">
        <v>8</v>
      </c>
      <c r="L1849">
        <v>0</v>
      </c>
      <c r="M1849" t="s">
        <v>55</v>
      </c>
      <c r="N1849" t="s">
        <v>42</v>
      </c>
      <c r="O1849" t="s">
        <v>392</v>
      </c>
      <c r="P1849" s="6" t="str">
        <f>IF(Table1[[#This Row],[Transaction_Amount]]&lt;=Table1[[#This Row],[avg_transaction_amount]], "usual transaction", "unusual transaction")</f>
        <v>unusual transaction</v>
      </c>
      <c r="Q1849" s="6" t="str">
        <f>IF(AND(Table1[[#This Row],[Country_of_Residence]]&lt;&gt;Table1[[#This Row],[Country_of_Transaction]], OR(Table1[[#This Row],[Authentication_Type]]="Biometric", Table1[[#This Row],[Authentication_Type]]="OTP")), "safe location transaction", "unsafe location transaction")</f>
        <v>safe location transaction</v>
      </c>
      <c r="R1849" s="6" t="str">
        <f>IF(AND(Table1[[#This Row],[Country_of_Residence]]&lt;&gt;Table1[[#This Row],[Country_of_Transaction]], OR(Table1[[#This Row],[Merchant_Category]]="Electronics", Table1[[#This Row],[Merchant_Category]]="Travel")), "unsafe merchant transaction", "safe merchant transaction")</f>
        <v>safe merchant transaction</v>
      </c>
    </row>
    <row r="1850" spans="1:18">
      <c r="A1850" t="s">
        <v>5418</v>
      </c>
      <c r="B1850" t="s">
        <v>276</v>
      </c>
      <c r="C1850">
        <v>1</v>
      </c>
      <c r="D1850" t="s">
        <v>9</v>
      </c>
      <c r="E1850" t="s">
        <v>5</v>
      </c>
      <c r="F1850" s="2">
        <v>46004</v>
      </c>
      <c r="G1850">
        <v>9620.31</v>
      </c>
      <c r="H1850" s="1">
        <f>AVERAGEIF(Table1[Customer_ID], Table1[[#This Row],[Customer_ID]], Table1[Transaction_Amount])</f>
        <v>4981.743968253968</v>
      </c>
      <c r="I1850" t="s">
        <v>2692</v>
      </c>
      <c r="J1850" t="s">
        <v>31</v>
      </c>
      <c r="K1850" t="s">
        <v>14</v>
      </c>
      <c r="L1850">
        <v>3</v>
      </c>
      <c r="M1850" t="s">
        <v>51</v>
      </c>
      <c r="N1850" t="s">
        <v>33</v>
      </c>
      <c r="O1850" t="s">
        <v>393</v>
      </c>
      <c r="P1850" s="6" t="str">
        <f>IF(Table1[[#This Row],[Transaction_Amount]]&lt;=Table1[[#This Row],[avg_transaction_amount]], "usual transaction", "unusual transaction")</f>
        <v>unusual transaction</v>
      </c>
      <c r="Q1850" s="6" t="str">
        <f>IF(AND(Table1[[#This Row],[Country_of_Residence]]&lt;&gt;Table1[[#This Row],[Country_of_Transaction]], OR(Table1[[#This Row],[Authentication_Type]]="Biometric", Table1[[#This Row],[Authentication_Type]]="OTP")), "safe location transaction", "unsafe location transaction")</f>
        <v>unsafe location transaction</v>
      </c>
      <c r="R1850" s="6" t="str">
        <f>IF(AND(Table1[[#This Row],[Country_of_Residence]]&lt;&gt;Table1[[#This Row],[Country_of_Transaction]], OR(Table1[[#This Row],[Merchant_Category]]="Electronics", Table1[[#This Row],[Merchant_Category]]="Travel")), "unsafe merchant transaction", "safe merchant transaction")</f>
        <v>safe merchant transaction</v>
      </c>
    </row>
    <row r="1851" spans="1:18">
      <c r="A1851" t="s">
        <v>284</v>
      </c>
      <c r="B1851" t="s">
        <v>285</v>
      </c>
      <c r="C1851">
        <v>1</v>
      </c>
      <c r="D1851" t="s">
        <v>9</v>
      </c>
      <c r="E1851" t="s">
        <v>5</v>
      </c>
      <c r="F1851" s="2">
        <v>45743.2680555556</v>
      </c>
      <c r="G1851">
        <v>7428.03</v>
      </c>
      <c r="H1851" s="1">
        <f>AVERAGEIF(Table1[Customer_ID], Table1[[#This Row],[Customer_ID]], Table1[Transaction_Amount])</f>
        <v>4538.7005769230773</v>
      </c>
      <c r="I1851" t="s">
        <v>286</v>
      </c>
      <c r="J1851" t="s">
        <v>59</v>
      </c>
      <c r="K1851" t="s">
        <v>10</v>
      </c>
      <c r="L1851">
        <v>2</v>
      </c>
      <c r="M1851" t="s">
        <v>109</v>
      </c>
      <c r="N1851" t="s">
        <v>287</v>
      </c>
      <c r="O1851" t="s">
        <v>393</v>
      </c>
      <c r="P1851" t="str">
        <f>IF(Table1[[#This Row],[Transaction_Amount]]&lt;=Table1[[#This Row],[avg_transaction_amount]], "usual transaction", "unusual transaction")</f>
        <v>unusual transaction</v>
      </c>
      <c r="Q1851" t="str">
        <f>IF(AND(Table1[[#This Row],[Country_of_Residence]]&lt;&gt;Table1[[#This Row],[Country_of_Transaction]], OR(Table1[[#This Row],[Authentication_Type]]="Biometric", Table1[[#This Row],[Authentication_Type]]="OTP")), "safe location transaction", "unsafe location transaction")</f>
        <v>safe location transaction</v>
      </c>
      <c r="R1851" t="str">
        <f>IF(AND(Table1[[#This Row],[Country_of_Residence]]&lt;&gt;Table1[[#This Row],[Country_of_Transaction]], OR(Table1[[#This Row],[Merchant_Category]]="Electronics", Table1[[#This Row],[Merchant_Category]]="Travel")), "unsafe merchant transaction", "safe merchant transaction")</f>
        <v>unsafe merchant transaction</v>
      </c>
    </row>
    <row r="1852" spans="1:18">
      <c r="A1852" t="s">
        <v>2784</v>
      </c>
      <c r="B1852" t="s">
        <v>285</v>
      </c>
      <c r="C1852">
        <v>1</v>
      </c>
      <c r="D1852" t="s">
        <v>15</v>
      </c>
      <c r="E1852" t="s">
        <v>6</v>
      </c>
      <c r="F1852" s="2">
        <v>45864</v>
      </c>
      <c r="G1852">
        <v>847.11</v>
      </c>
      <c r="H1852" s="1">
        <f>AVERAGEIF(Table1[Customer_ID], Table1[[#This Row],[Customer_ID]], Table1[Transaction_Amount])</f>
        <v>4538.7005769230773</v>
      </c>
      <c r="I1852" t="s">
        <v>433</v>
      </c>
      <c r="J1852" t="s">
        <v>41</v>
      </c>
      <c r="K1852" t="s">
        <v>10</v>
      </c>
      <c r="L1852">
        <v>4</v>
      </c>
      <c r="M1852" t="s">
        <v>32</v>
      </c>
      <c r="N1852" t="s">
        <v>56</v>
      </c>
      <c r="O1852" t="s">
        <v>393</v>
      </c>
      <c r="P1852" s="6" t="str">
        <f>IF(Table1[[#This Row],[Transaction_Amount]]&lt;=Table1[[#This Row],[avg_transaction_amount]], "usual transaction", "unusual transaction")</f>
        <v>usual transaction</v>
      </c>
      <c r="Q1852" s="6" t="str">
        <f>IF(AND(Table1[[#This Row],[Country_of_Residence]]&lt;&gt;Table1[[#This Row],[Country_of_Transaction]], OR(Table1[[#This Row],[Authentication_Type]]="Biometric", Table1[[#This Row],[Authentication_Type]]="OTP")), "safe location transaction", "unsafe location transaction")</f>
        <v>safe location transaction</v>
      </c>
      <c r="R1852" s="6" t="str">
        <f>IF(AND(Table1[[#This Row],[Country_of_Residence]]&lt;&gt;Table1[[#This Row],[Country_of_Transaction]], OR(Table1[[#This Row],[Merchant_Category]]="Electronics", Table1[[#This Row],[Merchant_Category]]="Travel")), "unsafe merchant transaction", "safe merchant transaction")</f>
        <v>safe merchant transaction</v>
      </c>
    </row>
    <row r="1853" spans="1:18">
      <c r="A1853" t="s">
        <v>2798</v>
      </c>
      <c r="B1853" t="s">
        <v>285</v>
      </c>
      <c r="C1853">
        <v>1</v>
      </c>
      <c r="D1853" t="s">
        <v>15</v>
      </c>
      <c r="E1853" t="s">
        <v>6</v>
      </c>
      <c r="F1853" s="2">
        <v>46002</v>
      </c>
      <c r="G1853">
        <v>6655.35</v>
      </c>
      <c r="H1853" s="1">
        <f>AVERAGEIF(Table1[Customer_ID], Table1[[#This Row],[Customer_ID]], Table1[Transaction_Amount])</f>
        <v>4538.7005769230773</v>
      </c>
      <c r="I1853" t="s">
        <v>448</v>
      </c>
      <c r="J1853" t="s">
        <v>46</v>
      </c>
      <c r="K1853" t="s">
        <v>12</v>
      </c>
      <c r="L1853">
        <v>0</v>
      </c>
      <c r="M1853" t="s">
        <v>412</v>
      </c>
      <c r="N1853" t="s">
        <v>55</v>
      </c>
      <c r="O1853" t="s">
        <v>393</v>
      </c>
      <c r="P1853" s="6" t="str">
        <f>IF(Table1[[#This Row],[Transaction_Amount]]&lt;=Table1[[#This Row],[avg_transaction_amount]], "usual transaction", "unusual transaction")</f>
        <v>unusual transaction</v>
      </c>
      <c r="Q1853" s="6" t="str">
        <f>IF(AND(Table1[[#This Row],[Country_of_Residence]]&lt;&gt;Table1[[#This Row],[Country_of_Transaction]], OR(Table1[[#This Row],[Authentication_Type]]="Biometric", Table1[[#This Row],[Authentication_Type]]="OTP")), "safe location transaction", "unsafe location transaction")</f>
        <v>unsafe location transaction</v>
      </c>
      <c r="R1853" s="6" t="str">
        <f>IF(AND(Table1[[#This Row],[Country_of_Residence]]&lt;&gt;Table1[[#This Row],[Country_of_Transaction]], OR(Table1[[#This Row],[Merchant_Category]]="Electronics", Table1[[#This Row],[Merchant_Category]]="Travel")), "unsafe merchant transaction", "safe merchant transaction")</f>
        <v>safe merchant transaction</v>
      </c>
    </row>
    <row r="1854" spans="1:18">
      <c r="A1854" t="s">
        <v>2901</v>
      </c>
      <c r="B1854" t="s">
        <v>285</v>
      </c>
      <c r="C1854">
        <v>1</v>
      </c>
      <c r="D1854" t="s">
        <v>9</v>
      </c>
      <c r="E1854" t="s">
        <v>3</v>
      </c>
      <c r="F1854" s="2">
        <v>45683</v>
      </c>
      <c r="G1854">
        <v>4599.4399999999996</v>
      </c>
      <c r="H1854" s="1">
        <f>AVERAGEIF(Table1[Customer_ID], Table1[[#This Row],[Customer_ID]], Table1[Transaction_Amount])</f>
        <v>4538.7005769230773</v>
      </c>
      <c r="I1854" t="s">
        <v>551</v>
      </c>
      <c r="J1854" t="s">
        <v>41</v>
      </c>
      <c r="K1854" t="s">
        <v>8</v>
      </c>
      <c r="L1854">
        <v>2</v>
      </c>
      <c r="M1854" t="s">
        <v>33</v>
      </c>
      <c r="N1854" t="s">
        <v>412</v>
      </c>
      <c r="O1854" t="s">
        <v>392</v>
      </c>
      <c r="P1854" s="6" t="str">
        <f>IF(Table1[[#This Row],[Transaction_Amount]]&lt;=Table1[[#This Row],[avg_transaction_amount]], "usual transaction", "unusual transaction")</f>
        <v>unusual transaction</v>
      </c>
      <c r="Q1854" s="6" t="str">
        <f>IF(AND(Table1[[#This Row],[Country_of_Residence]]&lt;&gt;Table1[[#This Row],[Country_of_Transaction]], OR(Table1[[#This Row],[Authentication_Type]]="Biometric", Table1[[#This Row],[Authentication_Type]]="OTP")), "safe location transaction", "unsafe location transaction")</f>
        <v>safe location transaction</v>
      </c>
      <c r="R1854" s="6" t="str">
        <f>IF(AND(Table1[[#This Row],[Country_of_Residence]]&lt;&gt;Table1[[#This Row],[Country_of_Transaction]], OR(Table1[[#This Row],[Merchant_Category]]="Electronics", Table1[[#This Row],[Merchant_Category]]="Travel")), "unsafe merchant transaction", "safe merchant transaction")</f>
        <v>safe merchant transaction</v>
      </c>
    </row>
    <row r="1855" spans="1:18">
      <c r="A1855" t="s">
        <v>2922</v>
      </c>
      <c r="B1855" t="s">
        <v>285</v>
      </c>
      <c r="C1855">
        <v>1</v>
      </c>
      <c r="D1855" t="s">
        <v>15</v>
      </c>
      <c r="E1855" t="s">
        <v>420</v>
      </c>
      <c r="F1855" s="2">
        <v>45891</v>
      </c>
      <c r="G1855">
        <v>4482.55</v>
      </c>
      <c r="H1855" s="1">
        <f>AVERAGEIF(Table1[Customer_ID], Table1[[#This Row],[Customer_ID]], Table1[Transaction_Amount])</f>
        <v>4538.7005769230773</v>
      </c>
      <c r="I1855" t="s">
        <v>571</v>
      </c>
      <c r="J1855" t="s">
        <v>41</v>
      </c>
      <c r="K1855" t="s">
        <v>8</v>
      </c>
      <c r="L1855">
        <v>5</v>
      </c>
      <c r="M1855" t="s">
        <v>37</v>
      </c>
      <c r="N1855" t="s">
        <v>412</v>
      </c>
      <c r="O1855" t="s">
        <v>393</v>
      </c>
      <c r="P1855" s="6" t="str">
        <f>IF(Table1[[#This Row],[Transaction_Amount]]&lt;=Table1[[#This Row],[avg_transaction_amount]], "usual transaction", "unusual transaction")</f>
        <v>usual transaction</v>
      </c>
      <c r="Q1855" s="6" t="str">
        <f>IF(AND(Table1[[#This Row],[Country_of_Residence]]&lt;&gt;Table1[[#This Row],[Country_of_Transaction]], OR(Table1[[#This Row],[Authentication_Type]]="Biometric", Table1[[#This Row],[Authentication_Type]]="OTP")), "safe location transaction", "unsafe location transaction")</f>
        <v>safe location transaction</v>
      </c>
      <c r="R1855" s="6" t="str">
        <f>IF(AND(Table1[[#This Row],[Country_of_Residence]]&lt;&gt;Table1[[#This Row],[Country_of_Transaction]], OR(Table1[[#This Row],[Merchant_Category]]="Electronics", Table1[[#This Row],[Merchant_Category]]="Travel")), "unsafe merchant transaction", "safe merchant transaction")</f>
        <v>safe merchant transaction</v>
      </c>
    </row>
    <row r="1856" spans="1:18">
      <c r="A1856" t="s">
        <v>2988</v>
      </c>
      <c r="B1856" t="s">
        <v>285</v>
      </c>
      <c r="C1856">
        <v>1</v>
      </c>
      <c r="D1856" t="s">
        <v>15</v>
      </c>
      <c r="E1856" t="s">
        <v>3</v>
      </c>
      <c r="F1856" s="2">
        <v>45863</v>
      </c>
      <c r="G1856">
        <v>6749.59</v>
      </c>
      <c r="H1856" s="1">
        <f>AVERAGEIF(Table1[Customer_ID], Table1[[#This Row],[Customer_ID]], Table1[Transaction_Amount])</f>
        <v>4538.7005769230773</v>
      </c>
      <c r="I1856" t="s">
        <v>635</v>
      </c>
      <c r="J1856" t="s">
        <v>50</v>
      </c>
      <c r="K1856" t="s">
        <v>14</v>
      </c>
      <c r="L1856">
        <v>2</v>
      </c>
      <c r="M1856" t="s">
        <v>32</v>
      </c>
      <c r="N1856" t="s">
        <v>33</v>
      </c>
      <c r="O1856" t="s">
        <v>393</v>
      </c>
      <c r="P1856" s="6" t="str">
        <f>IF(Table1[[#This Row],[Transaction_Amount]]&lt;=Table1[[#This Row],[avg_transaction_amount]], "usual transaction", "unusual transaction")</f>
        <v>unusual transaction</v>
      </c>
      <c r="Q1856" s="6" t="str">
        <f>IF(AND(Table1[[#This Row],[Country_of_Residence]]&lt;&gt;Table1[[#This Row],[Country_of_Transaction]], OR(Table1[[#This Row],[Authentication_Type]]="Biometric", Table1[[#This Row],[Authentication_Type]]="OTP")), "safe location transaction", "unsafe location transaction")</f>
        <v>unsafe location transaction</v>
      </c>
      <c r="R1856" s="6" t="str">
        <f>IF(AND(Table1[[#This Row],[Country_of_Residence]]&lt;&gt;Table1[[#This Row],[Country_of_Transaction]], OR(Table1[[#This Row],[Merchant_Category]]="Electronics", Table1[[#This Row],[Merchant_Category]]="Travel")), "unsafe merchant transaction", "safe merchant transaction")</f>
        <v>unsafe merchant transaction</v>
      </c>
    </row>
    <row r="1857" spans="1:18">
      <c r="A1857" t="s">
        <v>3066</v>
      </c>
      <c r="B1857" t="s">
        <v>285</v>
      </c>
      <c r="C1857">
        <v>1</v>
      </c>
      <c r="D1857" t="s">
        <v>9</v>
      </c>
      <c r="E1857" t="s">
        <v>3</v>
      </c>
      <c r="F1857" s="2">
        <v>45836</v>
      </c>
      <c r="G1857">
        <v>1635.74</v>
      </c>
      <c r="H1857" s="1">
        <f>AVERAGEIF(Table1[Customer_ID], Table1[[#This Row],[Customer_ID]], Table1[Transaction_Amount])</f>
        <v>4538.7005769230773</v>
      </c>
      <c r="I1857" t="s">
        <v>711</v>
      </c>
      <c r="J1857" t="s">
        <v>50</v>
      </c>
      <c r="K1857" t="s">
        <v>14</v>
      </c>
      <c r="L1857">
        <v>2</v>
      </c>
      <c r="M1857" t="s">
        <v>37</v>
      </c>
      <c r="N1857" t="s">
        <v>55</v>
      </c>
      <c r="O1857" t="s">
        <v>393</v>
      </c>
      <c r="P1857" s="6" t="str">
        <f>IF(Table1[[#This Row],[Transaction_Amount]]&lt;=Table1[[#This Row],[avg_transaction_amount]], "usual transaction", "unusual transaction")</f>
        <v>usual transaction</v>
      </c>
      <c r="Q1857" s="6" t="str">
        <f>IF(AND(Table1[[#This Row],[Country_of_Residence]]&lt;&gt;Table1[[#This Row],[Country_of_Transaction]], OR(Table1[[#This Row],[Authentication_Type]]="Biometric", Table1[[#This Row],[Authentication_Type]]="OTP")), "safe location transaction", "unsafe location transaction")</f>
        <v>unsafe location transaction</v>
      </c>
      <c r="R1857" s="6" t="str">
        <f>IF(AND(Table1[[#This Row],[Country_of_Residence]]&lt;&gt;Table1[[#This Row],[Country_of_Transaction]], OR(Table1[[#This Row],[Merchant_Category]]="Electronics", Table1[[#This Row],[Merchant_Category]]="Travel")), "unsafe merchant transaction", "safe merchant transaction")</f>
        <v>unsafe merchant transaction</v>
      </c>
    </row>
    <row r="1858" spans="1:18">
      <c r="A1858" t="s">
        <v>3138</v>
      </c>
      <c r="B1858" t="s">
        <v>285</v>
      </c>
      <c r="C1858">
        <v>1</v>
      </c>
      <c r="D1858" t="s">
        <v>9</v>
      </c>
      <c r="E1858" t="s">
        <v>5</v>
      </c>
      <c r="F1858" s="2">
        <v>45819</v>
      </c>
      <c r="G1858">
        <v>3408.25</v>
      </c>
      <c r="H1858" s="1">
        <f>AVERAGEIF(Table1[Customer_ID], Table1[[#This Row],[Customer_ID]], Table1[Transaction_Amount])</f>
        <v>4538.7005769230773</v>
      </c>
      <c r="I1858" t="s">
        <v>778</v>
      </c>
      <c r="J1858" t="s">
        <v>50</v>
      </c>
      <c r="K1858" t="s">
        <v>8</v>
      </c>
      <c r="L1858">
        <v>5</v>
      </c>
      <c r="M1858" t="s">
        <v>56</v>
      </c>
      <c r="N1858" t="s">
        <v>51</v>
      </c>
      <c r="O1858" t="s">
        <v>392</v>
      </c>
      <c r="P1858" s="6" t="str">
        <f>IF(Table1[[#This Row],[Transaction_Amount]]&lt;=Table1[[#This Row],[avg_transaction_amount]], "usual transaction", "unusual transaction")</f>
        <v>usual transaction</v>
      </c>
      <c r="Q1858" s="6" t="str">
        <f>IF(AND(Table1[[#This Row],[Country_of_Residence]]&lt;&gt;Table1[[#This Row],[Country_of_Transaction]], OR(Table1[[#This Row],[Authentication_Type]]="Biometric", Table1[[#This Row],[Authentication_Type]]="OTP")), "safe location transaction", "unsafe location transaction")</f>
        <v>safe location transaction</v>
      </c>
      <c r="R1858" s="6" t="str">
        <f>IF(AND(Table1[[#This Row],[Country_of_Residence]]&lt;&gt;Table1[[#This Row],[Country_of_Transaction]], OR(Table1[[#This Row],[Merchant_Category]]="Electronics", Table1[[#This Row],[Merchant_Category]]="Travel")), "unsafe merchant transaction", "safe merchant transaction")</f>
        <v>unsafe merchant transaction</v>
      </c>
    </row>
    <row r="1859" spans="1:18">
      <c r="A1859" t="s">
        <v>3195</v>
      </c>
      <c r="B1859" t="s">
        <v>285</v>
      </c>
      <c r="C1859">
        <v>1</v>
      </c>
      <c r="D1859" t="s">
        <v>9</v>
      </c>
      <c r="E1859" t="s">
        <v>5</v>
      </c>
      <c r="F1859" s="2">
        <v>45773</v>
      </c>
      <c r="G1859">
        <v>4270.04</v>
      </c>
      <c r="H1859" s="1">
        <f>AVERAGEIF(Table1[Customer_ID], Table1[[#This Row],[Customer_ID]], Table1[Transaction_Amount])</f>
        <v>4538.7005769230773</v>
      </c>
      <c r="I1859" t="s">
        <v>830</v>
      </c>
      <c r="J1859" t="s">
        <v>41</v>
      </c>
      <c r="K1859" t="s">
        <v>10</v>
      </c>
      <c r="L1859">
        <v>4</v>
      </c>
      <c r="M1859" t="s">
        <v>47</v>
      </c>
      <c r="N1859" t="s">
        <v>55</v>
      </c>
      <c r="O1859" t="s">
        <v>393</v>
      </c>
      <c r="P1859" s="6" t="str">
        <f>IF(Table1[[#This Row],[Transaction_Amount]]&lt;=Table1[[#This Row],[avg_transaction_amount]], "usual transaction", "unusual transaction")</f>
        <v>usual transaction</v>
      </c>
      <c r="Q1859" s="6" t="str">
        <f>IF(AND(Table1[[#This Row],[Country_of_Residence]]&lt;&gt;Table1[[#This Row],[Country_of_Transaction]], OR(Table1[[#This Row],[Authentication_Type]]="Biometric", Table1[[#This Row],[Authentication_Type]]="OTP")), "safe location transaction", "unsafe location transaction")</f>
        <v>safe location transaction</v>
      </c>
      <c r="R1859" s="6" t="str">
        <f>IF(AND(Table1[[#This Row],[Country_of_Residence]]&lt;&gt;Table1[[#This Row],[Country_of_Transaction]], OR(Table1[[#This Row],[Merchant_Category]]="Electronics", Table1[[#This Row],[Merchant_Category]]="Travel")), "unsafe merchant transaction", "safe merchant transaction")</f>
        <v>safe merchant transaction</v>
      </c>
    </row>
    <row r="1860" spans="1:18">
      <c r="A1860" t="s">
        <v>3235</v>
      </c>
      <c r="B1860" t="s">
        <v>285</v>
      </c>
      <c r="C1860">
        <v>1</v>
      </c>
      <c r="D1860" t="s">
        <v>15</v>
      </c>
      <c r="E1860" t="s">
        <v>3</v>
      </c>
      <c r="F1860" s="2">
        <v>45854</v>
      </c>
      <c r="G1860">
        <v>9455.9599999999991</v>
      </c>
      <c r="H1860" s="1">
        <f>AVERAGEIF(Table1[Customer_ID], Table1[[#This Row],[Customer_ID]], Table1[Transaction_Amount])</f>
        <v>4538.7005769230773</v>
      </c>
      <c r="I1860" t="s">
        <v>868</v>
      </c>
      <c r="J1860" t="s">
        <v>41</v>
      </c>
      <c r="K1860" t="s">
        <v>10</v>
      </c>
      <c r="L1860">
        <v>2</v>
      </c>
      <c r="M1860" t="s">
        <v>51</v>
      </c>
      <c r="N1860" t="s">
        <v>42</v>
      </c>
      <c r="O1860" t="s">
        <v>392</v>
      </c>
      <c r="P1860" s="6" t="str">
        <f>IF(Table1[[#This Row],[Transaction_Amount]]&lt;=Table1[[#This Row],[avg_transaction_amount]], "usual transaction", "unusual transaction")</f>
        <v>unusual transaction</v>
      </c>
      <c r="Q1860" s="6" t="str">
        <f>IF(AND(Table1[[#This Row],[Country_of_Residence]]&lt;&gt;Table1[[#This Row],[Country_of_Transaction]], OR(Table1[[#This Row],[Authentication_Type]]="Biometric", Table1[[#This Row],[Authentication_Type]]="OTP")), "safe location transaction", "unsafe location transaction")</f>
        <v>safe location transaction</v>
      </c>
      <c r="R1860" s="6" t="str">
        <f>IF(AND(Table1[[#This Row],[Country_of_Residence]]&lt;&gt;Table1[[#This Row],[Country_of_Transaction]], OR(Table1[[#This Row],[Merchant_Category]]="Electronics", Table1[[#This Row],[Merchant_Category]]="Travel")), "unsafe merchant transaction", "safe merchant transaction")</f>
        <v>safe merchant transaction</v>
      </c>
    </row>
    <row r="1861" spans="1:18">
      <c r="A1861" t="s">
        <v>3300</v>
      </c>
      <c r="B1861" t="s">
        <v>285</v>
      </c>
      <c r="C1861">
        <v>1</v>
      </c>
      <c r="D1861" t="s">
        <v>9</v>
      </c>
      <c r="E1861" t="s">
        <v>6</v>
      </c>
      <c r="F1861" s="2">
        <v>45703</v>
      </c>
      <c r="G1861">
        <v>4953.76</v>
      </c>
      <c r="H1861" s="1">
        <f>AVERAGEIF(Table1[Customer_ID], Table1[[#This Row],[Customer_ID]], Table1[Transaction_Amount])</f>
        <v>4538.7005769230773</v>
      </c>
      <c r="I1861" t="s">
        <v>927</v>
      </c>
      <c r="J1861" t="s">
        <v>36</v>
      </c>
      <c r="K1861" t="s">
        <v>12</v>
      </c>
      <c r="L1861">
        <v>2</v>
      </c>
      <c r="M1861" t="s">
        <v>32</v>
      </c>
      <c r="N1861" t="s">
        <v>51</v>
      </c>
      <c r="O1861" t="s">
        <v>392</v>
      </c>
      <c r="P1861" s="6" t="str">
        <f>IF(Table1[[#This Row],[Transaction_Amount]]&lt;=Table1[[#This Row],[avg_transaction_amount]], "usual transaction", "unusual transaction")</f>
        <v>unusual transaction</v>
      </c>
      <c r="Q1861" s="6" t="str">
        <f>IF(AND(Table1[[#This Row],[Country_of_Residence]]&lt;&gt;Table1[[#This Row],[Country_of_Transaction]], OR(Table1[[#This Row],[Authentication_Type]]="Biometric", Table1[[#This Row],[Authentication_Type]]="OTP")), "safe location transaction", "unsafe location transaction")</f>
        <v>unsafe location transaction</v>
      </c>
      <c r="R1861" s="6" t="str">
        <f>IF(AND(Table1[[#This Row],[Country_of_Residence]]&lt;&gt;Table1[[#This Row],[Country_of_Transaction]], OR(Table1[[#This Row],[Merchant_Category]]="Electronics", Table1[[#This Row],[Merchant_Category]]="Travel")), "unsafe merchant transaction", "safe merchant transaction")</f>
        <v>safe merchant transaction</v>
      </c>
    </row>
    <row r="1862" spans="1:18">
      <c r="A1862" t="s">
        <v>3313</v>
      </c>
      <c r="B1862" t="s">
        <v>285</v>
      </c>
      <c r="C1862">
        <v>1</v>
      </c>
      <c r="D1862" t="s">
        <v>9</v>
      </c>
      <c r="E1862" t="s">
        <v>5</v>
      </c>
      <c r="F1862" s="2">
        <v>45788</v>
      </c>
      <c r="G1862">
        <v>4277.8900000000003</v>
      </c>
      <c r="H1862" s="1">
        <f>AVERAGEIF(Table1[Customer_ID], Table1[[#This Row],[Customer_ID]], Table1[Transaction_Amount])</f>
        <v>4538.7005769230773</v>
      </c>
      <c r="I1862" t="s">
        <v>940</v>
      </c>
      <c r="J1862" t="s">
        <v>41</v>
      </c>
      <c r="K1862" t="s">
        <v>10</v>
      </c>
      <c r="L1862">
        <v>0</v>
      </c>
      <c r="M1862" t="s">
        <v>47</v>
      </c>
      <c r="N1862" t="s">
        <v>42</v>
      </c>
      <c r="O1862" t="s">
        <v>392</v>
      </c>
      <c r="P1862" s="6" t="str">
        <f>IF(Table1[[#This Row],[Transaction_Amount]]&lt;=Table1[[#This Row],[avg_transaction_amount]], "usual transaction", "unusual transaction")</f>
        <v>usual transaction</v>
      </c>
      <c r="Q1862" s="6" t="str">
        <f>IF(AND(Table1[[#This Row],[Country_of_Residence]]&lt;&gt;Table1[[#This Row],[Country_of_Transaction]], OR(Table1[[#This Row],[Authentication_Type]]="Biometric", Table1[[#This Row],[Authentication_Type]]="OTP")), "safe location transaction", "unsafe location transaction")</f>
        <v>safe location transaction</v>
      </c>
      <c r="R1862" s="6" t="str">
        <f>IF(AND(Table1[[#This Row],[Country_of_Residence]]&lt;&gt;Table1[[#This Row],[Country_of_Transaction]], OR(Table1[[#This Row],[Merchant_Category]]="Electronics", Table1[[#This Row],[Merchant_Category]]="Travel")), "unsafe merchant transaction", "safe merchant transaction")</f>
        <v>safe merchant transaction</v>
      </c>
    </row>
    <row r="1863" spans="1:18">
      <c r="A1863" t="s">
        <v>3325</v>
      </c>
      <c r="B1863" t="s">
        <v>285</v>
      </c>
      <c r="C1863">
        <v>1</v>
      </c>
      <c r="D1863" t="s">
        <v>9</v>
      </c>
      <c r="E1863" t="s">
        <v>3</v>
      </c>
      <c r="F1863" s="2">
        <v>45974</v>
      </c>
      <c r="G1863">
        <v>368.1</v>
      </c>
      <c r="H1863" s="1">
        <f>AVERAGEIF(Table1[Customer_ID], Table1[[#This Row],[Customer_ID]], Table1[Transaction_Amount])</f>
        <v>4538.7005769230773</v>
      </c>
      <c r="I1863" t="s">
        <v>950</v>
      </c>
      <c r="J1863" t="s">
        <v>41</v>
      </c>
      <c r="K1863" t="s">
        <v>12</v>
      </c>
      <c r="L1863">
        <v>3</v>
      </c>
      <c r="M1863" t="s">
        <v>37</v>
      </c>
      <c r="N1863" t="s">
        <v>51</v>
      </c>
      <c r="O1863" t="s">
        <v>393</v>
      </c>
      <c r="P1863" s="6" t="str">
        <f>IF(Table1[[#This Row],[Transaction_Amount]]&lt;=Table1[[#This Row],[avg_transaction_amount]], "usual transaction", "unusual transaction")</f>
        <v>usual transaction</v>
      </c>
      <c r="Q1863" s="6" t="str">
        <f>IF(AND(Table1[[#This Row],[Country_of_Residence]]&lt;&gt;Table1[[#This Row],[Country_of_Transaction]], OR(Table1[[#This Row],[Authentication_Type]]="Biometric", Table1[[#This Row],[Authentication_Type]]="OTP")), "safe location transaction", "unsafe location transaction")</f>
        <v>unsafe location transaction</v>
      </c>
      <c r="R1863" s="6" t="str">
        <f>IF(AND(Table1[[#This Row],[Country_of_Residence]]&lt;&gt;Table1[[#This Row],[Country_of_Transaction]], OR(Table1[[#This Row],[Merchant_Category]]="Electronics", Table1[[#This Row],[Merchant_Category]]="Travel")), "unsafe merchant transaction", "safe merchant transaction")</f>
        <v>safe merchant transaction</v>
      </c>
    </row>
    <row r="1864" spans="1:18">
      <c r="A1864" t="s">
        <v>3339</v>
      </c>
      <c r="B1864" t="s">
        <v>285</v>
      </c>
      <c r="C1864">
        <v>1</v>
      </c>
      <c r="D1864" t="s">
        <v>15</v>
      </c>
      <c r="E1864" t="s">
        <v>3</v>
      </c>
      <c r="F1864" s="2">
        <v>46013</v>
      </c>
      <c r="G1864">
        <v>1314.88</v>
      </c>
      <c r="H1864" s="1">
        <f>AVERAGEIF(Table1[Customer_ID], Table1[[#This Row],[Customer_ID]], Table1[Transaction_Amount])</f>
        <v>4538.7005769230773</v>
      </c>
      <c r="I1864" t="s">
        <v>963</v>
      </c>
      <c r="J1864" t="s">
        <v>36</v>
      </c>
      <c r="K1864" t="s">
        <v>10</v>
      </c>
      <c r="L1864">
        <v>5</v>
      </c>
      <c r="M1864" t="s">
        <v>42</v>
      </c>
      <c r="N1864" t="s">
        <v>33</v>
      </c>
      <c r="O1864" t="s">
        <v>393</v>
      </c>
      <c r="P1864" s="6" t="str">
        <f>IF(Table1[[#This Row],[Transaction_Amount]]&lt;=Table1[[#This Row],[avg_transaction_amount]], "usual transaction", "unusual transaction")</f>
        <v>usual transaction</v>
      </c>
      <c r="Q1864" s="6" t="str">
        <f>IF(AND(Table1[[#This Row],[Country_of_Residence]]&lt;&gt;Table1[[#This Row],[Country_of_Transaction]], OR(Table1[[#This Row],[Authentication_Type]]="Biometric", Table1[[#This Row],[Authentication_Type]]="OTP")), "safe location transaction", "unsafe location transaction")</f>
        <v>safe location transaction</v>
      </c>
      <c r="R1864" s="6" t="str">
        <f>IF(AND(Table1[[#This Row],[Country_of_Residence]]&lt;&gt;Table1[[#This Row],[Country_of_Transaction]], OR(Table1[[#This Row],[Merchant_Category]]="Electronics", Table1[[#This Row],[Merchant_Category]]="Travel")), "unsafe merchant transaction", "safe merchant transaction")</f>
        <v>safe merchant transaction</v>
      </c>
    </row>
    <row r="1865" spans="1:18">
      <c r="A1865" t="s">
        <v>3406</v>
      </c>
      <c r="B1865" t="s">
        <v>285</v>
      </c>
      <c r="C1865">
        <v>1</v>
      </c>
      <c r="D1865" t="s">
        <v>15</v>
      </c>
      <c r="E1865" t="s">
        <v>6</v>
      </c>
      <c r="F1865" s="2">
        <v>45668</v>
      </c>
      <c r="G1865">
        <v>6423.89</v>
      </c>
      <c r="H1865" s="1">
        <f>AVERAGEIF(Table1[Customer_ID], Table1[[#This Row],[Customer_ID]], Table1[Transaction_Amount])</f>
        <v>4538.7005769230773</v>
      </c>
      <c r="I1865" t="s">
        <v>303</v>
      </c>
      <c r="J1865" t="s">
        <v>50</v>
      </c>
      <c r="K1865" t="s">
        <v>12</v>
      </c>
      <c r="L1865">
        <v>5</v>
      </c>
      <c r="M1865" t="s">
        <v>56</v>
      </c>
      <c r="N1865" t="s">
        <v>55</v>
      </c>
      <c r="O1865" t="s">
        <v>392</v>
      </c>
      <c r="P1865" s="6" t="str">
        <f>IF(Table1[[#This Row],[Transaction_Amount]]&lt;=Table1[[#This Row],[avg_transaction_amount]], "usual transaction", "unusual transaction")</f>
        <v>unusual transaction</v>
      </c>
      <c r="Q1865" s="6" t="str">
        <f>IF(AND(Table1[[#This Row],[Country_of_Residence]]&lt;&gt;Table1[[#This Row],[Country_of_Transaction]], OR(Table1[[#This Row],[Authentication_Type]]="Biometric", Table1[[#This Row],[Authentication_Type]]="OTP")), "safe location transaction", "unsafe location transaction")</f>
        <v>unsafe location transaction</v>
      </c>
      <c r="R1865" s="6" t="str">
        <f>IF(AND(Table1[[#This Row],[Country_of_Residence]]&lt;&gt;Table1[[#This Row],[Country_of_Transaction]], OR(Table1[[#This Row],[Merchant_Category]]="Electronics", Table1[[#This Row],[Merchant_Category]]="Travel")), "unsafe merchant transaction", "safe merchant transaction")</f>
        <v>unsafe merchant transaction</v>
      </c>
    </row>
    <row r="1866" spans="1:18">
      <c r="A1866" t="s">
        <v>3439</v>
      </c>
      <c r="B1866" t="s">
        <v>285</v>
      </c>
      <c r="C1866">
        <v>1</v>
      </c>
      <c r="D1866" t="s">
        <v>15</v>
      </c>
      <c r="E1866" t="s">
        <v>420</v>
      </c>
      <c r="F1866" s="2">
        <v>45783</v>
      </c>
      <c r="G1866">
        <v>6518.47</v>
      </c>
      <c r="H1866" s="1">
        <f>AVERAGEIF(Table1[Customer_ID], Table1[[#This Row],[Customer_ID]], Table1[Transaction_Amount])</f>
        <v>4538.7005769230773</v>
      </c>
      <c r="I1866" t="s">
        <v>1058</v>
      </c>
      <c r="J1866" t="s">
        <v>46</v>
      </c>
      <c r="K1866" t="s">
        <v>8</v>
      </c>
      <c r="L1866">
        <v>3</v>
      </c>
      <c r="M1866" t="s">
        <v>37</v>
      </c>
      <c r="N1866" t="s">
        <v>42</v>
      </c>
      <c r="O1866" t="s">
        <v>393</v>
      </c>
      <c r="P1866" s="6" t="str">
        <f>IF(Table1[[#This Row],[Transaction_Amount]]&lt;=Table1[[#This Row],[avg_transaction_amount]], "usual transaction", "unusual transaction")</f>
        <v>unusual transaction</v>
      </c>
      <c r="Q1866" s="6" t="str">
        <f>IF(AND(Table1[[#This Row],[Country_of_Residence]]&lt;&gt;Table1[[#This Row],[Country_of_Transaction]], OR(Table1[[#This Row],[Authentication_Type]]="Biometric", Table1[[#This Row],[Authentication_Type]]="OTP")), "safe location transaction", "unsafe location transaction")</f>
        <v>safe location transaction</v>
      </c>
      <c r="R1866" s="6" t="str">
        <f>IF(AND(Table1[[#This Row],[Country_of_Residence]]&lt;&gt;Table1[[#This Row],[Country_of_Transaction]], OR(Table1[[#This Row],[Merchant_Category]]="Electronics", Table1[[#This Row],[Merchant_Category]]="Travel")), "unsafe merchant transaction", "safe merchant transaction")</f>
        <v>safe merchant transaction</v>
      </c>
    </row>
    <row r="1867" spans="1:18">
      <c r="A1867" t="s">
        <v>3477</v>
      </c>
      <c r="B1867" t="s">
        <v>285</v>
      </c>
      <c r="C1867">
        <v>1</v>
      </c>
      <c r="D1867" t="s">
        <v>9</v>
      </c>
      <c r="E1867" t="s">
        <v>6</v>
      </c>
      <c r="F1867" s="2">
        <v>45809</v>
      </c>
      <c r="G1867">
        <v>7092.15</v>
      </c>
      <c r="H1867" s="1">
        <f>AVERAGEIF(Table1[Customer_ID], Table1[[#This Row],[Customer_ID]], Table1[Transaction_Amount])</f>
        <v>4538.7005769230773</v>
      </c>
      <c r="I1867" t="s">
        <v>1095</v>
      </c>
      <c r="J1867" t="s">
        <v>41</v>
      </c>
      <c r="K1867" t="s">
        <v>10</v>
      </c>
      <c r="L1867">
        <v>1</v>
      </c>
      <c r="M1867" t="s">
        <v>55</v>
      </c>
      <c r="N1867" t="s">
        <v>412</v>
      </c>
      <c r="O1867" t="s">
        <v>392</v>
      </c>
      <c r="P1867" s="6" t="str">
        <f>IF(Table1[[#This Row],[Transaction_Amount]]&lt;=Table1[[#This Row],[avg_transaction_amount]], "usual transaction", "unusual transaction")</f>
        <v>unusual transaction</v>
      </c>
      <c r="Q1867" s="6" t="str">
        <f>IF(AND(Table1[[#This Row],[Country_of_Residence]]&lt;&gt;Table1[[#This Row],[Country_of_Transaction]], OR(Table1[[#This Row],[Authentication_Type]]="Biometric", Table1[[#This Row],[Authentication_Type]]="OTP")), "safe location transaction", "unsafe location transaction")</f>
        <v>safe location transaction</v>
      </c>
      <c r="R1867" s="6" t="str">
        <f>IF(AND(Table1[[#This Row],[Country_of_Residence]]&lt;&gt;Table1[[#This Row],[Country_of_Transaction]], OR(Table1[[#This Row],[Merchant_Category]]="Electronics", Table1[[#This Row],[Merchant_Category]]="Travel")), "unsafe merchant transaction", "safe merchant transaction")</f>
        <v>safe merchant transaction</v>
      </c>
    </row>
    <row r="1868" spans="1:18">
      <c r="A1868" t="s">
        <v>3551</v>
      </c>
      <c r="B1868" t="s">
        <v>285</v>
      </c>
      <c r="C1868">
        <v>1</v>
      </c>
      <c r="D1868" t="s">
        <v>9</v>
      </c>
      <c r="E1868" t="s">
        <v>3</v>
      </c>
      <c r="F1868" s="2">
        <v>45683</v>
      </c>
      <c r="G1868">
        <v>3370.71</v>
      </c>
      <c r="H1868" s="1">
        <f>AVERAGEIF(Table1[Customer_ID], Table1[[#This Row],[Customer_ID]], Table1[Transaction_Amount])</f>
        <v>4538.7005769230773</v>
      </c>
      <c r="I1868" t="s">
        <v>1164</v>
      </c>
      <c r="J1868" t="s">
        <v>36</v>
      </c>
      <c r="K1868" t="s">
        <v>12</v>
      </c>
      <c r="L1868">
        <v>2</v>
      </c>
      <c r="M1868" t="s">
        <v>55</v>
      </c>
      <c r="N1868" t="s">
        <v>56</v>
      </c>
      <c r="O1868" t="s">
        <v>392</v>
      </c>
      <c r="P1868" s="6" t="str">
        <f>IF(Table1[[#This Row],[Transaction_Amount]]&lt;=Table1[[#This Row],[avg_transaction_amount]], "usual transaction", "unusual transaction")</f>
        <v>usual transaction</v>
      </c>
      <c r="Q1868" s="6" t="str">
        <f>IF(AND(Table1[[#This Row],[Country_of_Residence]]&lt;&gt;Table1[[#This Row],[Country_of_Transaction]], OR(Table1[[#This Row],[Authentication_Type]]="Biometric", Table1[[#This Row],[Authentication_Type]]="OTP")), "safe location transaction", "unsafe location transaction")</f>
        <v>unsafe location transaction</v>
      </c>
      <c r="R1868" s="6" t="str">
        <f>IF(AND(Table1[[#This Row],[Country_of_Residence]]&lt;&gt;Table1[[#This Row],[Country_of_Transaction]], OR(Table1[[#This Row],[Merchant_Category]]="Electronics", Table1[[#This Row],[Merchant_Category]]="Travel")), "unsafe merchant transaction", "safe merchant transaction")</f>
        <v>safe merchant transaction</v>
      </c>
    </row>
    <row r="1869" spans="1:18">
      <c r="A1869" t="s">
        <v>3710</v>
      </c>
      <c r="B1869" t="s">
        <v>285</v>
      </c>
      <c r="C1869">
        <v>1</v>
      </c>
      <c r="D1869" t="s">
        <v>9</v>
      </c>
      <c r="E1869" t="s">
        <v>3</v>
      </c>
      <c r="F1869" s="2">
        <v>46008</v>
      </c>
      <c r="G1869">
        <v>3088.57</v>
      </c>
      <c r="H1869" s="1">
        <f>AVERAGEIF(Table1[Customer_ID], Table1[[#This Row],[Customer_ID]], Table1[Transaction_Amount])</f>
        <v>4538.7005769230773</v>
      </c>
      <c r="I1869" t="s">
        <v>1307</v>
      </c>
      <c r="J1869" t="s">
        <v>41</v>
      </c>
      <c r="K1869" t="s">
        <v>12</v>
      </c>
      <c r="L1869">
        <v>2</v>
      </c>
      <c r="M1869" t="s">
        <v>42</v>
      </c>
      <c r="N1869" t="s">
        <v>55</v>
      </c>
      <c r="O1869" t="s">
        <v>393</v>
      </c>
      <c r="P1869" s="6" t="str">
        <f>IF(Table1[[#This Row],[Transaction_Amount]]&lt;=Table1[[#This Row],[avg_transaction_amount]], "usual transaction", "unusual transaction")</f>
        <v>usual transaction</v>
      </c>
      <c r="Q1869" s="6" t="str">
        <f>IF(AND(Table1[[#This Row],[Country_of_Residence]]&lt;&gt;Table1[[#This Row],[Country_of_Transaction]], OR(Table1[[#This Row],[Authentication_Type]]="Biometric", Table1[[#This Row],[Authentication_Type]]="OTP")), "safe location transaction", "unsafe location transaction")</f>
        <v>unsafe location transaction</v>
      </c>
      <c r="R1869" s="6" t="str">
        <f>IF(AND(Table1[[#This Row],[Country_of_Residence]]&lt;&gt;Table1[[#This Row],[Country_of_Transaction]], OR(Table1[[#This Row],[Merchant_Category]]="Electronics", Table1[[#This Row],[Merchant_Category]]="Travel")), "unsafe merchant transaction", "safe merchant transaction")</f>
        <v>safe merchant transaction</v>
      </c>
    </row>
    <row r="1870" spans="1:18">
      <c r="A1870" t="s">
        <v>3720</v>
      </c>
      <c r="B1870" t="s">
        <v>285</v>
      </c>
      <c r="C1870">
        <v>1</v>
      </c>
      <c r="D1870" t="s">
        <v>15</v>
      </c>
      <c r="E1870" t="s">
        <v>5</v>
      </c>
      <c r="F1870" s="2">
        <v>45933</v>
      </c>
      <c r="G1870">
        <v>3766.07</v>
      </c>
      <c r="H1870" s="1">
        <f>AVERAGEIF(Table1[Customer_ID], Table1[[#This Row],[Customer_ID]], Table1[Transaction_Amount])</f>
        <v>4538.7005769230773</v>
      </c>
      <c r="I1870" t="s">
        <v>1316</v>
      </c>
      <c r="J1870" t="s">
        <v>41</v>
      </c>
      <c r="K1870" t="s">
        <v>14</v>
      </c>
      <c r="L1870">
        <v>5</v>
      </c>
      <c r="M1870" t="s">
        <v>32</v>
      </c>
      <c r="N1870" t="s">
        <v>32</v>
      </c>
      <c r="O1870" t="s">
        <v>392</v>
      </c>
      <c r="P1870" s="6" t="str">
        <f>IF(Table1[[#This Row],[Transaction_Amount]]&lt;=Table1[[#This Row],[avg_transaction_amount]], "usual transaction", "unusual transaction")</f>
        <v>usual transaction</v>
      </c>
      <c r="Q1870" s="6" t="str">
        <f>IF(AND(Table1[[#This Row],[Country_of_Residence]]&lt;&gt;Table1[[#This Row],[Country_of_Transaction]], OR(Table1[[#This Row],[Authentication_Type]]="Biometric", Table1[[#This Row],[Authentication_Type]]="OTP")), "safe location transaction", "unsafe location transaction")</f>
        <v>unsafe location transaction</v>
      </c>
      <c r="R1870" s="6" t="str">
        <f>IF(AND(Table1[[#This Row],[Country_of_Residence]]&lt;&gt;Table1[[#This Row],[Country_of_Transaction]], OR(Table1[[#This Row],[Merchant_Category]]="Electronics", Table1[[#This Row],[Merchant_Category]]="Travel")), "unsafe merchant transaction", "safe merchant transaction")</f>
        <v>safe merchant transaction</v>
      </c>
    </row>
    <row r="1871" spans="1:18">
      <c r="A1871" t="s">
        <v>3742</v>
      </c>
      <c r="B1871" t="s">
        <v>285</v>
      </c>
      <c r="C1871">
        <v>1</v>
      </c>
      <c r="D1871" t="s">
        <v>15</v>
      </c>
      <c r="E1871" t="s">
        <v>6</v>
      </c>
      <c r="F1871" s="2">
        <v>46006</v>
      </c>
      <c r="G1871">
        <v>1866.99</v>
      </c>
      <c r="H1871" s="1">
        <f>AVERAGEIF(Table1[Customer_ID], Table1[[#This Row],[Customer_ID]], Table1[Transaction_Amount])</f>
        <v>4538.7005769230773</v>
      </c>
      <c r="I1871" t="s">
        <v>1335</v>
      </c>
      <c r="J1871" t="s">
        <v>46</v>
      </c>
      <c r="K1871" t="s">
        <v>14</v>
      </c>
      <c r="L1871">
        <v>4</v>
      </c>
      <c r="M1871" t="s">
        <v>42</v>
      </c>
      <c r="N1871" t="s">
        <v>33</v>
      </c>
      <c r="O1871" t="s">
        <v>392</v>
      </c>
      <c r="P1871" s="6" t="str">
        <f>IF(Table1[[#This Row],[Transaction_Amount]]&lt;=Table1[[#This Row],[avg_transaction_amount]], "usual transaction", "unusual transaction")</f>
        <v>usual transaction</v>
      </c>
      <c r="Q1871" s="6" t="str">
        <f>IF(AND(Table1[[#This Row],[Country_of_Residence]]&lt;&gt;Table1[[#This Row],[Country_of_Transaction]], OR(Table1[[#This Row],[Authentication_Type]]="Biometric", Table1[[#This Row],[Authentication_Type]]="OTP")), "safe location transaction", "unsafe location transaction")</f>
        <v>unsafe location transaction</v>
      </c>
      <c r="R1871" s="6" t="str">
        <f>IF(AND(Table1[[#This Row],[Country_of_Residence]]&lt;&gt;Table1[[#This Row],[Country_of_Transaction]], OR(Table1[[#This Row],[Merchant_Category]]="Electronics", Table1[[#This Row],[Merchant_Category]]="Travel")), "unsafe merchant transaction", "safe merchant transaction")</f>
        <v>safe merchant transaction</v>
      </c>
    </row>
    <row r="1872" spans="1:18">
      <c r="A1872" t="s">
        <v>3758</v>
      </c>
      <c r="B1872" t="s">
        <v>285</v>
      </c>
      <c r="C1872">
        <v>1</v>
      </c>
      <c r="D1872" t="s">
        <v>15</v>
      </c>
      <c r="E1872" t="s">
        <v>420</v>
      </c>
      <c r="F1872" s="2">
        <v>45974</v>
      </c>
      <c r="G1872">
        <v>7017.27</v>
      </c>
      <c r="H1872" s="1">
        <f>AVERAGEIF(Table1[Customer_ID], Table1[[#This Row],[Customer_ID]], Table1[Transaction_Amount])</f>
        <v>4538.7005769230773</v>
      </c>
      <c r="I1872" t="s">
        <v>1349</v>
      </c>
      <c r="J1872" t="s">
        <v>46</v>
      </c>
      <c r="K1872" t="s">
        <v>10</v>
      </c>
      <c r="L1872">
        <v>0</v>
      </c>
      <c r="M1872" t="s">
        <v>56</v>
      </c>
      <c r="N1872" t="s">
        <v>37</v>
      </c>
      <c r="O1872" t="s">
        <v>392</v>
      </c>
      <c r="P1872" s="6" t="str">
        <f>IF(Table1[[#This Row],[Transaction_Amount]]&lt;=Table1[[#This Row],[avg_transaction_amount]], "usual transaction", "unusual transaction")</f>
        <v>unusual transaction</v>
      </c>
      <c r="Q1872" s="6" t="str">
        <f>IF(AND(Table1[[#This Row],[Country_of_Residence]]&lt;&gt;Table1[[#This Row],[Country_of_Transaction]], OR(Table1[[#This Row],[Authentication_Type]]="Biometric", Table1[[#This Row],[Authentication_Type]]="OTP")), "safe location transaction", "unsafe location transaction")</f>
        <v>safe location transaction</v>
      </c>
      <c r="R1872" s="6" t="str">
        <f>IF(AND(Table1[[#This Row],[Country_of_Residence]]&lt;&gt;Table1[[#This Row],[Country_of_Transaction]], OR(Table1[[#This Row],[Merchant_Category]]="Electronics", Table1[[#This Row],[Merchant_Category]]="Travel")), "unsafe merchant transaction", "safe merchant transaction")</f>
        <v>safe merchant transaction</v>
      </c>
    </row>
    <row r="1873" spans="1:18">
      <c r="A1873" t="s">
        <v>3779</v>
      </c>
      <c r="B1873" t="s">
        <v>285</v>
      </c>
      <c r="C1873">
        <v>1</v>
      </c>
      <c r="D1873" t="s">
        <v>15</v>
      </c>
      <c r="E1873" t="s">
        <v>3</v>
      </c>
      <c r="F1873" s="2">
        <v>45892</v>
      </c>
      <c r="G1873">
        <v>3739.7</v>
      </c>
      <c r="H1873" s="1">
        <f>AVERAGEIF(Table1[Customer_ID], Table1[[#This Row],[Customer_ID]], Table1[Transaction_Amount])</f>
        <v>4538.7005769230773</v>
      </c>
      <c r="I1873" t="s">
        <v>1367</v>
      </c>
      <c r="J1873" t="s">
        <v>50</v>
      </c>
      <c r="K1873" t="s">
        <v>10</v>
      </c>
      <c r="L1873">
        <v>5</v>
      </c>
      <c r="M1873" t="s">
        <v>55</v>
      </c>
      <c r="N1873" t="s">
        <v>47</v>
      </c>
      <c r="O1873" t="s">
        <v>392</v>
      </c>
      <c r="P1873" s="6" t="str">
        <f>IF(Table1[[#This Row],[Transaction_Amount]]&lt;=Table1[[#This Row],[avg_transaction_amount]], "usual transaction", "unusual transaction")</f>
        <v>usual transaction</v>
      </c>
      <c r="Q1873" s="6" t="str">
        <f>IF(AND(Table1[[#This Row],[Country_of_Residence]]&lt;&gt;Table1[[#This Row],[Country_of_Transaction]], OR(Table1[[#This Row],[Authentication_Type]]="Biometric", Table1[[#This Row],[Authentication_Type]]="OTP")), "safe location transaction", "unsafe location transaction")</f>
        <v>safe location transaction</v>
      </c>
      <c r="R1873" s="6" t="str">
        <f>IF(AND(Table1[[#This Row],[Country_of_Residence]]&lt;&gt;Table1[[#This Row],[Country_of_Transaction]], OR(Table1[[#This Row],[Merchant_Category]]="Electronics", Table1[[#This Row],[Merchant_Category]]="Travel")), "unsafe merchant transaction", "safe merchant transaction")</f>
        <v>unsafe merchant transaction</v>
      </c>
    </row>
    <row r="1874" spans="1:18">
      <c r="A1874" t="s">
        <v>3878</v>
      </c>
      <c r="B1874" t="s">
        <v>285</v>
      </c>
      <c r="C1874">
        <v>1</v>
      </c>
      <c r="D1874" t="s">
        <v>15</v>
      </c>
      <c r="E1874" t="s">
        <v>420</v>
      </c>
      <c r="F1874" s="2">
        <v>45979</v>
      </c>
      <c r="G1874">
        <v>5696.16</v>
      </c>
      <c r="H1874" s="1">
        <f>AVERAGEIF(Table1[Customer_ID], Table1[[#This Row],[Customer_ID]], Table1[Transaction_Amount])</f>
        <v>4538.7005769230773</v>
      </c>
      <c r="I1874" t="s">
        <v>1449</v>
      </c>
      <c r="J1874" t="s">
        <v>36</v>
      </c>
      <c r="K1874" t="s">
        <v>8</v>
      </c>
      <c r="L1874">
        <v>3</v>
      </c>
      <c r="M1874" t="s">
        <v>51</v>
      </c>
      <c r="N1874" t="s">
        <v>32</v>
      </c>
      <c r="O1874" t="s">
        <v>392</v>
      </c>
      <c r="P1874" s="6" t="str">
        <f>IF(Table1[[#This Row],[Transaction_Amount]]&lt;=Table1[[#This Row],[avg_transaction_amount]], "usual transaction", "unusual transaction")</f>
        <v>unusual transaction</v>
      </c>
      <c r="Q1874" s="6" t="str">
        <f>IF(AND(Table1[[#This Row],[Country_of_Residence]]&lt;&gt;Table1[[#This Row],[Country_of_Transaction]], OR(Table1[[#This Row],[Authentication_Type]]="Biometric", Table1[[#This Row],[Authentication_Type]]="OTP")), "safe location transaction", "unsafe location transaction")</f>
        <v>safe location transaction</v>
      </c>
      <c r="R1874" s="6" t="str">
        <f>IF(AND(Table1[[#This Row],[Country_of_Residence]]&lt;&gt;Table1[[#This Row],[Country_of_Transaction]], OR(Table1[[#This Row],[Merchant_Category]]="Electronics", Table1[[#This Row],[Merchant_Category]]="Travel")), "unsafe merchant transaction", "safe merchant transaction")</f>
        <v>safe merchant transaction</v>
      </c>
    </row>
    <row r="1875" spans="1:18">
      <c r="A1875" t="s">
        <v>3893</v>
      </c>
      <c r="B1875" t="s">
        <v>285</v>
      </c>
      <c r="C1875">
        <v>1</v>
      </c>
      <c r="D1875" t="s">
        <v>15</v>
      </c>
      <c r="E1875" t="s">
        <v>6</v>
      </c>
      <c r="F1875" s="2">
        <v>45682</v>
      </c>
      <c r="G1875">
        <v>5069.87</v>
      </c>
      <c r="H1875" s="1">
        <f>AVERAGEIF(Table1[Customer_ID], Table1[[#This Row],[Customer_ID]], Table1[Transaction_Amount])</f>
        <v>4538.7005769230773</v>
      </c>
      <c r="I1875" t="s">
        <v>1461</v>
      </c>
      <c r="J1875" t="s">
        <v>46</v>
      </c>
      <c r="K1875" t="s">
        <v>12</v>
      </c>
      <c r="L1875">
        <v>4</v>
      </c>
      <c r="M1875" t="s">
        <v>51</v>
      </c>
      <c r="N1875" t="s">
        <v>37</v>
      </c>
      <c r="O1875" t="s">
        <v>393</v>
      </c>
      <c r="P1875" s="6" t="str">
        <f>IF(Table1[[#This Row],[Transaction_Amount]]&lt;=Table1[[#This Row],[avg_transaction_amount]], "usual transaction", "unusual transaction")</f>
        <v>unusual transaction</v>
      </c>
      <c r="Q1875" s="6" t="str">
        <f>IF(AND(Table1[[#This Row],[Country_of_Residence]]&lt;&gt;Table1[[#This Row],[Country_of_Transaction]], OR(Table1[[#This Row],[Authentication_Type]]="Biometric", Table1[[#This Row],[Authentication_Type]]="OTP")), "safe location transaction", "unsafe location transaction")</f>
        <v>unsafe location transaction</v>
      </c>
      <c r="R1875" s="6" t="str">
        <f>IF(AND(Table1[[#This Row],[Country_of_Residence]]&lt;&gt;Table1[[#This Row],[Country_of_Transaction]], OR(Table1[[#This Row],[Merchant_Category]]="Electronics", Table1[[#This Row],[Merchant_Category]]="Travel")), "unsafe merchant transaction", "safe merchant transaction")</f>
        <v>safe merchant transaction</v>
      </c>
    </row>
    <row r="1876" spans="1:18">
      <c r="A1876" t="s">
        <v>3896</v>
      </c>
      <c r="B1876" t="s">
        <v>285</v>
      </c>
      <c r="C1876">
        <v>1</v>
      </c>
      <c r="D1876" t="s">
        <v>15</v>
      </c>
      <c r="E1876" t="s">
        <v>6</v>
      </c>
      <c r="F1876" s="2">
        <v>45695</v>
      </c>
      <c r="G1876">
        <v>8586.3700000000008</v>
      </c>
      <c r="H1876" s="1">
        <f>AVERAGEIF(Table1[Customer_ID], Table1[[#This Row],[Customer_ID]], Table1[Transaction_Amount])</f>
        <v>4538.7005769230773</v>
      </c>
      <c r="I1876" t="s">
        <v>568</v>
      </c>
      <c r="J1876" t="s">
        <v>50</v>
      </c>
      <c r="K1876" t="s">
        <v>10</v>
      </c>
      <c r="L1876">
        <v>4</v>
      </c>
      <c r="M1876" t="s">
        <v>56</v>
      </c>
      <c r="N1876" t="s">
        <v>56</v>
      </c>
      <c r="O1876" t="s">
        <v>393</v>
      </c>
      <c r="P1876" s="6" t="str">
        <f>IF(Table1[[#This Row],[Transaction_Amount]]&lt;=Table1[[#This Row],[avg_transaction_amount]], "usual transaction", "unusual transaction")</f>
        <v>unusual transaction</v>
      </c>
      <c r="Q1876" s="6" t="str">
        <f>IF(AND(Table1[[#This Row],[Country_of_Residence]]&lt;&gt;Table1[[#This Row],[Country_of_Transaction]], OR(Table1[[#This Row],[Authentication_Type]]="Biometric", Table1[[#This Row],[Authentication_Type]]="OTP")), "safe location transaction", "unsafe location transaction")</f>
        <v>unsafe location transaction</v>
      </c>
      <c r="R1876" s="6" t="str">
        <f>IF(AND(Table1[[#This Row],[Country_of_Residence]]&lt;&gt;Table1[[#This Row],[Country_of_Transaction]], OR(Table1[[#This Row],[Merchant_Category]]="Electronics", Table1[[#This Row],[Merchant_Category]]="Travel")), "unsafe merchant transaction", "safe merchant transaction")</f>
        <v>safe merchant transaction</v>
      </c>
    </row>
    <row r="1877" spans="1:18">
      <c r="A1877" t="s">
        <v>3929</v>
      </c>
      <c r="B1877" t="s">
        <v>285</v>
      </c>
      <c r="C1877">
        <v>1</v>
      </c>
      <c r="D1877" t="s">
        <v>9</v>
      </c>
      <c r="E1877" t="s">
        <v>3</v>
      </c>
      <c r="F1877" s="2">
        <v>45840</v>
      </c>
      <c r="G1877">
        <v>1264.8699999999999</v>
      </c>
      <c r="H1877" s="1">
        <f>AVERAGEIF(Table1[Customer_ID], Table1[[#This Row],[Customer_ID]], Table1[Transaction_Amount])</f>
        <v>4538.7005769230773</v>
      </c>
      <c r="I1877" t="s">
        <v>1493</v>
      </c>
      <c r="J1877" t="s">
        <v>46</v>
      </c>
      <c r="K1877" t="s">
        <v>8</v>
      </c>
      <c r="L1877">
        <v>1</v>
      </c>
      <c r="M1877" t="s">
        <v>33</v>
      </c>
      <c r="N1877" t="s">
        <v>37</v>
      </c>
      <c r="O1877" t="s">
        <v>392</v>
      </c>
      <c r="P1877" s="6" t="str">
        <f>IF(Table1[[#This Row],[Transaction_Amount]]&lt;=Table1[[#This Row],[avg_transaction_amount]], "usual transaction", "unusual transaction")</f>
        <v>usual transaction</v>
      </c>
      <c r="Q1877" s="6" t="str">
        <f>IF(AND(Table1[[#This Row],[Country_of_Residence]]&lt;&gt;Table1[[#This Row],[Country_of_Transaction]], OR(Table1[[#This Row],[Authentication_Type]]="Biometric", Table1[[#This Row],[Authentication_Type]]="OTP")), "safe location transaction", "unsafe location transaction")</f>
        <v>safe location transaction</v>
      </c>
      <c r="R1877" s="6" t="str">
        <f>IF(AND(Table1[[#This Row],[Country_of_Residence]]&lt;&gt;Table1[[#This Row],[Country_of_Transaction]], OR(Table1[[#This Row],[Merchant_Category]]="Electronics", Table1[[#This Row],[Merchant_Category]]="Travel")), "unsafe merchant transaction", "safe merchant transaction")</f>
        <v>safe merchant transaction</v>
      </c>
    </row>
    <row r="1878" spans="1:18">
      <c r="A1878" t="s">
        <v>3986</v>
      </c>
      <c r="B1878" t="s">
        <v>285</v>
      </c>
      <c r="C1878">
        <v>1</v>
      </c>
      <c r="D1878" t="s">
        <v>15</v>
      </c>
      <c r="E1878" t="s">
        <v>3</v>
      </c>
      <c r="F1878" s="2">
        <v>45752</v>
      </c>
      <c r="G1878">
        <v>8590.8700000000008</v>
      </c>
      <c r="H1878" s="1">
        <f>AVERAGEIF(Table1[Customer_ID], Table1[[#This Row],[Customer_ID]], Table1[Transaction_Amount])</f>
        <v>4538.7005769230773</v>
      </c>
      <c r="I1878" t="s">
        <v>1545</v>
      </c>
      <c r="J1878" t="s">
        <v>31</v>
      </c>
      <c r="K1878" t="s">
        <v>10</v>
      </c>
      <c r="L1878">
        <v>2</v>
      </c>
      <c r="M1878" t="s">
        <v>56</v>
      </c>
      <c r="N1878" t="s">
        <v>32</v>
      </c>
      <c r="O1878" t="s">
        <v>392</v>
      </c>
      <c r="P1878" s="6" t="str">
        <f>IF(Table1[[#This Row],[Transaction_Amount]]&lt;=Table1[[#This Row],[avg_transaction_amount]], "usual transaction", "unusual transaction")</f>
        <v>unusual transaction</v>
      </c>
      <c r="Q1878" s="6" t="str">
        <f>IF(AND(Table1[[#This Row],[Country_of_Residence]]&lt;&gt;Table1[[#This Row],[Country_of_Transaction]], OR(Table1[[#This Row],[Authentication_Type]]="Biometric", Table1[[#This Row],[Authentication_Type]]="OTP")), "safe location transaction", "unsafe location transaction")</f>
        <v>safe location transaction</v>
      </c>
      <c r="R1878" s="6" t="str">
        <f>IF(AND(Table1[[#This Row],[Country_of_Residence]]&lt;&gt;Table1[[#This Row],[Country_of_Transaction]], OR(Table1[[#This Row],[Merchant_Category]]="Electronics", Table1[[#This Row],[Merchant_Category]]="Travel")), "unsafe merchant transaction", "safe merchant transaction")</f>
        <v>safe merchant transaction</v>
      </c>
    </row>
    <row r="1879" spans="1:18">
      <c r="A1879" t="s">
        <v>4015</v>
      </c>
      <c r="B1879" t="s">
        <v>285</v>
      </c>
      <c r="C1879">
        <v>1</v>
      </c>
      <c r="D1879" t="s">
        <v>9</v>
      </c>
      <c r="E1879" t="s">
        <v>5</v>
      </c>
      <c r="F1879" s="2">
        <v>45803</v>
      </c>
      <c r="G1879">
        <v>477.86</v>
      </c>
      <c r="H1879" s="1">
        <f>AVERAGEIF(Table1[Customer_ID], Table1[[#This Row],[Customer_ID]], Table1[Transaction_Amount])</f>
        <v>4538.7005769230773</v>
      </c>
      <c r="I1879" t="s">
        <v>1571</v>
      </c>
      <c r="J1879" t="s">
        <v>36</v>
      </c>
      <c r="K1879" t="s">
        <v>12</v>
      </c>
      <c r="L1879">
        <v>5</v>
      </c>
      <c r="M1879" t="s">
        <v>37</v>
      </c>
      <c r="N1879" t="s">
        <v>32</v>
      </c>
      <c r="O1879" t="s">
        <v>393</v>
      </c>
      <c r="P1879" s="6" t="str">
        <f>IF(Table1[[#This Row],[Transaction_Amount]]&lt;=Table1[[#This Row],[avg_transaction_amount]], "usual transaction", "unusual transaction")</f>
        <v>usual transaction</v>
      </c>
      <c r="Q1879" s="6" t="str">
        <f>IF(AND(Table1[[#This Row],[Country_of_Residence]]&lt;&gt;Table1[[#This Row],[Country_of_Transaction]], OR(Table1[[#This Row],[Authentication_Type]]="Biometric", Table1[[#This Row],[Authentication_Type]]="OTP")), "safe location transaction", "unsafe location transaction")</f>
        <v>unsafe location transaction</v>
      </c>
      <c r="R1879" s="6" t="str">
        <f>IF(AND(Table1[[#This Row],[Country_of_Residence]]&lt;&gt;Table1[[#This Row],[Country_of_Transaction]], OR(Table1[[#This Row],[Merchant_Category]]="Electronics", Table1[[#This Row],[Merchant_Category]]="Travel")), "unsafe merchant transaction", "safe merchant transaction")</f>
        <v>safe merchant transaction</v>
      </c>
    </row>
    <row r="1880" spans="1:18">
      <c r="A1880" t="s">
        <v>4041</v>
      </c>
      <c r="B1880" t="s">
        <v>285</v>
      </c>
      <c r="C1880">
        <v>1</v>
      </c>
      <c r="D1880" t="s">
        <v>15</v>
      </c>
      <c r="E1880" t="s">
        <v>3</v>
      </c>
      <c r="F1880" s="2">
        <v>46012</v>
      </c>
      <c r="G1880">
        <v>1332.52</v>
      </c>
      <c r="H1880" s="1">
        <f>AVERAGEIF(Table1[Customer_ID], Table1[[#This Row],[Customer_ID]], Table1[Transaction_Amount])</f>
        <v>4538.7005769230773</v>
      </c>
      <c r="I1880" t="s">
        <v>1596</v>
      </c>
      <c r="J1880" t="s">
        <v>31</v>
      </c>
      <c r="K1880" t="s">
        <v>12</v>
      </c>
      <c r="L1880">
        <v>0</v>
      </c>
      <c r="M1880" t="s">
        <v>412</v>
      </c>
      <c r="N1880" t="s">
        <v>412</v>
      </c>
      <c r="O1880" t="s">
        <v>392</v>
      </c>
      <c r="P1880" s="6" t="str">
        <f>IF(Table1[[#This Row],[Transaction_Amount]]&lt;=Table1[[#This Row],[avg_transaction_amount]], "usual transaction", "unusual transaction")</f>
        <v>usual transaction</v>
      </c>
      <c r="Q1880" s="6" t="str">
        <f>IF(AND(Table1[[#This Row],[Country_of_Residence]]&lt;&gt;Table1[[#This Row],[Country_of_Transaction]], OR(Table1[[#This Row],[Authentication_Type]]="Biometric", Table1[[#This Row],[Authentication_Type]]="OTP")), "safe location transaction", "unsafe location transaction")</f>
        <v>unsafe location transaction</v>
      </c>
      <c r="R1880" s="6" t="str">
        <f>IF(AND(Table1[[#This Row],[Country_of_Residence]]&lt;&gt;Table1[[#This Row],[Country_of_Transaction]], OR(Table1[[#This Row],[Merchant_Category]]="Electronics", Table1[[#This Row],[Merchant_Category]]="Travel")), "unsafe merchant transaction", "safe merchant transaction")</f>
        <v>safe merchant transaction</v>
      </c>
    </row>
    <row r="1881" spans="1:18">
      <c r="A1881" t="s">
        <v>4117</v>
      </c>
      <c r="B1881" t="s">
        <v>285</v>
      </c>
      <c r="C1881">
        <v>1</v>
      </c>
      <c r="D1881" t="s">
        <v>9</v>
      </c>
      <c r="E1881" t="s">
        <v>3</v>
      </c>
      <c r="F1881" s="2">
        <v>45674</v>
      </c>
      <c r="G1881">
        <v>3276.77</v>
      </c>
      <c r="H1881" s="1">
        <f>AVERAGEIF(Table1[Customer_ID], Table1[[#This Row],[Customer_ID]], Table1[Transaction_Amount])</f>
        <v>4538.7005769230773</v>
      </c>
      <c r="I1881" t="s">
        <v>531</v>
      </c>
      <c r="J1881" t="s">
        <v>50</v>
      </c>
      <c r="K1881" t="s">
        <v>14</v>
      </c>
      <c r="L1881">
        <v>5</v>
      </c>
      <c r="M1881" t="s">
        <v>51</v>
      </c>
      <c r="N1881" t="s">
        <v>37</v>
      </c>
      <c r="O1881" t="s">
        <v>393</v>
      </c>
      <c r="P1881" s="6" t="str">
        <f>IF(Table1[[#This Row],[Transaction_Amount]]&lt;=Table1[[#This Row],[avg_transaction_amount]], "usual transaction", "unusual transaction")</f>
        <v>usual transaction</v>
      </c>
      <c r="Q1881" s="6" t="str">
        <f>IF(AND(Table1[[#This Row],[Country_of_Residence]]&lt;&gt;Table1[[#This Row],[Country_of_Transaction]], OR(Table1[[#This Row],[Authentication_Type]]="Biometric", Table1[[#This Row],[Authentication_Type]]="OTP")), "safe location transaction", "unsafe location transaction")</f>
        <v>unsafe location transaction</v>
      </c>
      <c r="R1881" s="6" t="str">
        <f>IF(AND(Table1[[#This Row],[Country_of_Residence]]&lt;&gt;Table1[[#This Row],[Country_of_Transaction]], OR(Table1[[#This Row],[Merchant_Category]]="Electronics", Table1[[#This Row],[Merchant_Category]]="Travel")), "unsafe merchant transaction", "safe merchant transaction")</f>
        <v>unsafe merchant transaction</v>
      </c>
    </row>
    <row r="1882" spans="1:18">
      <c r="A1882" t="s">
        <v>4145</v>
      </c>
      <c r="B1882" t="s">
        <v>285</v>
      </c>
      <c r="C1882">
        <v>1</v>
      </c>
      <c r="D1882" t="s">
        <v>9</v>
      </c>
      <c r="E1882" t="s">
        <v>5</v>
      </c>
      <c r="F1882" s="2">
        <v>45660</v>
      </c>
      <c r="G1882">
        <v>1671.4</v>
      </c>
      <c r="H1882" s="1">
        <f>AVERAGEIF(Table1[Customer_ID], Table1[[#This Row],[Customer_ID]], Table1[Transaction_Amount])</f>
        <v>4538.7005769230773</v>
      </c>
      <c r="I1882" t="s">
        <v>1673</v>
      </c>
      <c r="J1882" t="s">
        <v>36</v>
      </c>
      <c r="K1882" t="s">
        <v>12</v>
      </c>
      <c r="L1882">
        <v>1</v>
      </c>
      <c r="M1882" t="s">
        <v>37</v>
      </c>
      <c r="N1882" t="s">
        <v>47</v>
      </c>
      <c r="O1882" t="s">
        <v>392</v>
      </c>
      <c r="P1882" s="6" t="str">
        <f>IF(Table1[[#This Row],[Transaction_Amount]]&lt;=Table1[[#This Row],[avg_transaction_amount]], "usual transaction", "unusual transaction")</f>
        <v>usual transaction</v>
      </c>
      <c r="Q1882" s="6" t="str">
        <f>IF(AND(Table1[[#This Row],[Country_of_Residence]]&lt;&gt;Table1[[#This Row],[Country_of_Transaction]], OR(Table1[[#This Row],[Authentication_Type]]="Biometric", Table1[[#This Row],[Authentication_Type]]="OTP")), "safe location transaction", "unsafe location transaction")</f>
        <v>unsafe location transaction</v>
      </c>
      <c r="R1882" s="6" t="str">
        <f>IF(AND(Table1[[#This Row],[Country_of_Residence]]&lt;&gt;Table1[[#This Row],[Country_of_Transaction]], OR(Table1[[#This Row],[Merchant_Category]]="Electronics", Table1[[#This Row],[Merchant_Category]]="Travel")), "unsafe merchant transaction", "safe merchant transaction")</f>
        <v>safe merchant transaction</v>
      </c>
    </row>
    <row r="1883" spans="1:18">
      <c r="A1883" t="s">
        <v>4305</v>
      </c>
      <c r="B1883" t="s">
        <v>285</v>
      </c>
      <c r="C1883">
        <v>1</v>
      </c>
      <c r="D1883" t="s">
        <v>15</v>
      </c>
      <c r="E1883" t="s">
        <v>5</v>
      </c>
      <c r="F1883" s="2">
        <v>45747</v>
      </c>
      <c r="G1883">
        <v>5372.73</v>
      </c>
      <c r="H1883" s="1">
        <f>AVERAGEIF(Table1[Customer_ID], Table1[[#This Row],[Customer_ID]], Table1[Transaction_Amount])</f>
        <v>4538.7005769230773</v>
      </c>
      <c r="I1883" t="s">
        <v>1814</v>
      </c>
      <c r="J1883" t="s">
        <v>36</v>
      </c>
      <c r="K1883" t="s">
        <v>12</v>
      </c>
      <c r="L1883">
        <v>0</v>
      </c>
      <c r="M1883" t="s">
        <v>37</v>
      </c>
      <c r="N1883" t="s">
        <v>33</v>
      </c>
      <c r="O1883" t="s">
        <v>393</v>
      </c>
      <c r="P1883" s="6" t="str">
        <f>IF(Table1[[#This Row],[Transaction_Amount]]&lt;=Table1[[#This Row],[avg_transaction_amount]], "usual transaction", "unusual transaction")</f>
        <v>unusual transaction</v>
      </c>
      <c r="Q1883" s="6" t="str">
        <f>IF(AND(Table1[[#This Row],[Country_of_Residence]]&lt;&gt;Table1[[#This Row],[Country_of_Transaction]], OR(Table1[[#This Row],[Authentication_Type]]="Biometric", Table1[[#This Row],[Authentication_Type]]="OTP")), "safe location transaction", "unsafe location transaction")</f>
        <v>unsafe location transaction</v>
      </c>
      <c r="R1883" s="6" t="str">
        <f>IF(AND(Table1[[#This Row],[Country_of_Residence]]&lt;&gt;Table1[[#This Row],[Country_of_Transaction]], OR(Table1[[#This Row],[Merchant_Category]]="Electronics", Table1[[#This Row],[Merchant_Category]]="Travel")), "unsafe merchant transaction", "safe merchant transaction")</f>
        <v>safe merchant transaction</v>
      </c>
    </row>
    <row r="1884" spans="1:18">
      <c r="A1884" t="s">
        <v>4332</v>
      </c>
      <c r="B1884" t="s">
        <v>285</v>
      </c>
      <c r="C1884">
        <v>1</v>
      </c>
      <c r="D1884" t="s">
        <v>9</v>
      </c>
      <c r="E1884" t="s">
        <v>5</v>
      </c>
      <c r="F1884" s="2">
        <v>45920</v>
      </c>
      <c r="G1884">
        <v>4959.51</v>
      </c>
      <c r="H1884" s="1">
        <f>AVERAGEIF(Table1[Customer_ID], Table1[[#This Row],[Customer_ID]], Table1[Transaction_Amount])</f>
        <v>4538.7005769230773</v>
      </c>
      <c r="I1884" t="s">
        <v>1838</v>
      </c>
      <c r="J1884" t="s">
        <v>46</v>
      </c>
      <c r="K1884" t="s">
        <v>8</v>
      </c>
      <c r="L1884">
        <v>2</v>
      </c>
      <c r="M1884" t="s">
        <v>47</v>
      </c>
      <c r="N1884" t="s">
        <v>47</v>
      </c>
      <c r="O1884" t="s">
        <v>392</v>
      </c>
      <c r="P1884" s="6" t="str">
        <f>IF(Table1[[#This Row],[Transaction_Amount]]&lt;=Table1[[#This Row],[avg_transaction_amount]], "usual transaction", "unusual transaction")</f>
        <v>unusual transaction</v>
      </c>
      <c r="Q1884" s="6" t="str">
        <f>IF(AND(Table1[[#This Row],[Country_of_Residence]]&lt;&gt;Table1[[#This Row],[Country_of_Transaction]], OR(Table1[[#This Row],[Authentication_Type]]="Biometric", Table1[[#This Row],[Authentication_Type]]="OTP")), "safe location transaction", "unsafe location transaction")</f>
        <v>unsafe location transaction</v>
      </c>
      <c r="R1884" s="6" t="str">
        <f>IF(AND(Table1[[#This Row],[Country_of_Residence]]&lt;&gt;Table1[[#This Row],[Country_of_Transaction]], OR(Table1[[#This Row],[Merchant_Category]]="Electronics", Table1[[#This Row],[Merchant_Category]]="Travel")), "unsafe merchant transaction", "safe merchant transaction")</f>
        <v>safe merchant transaction</v>
      </c>
    </row>
    <row r="1885" spans="1:18">
      <c r="A1885" t="s">
        <v>4393</v>
      </c>
      <c r="B1885" t="s">
        <v>285</v>
      </c>
      <c r="C1885">
        <v>1</v>
      </c>
      <c r="D1885" t="s">
        <v>9</v>
      </c>
      <c r="E1885" t="s">
        <v>3</v>
      </c>
      <c r="F1885" s="2">
        <v>45875</v>
      </c>
      <c r="G1885">
        <v>706.29</v>
      </c>
      <c r="H1885" s="1">
        <f>AVERAGEIF(Table1[Customer_ID], Table1[[#This Row],[Customer_ID]], Table1[Transaction_Amount])</f>
        <v>4538.7005769230773</v>
      </c>
      <c r="I1885" t="s">
        <v>1893</v>
      </c>
      <c r="J1885" t="s">
        <v>31</v>
      </c>
      <c r="K1885" t="s">
        <v>14</v>
      </c>
      <c r="L1885">
        <v>1</v>
      </c>
      <c r="M1885" t="s">
        <v>412</v>
      </c>
      <c r="N1885" t="s">
        <v>42</v>
      </c>
      <c r="O1885" t="s">
        <v>392</v>
      </c>
      <c r="P1885" s="6" t="str">
        <f>IF(Table1[[#This Row],[Transaction_Amount]]&lt;=Table1[[#This Row],[avg_transaction_amount]], "usual transaction", "unusual transaction")</f>
        <v>usual transaction</v>
      </c>
      <c r="Q1885" s="6" t="str">
        <f>IF(AND(Table1[[#This Row],[Country_of_Residence]]&lt;&gt;Table1[[#This Row],[Country_of_Transaction]], OR(Table1[[#This Row],[Authentication_Type]]="Biometric", Table1[[#This Row],[Authentication_Type]]="OTP")), "safe location transaction", "unsafe location transaction")</f>
        <v>unsafe location transaction</v>
      </c>
      <c r="R1885" s="6" t="str">
        <f>IF(AND(Table1[[#This Row],[Country_of_Residence]]&lt;&gt;Table1[[#This Row],[Country_of_Transaction]], OR(Table1[[#This Row],[Merchant_Category]]="Electronics", Table1[[#This Row],[Merchant_Category]]="Travel")), "unsafe merchant transaction", "safe merchant transaction")</f>
        <v>safe merchant transaction</v>
      </c>
    </row>
    <row r="1886" spans="1:18">
      <c r="A1886" t="s">
        <v>4500</v>
      </c>
      <c r="B1886" t="s">
        <v>285</v>
      </c>
      <c r="C1886">
        <v>1</v>
      </c>
      <c r="D1886" t="s">
        <v>9</v>
      </c>
      <c r="E1886" t="s">
        <v>5</v>
      </c>
      <c r="F1886" s="2">
        <v>45979</v>
      </c>
      <c r="G1886">
        <v>3748.88</v>
      </c>
      <c r="H1886" s="1">
        <f>AVERAGEIF(Table1[Customer_ID], Table1[[#This Row],[Customer_ID]], Table1[Transaction_Amount])</f>
        <v>4538.7005769230773</v>
      </c>
      <c r="I1886" t="s">
        <v>1987</v>
      </c>
      <c r="J1886" t="s">
        <v>36</v>
      </c>
      <c r="K1886" t="s">
        <v>10</v>
      </c>
      <c r="L1886">
        <v>1</v>
      </c>
      <c r="M1886" t="s">
        <v>56</v>
      </c>
      <c r="N1886" t="s">
        <v>51</v>
      </c>
      <c r="O1886" t="s">
        <v>392</v>
      </c>
      <c r="P1886" s="6" t="str">
        <f>IF(Table1[[#This Row],[Transaction_Amount]]&lt;=Table1[[#This Row],[avg_transaction_amount]], "usual transaction", "unusual transaction")</f>
        <v>usual transaction</v>
      </c>
      <c r="Q1886" s="6" t="str">
        <f>IF(AND(Table1[[#This Row],[Country_of_Residence]]&lt;&gt;Table1[[#This Row],[Country_of_Transaction]], OR(Table1[[#This Row],[Authentication_Type]]="Biometric", Table1[[#This Row],[Authentication_Type]]="OTP")), "safe location transaction", "unsafe location transaction")</f>
        <v>safe location transaction</v>
      </c>
      <c r="R1886" s="6" t="str">
        <f>IF(AND(Table1[[#This Row],[Country_of_Residence]]&lt;&gt;Table1[[#This Row],[Country_of_Transaction]], OR(Table1[[#This Row],[Merchant_Category]]="Electronics", Table1[[#This Row],[Merchant_Category]]="Travel")), "unsafe merchant transaction", "safe merchant transaction")</f>
        <v>safe merchant transaction</v>
      </c>
    </row>
    <row r="1887" spans="1:18">
      <c r="A1887" t="s">
        <v>4582</v>
      </c>
      <c r="B1887" t="s">
        <v>285</v>
      </c>
      <c r="C1887">
        <v>1</v>
      </c>
      <c r="D1887" t="s">
        <v>15</v>
      </c>
      <c r="E1887" t="s">
        <v>5</v>
      </c>
      <c r="F1887" s="2">
        <v>45708</v>
      </c>
      <c r="G1887">
        <v>6660.82</v>
      </c>
      <c r="H1887" s="1">
        <f>AVERAGEIF(Table1[Customer_ID], Table1[[#This Row],[Customer_ID]], Table1[Transaction_Amount])</f>
        <v>4538.7005769230773</v>
      </c>
      <c r="I1887" t="s">
        <v>2052</v>
      </c>
      <c r="J1887" t="s">
        <v>50</v>
      </c>
      <c r="K1887" t="s">
        <v>8</v>
      </c>
      <c r="L1887">
        <v>3</v>
      </c>
      <c r="M1887" t="s">
        <v>412</v>
      </c>
      <c r="N1887" t="s">
        <v>37</v>
      </c>
      <c r="O1887" t="s">
        <v>392</v>
      </c>
      <c r="P1887" s="6" t="str">
        <f>IF(Table1[[#This Row],[Transaction_Amount]]&lt;=Table1[[#This Row],[avg_transaction_amount]], "usual transaction", "unusual transaction")</f>
        <v>unusual transaction</v>
      </c>
      <c r="Q1887" s="6" t="str">
        <f>IF(AND(Table1[[#This Row],[Country_of_Residence]]&lt;&gt;Table1[[#This Row],[Country_of_Transaction]], OR(Table1[[#This Row],[Authentication_Type]]="Biometric", Table1[[#This Row],[Authentication_Type]]="OTP")), "safe location transaction", "unsafe location transaction")</f>
        <v>safe location transaction</v>
      </c>
      <c r="R1887" s="6" t="str">
        <f>IF(AND(Table1[[#This Row],[Country_of_Residence]]&lt;&gt;Table1[[#This Row],[Country_of_Transaction]], OR(Table1[[#This Row],[Merchant_Category]]="Electronics", Table1[[#This Row],[Merchant_Category]]="Travel")), "unsafe merchant transaction", "safe merchant transaction")</f>
        <v>unsafe merchant transaction</v>
      </c>
    </row>
    <row r="1888" spans="1:18">
      <c r="A1888" t="s">
        <v>4733</v>
      </c>
      <c r="B1888" t="s">
        <v>285</v>
      </c>
      <c r="C1888">
        <v>1</v>
      </c>
      <c r="D1888" t="s">
        <v>15</v>
      </c>
      <c r="E1888" t="s">
        <v>420</v>
      </c>
      <c r="F1888" s="2">
        <v>45970</v>
      </c>
      <c r="G1888">
        <v>9015.8700000000008</v>
      </c>
      <c r="H1888" s="1">
        <f>AVERAGEIF(Table1[Customer_ID], Table1[[#This Row],[Customer_ID]], Table1[Transaction_Amount])</f>
        <v>4538.7005769230773</v>
      </c>
      <c r="I1888" t="s">
        <v>569</v>
      </c>
      <c r="J1888" t="s">
        <v>50</v>
      </c>
      <c r="K1888" t="s">
        <v>14</v>
      </c>
      <c r="L1888">
        <v>1</v>
      </c>
      <c r="M1888" t="s">
        <v>56</v>
      </c>
      <c r="N1888" t="s">
        <v>51</v>
      </c>
      <c r="O1888" t="s">
        <v>392</v>
      </c>
      <c r="P1888" s="6" t="str">
        <f>IF(Table1[[#This Row],[Transaction_Amount]]&lt;=Table1[[#This Row],[avg_transaction_amount]], "usual transaction", "unusual transaction")</f>
        <v>unusual transaction</v>
      </c>
      <c r="Q1888" s="6" t="str">
        <f>IF(AND(Table1[[#This Row],[Country_of_Residence]]&lt;&gt;Table1[[#This Row],[Country_of_Transaction]], OR(Table1[[#This Row],[Authentication_Type]]="Biometric", Table1[[#This Row],[Authentication_Type]]="OTP")), "safe location transaction", "unsafe location transaction")</f>
        <v>unsafe location transaction</v>
      </c>
      <c r="R1888" s="6" t="str">
        <f>IF(AND(Table1[[#This Row],[Country_of_Residence]]&lt;&gt;Table1[[#This Row],[Country_of_Transaction]], OR(Table1[[#This Row],[Merchant_Category]]="Electronics", Table1[[#This Row],[Merchant_Category]]="Travel")), "unsafe merchant transaction", "safe merchant transaction")</f>
        <v>unsafe merchant transaction</v>
      </c>
    </row>
    <row r="1889" spans="1:18">
      <c r="A1889" t="s">
        <v>4745</v>
      </c>
      <c r="B1889" t="s">
        <v>285</v>
      </c>
      <c r="C1889">
        <v>1</v>
      </c>
      <c r="D1889" t="s">
        <v>9</v>
      </c>
      <c r="E1889" t="s">
        <v>6</v>
      </c>
      <c r="F1889" s="2">
        <v>45665</v>
      </c>
      <c r="G1889">
        <v>9758.2800000000007</v>
      </c>
      <c r="H1889" s="1">
        <f>AVERAGEIF(Table1[Customer_ID], Table1[[#This Row],[Customer_ID]], Table1[Transaction_Amount])</f>
        <v>4538.7005769230773</v>
      </c>
      <c r="I1889" t="s">
        <v>2181</v>
      </c>
      <c r="J1889" t="s">
        <v>36</v>
      </c>
      <c r="K1889" t="s">
        <v>12</v>
      </c>
      <c r="L1889">
        <v>0</v>
      </c>
      <c r="M1889" t="s">
        <v>56</v>
      </c>
      <c r="N1889" t="s">
        <v>55</v>
      </c>
      <c r="O1889" t="s">
        <v>392</v>
      </c>
      <c r="P1889" s="6" t="str">
        <f>IF(Table1[[#This Row],[Transaction_Amount]]&lt;=Table1[[#This Row],[avg_transaction_amount]], "usual transaction", "unusual transaction")</f>
        <v>unusual transaction</v>
      </c>
      <c r="Q1889" s="6" t="str">
        <f>IF(AND(Table1[[#This Row],[Country_of_Residence]]&lt;&gt;Table1[[#This Row],[Country_of_Transaction]], OR(Table1[[#This Row],[Authentication_Type]]="Biometric", Table1[[#This Row],[Authentication_Type]]="OTP")), "safe location transaction", "unsafe location transaction")</f>
        <v>unsafe location transaction</v>
      </c>
      <c r="R1889" s="6" t="str">
        <f>IF(AND(Table1[[#This Row],[Country_of_Residence]]&lt;&gt;Table1[[#This Row],[Country_of_Transaction]], OR(Table1[[#This Row],[Merchant_Category]]="Electronics", Table1[[#This Row],[Merchant_Category]]="Travel")), "unsafe merchant transaction", "safe merchant transaction")</f>
        <v>safe merchant transaction</v>
      </c>
    </row>
    <row r="1890" spans="1:18">
      <c r="A1890" t="s">
        <v>4826</v>
      </c>
      <c r="B1890" t="s">
        <v>285</v>
      </c>
      <c r="C1890">
        <v>1</v>
      </c>
      <c r="D1890" t="s">
        <v>9</v>
      </c>
      <c r="E1890" t="s">
        <v>3</v>
      </c>
      <c r="F1890" s="2">
        <v>45801</v>
      </c>
      <c r="G1890">
        <v>6446.22</v>
      </c>
      <c r="H1890" s="1">
        <f>AVERAGEIF(Table1[Customer_ID], Table1[[#This Row],[Customer_ID]], Table1[Transaction_Amount])</f>
        <v>4538.7005769230773</v>
      </c>
      <c r="I1890" t="s">
        <v>2244</v>
      </c>
      <c r="J1890" t="s">
        <v>41</v>
      </c>
      <c r="K1890" t="s">
        <v>8</v>
      </c>
      <c r="L1890">
        <v>3</v>
      </c>
      <c r="M1890" t="s">
        <v>56</v>
      </c>
      <c r="N1890" t="s">
        <v>33</v>
      </c>
      <c r="O1890" t="s">
        <v>392</v>
      </c>
      <c r="P1890" s="6" t="str">
        <f>IF(Table1[[#This Row],[Transaction_Amount]]&lt;=Table1[[#This Row],[avg_transaction_amount]], "usual transaction", "unusual transaction")</f>
        <v>unusual transaction</v>
      </c>
      <c r="Q1890" s="6" t="str">
        <f>IF(AND(Table1[[#This Row],[Country_of_Residence]]&lt;&gt;Table1[[#This Row],[Country_of_Transaction]], OR(Table1[[#This Row],[Authentication_Type]]="Biometric", Table1[[#This Row],[Authentication_Type]]="OTP")), "safe location transaction", "unsafe location transaction")</f>
        <v>safe location transaction</v>
      </c>
      <c r="R1890" s="6" t="str">
        <f>IF(AND(Table1[[#This Row],[Country_of_Residence]]&lt;&gt;Table1[[#This Row],[Country_of_Transaction]], OR(Table1[[#This Row],[Merchant_Category]]="Electronics", Table1[[#This Row],[Merchant_Category]]="Travel")), "unsafe merchant transaction", "safe merchant transaction")</f>
        <v>safe merchant transaction</v>
      </c>
    </row>
    <row r="1891" spans="1:18">
      <c r="A1891" t="s">
        <v>4897</v>
      </c>
      <c r="B1891" t="s">
        <v>285</v>
      </c>
      <c r="C1891">
        <v>1</v>
      </c>
      <c r="D1891" t="s">
        <v>9</v>
      </c>
      <c r="E1891" t="s">
        <v>420</v>
      </c>
      <c r="F1891" s="2">
        <v>45699</v>
      </c>
      <c r="G1891">
        <v>3044.04</v>
      </c>
      <c r="H1891" s="1">
        <f>AVERAGEIF(Table1[Customer_ID], Table1[[#This Row],[Customer_ID]], Table1[Transaction_Amount])</f>
        <v>4538.7005769230773</v>
      </c>
      <c r="I1891" t="s">
        <v>2299</v>
      </c>
      <c r="J1891" t="s">
        <v>46</v>
      </c>
      <c r="K1891" t="s">
        <v>12</v>
      </c>
      <c r="L1891">
        <v>0</v>
      </c>
      <c r="M1891" t="s">
        <v>32</v>
      </c>
      <c r="N1891" t="s">
        <v>37</v>
      </c>
      <c r="O1891" t="s">
        <v>392</v>
      </c>
      <c r="P1891" s="6" t="str">
        <f>IF(Table1[[#This Row],[Transaction_Amount]]&lt;=Table1[[#This Row],[avg_transaction_amount]], "usual transaction", "unusual transaction")</f>
        <v>usual transaction</v>
      </c>
      <c r="Q1891" s="6" t="str">
        <f>IF(AND(Table1[[#This Row],[Country_of_Residence]]&lt;&gt;Table1[[#This Row],[Country_of_Transaction]], OR(Table1[[#This Row],[Authentication_Type]]="Biometric", Table1[[#This Row],[Authentication_Type]]="OTP")), "safe location transaction", "unsafe location transaction")</f>
        <v>unsafe location transaction</v>
      </c>
      <c r="R1891" s="6" t="str">
        <f>IF(AND(Table1[[#This Row],[Country_of_Residence]]&lt;&gt;Table1[[#This Row],[Country_of_Transaction]], OR(Table1[[#This Row],[Merchant_Category]]="Electronics", Table1[[#This Row],[Merchant_Category]]="Travel")), "unsafe merchant transaction", "safe merchant transaction")</f>
        <v>safe merchant transaction</v>
      </c>
    </row>
    <row r="1892" spans="1:18">
      <c r="A1892" t="s">
        <v>4899</v>
      </c>
      <c r="B1892" t="s">
        <v>285</v>
      </c>
      <c r="C1892">
        <v>1</v>
      </c>
      <c r="D1892" t="s">
        <v>9</v>
      </c>
      <c r="E1892" t="s">
        <v>420</v>
      </c>
      <c r="F1892" s="2">
        <v>45905</v>
      </c>
      <c r="G1892">
        <v>4842.75</v>
      </c>
      <c r="H1892" s="1">
        <f>AVERAGEIF(Table1[Customer_ID], Table1[[#This Row],[Customer_ID]], Table1[Transaction_Amount])</f>
        <v>4538.7005769230773</v>
      </c>
      <c r="I1892" t="s">
        <v>990</v>
      </c>
      <c r="J1892" t="s">
        <v>36</v>
      </c>
      <c r="K1892" t="s">
        <v>8</v>
      </c>
      <c r="L1892">
        <v>3</v>
      </c>
      <c r="M1892" t="s">
        <v>32</v>
      </c>
      <c r="N1892" t="s">
        <v>33</v>
      </c>
      <c r="O1892" t="s">
        <v>392</v>
      </c>
      <c r="P1892" s="6" t="str">
        <f>IF(Table1[[#This Row],[Transaction_Amount]]&lt;=Table1[[#This Row],[avg_transaction_amount]], "usual transaction", "unusual transaction")</f>
        <v>unusual transaction</v>
      </c>
      <c r="Q1892" s="6" t="str">
        <f>IF(AND(Table1[[#This Row],[Country_of_Residence]]&lt;&gt;Table1[[#This Row],[Country_of_Transaction]], OR(Table1[[#This Row],[Authentication_Type]]="Biometric", Table1[[#This Row],[Authentication_Type]]="OTP")), "safe location transaction", "unsafe location transaction")</f>
        <v>safe location transaction</v>
      </c>
      <c r="R1892" s="6" t="str">
        <f>IF(AND(Table1[[#This Row],[Country_of_Residence]]&lt;&gt;Table1[[#This Row],[Country_of_Transaction]], OR(Table1[[#This Row],[Merchant_Category]]="Electronics", Table1[[#This Row],[Merchant_Category]]="Travel")), "unsafe merchant transaction", "safe merchant transaction")</f>
        <v>safe merchant transaction</v>
      </c>
    </row>
    <row r="1893" spans="1:18">
      <c r="A1893" t="s">
        <v>4958</v>
      </c>
      <c r="B1893" t="s">
        <v>285</v>
      </c>
      <c r="C1893">
        <v>1</v>
      </c>
      <c r="D1893" t="s">
        <v>15</v>
      </c>
      <c r="E1893" t="s">
        <v>420</v>
      </c>
      <c r="F1893" s="2">
        <v>45777</v>
      </c>
      <c r="G1893">
        <v>1031.1500000000001</v>
      </c>
      <c r="H1893" s="1">
        <f>AVERAGEIF(Table1[Customer_ID], Table1[[#This Row],[Customer_ID]], Table1[Transaction_Amount])</f>
        <v>4538.7005769230773</v>
      </c>
      <c r="I1893" t="s">
        <v>1818</v>
      </c>
      <c r="J1893" t="s">
        <v>46</v>
      </c>
      <c r="K1893" t="s">
        <v>12</v>
      </c>
      <c r="L1893">
        <v>0</v>
      </c>
      <c r="M1893" t="s">
        <v>42</v>
      </c>
      <c r="N1893" t="s">
        <v>55</v>
      </c>
      <c r="O1893" t="s">
        <v>393</v>
      </c>
      <c r="P1893" s="6" t="str">
        <f>IF(Table1[[#This Row],[Transaction_Amount]]&lt;=Table1[[#This Row],[avg_transaction_amount]], "usual transaction", "unusual transaction")</f>
        <v>usual transaction</v>
      </c>
      <c r="Q1893" s="6" t="str">
        <f>IF(AND(Table1[[#This Row],[Country_of_Residence]]&lt;&gt;Table1[[#This Row],[Country_of_Transaction]], OR(Table1[[#This Row],[Authentication_Type]]="Biometric", Table1[[#This Row],[Authentication_Type]]="OTP")), "safe location transaction", "unsafe location transaction")</f>
        <v>unsafe location transaction</v>
      </c>
      <c r="R1893" s="6" t="str">
        <f>IF(AND(Table1[[#This Row],[Country_of_Residence]]&lt;&gt;Table1[[#This Row],[Country_of_Transaction]], OR(Table1[[#This Row],[Merchant_Category]]="Electronics", Table1[[#This Row],[Merchant_Category]]="Travel")), "unsafe merchant transaction", "safe merchant transaction")</f>
        <v>safe merchant transaction</v>
      </c>
    </row>
    <row r="1894" spans="1:18">
      <c r="A1894" t="s">
        <v>5020</v>
      </c>
      <c r="B1894" t="s">
        <v>285</v>
      </c>
      <c r="C1894">
        <v>1</v>
      </c>
      <c r="D1894" t="s">
        <v>15</v>
      </c>
      <c r="E1894" t="s">
        <v>420</v>
      </c>
      <c r="F1894" s="2">
        <v>45894</v>
      </c>
      <c r="G1894">
        <v>1933.28</v>
      </c>
      <c r="H1894" s="1">
        <f>AVERAGEIF(Table1[Customer_ID], Table1[[#This Row],[Customer_ID]], Table1[Transaction_Amount])</f>
        <v>4538.7005769230773</v>
      </c>
      <c r="I1894" t="s">
        <v>2396</v>
      </c>
      <c r="J1894" t="s">
        <v>31</v>
      </c>
      <c r="K1894" t="s">
        <v>12</v>
      </c>
      <c r="L1894">
        <v>1</v>
      </c>
      <c r="M1894" t="s">
        <v>55</v>
      </c>
      <c r="N1894" t="s">
        <v>32</v>
      </c>
      <c r="O1894" t="s">
        <v>392</v>
      </c>
      <c r="P1894" s="6" t="str">
        <f>IF(Table1[[#This Row],[Transaction_Amount]]&lt;=Table1[[#This Row],[avg_transaction_amount]], "usual transaction", "unusual transaction")</f>
        <v>usual transaction</v>
      </c>
      <c r="Q1894" s="6" t="str">
        <f>IF(AND(Table1[[#This Row],[Country_of_Residence]]&lt;&gt;Table1[[#This Row],[Country_of_Transaction]], OR(Table1[[#This Row],[Authentication_Type]]="Biometric", Table1[[#This Row],[Authentication_Type]]="OTP")), "safe location transaction", "unsafe location transaction")</f>
        <v>unsafe location transaction</v>
      </c>
      <c r="R1894" s="6" t="str">
        <f>IF(AND(Table1[[#This Row],[Country_of_Residence]]&lt;&gt;Table1[[#This Row],[Country_of_Transaction]], OR(Table1[[#This Row],[Merchant_Category]]="Electronics", Table1[[#This Row],[Merchant_Category]]="Travel")), "unsafe merchant transaction", "safe merchant transaction")</f>
        <v>safe merchant transaction</v>
      </c>
    </row>
    <row r="1895" spans="1:18">
      <c r="A1895" t="s">
        <v>5023</v>
      </c>
      <c r="B1895" t="s">
        <v>285</v>
      </c>
      <c r="C1895">
        <v>1</v>
      </c>
      <c r="D1895" t="s">
        <v>15</v>
      </c>
      <c r="E1895" t="s">
        <v>3</v>
      </c>
      <c r="F1895" s="2">
        <v>45816</v>
      </c>
      <c r="G1895">
        <v>1174.01</v>
      </c>
      <c r="H1895" s="1">
        <f>AVERAGEIF(Table1[Customer_ID], Table1[[#This Row],[Customer_ID]], Table1[Transaction_Amount])</f>
        <v>4538.7005769230773</v>
      </c>
      <c r="I1895" t="s">
        <v>2398</v>
      </c>
      <c r="J1895" t="s">
        <v>31</v>
      </c>
      <c r="K1895" t="s">
        <v>8</v>
      </c>
      <c r="L1895">
        <v>2</v>
      </c>
      <c r="M1895" t="s">
        <v>412</v>
      </c>
      <c r="N1895" t="s">
        <v>33</v>
      </c>
      <c r="O1895" t="s">
        <v>392</v>
      </c>
      <c r="P1895" s="6" t="str">
        <f>IF(Table1[[#This Row],[Transaction_Amount]]&lt;=Table1[[#This Row],[avg_transaction_amount]], "usual transaction", "unusual transaction")</f>
        <v>usual transaction</v>
      </c>
      <c r="Q1895" s="6" t="str">
        <f>IF(AND(Table1[[#This Row],[Country_of_Residence]]&lt;&gt;Table1[[#This Row],[Country_of_Transaction]], OR(Table1[[#This Row],[Authentication_Type]]="Biometric", Table1[[#This Row],[Authentication_Type]]="OTP")), "safe location transaction", "unsafe location transaction")</f>
        <v>safe location transaction</v>
      </c>
      <c r="R1895" s="6" t="str">
        <f>IF(AND(Table1[[#This Row],[Country_of_Residence]]&lt;&gt;Table1[[#This Row],[Country_of_Transaction]], OR(Table1[[#This Row],[Merchant_Category]]="Electronics", Table1[[#This Row],[Merchant_Category]]="Travel")), "unsafe merchant transaction", "safe merchant transaction")</f>
        <v>safe merchant transaction</v>
      </c>
    </row>
    <row r="1896" spans="1:18">
      <c r="A1896" t="s">
        <v>5043</v>
      </c>
      <c r="B1896" t="s">
        <v>285</v>
      </c>
      <c r="C1896">
        <v>1</v>
      </c>
      <c r="D1896" t="s">
        <v>9</v>
      </c>
      <c r="E1896" t="s">
        <v>420</v>
      </c>
      <c r="F1896" s="2">
        <v>45983</v>
      </c>
      <c r="G1896">
        <v>8382.66</v>
      </c>
      <c r="H1896" s="1">
        <f>AVERAGEIF(Table1[Customer_ID], Table1[[#This Row],[Customer_ID]], Table1[Transaction_Amount])</f>
        <v>4538.7005769230773</v>
      </c>
      <c r="I1896" t="s">
        <v>1763</v>
      </c>
      <c r="J1896" t="s">
        <v>50</v>
      </c>
      <c r="K1896" t="s">
        <v>14</v>
      </c>
      <c r="L1896">
        <v>5</v>
      </c>
      <c r="M1896" t="s">
        <v>412</v>
      </c>
      <c r="N1896" t="s">
        <v>37</v>
      </c>
      <c r="O1896" t="s">
        <v>393</v>
      </c>
      <c r="P1896" s="6" t="str">
        <f>IF(Table1[[#This Row],[Transaction_Amount]]&lt;=Table1[[#This Row],[avg_transaction_amount]], "usual transaction", "unusual transaction")</f>
        <v>unusual transaction</v>
      </c>
      <c r="Q1896" s="6" t="str">
        <f>IF(AND(Table1[[#This Row],[Country_of_Residence]]&lt;&gt;Table1[[#This Row],[Country_of_Transaction]], OR(Table1[[#This Row],[Authentication_Type]]="Biometric", Table1[[#This Row],[Authentication_Type]]="OTP")), "safe location transaction", "unsafe location transaction")</f>
        <v>unsafe location transaction</v>
      </c>
      <c r="R1896" s="6" t="str">
        <f>IF(AND(Table1[[#This Row],[Country_of_Residence]]&lt;&gt;Table1[[#This Row],[Country_of_Transaction]], OR(Table1[[#This Row],[Merchant_Category]]="Electronics", Table1[[#This Row],[Merchant_Category]]="Travel")), "unsafe merchant transaction", "safe merchant transaction")</f>
        <v>unsafe merchant transaction</v>
      </c>
    </row>
    <row r="1897" spans="1:18">
      <c r="A1897" t="s">
        <v>5058</v>
      </c>
      <c r="B1897" t="s">
        <v>285</v>
      </c>
      <c r="C1897">
        <v>1</v>
      </c>
      <c r="D1897" t="s">
        <v>9</v>
      </c>
      <c r="E1897" t="s">
        <v>5</v>
      </c>
      <c r="F1897" s="2">
        <v>45871</v>
      </c>
      <c r="G1897">
        <v>7575.46</v>
      </c>
      <c r="H1897" s="1">
        <f>AVERAGEIF(Table1[Customer_ID], Table1[[#This Row],[Customer_ID]], Table1[Transaction_Amount])</f>
        <v>4538.7005769230773</v>
      </c>
      <c r="I1897" t="s">
        <v>849</v>
      </c>
      <c r="J1897" t="s">
        <v>36</v>
      </c>
      <c r="K1897" t="s">
        <v>8</v>
      </c>
      <c r="L1897">
        <v>4</v>
      </c>
      <c r="M1897" t="s">
        <v>37</v>
      </c>
      <c r="N1897" t="s">
        <v>55</v>
      </c>
      <c r="O1897" t="s">
        <v>393</v>
      </c>
      <c r="P1897" s="6" t="str">
        <f>IF(Table1[[#This Row],[Transaction_Amount]]&lt;=Table1[[#This Row],[avg_transaction_amount]], "usual transaction", "unusual transaction")</f>
        <v>unusual transaction</v>
      </c>
      <c r="Q1897" s="6" t="str">
        <f>IF(AND(Table1[[#This Row],[Country_of_Residence]]&lt;&gt;Table1[[#This Row],[Country_of_Transaction]], OR(Table1[[#This Row],[Authentication_Type]]="Biometric", Table1[[#This Row],[Authentication_Type]]="OTP")), "safe location transaction", "unsafe location transaction")</f>
        <v>safe location transaction</v>
      </c>
      <c r="R1897" s="6" t="str">
        <f>IF(AND(Table1[[#This Row],[Country_of_Residence]]&lt;&gt;Table1[[#This Row],[Country_of_Transaction]], OR(Table1[[#This Row],[Merchant_Category]]="Electronics", Table1[[#This Row],[Merchant_Category]]="Travel")), "unsafe merchant transaction", "safe merchant transaction")</f>
        <v>safe merchant transaction</v>
      </c>
    </row>
    <row r="1898" spans="1:18">
      <c r="A1898" t="s">
        <v>5180</v>
      </c>
      <c r="B1898" t="s">
        <v>285</v>
      </c>
      <c r="C1898">
        <v>1</v>
      </c>
      <c r="D1898" t="s">
        <v>9</v>
      </c>
      <c r="E1898" t="s">
        <v>420</v>
      </c>
      <c r="F1898" s="2">
        <v>45902</v>
      </c>
      <c r="G1898">
        <v>1074.48</v>
      </c>
      <c r="H1898" s="1">
        <f>AVERAGEIF(Table1[Customer_ID], Table1[[#This Row],[Customer_ID]], Table1[Transaction_Amount])</f>
        <v>4538.7005769230773</v>
      </c>
      <c r="I1898" t="s">
        <v>2514</v>
      </c>
      <c r="J1898" t="s">
        <v>31</v>
      </c>
      <c r="K1898" t="s">
        <v>10</v>
      </c>
      <c r="L1898">
        <v>1</v>
      </c>
      <c r="M1898" t="s">
        <v>37</v>
      </c>
      <c r="N1898" t="s">
        <v>51</v>
      </c>
      <c r="O1898" t="s">
        <v>392</v>
      </c>
      <c r="P1898" s="6" t="str">
        <f>IF(Table1[[#This Row],[Transaction_Amount]]&lt;=Table1[[#This Row],[avg_transaction_amount]], "usual transaction", "unusual transaction")</f>
        <v>usual transaction</v>
      </c>
      <c r="Q1898" s="6" t="str">
        <f>IF(AND(Table1[[#This Row],[Country_of_Residence]]&lt;&gt;Table1[[#This Row],[Country_of_Transaction]], OR(Table1[[#This Row],[Authentication_Type]]="Biometric", Table1[[#This Row],[Authentication_Type]]="OTP")), "safe location transaction", "unsafe location transaction")</f>
        <v>safe location transaction</v>
      </c>
      <c r="R1898" s="6" t="str">
        <f>IF(AND(Table1[[#This Row],[Country_of_Residence]]&lt;&gt;Table1[[#This Row],[Country_of_Transaction]], OR(Table1[[#This Row],[Merchant_Category]]="Electronics", Table1[[#This Row],[Merchant_Category]]="Travel")), "unsafe merchant transaction", "safe merchant transaction")</f>
        <v>safe merchant transaction</v>
      </c>
    </row>
    <row r="1899" spans="1:18">
      <c r="A1899" t="s">
        <v>5208</v>
      </c>
      <c r="B1899" t="s">
        <v>285</v>
      </c>
      <c r="C1899">
        <v>1</v>
      </c>
      <c r="D1899" t="s">
        <v>9</v>
      </c>
      <c r="E1899" t="s">
        <v>5</v>
      </c>
      <c r="F1899" s="2">
        <v>45859</v>
      </c>
      <c r="G1899">
        <v>8612.7099999999991</v>
      </c>
      <c r="H1899" s="1">
        <f>AVERAGEIF(Table1[Customer_ID], Table1[[#This Row],[Customer_ID]], Table1[Transaction_Amount])</f>
        <v>4538.7005769230773</v>
      </c>
      <c r="I1899" t="s">
        <v>2535</v>
      </c>
      <c r="J1899" t="s">
        <v>50</v>
      </c>
      <c r="K1899" t="s">
        <v>12</v>
      </c>
      <c r="L1899">
        <v>2</v>
      </c>
      <c r="M1899" t="s">
        <v>55</v>
      </c>
      <c r="N1899" t="s">
        <v>51</v>
      </c>
      <c r="O1899" t="s">
        <v>393</v>
      </c>
      <c r="P1899" s="6" t="str">
        <f>IF(Table1[[#This Row],[Transaction_Amount]]&lt;=Table1[[#This Row],[avg_transaction_amount]], "usual transaction", "unusual transaction")</f>
        <v>unusual transaction</v>
      </c>
      <c r="Q1899" s="6" t="str">
        <f>IF(AND(Table1[[#This Row],[Country_of_Residence]]&lt;&gt;Table1[[#This Row],[Country_of_Transaction]], OR(Table1[[#This Row],[Authentication_Type]]="Biometric", Table1[[#This Row],[Authentication_Type]]="OTP")), "safe location transaction", "unsafe location transaction")</f>
        <v>unsafe location transaction</v>
      </c>
      <c r="R1899" s="6" t="str">
        <f>IF(AND(Table1[[#This Row],[Country_of_Residence]]&lt;&gt;Table1[[#This Row],[Country_of_Transaction]], OR(Table1[[#This Row],[Merchant_Category]]="Electronics", Table1[[#This Row],[Merchant_Category]]="Travel")), "unsafe merchant transaction", "safe merchant transaction")</f>
        <v>unsafe merchant transaction</v>
      </c>
    </row>
    <row r="1900" spans="1:18">
      <c r="A1900" t="s">
        <v>5313</v>
      </c>
      <c r="B1900" t="s">
        <v>285</v>
      </c>
      <c r="C1900">
        <v>1</v>
      </c>
      <c r="D1900" t="s">
        <v>9</v>
      </c>
      <c r="E1900" t="s">
        <v>6</v>
      </c>
      <c r="F1900" s="2">
        <v>45698</v>
      </c>
      <c r="G1900">
        <v>4202.88</v>
      </c>
      <c r="H1900" s="1">
        <f>AVERAGEIF(Table1[Customer_ID], Table1[[#This Row],[Customer_ID]], Table1[Transaction_Amount])</f>
        <v>4538.7005769230773</v>
      </c>
      <c r="I1900" t="s">
        <v>2614</v>
      </c>
      <c r="J1900" t="s">
        <v>50</v>
      </c>
      <c r="K1900" t="s">
        <v>14</v>
      </c>
      <c r="L1900">
        <v>5</v>
      </c>
      <c r="M1900" t="s">
        <v>47</v>
      </c>
      <c r="N1900" t="s">
        <v>33</v>
      </c>
      <c r="O1900" t="s">
        <v>393</v>
      </c>
      <c r="P1900" s="6" t="str">
        <f>IF(Table1[[#This Row],[Transaction_Amount]]&lt;=Table1[[#This Row],[avg_transaction_amount]], "usual transaction", "unusual transaction")</f>
        <v>usual transaction</v>
      </c>
      <c r="Q1900" s="6" t="str">
        <f>IF(AND(Table1[[#This Row],[Country_of_Residence]]&lt;&gt;Table1[[#This Row],[Country_of_Transaction]], OR(Table1[[#This Row],[Authentication_Type]]="Biometric", Table1[[#This Row],[Authentication_Type]]="OTP")), "safe location transaction", "unsafe location transaction")</f>
        <v>unsafe location transaction</v>
      </c>
      <c r="R1900" s="6" t="str">
        <f>IF(AND(Table1[[#This Row],[Country_of_Residence]]&lt;&gt;Table1[[#This Row],[Country_of_Transaction]], OR(Table1[[#This Row],[Merchant_Category]]="Electronics", Table1[[#This Row],[Merchant_Category]]="Travel")), "unsafe merchant transaction", "safe merchant transaction")</f>
        <v>unsafe merchant transaction</v>
      </c>
    </row>
    <row r="1901" spans="1:18">
      <c r="A1901" t="s">
        <v>5327</v>
      </c>
      <c r="B1901" t="s">
        <v>285</v>
      </c>
      <c r="C1901">
        <v>1</v>
      </c>
      <c r="D1901" t="s">
        <v>15</v>
      </c>
      <c r="E1901" t="s">
        <v>5</v>
      </c>
      <c r="F1901" s="2">
        <v>45830</v>
      </c>
      <c r="G1901">
        <v>3884.46</v>
      </c>
      <c r="H1901" s="1">
        <f>AVERAGEIF(Table1[Customer_ID], Table1[[#This Row],[Customer_ID]], Table1[Transaction_Amount])</f>
        <v>4538.7005769230773</v>
      </c>
      <c r="I1901" t="s">
        <v>2546</v>
      </c>
      <c r="J1901" t="s">
        <v>36</v>
      </c>
      <c r="K1901" t="s">
        <v>8</v>
      </c>
      <c r="L1901">
        <v>5</v>
      </c>
      <c r="M1901" t="s">
        <v>56</v>
      </c>
      <c r="N1901" t="s">
        <v>37</v>
      </c>
      <c r="O1901" t="s">
        <v>393</v>
      </c>
      <c r="P1901" s="6" t="str">
        <f>IF(Table1[[#This Row],[Transaction_Amount]]&lt;=Table1[[#This Row],[avg_transaction_amount]], "usual transaction", "unusual transaction")</f>
        <v>usual transaction</v>
      </c>
      <c r="Q1901" s="6" t="str">
        <f>IF(AND(Table1[[#This Row],[Country_of_Residence]]&lt;&gt;Table1[[#This Row],[Country_of_Transaction]], OR(Table1[[#This Row],[Authentication_Type]]="Biometric", Table1[[#This Row],[Authentication_Type]]="OTP")), "safe location transaction", "unsafe location transaction")</f>
        <v>safe location transaction</v>
      </c>
      <c r="R1901" s="6" t="str">
        <f>IF(AND(Table1[[#This Row],[Country_of_Residence]]&lt;&gt;Table1[[#This Row],[Country_of_Transaction]], OR(Table1[[#This Row],[Merchant_Category]]="Electronics", Table1[[#This Row],[Merchant_Category]]="Travel")), "unsafe merchant transaction", "safe merchant transaction")</f>
        <v>safe merchant transaction</v>
      </c>
    </row>
    <row r="1902" spans="1:18">
      <c r="A1902" t="s">
        <v>5430</v>
      </c>
      <c r="B1902" t="s">
        <v>285</v>
      </c>
      <c r="C1902">
        <v>1</v>
      </c>
      <c r="D1902" t="s">
        <v>15</v>
      </c>
      <c r="E1902" t="s">
        <v>6</v>
      </c>
      <c r="F1902" s="2">
        <v>45784</v>
      </c>
      <c r="G1902">
        <v>4288.75</v>
      </c>
      <c r="H1902" s="1">
        <f>AVERAGEIF(Table1[Customer_ID], Table1[[#This Row],[Customer_ID]], Table1[Transaction_Amount])</f>
        <v>4538.7005769230773</v>
      </c>
      <c r="I1902" t="s">
        <v>2701</v>
      </c>
      <c r="J1902" t="s">
        <v>50</v>
      </c>
      <c r="K1902" t="s">
        <v>8</v>
      </c>
      <c r="L1902">
        <v>2</v>
      </c>
      <c r="M1902" t="s">
        <v>32</v>
      </c>
      <c r="N1902" t="s">
        <v>33</v>
      </c>
      <c r="O1902" t="s">
        <v>392</v>
      </c>
      <c r="P1902" s="6" t="str">
        <f>IF(Table1[[#This Row],[Transaction_Amount]]&lt;=Table1[[#This Row],[avg_transaction_amount]], "usual transaction", "unusual transaction")</f>
        <v>usual transaction</v>
      </c>
      <c r="Q1902" s="6" t="str">
        <f>IF(AND(Table1[[#This Row],[Country_of_Residence]]&lt;&gt;Table1[[#This Row],[Country_of_Transaction]], OR(Table1[[#This Row],[Authentication_Type]]="Biometric", Table1[[#This Row],[Authentication_Type]]="OTP")), "safe location transaction", "unsafe location transaction")</f>
        <v>safe location transaction</v>
      </c>
      <c r="R1902" s="6" t="str">
        <f>IF(AND(Table1[[#This Row],[Country_of_Residence]]&lt;&gt;Table1[[#This Row],[Country_of_Transaction]], OR(Table1[[#This Row],[Merchant_Category]]="Electronics", Table1[[#This Row],[Merchant_Category]]="Travel")), "unsafe merchant transaction", "safe merchant transaction")</f>
        <v>unsafe merchant transaction</v>
      </c>
    </row>
    <row r="1903" spans="1:18">
      <c r="A1903" t="s">
        <v>288</v>
      </c>
      <c r="B1903" t="s">
        <v>289</v>
      </c>
      <c r="C1903">
        <v>1</v>
      </c>
      <c r="D1903" t="s">
        <v>9</v>
      </c>
      <c r="E1903" t="s">
        <v>5</v>
      </c>
      <c r="F1903" s="2">
        <v>45742.585416666698</v>
      </c>
      <c r="G1903">
        <v>4335.1499999999996</v>
      </c>
      <c r="H1903" s="1">
        <f>AVERAGEIF(Table1[Customer_ID], Table1[[#This Row],[Customer_ID]], Table1[Transaction_Amount])</f>
        <v>5058.2299999999987</v>
      </c>
      <c r="I1903" t="s">
        <v>290</v>
      </c>
      <c r="J1903" t="s">
        <v>59</v>
      </c>
      <c r="K1903" t="s">
        <v>14</v>
      </c>
      <c r="L1903">
        <v>5</v>
      </c>
      <c r="M1903" t="s">
        <v>56</v>
      </c>
      <c r="N1903" t="s">
        <v>151</v>
      </c>
      <c r="O1903" t="s">
        <v>392</v>
      </c>
      <c r="P1903" t="str">
        <f>IF(Table1[[#This Row],[Transaction_Amount]]&lt;=Table1[[#This Row],[avg_transaction_amount]], "usual transaction", "unusual transaction")</f>
        <v>usual transaction</v>
      </c>
      <c r="Q1903" t="str">
        <f>IF(AND(Table1[[#This Row],[Country_of_Residence]]&lt;&gt;Table1[[#This Row],[Country_of_Transaction]], OR(Table1[[#This Row],[Authentication_Type]]="Biometric", Table1[[#This Row],[Authentication_Type]]="OTP")), "safe location transaction", "unsafe location transaction")</f>
        <v>unsafe location transaction</v>
      </c>
      <c r="R1903" t="str">
        <f>IF(AND(Table1[[#This Row],[Country_of_Residence]]&lt;&gt;Table1[[#This Row],[Country_of_Transaction]], OR(Table1[[#This Row],[Merchant_Category]]="Electronics", Table1[[#This Row],[Merchant_Category]]="Travel")), "unsafe merchant transaction", "safe merchant transaction")</f>
        <v>unsafe merchant transaction</v>
      </c>
    </row>
    <row r="1904" spans="1:18">
      <c r="A1904" t="s">
        <v>291</v>
      </c>
      <c r="B1904" t="s">
        <v>289</v>
      </c>
      <c r="C1904">
        <v>1</v>
      </c>
      <c r="D1904" t="s">
        <v>11</v>
      </c>
      <c r="E1904" t="s">
        <v>4</v>
      </c>
      <c r="F1904" s="2">
        <v>45713.186805555597</v>
      </c>
      <c r="G1904">
        <v>6267.22</v>
      </c>
      <c r="H1904" s="1">
        <f>AVERAGEIF(Table1[Customer_ID], Table1[[#This Row],[Customer_ID]], Table1[Transaction_Amount])</f>
        <v>5058.2299999999987</v>
      </c>
      <c r="I1904" t="s">
        <v>292</v>
      </c>
      <c r="J1904" t="s">
        <v>46</v>
      </c>
      <c r="K1904" t="s">
        <v>12</v>
      </c>
      <c r="L1904">
        <v>2</v>
      </c>
      <c r="M1904" t="s">
        <v>56</v>
      </c>
      <c r="N1904" t="s">
        <v>293</v>
      </c>
      <c r="O1904" t="s">
        <v>393</v>
      </c>
      <c r="P1904" t="str">
        <f>IF(Table1[[#This Row],[Transaction_Amount]]&lt;=Table1[[#This Row],[avg_transaction_amount]], "usual transaction", "unusual transaction")</f>
        <v>unusual transaction</v>
      </c>
      <c r="Q1904" t="str">
        <f>IF(AND(Table1[[#This Row],[Country_of_Residence]]&lt;&gt;Table1[[#This Row],[Country_of_Transaction]], OR(Table1[[#This Row],[Authentication_Type]]="Biometric", Table1[[#This Row],[Authentication_Type]]="OTP")), "safe location transaction", "unsafe location transaction")</f>
        <v>unsafe location transaction</v>
      </c>
      <c r="R1904" t="str">
        <f>IF(AND(Table1[[#This Row],[Country_of_Residence]]&lt;&gt;Table1[[#This Row],[Country_of_Transaction]], OR(Table1[[#This Row],[Merchant_Category]]="Electronics", Table1[[#This Row],[Merchant_Category]]="Travel")), "unsafe merchant transaction", "safe merchant transaction")</f>
        <v>safe merchant transaction</v>
      </c>
    </row>
    <row r="1905" spans="1:18">
      <c r="A1905" t="s">
        <v>2864</v>
      </c>
      <c r="B1905" t="s">
        <v>289</v>
      </c>
      <c r="C1905">
        <v>1</v>
      </c>
      <c r="D1905" t="s">
        <v>9</v>
      </c>
      <c r="E1905" t="s">
        <v>5</v>
      </c>
      <c r="F1905" s="2">
        <v>45988</v>
      </c>
      <c r="G1905">
        <v>5124.0200000000004</v>
      </c>
      <c r="H1905" s="1">
        <f>AVERAGEIF(Table1[Customer_ID], Table1[[#This Row],[Customer_ID]], Table1[Transaction_Amount])</f>
        <v>5058.2299999999987</v>
      </c>
      <c r="I1905" t="s">
        <v>516</v>
      </c>
      <c r="J1905" t="s">
        <v>31</v>
      </c>
      <c r="K1905" t="s">
        <v>12</v>
      </c>
      <c r="L1905">
        <v>2</v>
      </c>
      <c r="M1905" t="s">
        <v>55</v>
      </c>
      <c r="N1905" t="s">
        <v>42</v>
      </c>
      <c r="O1905" t="s">
        <v>392</v>
      </c>
      <c r="P1905" s="6" t="str">
        <f>IF(Table1[[#This Row],[Transaction_Amount]]&lt;=Table1[[#This Row],[avg_transaction_amount]], "usual transaction", "unusual transaction")</f>
        <v>unusual transaction</v>
      </c>
      <c r="Q1905" s="6" t="str">
        <f>IF(AND(Table1[[#This Row],[Country_of_Residence]]&lt;&gt;Table1[[#This Row],[Country_of_Transaction]], OR(Table1[[#This Row],[Authentication_Type]]="Biometric", Table1[[#This Row],[Authentication_Type]]="OTP")), "safe location transaction", "unsafe location transaction")</f>
        <v>unsafe location transaction</v>
      </c>
      <c r="R1905" s="6" t="str">
        <f>IF(AND(Table1[[#This Row],[Country_of_Residence]]&lt;&gt;Table1[[#This Row],[Country_of_Transaction]], OR(Table1[[#This Row],[Merchant_Category]]="Electronics", Table1[[#This Row],[Merchant_Category]]="Travel")), "unsafe merchant transaction", "safe merchant transaction")</f>
        <v>safe merchant transaction</v>
      </c>
    </row>
    <row r="1906" spans="1:18">
      <c r="A1906" t="s">
        <v>2881</v>
      </c>
      <c r="B1906" t="s">
        <v>289</v>
      </c>
      <c r="C1906">
        <v>1</v>
      </c>
      <c r="D1906" t="s">
        <v>15</v>
      </c>
      <c r="E1906" t="s">
        <v>420</v>
      </c>
      <c r="F1906" s="2">
        <v>45898</v>
      </c>
      <c r="G1906">
        <v>9747.81</v>
      </c>
      <c r="H1906" s="1">
        <f>AVERAGEIF(Table1[Customer_ID], Table1[[#This Row],[Customer_ID]], Table1[Transaction_Amount])</f>
        <v>5058.2299999999987</v>
      </c>
      <c r="I1906" t="s">
        <v>532</v>
      </c>
      <c r="J1906" t="s">
        <v>50</v>
      </c>
      <c r="K1906" t="s">
        <v>14</v>
      </c>
      <c r="L1906">
        <v>5</v>
      </c>
      <c r="M1906" t="s">
        <v>412</v>
      </c>
      <c r="N1906" t="s">
        <v>51</v>
      </c>
      <c r="O1906" t="s">
        <v>392</v>
      </c>
      <c r="P1906" s="6" t="str">
        <f>IF(Table1[[#This Row],[Transaction_Amount]]&lt;=Table1[[#This Row],[avg_transaction_amount]], "usual transaction", "unusual transaction")</f>
        <v>unusual transaction</v>
      </c>
      <c r="Q1906" s="6" t="str">
        <f>IF(AND(Table1[[#This Row],[Country_of_Residence]]&lt;&gt;Table1[[#This Row],[Country_of_Transaction]], OR(Table1[[#This Row],[Authentication_Type]]="Biometric", Table1[[#This Row],[Authentication_Type]]="OTP")), "safe location transaction", "unsafe location transaction")</f>
        <v>unsafe location transaction</v>
      </c>
      <c r="R1906" s="6" t="str">
        <f>IF(AND(Table1[[#This Row],[Country_of_Residence]]&lt;&gt;Table1[[#This Row],[Country_of_Transaction]], OR(Table1[[#This Row],[Merchant_Category]]="Electronics", Table1[[#This Row],[Merchant_Category]]="Travel")), "unsafe merchant transaction", "safe merchant transaction")</f>
        <v>unsafe merchant transaction</v>
      </c>
    </row>
    <row r="1907" spans="1:18">
      <c r="A1907" t="s">
        <v>2907</v>
      </c>
      <c r="B1907" t="s">
        <v>289</v>
      </c>
      <c r="C1907">
        <v>1</v>
      </c>
      <c r="D1907" t="s">
        <v>9</v>
      </c>
      <c r="E1907" t="s">
        <v>6</v>
      </c>
      <c r="F1907" s="2">
        <v>46006</v>
      </c>
      <c r="G1907">
        <v>6308.8</v>
      </c>
      <c r="H1907" s="1">
        <f>AVERAGEIF(Table1[Customer_ID], Table1[[#This Row],[Customer_ID]], Table1[Transaction_Amount])</f>
        <v>5058.2299999999987</v>
      </c>
      <c r="I1907" t="s">
        <v>557</v>
      </c>
      <c r="J1907" t="s">
        <v>41</v>
      </c>
      <c r="K1907" t="s">
        <v>10</v>
      </c>
      <c r="L1907">
        <v>1</v>
      </c>
      <c r="M1907" t="s">
        <v>412</v>
      </c>
      <c r="N1907" t="s">
        <v>47</v>
      </c>
      <c r="O1907" t="s">
        <v>393</v>
      </c>
      <c r="P1907" s="6" t="str">
        <f>IF(Table1[[#This Row],[Transaction_Amount]]&lt;=Table1[[#This Row],[avg_transaction_amount]], "usual transaction", "unusual transaction")</f>
        <v>unusual transaction</v>
      </c>
      <c r="Q1907" s="6" t="str">
        <f>IF(AND(Table1[[#This Row],[Country_of_Residence]]&lt;&gt;Table1[[#This Row],[Country_of_Transaction]], OR(Table1[[#This Row],[Authentication_Type]]="Biometric", Table1[[#This Row],[Authentication_Type]]="OTP")), "safe location transaction", "unsafe location transaction")</f>
        <v>safe location transaction</v>
      </c>
      <c r="R1907" s="6" t="str">
        <f>IF(AND(Table1[[#This Row],[Country_of_Residence]]&lt;&gt;Table1[[#This Row],[Country_of_Transaction]], OR(Table1[[#This Row],[Merchant_Category]]="Electronics", Table1[[#This Row],[Merchant_Category]]="Travel")), "unsafe merchant transaction", "safe merchant transaction")</f>
        <v>safe merchant transaction</v>
      </c>
    </row>
    <row r="1908" spans="1:18">
      <c r="A1908" t="s">
        <v>2959</v>
      </c>
      <c r="B1908" t="s">
        <v>289</v>
      </c>
      <c r="C1908">
        <v>1</v>
      </c>
      <c r="D1908" t="s">
        <v>9</v>
      </c>
      <c r="E1908" t="s">
        <v>420</v>
      </c>
      <c r="F1908" s="2">
        <v>45776</v>
      </c>
      <c r="G1908">
        <v>1785.81</v>
      </c>
      <c r="H1908" s="1">
        <f>AVERAGEIF(Table1[Customer_ID], Table1[[#This Row],[Customer_ID]], Table1[Transaction_Amount])</f>
        <v>5058.2299999999987</v>
      </c>
      <c r="I1908" t="s">
        <v>607</v>
      </c>
      <c r="J1908" t="s">
        <v>46</v>
      </c>
      <c r="K1908" t="s">
        <v>8</v>
      </c>
      <c r="L1908">
        <v>3</v>
      </c>
      <c r="M1908" t="s">
        <v>412</v>
      </c>
      <c r="N1908" t="s">
        <v>55</v>
      </c>
      <c r="O1908" t="s">
        <v>393</v>
      </c>
      <c r="P1908" s="6" t="str">
        <f>IF(Table1[[#This Row],[Transaction_Amount]]&lt;=Table1[[#This Row],[avg_transaction_amount]], "usual transaction", "unusual transaction")</f>
        <v>usual transaction</v>
      </c>
      <c r="Q1908" s="6" t="str">
        <f>IF(AND(Table1[[#This Row],[Country_of_Residence]]&lt;&gt;Table1[[#This Row],[Country_of_Transaction]], OR(Table1[[#This Row],[Authentication_Type]]="Biometric", Table1[[#This Row],[Authentication_Type]]="OTP")), "safe location transaction", "unsafe location transaction")</f>
        <v>safe location transaction</v>
      </c>
      <c r="R1908" s="6" t="str">
        <f>IF(AND(Table1[[#This Row],[Country_of_Residence]]&lt;&gt;Table1[[#This Row],[Country_of_Transaction]], OR(Table1[[#This Row],[Merchant_Category]]="Electronics", Table1[[#This Row],[Merchant_Category]]="Travel")), "unsafe merchant transaction", "safe merchant transaction")</f>
        <v>safe merchant transaction</v>
      </c>
    </row>
    <row r="1909" spans="1:18">
      <c r="A1909" t="s">
        <v>2979</v>
      </c>
      <c r="B1909" t="s">
        <v>289</v>
      </c>
      <c r="C1909">
        <v>1</v>
      </c>
      <c r="D1909" t="s">
        <v>9</v>
      </c>
      <c r="E1909" t="s">
        <v>5</v>
      </c>
      <c r="F1909" s="2">
        <v>45988</v>
      </c>
      <c r="G1909">
        <v>6088.92</v>
      </c>
      <c r="H1909" s="1">
        <f>AVERAGEIF(Table1[Customer_ID], Table1[[#This Row],[Customer_ID]], Table1[Transaction_Amount])</f>
        <v>5058.2299999999987</v>
      </c>
      <c r="I1909" t="s">
        <v>627</v>
      </c>
      <c r="J1909" t="s">
        <v>36</v>
      </c>
      <c r="K1909" t="s">
        <v>8</v>
      </c>
      <c r="L1909">
        <v>0</v>
      </c>
      <c r="M1909" t="s">
        <v>55</v>
      </c>
      <c r="N1909" t="s">
        <v>47</v>
      </c>
      <c r="O1909" t="s">
        <v>392</v>
      </c>
      <c r="P1909" s="6" t="str">
        <f>IF(Table1[[#This Row],[Transaction_Amount]]&lt;=Table1[[#This Row],[avg_transaction_amount]], "usual transaction", "unusual transaction")</f>
        <v>unusual transaction</v>
      </c>
      <c r="Q1909" s="6" t="str">
        <f>IF(AND(Table1[[#This Row],[Country_of_Residence]]&lt;&gt;Table1[[#This Row],[Country_of_Transaction]], OR(Table1[[#This Row],[Authentication_Type]]="Biometric", Table1[[#This Row],[Authentication_Type]]="OTP")), "safe location transaction", "unsafe location transaction")</f>
        <v>safe location transaction</v>
      </c>
      <c r="R1909" s="6" t="str">
        <f>IF(AND(Table1[[#This Row],[Country_of_Residence]]&lt;&gt;Table1[[#This Row],[Country_of_Transaction]], OR(Table1[[#This Row],[Merchant_Category]]="Electronics", Table1[[#This Row],[Merchant_Category]]="Travel")), "unsafe merchant transaction", "safe merchant transaction")</f>
        <v>safe merchant transaction</v>
      </c>
    </row>
    <row r="1910" spans="1:18">
      <c r="A1910" t="s">
        <v>2980</v>
      </c>
      <c r="B1910" t="s">
        <v>289</v>
      </c>
      <c r="C1910">
        <v>1</v>
      </c>
      <c r="D1910" t="s">
        <v>9</v>
      </c>
      <c r="E1910" t="s">
        <v>5</v>
      </c>
      <c r="F1910" s="2">
        <v>45725</v>
      </c>
      <c r="G1910">
        <v>8892.81</v>
      </c>
      <c r="H1910" s="1">
        <f>AVERAGEIF(Table1[Customer_ID], Table1[[#This Row],[Customer_ID]], Table1[Transaction_Amount])</f>
        <v>5058.2299999999987</v>
      </c>
      <c r="I1910" t="s">
        <v>628</v>
      </c>
      <c r="J1910" t="s">
        <v>50</v>
      </c>
      <c r="K1910" t="s">
        <v>12</v>
      </c>
      <c r="L1910">
        <v>3</v>
      </c>
      <c r="M1910" t="s">
        <v>32</v>
      </c>
      <c r="N1910" t="s">
        <v>412</v>
      </c>
      <c r="O1910" t="s">
        <v>392</v>
      </c>
      <c r="P1910" s="6" t="str">
        <f>IF(Table1[[#This Row],[Transaction_Amount]]&lt;=Table1[[#This Row],[avg_transaction_amount]], "usual transaction", "unusual transaction")</f>
        <v>unusual transaction</v>
      </c>
      <c r="Q1910" s="6" t="str">
        <f>IF(AND(Table1[[#This Row],[Country_of_Residence]]&lt;&gt;Table1[[#This Row],[Country_of_Transaction]], OR(Table1[[#This Row],[Authentication_Type]]="Biometric", Table1[[#This Row],[Authentication_Type]]="OTP")), "safe location transaction", "unsafe location transaction")</f>
        <v>unsafe location transaction</v>
      </c>
      <c r="R1910" s="6" t="str">
        <f>IF(AND(Table1[[#This Row],[Country_of_Residence]]&lt;&gt;Table1[[#This Row],[Country_of_Transaction]], OR(Table1[[#This Row],[Merchant_Category]]="Electronics", Table1[[#This Row],[Merchant_Category]]="Travel")), "unsafe merchant transaction", "safe merchant transaction")</f>
        <v>unsafe merchant transaction</v>
      </c>
    </row>
    <row r="1911" spans="1:18">
      <c r="A1911" t="s">
        <v>3099</v>
      </c>
      <c r="B1911" t="s">
        <v>289</v>
      </c>
      <c r="C1911">
        <v>1</v>
      </c>
      <c r="D1911" t="s">
        <v>15</v>
      </c>
      <c r="E1911" t="s">
        <v>5</v>
      </c>
      <c r="F1911" s="2">
        <v>45944</v>
      </c>
      <c r="G1911">
        <v>202.9</v>
      </c>
      <c r="H1911" s="1">
        <f>AVERAGEIF(Table1[Customer_ID], Table1[[#This Row],[Customer_ID]], Table1[Transaction_Amount])</f>
        <v>5058.2299999999987</v>
      </c>
      <c r="I1911" t="s">
        <v>743</v>
      </c>
      <c r="J1911" t="s">
        <v>50</v>
      </c>
      <c r="K1911" t="s">
        <v>14</v>
      </c>
      <c r="L1911">
        <v>1</v>
      </c>
      <c r="M1911" t="s">
        <v>55</v>
      </c>
      <c r="N1911" t="s">
        <v>47</v>
      </c>
      <c r="O1911" t="s">
        <v>393</v>
      </c>
      <c r="P1911" s="6" t="str">
        <f>IF(Table1[[#This Row],[Transaction_Amount]]&lt;=Table1[[#This Row],[avg_transaction_amount]], "usual transaction", "unusual transaction")</f>
        <v>usual transaction</v>
      </c>
      <c r="Q1911" s="6" t="str">
        <f>IF(AND(Table1[[#This Row],[Country_of_Residence]]&lt;&gt;Table1[[#This Row],[Country_of_Transaction]], OR(Table1[[#This Row],[Authentication_Type]]="Biometric", Table1[[#This Row],[Authentication_Type]]="OTP")), "safe location transaction", "unsafe location transaction")</f>
        <v>unsafe location transaction</v>
      </c>
      <c r="R1911" s="6" t="str">
        <f>IF(AND(Table1[[#This Row],[Country_of_Residence]]&lt;&gt;Table1[[#This Row],[Country_of_Transaction]], OR(Table1[[#This Row],[Merchant_Category]]="Electronics", Table1[[#This Row],[Merchant_Category]]="Travel")), "unsafe merchant transaction", "safe merchant transaction")</f>
        <v>unsafe merchant transaction</v>
      </c>
    </row>
    <row r="1912" spans="1:18">
      <c r="A1912" t="s">
        <v>3133</v>
      </c>
      <c r="B1912" t="s">
        <v>289</v>
      </c>
      <c r="C1912">
        <v>1</v>
      </c>
      <c r="D1912" t="s">
        <v>15</v>
      </c>
      <c r="E1912" t="s">
        <v>5</v>
      </c>
      <c r="F1912" s="2">
        <v>45823</v>
      </c>
      <c r="G1912">
        <v>6848.08</v>
      </c>
      <c r="H1912" s="1">
        <f>AVERAGEIF(Table1[Customer_ID], Table1[[#This Row],[Customer_ID]], Table1[Transaction_Amount])</f>
        <v>5058.2299999999987</v>
      </c>
      <c r="I1912" t="s">
        <v>773</v>
      </c>
      <c r="J1912" t="s">
        <v>31</v>
      </c>
      <c r="K1912" t="s">
        <v>10</v>
      </c>
      <c r="L1912">
        <v>4</v>
      </c>
      <c r="M1912" t="s">
        <v>32</v>
      </c>
      <c r="N1912" t="s">
        <v>412</v>
      </c>
      <c r="O1912" t="s">
        <v>392</v>
      </c>
      <c r="P1912" s="6" t="str">
        <f>IF(Table1[[#This Row],[Transaction_Amount]]&lt;=Table1[[#This Row],[avg_transaction_amount]], "usual transaction", "unusual transaction")</f>
        <v>unusual transaction</v>
      </c>
      <c r="Q1912" s="6" t="str">
        <f>IF(AND(Table1[[#This Row],[Country_of_Residence]]&lt;&gt;Table1[[#This Row],[Country_of_Transaction]], OR(Table1[[#This Row],[Authentication_Type]]="Biometric", Table1[[#This Row],[Authentication_Type]]="OTP")), "safe location transaction", "unsafe location transaction")</f>
        <v>safe location transaction</v>
      </c>
      <c r="R1912" s="6" t="str">
        <f>IF(AND(Table1[[#This Row],[Country_of_Residence]]&lt;&gt;Table1[[#This Row],[Country_of_Transaction]], OR(Table1[[#This Row],[Merchant_Category]]="Electronics", Table1[[#This Row],[Merchant_Category]]="Travel")), "unsafe merchant transaction", "safe merchant transaction")</f>
        <v>safe merchant transaction</v>
      </c>
    </row>
    <row r="1913" spans="1:18">
      <c r="A1913" t="s">
        <v>3330</v>
      </c>
      <c r="B1913" t="s">
        <v>289</v>
      </c>
      <c r="C1913">
        <v>1</v>
      </c>
      <c r="D1913" t="s">
        <v>15</v>
      </c>
      <c r="E1913" t="s">
        <v>420</v>
      </c>
      <c r="F1913" s="2">
        <v>45732</v>
      </c>
      <c r="G1913">
        <v>7956.34</v>
      </c>
      <c r="H1913" s="1">
        <f>AVERAGEIF(Table1[Customer_ID], Table1[[#This Row],[Customer_ID]], Table1[Transaction_Amount])</f>
        <v>5058.2299999999987</v>
      </c>
      <c r="I1913" t="s">
        <v>954</v>
      </c>
      <c r="J1913" t="s">
        <v>31</v>
      </c>
      <c r="K1913" t="s">
        <v>10</v>
      </c>
      <c r="L1913">
        <v>2</v>
      </c>
      <c r="M1913" t="s">
        <v>51</v>
      </c>
      <c r="N1913" t="s">
        <v>56</v>
      </c>
      <c r="O1913" t="s">
        <v>392</v>
      </c>
      <c r="P1913" s="6" t="str">
        <f>IF(Table1[[#This Row],[Transaction_Amount]]&lt;=Table1[[#This Row],[avg_transaction_amount]], "usual transaction", "unusual transaction")</f>
        <v>unusual transaction</v>
      </c>
      <c r="Q1913" s="6" t="str">
        <f>IF(AND(Table1[[#This Row],[Country_of_Residence]]&lt;&gt;Table1[[#This Row],[Country_of_Transaction]], OR(Table1[[#This Row],[Authentication_Type]]="Biometric", Table1[[#This Row],[Authentication_Type]]="OTP")), "safe location transaction", "unsafe location transaction")</f>
        <v>safe location transaction</v>
      </c>
      <c r="R1913" s="6" t="str">
        <f>IF(AND(Table1[[#This Row],[Country_of_Residence]]&lt;&gt;Table1[[#This Row],[Country_of_Transaction]], OR(Table1[[#This Row],[Merchant_Category]]="Electronics", Table1[[#This Row],[Merchant_Category]]="Travel")), "unsafe merchant transaction", "safe merchant transaction")</f>
        <v>safe merchant transaction</v>
      </c>
    </row>
    <row r="1914" spans="1:18">
      <c r="A1914" t="s">
        <v>3425</v>
      </c>
      <c r="B1914" t="s">
        <v>289</v>
      </c>
      <c r="C1914">
        <v>1</v>
      </c>
      <c r="D1914" t="s">
        <v>15</v>
      </c>
      <c r="E1914" t="s">
        <v>5</v>
      </c>
      <c r="F1914" s="2">
        <v>45889</v>
      </c>
      <c r="G1914">
        <v>2830.7</v>
      </c>
      <c r="H1914" s="1">
        <f>AVERAGEIF(Table1[Customer_ID], Table1[[#This Row],[Customer_ID]], Table1[Transaction_Amount])</f>
        <v>5058.2299999999987</v>
      </c>
      <c r="I1914" t="s">
        <v>1045</v>
      </c>
      <c r="J1914" t="s">
        <v>41</v>
      </c>
      <c r="K1914" t="s">
        <v>8</v>
      </c>
      <c r="L1914">
        <v>5</v>
      </c>
      <c r="M1914" t="s">
        <v>55</v>
      </c>
      <c r="N1914" t="s">
        <v>412</v>
      </c>
      <c r="O1914" t="s">
        <v>393</v>
      </c>
      <c r="P1914" s="6" t="str">
        <f>IF(Table1[[#This Row],[Transaction_Amount]]&lt;=Table1[[#This Row],[avg_transaction_amount]], "usual transaction", "unusual transaction")</f>
        <v>usual transaction</v>
      </c>
      <c r="Q1914" s="6" t="str">
        <f>IF(AND(Table1[[#This Row],[Country_of_Residence]]&lt;&gt;Table1[[#This Row],[Country_of_Transaction]], OR(Table1[[#This Row],[Authentication_Type]]="Biometric", Table1[[#This Row],[Authentication_Type]]="OTP")), "safe location transaction", "unsafe location transaction")</f>
        <v>safe location transaction</v>
      </c>
      <c r="R1914" s="6" t="str">
        <f>IF(AND(Table1[[#This Row],[Country_of_Residence]]&lt;&gt;Table1[[#This Row],[Country_of_Transaction]], OR(Table1[[#This Row],[Merchant_Category]]="Electronics", Table1[[#This Row],[Merchant_Category]]="Travel")), "unsafe merchant transaction", "safe merchant transaction")</f>
        <v>safe merchant transaction</v>
      </c>
    </row>
    <row r="1915" spans="1:18">
      <c r="A1915" t="s">
        <v>3517</v>
      </c>
      <c r="B1915" t="s">
        <v>289</v>
      </c>
      <c r="C1915">
        <v>1</v>
      </c>
      <c r="D1915" t="s">
        <v>15</v>
      </c>
      <c r="E1915" t="s">
        <v>420</v>
      </c>
      <c r="F1915" s="2">
        <v>45985</v>
      </c>
      <c r="G1915">
        <v>7236.75</v>
      </c>
      <c r="H1915" s="1">
        <f>AVERAGEIF(Table1[Customer_ID], Table1[[#This Row],[Customer_ID]], Table1[Transaction_Amount])</f>
        <v>5058.2299999999987</v>
      </c>
      <c r="I1915" t="s">
        <v>1132</v>
      </c>
      <c r="J1915" t="s">
        <v>31</v>
      </c>
      <c r="K1915" t="s">
        <v>12</v>
      </c>
      <c r="L1915">
        <v>5</v>
      </c>
      <c r="M1915" t="s">
        <v>55</v>
      </c>
      <c r="N1915" t="s">
        <v>56</v>
      </c>
      <c r="O1915" t="s">
        <v>392</v>
      </c>
      <c r="P1915" s="6" t="str">
        <f>IF(Table1[[#This Row],[Transaction_Amount]]&lt;=Table1[[#This Row],[avg_transaction_amount]], "usual transaction", "unusual transaction")</f>
        <v>unusual transaction</v>
      </c>
      <c r="Q1915" s="6" t="str">
        <f>IF(AND(Table1[[#This Row],[Country_of_Residence]]&lt;&gt;Table1[[#This Row],[Country_of_Transaction]], OR(Table1[[#This Row],[Authentication_Type]]="Biometric", Table1[[#This Row],[Authentication_Type]]="OTP")), "safe location transaction", "unsafe location transaction")</f>
        <v>unsafe location transaction</v>
      </c>
      <c r="R1915" s="6" t="str">
        <f>IF(AND(Table1[[#This Row],[Country_of_Residence]]&lt;&gt;Table1[[#This Row],[Country_of_Transaction]], OR(Table1[[#This Row],[Merchant_Category]]="Electronics", Table1[[#This Row],[Merchant_Category]]="Travel")), "unsafe merchant transaction", "safe merchant transaction")</f>
        <v>safe merchant transaction</v>
      </c>
    </row>
    <row r="1916" spans="1:18">
      <c r="A1916" t="s">
        <v>3567</v>
      </c>
      <c r="B1916" t="s">
        <v>289</v>
      </c>
      <c r="C1916">
        <v>1</v>
      </c>
      <c r="D1916" t="s">
        <v>9</v>
      </c>
      <c r="E1916" t="s">
        <v>420</v>
      </c>
      <c r="F1916" s="2">
        <v>45839</v>
      </c>
      <c r="G1916">
        <v>4446.92</v>
      </c>
      <c r="H1916" s="1">
        <f>AVERAGEIF(Table1[Customer_ID], Table1[[#This Row],[Customer_ID]], Table1[Transaction_Amount])</f>
        <v>5058.2299999999987</v>
      </c>
      <c r="I1916" t="s">
        <v>1180</v>
      </c>
      <c r="J1916" t="s">
        <v>36</v>
      </c>
      <c r="K1916" t="s">
        <v>8</v>
      </c>
      <c r="L1916">
        <v>3</v>
      </c>
      <c r="M1916" t="s">
        <v>412</v>
      </c>
      <c r="N1916" t="s">
        <v>33</v>
      </c>
      <c r="O1916" t="s">
        <v>392</v>
      </c>
      <c r="P1916" s="6" t="str">
        <f>IF(Table1[[#This Row],[Transaction_Amount]]&lt;=Table1[[#This Row],[avg_transaction_amount]], "usual transaction", "unusual transaction")</f>
        <v>usual transaction</v>
      </c>
      <c r="Q1916" s="6" t="str">
        <f>IF(AND(Table1[[#This Row],[Country_of_Residence]]&lt;&gt;Table1[[#This Row],[Country_of_Transaction]], OR(Table1[[#This Row],[Authentication_Type]]="Biometric", Table1[[#This Row],[Authentication_Type]]="OTP")), "safe location transaction", "unsafe location transaction")</f>
        <v>safe location transaction</v>
      </c>
      <c r="R1916" s="6" t="str">
        <f>IF(AND(Table1[[#This Row],[Country_of_Residence]]&lt;&gt;Table1[[#This Row],[Country_of_Transaction]], OR(Table1[[#This Row],[Merchant_Category]]="Electronics", Table1[[#This Row],[Merchant_Category]]="Travel")), "unsafe merchant transaction", "safe merchant transaction")</f>
        <v>safe merchant transaction</v>
      </c>
    </row>
    <row r="1917" spans="1:18">
      <c r="A1917" t="s">
        <v>3649</v>
      </c>
      <c r="B1917" t="s">
        <v>289</v>
      </c>
      <c r="C1917">
        <v>1</v>
      </c>
      <c r="D1917" t="s">
        <v>15</v>
      </c>
      <c r="E1917" t="s">
        <v>6</v>
      </c>
      <c r="F1917" s="2">
        <v>45982</v>
      </c>
      <c r="G1917">
        <v>828.09</v>
      </c>
      <c r="H1917" s="1">
        <f>AVERAGEIF(Table1[Customer_ID], Table1[[#This Row],[Customer_ID]], Table1[Transaction_Amount])</f>
        <v>5058.2299999999987</v>
      </c>
      <c r="I1917" t="s">
        <v>1254</v>
      </c>
      <c r="J1917" t="s">
        <v>36</v>
      </c>
      <c r="K1917" t="s">
        <v>8</v>
      </c>
      <c r="L1917">
        <v>3</v>
      </c>
      <c r="M1917" t="s">
        <v>37</v>
      </c>
      <c r="N1917" t="s">
        <v>32</v>
      </c>
      <c r="O1917" t="s">
        <v>393</v>
      </c>
      <c r="P1917" s="6" t="str">
        <f>IF(Table1[[#This Row],[Transaction_Amount]]&lt;=Table1[[#This Row],[avg_transaction_amount]], "usual transaction", "unusual transaction")</f>
        <v>usual transaction</v>
      </c>
      <c r="Q1917" s="6" t="str">
        <f>IF(AND(Table1[[#This Row],[Country_of_Residence]]&lt;&gt;Table1[[#This Row],[Country_of_Transaction]], OR(Table1[[#This Row],[Authentication_Type]]="Biometric", Table1[[#This Row],[Authentication_Type]]="OTP")), "safe location transaction", "unsafe location transaction")</f>
        <v>safe location transaction</v>
      </c>
      <c r="R1917" s="6" t="str">
        <f>IF(AND(Table1[[#This Row],[Country_of_Residence]]&lt;&gt;Table1[[#This Row],[Country_of_Transaction]], OR(Table1[[#This Row],[Merchant_Category]]="Electronics", Table1[[#This Row],[Merchant_Category]]="Travel")), "unsafe merchant transaction", "safe merchant transaction")</f>
        <v>safe merchant transaction</v>
      </c>
    </row>
    <row r="1918" spans="1:18">
      <c r="A1918" t="s">
        <v>3748</v>
      </c>
      <c r="B1918" t="s">
        <v>289</v>
      </c>
      <c r="C1918">
        <v>1</v>
      </c>
      <c r="D1918" t="s">
        <v>9</v>
      </c>
      <c r="E1918" t="s">
        <v>6</v>
      </c>
      <c r="F1918" s="2">
        <v>45996</v>
      </c>
      <c r="G1918">
        <v>1070.99</v>
      </c>
      <c r="H1918" s="1">
        <f>AVERAGEIF(Table1[Customer_ID], Table1[[#This Row],[Customer_ID]], Table1[Transaction_Amount])</f>
        <v>5058.2299999999987</v>
      </c>
      <c r="I1918" t="s">
        <v>676</v>
      </c>
      <c r="J1918" t="s">
        <v>31</v>
      </c>
      <c r="K1918" t="s">
        <v>8</v>
      </c>
      <c r="L1918">
        <v>1</v>
      </c>
      <c r="M1918" t="s">
        <v>32</v>
      </c>
      <c r="N1918" t="s">
        <v>51</v>
      </c>
      <c r="O1918" t="s">
        <v>393</v>
      </c>
      <c r="P1918" s="6" t="str">
        <f>IF(Table1[[#This Row],[Transaction_Amount]]&lt;=Table1[[#This Row],[avg_transaction_amount]], "usual transaction", "unusual transaction")</f>
        <v>usual transaction</v>
      </c>
      <c r="Q1918" s="6" t="str">
        <f>IF(AND(Table1[[#This Row],[Country_of_Residence]]&lt;&gt;Table1[[#This Row],[Country_of_Transaction]], OR(Table1[[#This Row],[Authentication_Type]]="Biometric", Table1[[#This Row],[Authentication_Type]]="OTP")), "safe location transaction", "unsafe location transaction")</f>
        <v>safe location transaction</v>
      </c>
      <c r="R1918" s="6" t="str">
        <f>IF(AND(Table1[[#This Row],[Country_of_Residence]]&lt;&gt;Table1[[#This Row],[Country_of_Transaction]], OR(Table1[[#This Row],[Merchant_Category]]="Electronics", Table1[[#This Row],[Merchant_Category]]="Travel")), "unsafe merchant transaction", "safe merchant transaction")</f>
        <v>safe merchant transaction</v>
      </c>
    </row>
    <row r="1919" spans="1:18">
      <c r="A1919" t="s">
        <v>3789</v>
      </c>
      <c r="B1919" t="s">
        <v>289</v>
      </c>
      <c r="C1919">
        <v>1</v>
      </c>
      <c r="D1919" t="s">
        <v>15</v>
      </c>
      <c r="E1919" t="s">
        <v>5</v>
      </c>
      <c r="F1919" s="2">
        <v>45847</v>
      </c>
      <c r="G1919">
        <v>5366.02</v>
      </c>
      <c r="H1919" s="1">
        <f>AVERAGEIF(Table1[Customer_ID], Table1[[#This Row],[Customer_ID]], Table1[Transaction_Amount])</f>
        <v>5058.2299999999987</v>
      </c>
      <c r="I1919" t="s">
        <v>1376</v>
      </c>
      <c r="J1919" t="s">
        <v>31</v>
      </c>
      <c r="K1919" t="s">
        <v>12</v>
      </c>
      <c r="L1919">
        <v>0</v>
      </c>
      <c r="M1919" t="s">
        <v>56</v>
      </c>
      <c r="N1919" t="s">
        <v>412</v>
      </c>
      <c r="O1919" t="s">
        <v>392</v>
      </c>
      <c r="P1919" s="6" t="str">
        <f>IF(Table1[[#This Row],[Transaction_Amount]]&lt;=Table1[[#This Row],[avg_transaction_amount]], "usual transaction", "unusual transaction")</f>
        <v>unusual transaction</v>
      </c>
      <c r="Q1919" s="6" t="str">
        <f>IF(AND(Table1[[#This Row],[Country_of_Residence]]&lt;&gt;Table1[[#This Row],[Country_of_Transaction]], OR(Table1[[#This Row],[Authentication_Type]]="Biometric", Table1[[#This Row],[Authentication_Type]]="OTP")), "safe location transaction", "unsafe location transaction")</f>
        <v>unsafe location transaction</v>
      </c>
      <c r="R1919" s="6" t="str">
        <f>IF(AND(Table1[[#This Row],[Country_of_Residence]]&lt;&gt;Table1[[#This Row],[Country_of_Transaction]], OR(Table1[[#This Row],[Merchant_Category]]="Electronics", Table1[[#This Row],[Merchant_Category]]="Travel")), "unsafe merchant transaction", "safe merchant transaction")</f>
        <v>safe merchant transaction</v>
      </c>
    </row>
    <row r="1920" spans="1:18">
      <c r="A1920" t="s">
        <v>3821</v>
      </c>
      <c r="B1920" t="s">
        <v>289</v>
      </c>
      <c r="C1920">
        <v>1</v>
      </c>
      <c r="D1920" t="s">
        <v>9</v>
      </c>
      <c r="E1920" t="s">
        <v>420</v>
      </c>
      <c r="F1920" s="2">
        <v>45664</v>
      </c>
      <c r="G1920">
        <v>9436.2099999999991</v>
      </c>
      <c r="H1920" s="1">
        <f>AVERAGEIF(Table1[Customer_ID], Table1[[#This Row],[Customer_ID]], Table1[Transaction_Amount])</f>
        <v>5058.2299999999987</v>
      </c>
      <c r="I1920" t="s">
        <v>1403</v>
      </c>
      <c r="J1920" t="s">
        <v>50</v>
      </c>
      <c r="K1920" t="s">
        <v>14</v>
      </c>
      <c r="L1920">
        <v>5</v>
      </c>
      <c r="M1920" t="s">
        <v>56</v>
      </c>
      <c r="N1920" t="s">
        <v>32</v>
      </c>
      <c r="O1920" t="s">
        <v>392</v>
      </c>
      <c r="P1920" s="6" t="str">
        <f>IF(Table1[[#This Row],[Transaction_Amount]]&lt;=Table1[[#This Row],[avg_transaction_amount]], "usual transaction", "unusual transaction")</f>
        <v>unusual transaction</v>
      </c>
      <c r="Q1920" s="6" t="str">
        <f>IF(AND(Table1[[#This Row],[Country_of_Residence]]&lt;&gt;Table1[[#This Row],[Country_of_Transaction]], OR(Table1[[#This Row],[Authentication_Type]]="Biometric", Table1[[#This Row],[Authentication_Type]]="OTP")), "safe location transaction", "unsafe location transaction")</f>
        <v>unsafe location transaction</v>
      </c>
      <c r="R1920" s="6" t="str">
        <f>IF(AND(Table1[[#This Row],[Country_of_Residence]]&lt;&gt;Table1[[#This Row],[Country_of_Transaction]], OR(Table1[[#This Row],[Merchant_Category]]="Electronics", Table1[[#This Row],[Merchant_Category]]="Travel")), "unsafe merchant transaction", "safe merchant transaction")</f>
        <v>unsafe merchant transaction</v>
      </c>
    </row>
    <row r="1921" spans="1:18">
      <c r="A1921" t="s">
        <v>3822</v>
      </c>
      <c r="B1921" t="s">
        <v>289</v>
      </c>
      <c r="C1921">
        <v>1</v>
      </c>
      <c r="D1921" t="s">
        <v>15</v>
      </c>
      <c r="E1921" t="s">
        <v>5</v>
      </c>
      <c r="F1921" s="2">
        <v>45947</v>
      </c>
      <c r="G1921">
        <v>2854.88</v>
      </c>
      <c r="H1921" s="1">
        <f>AVERAGEIF(Table1[Customer_ID], Table1[[#This Row],[Customer_ID]], Table1[Transaction_Amount])</f>
        <v>5058.2299999999987</v>
      </c>
      <c r="I1921" t="s">
        <v>1333</v>
      </c>
      <c r="J1921" t="s">
        <v>31</v>
      </c>
      <c r="K1921" t="s">
        <v>8</v>
      </c>
      <c r="L1921">
        <v>2</v>
      </c>
      <c r="M1921" t="s">
        <v>56</v>
      </c>
      <c r="N1921" t="s">
        <v>55</v>
      </c>
      <c r="O1921" t="s">
        <v>392</v>
      </c>
      <c r="P1921" s="6" t="str">
        <f>IF(Table1[[#This Row],[Transaction_Amount]]&lt;=Table1[[#This Row],[avg_transaction_amount]], "usual transaction", "unusual transaction")</f>
        <v>usual transaction</v>
      </c>
      <c r="Q1921" s="6" t="str">
        <f>IF(AND(Table1[[#This Row],[Country_of_Residence]]&lt;&gt;Table1[[#This Row],[Country_of_Transaction]], OR(Table1[[#This Row],[Authentication_Type]]="Biometric", Table1[[#This Row],[Authentication_Type]]="OTP")), "safe location transaction", "unsafe location transaction")</f>
        <v>safe location transaction</v>
      </c>
      <c r="R1921" s="6" t="str">
        <f>IF(AND(Table1[[#This Row],[Country_of_Residence]]&lt;&gt;Table1[[#This Row],[Country_of_Transaction]], OR(Table1[[#This Row],[Merchant_Category]]="Electronics", Table1[[#This Row],[Merchant_Category]]="Travel")), "unsafe merchant transaction", "safe merchant transaction")</f>
        <v>safe merchant transaction</v>
      </c>
    </row>
    <row r="1922" spans="1:18">
      <c r="A1922" t="s">
        <v>3895</v>
      </c>
      <c r="B1922" t="s">
        <v>289</v>
      </c>
      <c r="C1922">
        <v>1</v>
      </c>
      <c r="D1922" t="s">
        <v>9</v>
      </c>
      <c r="E1922" t="s">
        <v>420</v>
      </c>
      <c r="F1922" s="2">
        <v>45926</v>
      </c>
      <c r="G1922">
        <v>7998.44</v>
      </c>
      <c r="H1922" s="1">
        <f>AVERAGEIF(Table1[Customer_ID], Table1[[#This Row],[Customer_ID]], Table1[Transaction_Amount])</f>
        <v>5058.2299999999987</v>
      </c>
      <c r="I1922" t="s">
        <v>1463</v>
      </c>
      <c r="J1922" t="s">
        <v>50</v>
      </c>
      <c r="K1922" t="s">
        <v>8</v>
      </c>
      <c r="L1922">
        <v>2</v>
      </c>
      <c r="M1922" t="s">
        <v>33</v>
      </c>
      <c r="N1922" t="s">
        <v>56</v>
      </c>
      <c r="O1922" t="s">
        <v>392</v>
      </c>
      <c r="P1922" s="6" t="str">
        <f>IF(Table1[[#This Row],[Transaction_Amount]]&lt;=Table1[[#This Row],[avg_transaction_amount]], "usual transaction", "unusual transaction")</f>
        <v>unusual transaction</v>
      </c>
      <c r="Q1922" s="6" t="str">
        <f>IF(AND(Table1[[#This Row],[Country_of_Residence]]&lt;&gt;Table1[[#This Row],[Country_of_Transaction]], OR(Table1[[#This Row],[Authentication_Type]]="Biometric", Table1[[#This Row],[Authentication_Type]]="OTP")), "safe location transaction", "unsafe location transaction")</f>
        <v>safe location transaction</v>
      </c>
      <c r="R1922" s="6" t="str">
        <f>IF(AND(Table1[[#This Row],[Country_of_Residence]]&lt;&gt;Table1[[#This Row],[Country_of_Transaction]], OR(Table1[[#This Row],[Merchant_Category]]="Electronics", Table1[[#This Row],[Merchant_Category]]="Travel")), "unsafe merchant transaction", "safe merchant transaction")</f>
        <v>unsafe merchant transaction</v>
      </c>
    </row>
    <row r="1923" spans="1:18">
      <c r="A1923" t="s">
        <v>3978</v>
      </c>
      <c r="B1923" t="s">
        <v>289</v>
      </c>
      <c r="C1923">
        <v>1</v>
      </c>
      <c r="D1923" t="s">
        <v>9</v>
      </c>
      <c r="E1923" t="s">
        <v>420</v>
      </c>
      <c r="F1923" s="2">
        <v>45810</v>
      </c>
      <c r="G1923">
        <v>5735.63</v>
      </c>
      <c r="H1923" s="1">
        <f>AVERAGEIF(Table1[Customer_ID], Table1[[#This Row],[Customer_ID]], Table1[Transaction_Amount])</f>
        <v>5058.2299999999987</v>
      </c>
      <c r="I1923" t="s">
        <v>1537</v>
      </c>
      <c r="J1923" t="s">
        <v>46</v>
      </c>
      <c r="K1923" t="s">
        <v>8</v>
      </c>
      <c r="L1923">
        <v>5</v>
      </c>
      <c r="M1923" t="s">
        <v>42</v>
      </c>
      <c r="N1923" t="s">
        <v>51</v>
      </c>
      <c r="O1923" t="s">
        <v>393</v>
      </c>
      <c r="P1923" s="6" t="str">
        <f>IF(Table1[[#This Row],[Transaction_Amount]]&lt;=Table1[[#This Row],[avg_transaction_amount]], "usual transaction", "unusual transaction")</f>
        <v>unusual transaction</v>
      </c>
      <c r="Q1923" s="6" t="str">
        <f>IF(AND(Table1[[#This Row],[Country_of_Residence]]&lt;&gt;Table1[[#This Row],[Country_of_Transaction]], OR(Table1[[#This Row],[Authentication_Type]]="Biometric", Table1[[#This Row],[Authentication_Type]]="OTP")), "safe location transaction", "unsafe location transaction")</f>
        <v>safe location transaction</v>
      </c>
      <c r="R1923" s="6" t="str">
        <f>IF(AND(Table1[[#This Row],[Country_of_Residence]]&lt;&gt;Table1[[#This Row],[Country_of_Transaction]], OR(Table1[[#This Row],[Merchant_Category]]="Electronics", Table1[[#This Row],[Merchant_Category]]="Travel")), "unsafe merchant transaction", "safe merchant transaction")</f>
        <v>safe merchant transaction</v>
      </c>
    </row>
    <row r="1924" spans="1:18">
      <c r="A1924" t="s">
        <v>4007</v>
      </c>
      <c r="B1924" t="s">
        <v>289</v>
      </c>
      <c r="C1924">
        <v>1</v>
      </c>
      <c r="D1924" t="s">
        <v>15</v>
      </c>
      <c r="E1924" t="s">
        <v>5</v>
      </c>
      <c r="F1924" s="2">
        <v>45980</v>
      </c>
      <c r="G1924">
        <v>607.05999999999995</v>
      </c>
      <c r="H1924" s="1">
        <f>AVERAGEIF(Table1[Customer_ID], Table1[[#This Row],[Customer_ID]], Table1[Transaction_Amount])</f>
        <v>5058.2299999999987</v>
      </c>
      <c r="I1924" t="s">
        <v>719</v>
      </c>
      <c r="J1924" t="s">
        <v>50</v>
      </c>
      <c r="K1924" t="s">
        <v>10</v>
      </c>
      <c r="L1924">
        <v>3</v>
      </c>
      <c r="M1924" t="s">
        <v>56</v>
      </c>
      <c r="N1924" t="s">
        <v>42</v>
      </c>
      <c r="O1924" t="s">
        <v>392</v>
      </c>
      <c r="P1924" s="6" t="str">
        <f>IF(Table1[[#This Row],[Transaction_Amount]]&lt;=Table1[[#This Row],[avg_transaction_amount]], "usual transaction", "unusual transaction")</f>
        <v>usual transaction</v>
      </c>
      <c r="Q1924" s="6" t="str">
        <f>IF(AND(Table1[[#This Row],[Country_of_Residence]]&lt;&gt;Table1[[#This Row],[Country_of_Transaction]], OR(Table1[[#This Row],[Authentication_Type]]="Biometric", Table1[[#This Row],[Authentication_Type]]="OTP")), "safe location transaction", "unsafe location transaction")</f>
        <v>safe location transaction</v>
      </c>
      <c r="R1924" s="6" t="str">
        <f>IF(AND(Table1[[#This Row],[Country_of_Residence]]&lt;&gt;Table1[[#This Row],[Country_of_Transaction]], OR(Table1[[#This Row],[Merchant_Category]]="Electronics", Table1[[#This Row],[Merchant_Category]]="Travel")), "unsafe merchant transaction", "safe merchant transaction")</f>
        <v>unsafe merchant transaction</v>
      </c>
    </row>
    <row r="1925" spans="1:18">
      <c r="A1925" t="s">
        <v>4020</v>
      </c>
      <c r="B1925" t="s">
        <v>289</v>
      </c>
      <c r="C1925">
        <v>1</v>
      </c>
      <c r="D1925" t="s">
        <v>15</v>
      </c>
      <c r="E1925" t="s">
        <v>5</v>
      </c>
      <c r="F1925" s="2">
        <v>45659</v>
      </c>
      <c r="G1925">
        <v>7809.86</v>
      </c>
      <c r="H1925" s="1">
        <f>AVERAGEIF(Table1[Customer_ID], Table1[[#This Row],[Customer_ID]], Table1[Transaction_Amount])</f>
        <v>5058.2299999999987</v>
      </c>
      <c r="I1925" t="s">
        <v>1576</v>
      </c>
      <c r="J1925" t="s">
        <v>46</v>
      </c>
      <c r="K1925" t="s">
        <v>10</v>
      </c>
      <c r="L1925">
        <v>5</v>
      </c>
      <c r="M1925" t="s">
        <v>42</v>
      </c>
      <c r="N1925" t="s">
        <v>42</v>
      </c>
      <c r="O1925" t="s">
        <v>392</v>
      </c>
      <c r="P1925" s="6" t="str">
        <f>IF(Table1[[#This Row],[Transaction_Amount]]&lt;=Table1[[#This Row],[avg_transaction_amount]], "usual transaction", "unusual transaction")</f>
        <v>unusual transaction</v>
      </c>
      <c r="Q1925" s="6" t="str">
        <f>IF(AND(Table1[[#This Row],[Country_of_Residence]]&lt;&gt;Table1[[#This Row],[Country_of_Transaction]], OR(Table1[[#This Row],[Authentication_Type]]="Biometric", Table1[[#This Row],[Authentication_Type]]="OTP")), "safe location transaction", "unsafe location transaction")</f>
        <v>unsafe location transaction</v>
      </c>
      <c r="R1925" s="6" t="str">
        <f>IF(AND(Table1[[#This Row],[Country_of_Residence]]&lt;&gt;Table1[[#This Row],[Country_of_Transaction]], OR(Table1[[#This Row],[Merchant_Category]]="Electronics", Table1[[#This Row],[Merchant_Category]]="Travel")), "unsafe merchant transaction", "safe merchant transaction")</f>
        <v>safe merchant transaction</v>
      </c>
    </row>
    <row r="1926" spans="1:18">
      <c r="A1926" t="s">
        <v>4033</v>
      </c>
      <c r="B1926" t="s">
        <v>289</v>
      </c>
      <c r="C1926">
        <v>1</v>
      </c>
      <c r="D1926" t="s">
        <v>9</v>
      </c>
      <c r="E1926" t="s">
        <v>3</v>
      </c>
      <c r="F1926" s="2">
        <v>45970</v>
      </c>
      <c r="G1926">
        <v>2665.35</v>
      </c>
      <c r="H1926" s="1">
        <f>AVERAGEIF(Table1[Customer_ID], Table1[[#This Row],[Customer_ID]], Table1[Transaction_Amount])</f>
        <v>5058.2299999999987</v>
      </c>
      <c r="I1926" t="s">
        <v>1589</v>
      </c>
      <c r="J1926" t="s">
        <v>50</v>
      </c>
      <c r="K1926" t="s">
        <v>14</v>
      </c>
      <c r="L1926">
        <v>1</v>
      </c>
      <c r="M1926" t="s">
        <v>412</v>
      </c>
      <c r="N1926" t="s">
        <v>55</v>
      </c>
      <c r="O1926" t="s">
        <v>393</v>
      </c>
      <c r="P1926" s="6" t="str">
        <f>IF(Table1[[#This Row],[Transaction_Amount]]&lt;=Table1[[#This Row],[avg_transaction_amount]], "usual transaction", "unusual transaction")</f>
        <v>usual transaction</v>
      </c>
      <c r="Q1926" s="6" t="str">
        <f>IF(AND(Table1[[#This Row],[Country_of_Residence]]&lt;&gt;Table1[[#This Row],[Country_of_Transaction]], OR(Table1[[#This Row],[Authentication_Type]]="Biometric", Table1[[#This Row],[Authentication_Type]]="OTP")), "safe location transaction", "unsafe location transaction")</f>
        <v>unsafe location transaction</v>
      </c>
      <c r="R1926" s="6" t="str">
        <f>IF(AND(Table1[[#This Row],[Country_of_Residence]]&lt;&gt;Table1[[#This Row],[Country_of_Transaction]], OR(Table1[[#This Row],[Merchant_Category]]="Electronics", Table1[[#This Row],[Merchant_Category]]="Travel")), "unsafe merchant transaction", "safe merchant transaction")</f>
        <v>unsafe merchant transaction</v>
      </c>
    </row>
    <row r="1927" spans="1:18">
      <c r="A1927" t="s">
        <v>4102</v>
      </c>
      <c r="B1927" t="s">
        <v>289</v>
      </c>
      <c r="C1927">
        <v>1</v>
      </c>
      <c r="D1927" t="s">
        <v>15</v>
      </c>
      <c r="E1927" t="s">
        <v>5</v>
      </c>
      <c r="F1927" s="2">
        <v>45976</v>
      </c>
      <c r="G1927">
        <v>8485.52</v>
      </c>
      <c r="H1927" s="1">
        <f>AVERAGEIF(Table1[Customer_ID], Table1[[#This Row],[Customer_ID]], Table1[Transaction_Amount])</f>
        <v>5058.2299999999987</v>
      </c>
      <c r="I1927" t="s">
        <v>1641</v>
      </c>
      <c r="J1927" t="s">
        <v>36</v>
      </c>
      <c r="K1927" t="s">
        <v>14</v>
      </c>
      <c r="L1927">
        <v>4</v>
      </c>
      <c r="M1927" t="s">
        <v>56</v>
      </c>
      <c r="N1927" t="s">
        <v>33</v>
      </c>
      <c r="O1927" t="s">
        <v>392</v>
      </c>
      <c r="P1927" s="6" t="str">
        <f>IF(Table1[[#This Row],[Transaction_Amount]]&lt;=Table1[[#This Row],[avg_transaction_amount]], "usual transaction", "unusual transaction")</f>
        <v>unusual transaction</v>
      </c>
      <c r="Q1927" s="6" t="str">
        <f>IF(AND(Table1[[#This Row],[Country_of_Residence]]&lt;&gt;Table1[[#This Row],[Country_of_Transaction]], OR(Table1[[#This Row],[Authentication_Type]]="Biometric", Table1[[#This Row],[Authentication_Type]]="OTP")), "safe location transaction", "unsafe location transaction")</f>
        <v>unsafe location transaction</v>
      </c>
      <c r="R1927" s="6" t="str">
        <f>IF(AND(Table1[[#This Row],[Country_of_Residence]]&lt;&gt;Table1[[#This Row],[Country_of_Transaction]], OR(Table1[[#This Row],[Merchant_Category]]="Electronics", Table1[[#This Row],[Merchant_Category]]="Travel")), "unsafe merchant transaction", "safe merchant transaction")</f>
        <v>safe merchant transaction</v>
      </c>
    </row>
    <row r="1928" spans="1:18">
      <c r="A1928" t="s">
        <v>4107</v>
      </c>
      <c r="B1928" t="s">
        <v>289</v>
      </c>
      <c r="C1928">
        <v>1</v>
      </c>
      <c r="D1928" t="s">
        <v>15</v>
      </c>
      <c r="E1928" t="s">
        <v>5</v>
      </c>
      <c r="F1928" s="2">
        <v>45850</v>
      </c>
      <c r="G1928">
        <v>9714.18</v>
      </c>
      <c r="H1928" s="1">
        <f>AVERAGEIF(Table1[Customer_ID], Table1[[#This Row],[Customer_ID]], Table1[Transaction_Amount])</f>
        <v>5058.2299999999987</v>
      </c>
      <c r="I1928" t="s">
        <v>1645</v>
      </c>
      <c r="J1928" t="s">
        <v>41</v>
      </c>
      <c r="K1928" t="s">
        <v>8</v>
      </c>
      <c r="L1928">
        <v>3</v>
      </c>
      <c r="M1928" t="s">
        <v>47</v>
      </c>
      <c r="N1928" t="s">
        <v>56</v>
      </c>
      <c r="O1928" t="s">
        <v>392</v>
      </c>
      <c r="P1928" s="6" t="str">
        <f>IF(Table1[[#This Row],[Transaction_Amount]]&lt;=Table1[[#This Row],[avg_transaction_amount]], "usual transaction", "unusual transaction")</f>
        <v>unusual transaction</v>
      </c>
      <c r="Q1928" s="6" t="str">
        <f>IF(AND(Table1[[#This Row],[Country_of_Residence]]&lt;&gt;Table1[[#This Row],[Country_of_Transaction]], OR(Table1[[#This Row],[Authentication_Type]]="Biometric", Table1[[#This Row],[Authentication_Type]]="OTP")), "safe location transaction", "unsafe location transaction")</f>
        <v>safe location transaction</v>
      </c>
      <c r="R1928" s="6" t="str">
        <f>IF(AND(Table1[[#This Row],[Country_of_Residence]]&lt;&gt;Table1[[#This Row],[Country_of_Transaction]], OR(Table1[[#This Row],[Merchant_Category]]="Electronics", Table1[[#This Row],[Merchant_Category]]="Travel")), "unsafe merchant transaction", "safe merchant transaction")</f>
        <v>safe merchant transaction</v>
      </c>
    </row>
    <row r="1929" spans="1:18">
      <c r="A1929" t="s">
        <v>4175</v>
      </c>
      <c r="B1929" t="s">
        <v>289</v>
      </c>
      <c r="C1929">
        <v>1</v>
      </c>
      <c r="D1929" t="s">
        <v>15</v>
      </c>
      <c r="E1929" t="s">
        <v>5</v>
      </c>
      <c r="F1929" s="2">
        <v>45947</v>
      </c>
      <c r="G1929">
        <v>5749.86</v>
      </c>
      <c r="H1929" s="1">
        <f>AVERAGEIF(Table1[Customer_ID], Table1[[#This Row],[Customer_ID]], Table1[Transaction_Amount])</f>
        <v>5058.2299999999987</v>
      </c>
      <c r="I1929" t="s">
        <v>1697</v>
      </c>
      <c r="J1929" t="s">
        <v>31</v>
      </c>
      <c r="K1929" t="s">
        <v>10</v>
      </c>
      <c r="L1929">
        <v>4</v>
      </c>
      <c r="M1929" t="s">
        <v>56</v>
      </c>
      <c r="N1929" t="s">
        <v>55</v>
      </c>
      <c r="O1929" t="s">
        <v>393</v>
      </c>
      <c r="P1929" s="6" t="str">
        <f>IF(Table1[[#This Row],[Transaction_Amount]]&lt;=Table1[[#This Row],[avg_transaction_amount]], "usual transaction", "unusual transaction")</f>
        <v>unusual transaction</v>
      </c>
      <c r="Q1929" s="6" t="str">
        <f>IF(AND(Table1[[#This Row],[Country_of_Residence]]&lt;&gt;Table1[[#This Row],[Country_of_Transaction]], OR(Table1[[#This Row],[Authentication_Type]]="Biometric", Table1[[#This Row],[Authentication_Type]]="OTP")), "safe location transaction", "unsafe location transaction")</f>
        <v>safe location transaction</v>
      </c>
      <c r="R1929" s="6" t="str">
        <f>IF(AND(Table1[[#This Row],[Country_of_Residence]]&lt;&gt;Table1[[#This Row],[Country_of_Transaction]], OR(Table1[[#This Row],[Merchant_Category]]="Electronics", Table1[[#This Row],[Merchant_Category]]="Travel")), "unsafe merchant transaction", "safe merchant transaction")</f>
        <v>safe merchant transaction</v>
      </c>
    </row>
    <row r="1930" spans="1:18">
      <c r="A1930" t="s">
        <v>4236</v>
      </c>
      <c r="B1930" t="s">
        <v>289</v>
      </c>
      <c r="C1930">
        <v>1</v>
      </c>
      <c r="D1930" t="s">
        <v>9</v>
      </c>
      <c r="E1930" t="s">
        <v>5</v>
      </c>
      <c r="F1930" s="2">
        <v>45830</v>
      </c>
      <c r="G1930">
        <v>3510.09</v>
      </c>
      <c r="H1930" s="1">
        <f>AVERAGEIF(Table1[Customer_ID], Table1[[#This Row],[Customer_ID]], Table1[Transaction_Amount])</f>
        <v>5058.2299999999987</v>
      </c>
      <c r="I1930" t="s">
        <v>873</v>
      </c>
      <c r="J1930" t="s">
        <v>46</v>
      </c>
      <c r="K1930" t="s">
        <v>10</v>
      </c>
      <c r="L1930">
        <v>1</v>
      </c>
      <c r="M1930" t="s">
        <v>412</v>
      </c>
      <c r="N1930" t="s">
        <v>412</v>
      </c>
      <c r="O1930" t="s">
        <v>393</v>
      </c>
      <c r="P1930" s="6" t="str">
        <f>IF(Table1[[#This Row],[Transaction_Amount]]&lt;=Table1[[#This Row],[avg_transaction_amount]], "usual transaction", "unusual transaction")</f>
        <v>usual transaction</v>
      </c>
      <c r="Q1930" s="6" t="str">
        <f>IF(AND(Table1[[#This Row],[Country_of_Residence]]&lt;&gt;Table1[[#This Row],[Country_of_Transaction]], OR(Table1[[#This Row],[Authentication_Type]]="Biometric", Table1[[#This Row],[Authentication_Type]]="OTP")), "safe location transaction", "unsafe location transaction")</f>
        <v>unsafe location transaction</v>
      </c>
      <c r="R1930" s="6" t="str">
        <f>IF(AND(Table1[[#This Row],[Country_of_Residence]]&lt;&gt;Table1[[#This Row],[Country_of_Transaction]], OR(Table1[[#This Row],[Merchant_Category]]="Electronics", Table1[[#This Row],[Merchant_Category]]="Travel")), "unsafe merchant transaction", "safe merchant transaction")</f>
        <v>safe merchant transaction</v>
      </c>
    </row>
    <row r="1931" spans="1:18">
      <c r="A1931" t="s">
        <v>4315</v>
      </c>
      <c r="B1931" t="s">
        <v>289</v>
      </c>
      <c r="C1931">
        <v>1</v>
      </c>
      <c r="D1931" t="s">
        <v>15</v>
      </c>
      <c r="E1931" t="s">
        <v>3</v>
      </c>
      <c r="F1931" s="2">
        <v>45765</v>
      </c>
      <c r="G1931">
        <v>1092.8699999999999</v>
      </c>
      <c r="H1931" s="1">
        <f>AVERAGEIF(Table1[Customer_ID], Table1[[#This Row],[Customer_ID]], Table1[Transaction_Amount])</f>
        <v>5058.2299999999987</v>
      </c>
      <c r="I1931" t="s">
        <v>1823</v>
      </c>
      <c r="J1931" t="s">
        <v>50</v>
      </c>
      <c r="K1931" t="s">
        <v>8</v>
      </c>
      <c r="L1931">
        <v>4</v>
      </c>
      <c r="M1931" t="s">
        <v>32</v>
      </c>
      <c r="N1931" t="s">
        <v>32</v>
      </c>
      <c r="O1931" t="s">
        <v>392</v>
      </c>
      <c r="P1931" s="6" t="str">
        <f>IF(Table1[[#This Row],[Transaction_Amount]]&lt;=Table1[[#This Row],[avg_transaction_amount]], "usual transaction", "unusual transaction")</f>
        <v>usual transaction</v>
      </c>
      <c r="Q1931" s="6" t="str">
        <f>IF(AND(Table1[[#This Row],[Country_of_Residence]]&lt;&gt;Table1[[#This Row],[Country_of_Transaction]], OR(Table1[[#This Row],[Authentication_Type]]="Biometric", Table1[[#This Row],[Authentication_Type]]="OTP")), "safe location transaction", "unsafe location transaction")</f>
        <v>unsafe location transaction</v>
      </c>
      <c r="R1931" s="6" t="str">
        <f>IF(AND(Table1[[#This Row],[Country_of_Residence]]&lt;&gt;Table1[[#This Row],[Country_of_Transaction]], OR(Table1[[#This Row],[Merchant_Category]]="Electronics", Table1[[#This Row],[Merchant_Category]]="Travel")), "unsafe merchant transaction", "safe merchant transaction")</f>
        <v>safe merchant transaction</v>
      </c>
    </row>
    <row r="1932" spans="1:18">
      <c r="A1932" t="s">
        <v>4455</v>
      </c>
      <c r="B1932" t="s">
        <v>289</v>
      </c>
      <c r="C1932">
        <v>1</v>
      </c>
      <c r="D1932" t="s">
        <v>15</v>
      </c>
      <c r="E1932" t="s">
        <v>6</v>
      </c>
      <c r="F1932" s="2">
        <v>45889</v>
      </c>
      <c r="G1932">
        <v>7478.12</v>
      </c>
      <c r="H1932" s="1">
        <f>AVERAGEIF(Table1[Customer_ID], Table1[[#This Row],[Customer_ID]], Table1[Transaction_Amount])</f>
        <v>5058.2299999999987</v>
      </c>
      <c r="I1932" t="s">
        <v>1949</v>
      </c>
      <c r="J1932" t="s">
        <v>41</v>
      </c>
      <c r="K1932" t="s">
        <v>10</v>
      </c>
      <c r="L1932">
        <v>0</v>
      </c>
      <c r="M1932" t="s">
        <v>33</v>
      </c>
      <c r="N1932" t="s">
        <v>37</v>
      </c>
      <c r="O1932" t="s">
        <v>393</v>
      </c>
      <c r="P1932" s="6" t="str">
        <f>IF(Table1[[#This Row],[Transaction_Amount]]&lt;=Table1[[#This Row],[avg_transaction_amount]], "usual transaction", "unusual transaction")</f>
        <v>unusual transaction</v>
      </c>
      <c r="Q1932" s="6" t="str">
        <f>IF(AND(Table1[[#This Row],[Country_of_Residence]]&lt;&gt;Table1[[#This Row],[Country_of_Transaction]], OR(Table1[[#This Row],[Authentication_Type]]="Biometric", Table1[[#This Row],[Authentication_Type]]="OTP")), "safe location transaction", "unsafe location transaction")</f>
        <v>safe location transaction</v>
      </c>
      <c r="R1932" s="6" t="str">
        <f>IF(AND(Table1[[#This Row],[Country_of_Residence]]&lt;&gt;Table1[[#This Row],[Country_of_Transaction]], OR(Table1[[#This Row],[Merchant_Category]]="Electronics", Table1[[#This Row],[Merchant_Category]]="Travel")), "unsafe merchant transaction", "safe merchant transaction")</f>
        <v>safe merchant transaction</v>
      </c>
    </row>
    <row r="1933" spans="1:18">
      <c r="A1933" t="s">
        <v>4470</v>
      </c>
      <c r="B1933" t="s">
        <v>289</v>
      </c>
      <c r="C1933">
        <v>1</v>
      </c>
      <c r="D1933" t="s">
        <v>15</v>
      </c>
      <c r="E1933" t="s">
        <v>5</v>
      </c>
      <c r="F1933" s="2">
        <v>45811</v>
      </c>
      <c r="G1933">
        <v>1697.76</v>
      </c>
      <c r="H1933" s="1">
        <f>AVERAGEIF(Table1[Customer_ID], Table1[[#This Row],[Customer_ID]], Table1[Transaction_Amount])</f>
        <v>5058.2299999999987</v>
      </c>
      <c r="I1933" t="s">
        <v>1962</v>
      </c>
      <c r="J1933" t="s">
        <v>31</v>
      </c>
      <c r="K1933" t="s">
        <v>10</v>
      </c>
      <c r="L1933">
        <v>3</v>
      </c>
      <c r="M1933" t="s">
        <v>42</v>
      </c>
      <c r="N1933" t="s">
        <v>33</v>
      </c>
      <c r="O1933" t="s">
        <v>393</v>
      </c>
      <c r="P1933" s="6" t="str">
        <f>IF(Table1[[#This Row],[Transaction_Amount]]&lt;=Table1[[#This Row],[avg_transaction_amount]], "usual transaction", "unusual transaction")</f>
        <v>usual transaction</v>
      </c>
      <c r="Q1933" s="6" t="str">
        <f>IF(AND(Table1[[#This Row],[Country_of_Residence]]&lt;&gt;Table1[[#This Row],[Country_of_Transaction]], OR(Table1[[#This Row],[Authentication_Type]]="Biometric", Table1[[#This Row],[Authentication_Type]]="OTP")), "safe location transaction", "unsafe location transaction")</f>
        <v>safe location transaction</v>
      </c>
      <c r="R1933" s="6" t="str">
        <f>IF(AND(Table1[[#This Row],[Country_of_Residence]]&lt;&gt;Table1[[#This Row],[Country_of_Transaction]], OR(Table1[[#This Row],[Merchant_Category]]="Electronics", Table1[[#This Row],[Merchant_Category]]="Travel")), "unsafe merchant transaction", "safe merchant transaction")</f>
        <v>safe merchant transaction</v>
      </c>
    </row>
    <row r="1934" spans="1:18">
      <c r="A1934" t="s">
        <v>4493</v>
      </c>
      <c r="B1934" t="s">
        <v>289</v>
      </c>
      <c r="C1934">
        <v>1</v>
      </c>
      <c r="D1934" t="s">
        <v>15</v>
      </c>
      <c r="E1934" t="s">
        <v>6</v>
      </c>
      <c r="F1934" s="2">
        <v>45810</v>
      </c>
      <c r="G1934">
        <v>4868.58</v>
      </c>
      <c r="H1934" s="1">
        <f>AVERAGEIF(Table1[Customer_ID], Table1[[#This Row],[Customer_ID]], Table1[Transaction_Amount])</f>
        <v>5058.2299999999987</v>
      </c>
      <c r="I1934" t="s">
        <v>1981</v>
      </c>
      <c r="J1934" t="s">
        <v>50</v>
      </c>
      <c r="K1934" t="s">
        <v>14</v>
      </c>
      <c r="L1934">
        <v>2</v>
      </c>
      <c r="M1934" t="s">
        <v>47</v>
      </c>
      <c r="N1934" t="s">
        <v>37</v>
      </c>
      <c r="O1934" t="s">
        <v>392</v>
      </c>
      <c r="P1934" s="6" t="str">
        <f>IF(Table1[[#This Row],[Transaction_Amount]]&lt;=Table1[[#This Row],[avg_transaction_amount]], "usual transaction", "unusual transaction")</f>
        <v>usual transaction</v>
      </c>
      <c r="Q1934" s="6" t="str">
        <f>IF(AND(Table1[[#This Row],[Country_of_Residence]]&lt;&gt;Table1[[#This Row],[Country_of_Transaction]], OR(Table1[[#This Row],[Authentication_Type]]="Biometric", Table1[[#This Row],[Authentication_Type]]="OTP")), "safe location transaction", "unsafe location transaction")</f>
        <v>unsafe location transaction</v>
      </c>
      <c r="R1934" s="6" t="str">
        <f>IF(AND(Table1[[#This Row],[Country_of_Residence]]&lt;&gt;Table1[[#This Row],[Country_of_Transaction]], OR(Table1[[#This Row],[Merchant_Category]]="Electronics", Table1[[#This Row],[Merchant_Category]]="Travel")), "unsafe merchant transaction", "safe merchant transaction")</f>
        <v>unsafe merchant transaction</v>
      </c>
    </row>
    <row r="1935" spans="1:18">
      <c r="A1935" t="s">
        <v>4570</v>
      </c>
      <c r="B1935" t="s">
        <v>289</v>
      </c>
      <c r="C1935">
        <v>1</v>
      </c>
      <c r="D1935" t="s">
        <v>15</v>
      </c>
      <c r="E1935" t="s">
        <v>5</v>
      </c>
      <c r="F1935" s="2">
        <v>45839</v>
      </c>
      <c r="G1935">
        <v>7840.26</v>
      </c>
      <c r="H1935" s="1">
        <f>AVERAGEIF(Table1[Customer_ID], Table1[[#This Row],[Customer_ID]], Table1[Transaction_Amount])</f>
        <v>5058.2299999999987</v>
      </c>
      <c r="I1935" t="s">
        <v>2043</v>
      </c>
      <c r="J1935" t="s">
        <v>31</v>
      </c>
      <c r="K1935" t="s">
        <v>8</v>
      </c>
      <c r="L1935">
        <v>3</v>
      </c>
      <c r="M1935" t="s">
        <v>55</v>
      </c>
      <c r="N1935" t="s">
        <v>32</v>
      </c>
      <c r="O1935" t="s">
        <v>392</v>
      </c>
      <c r="P1935" s="6" t="str">
        <f>IF(Table1[[#This Row],[Transaction_Amount]]&lt;=Table1[[#This Row],[avg_transaction_amount]], "usual transaction", "unusual transaction")</f>
        <v>unusual transaction</v>
      </c>
      <c r="Q1935" s="6" t="str">
        <f>IF(AND(Table1[[#This Row],[Country_of_Residence]]&lt;&gt;Table1[[#This Row],[Country_of_Transaction]], OR(Table1[[#This Row],[Authentication_Type]]="Biometric", Table1[[#This Row],[Authentication_Type]]="OTP")), "safe location transaction", "unsafe location transaction")</f>
        <v>safe location transaction</v>
      </c>
      <c r="R1935" s="6" t="str">
        <f>IF(AND(Table1[[#This Row],[Country_of_Residence]]&lt;&gt;Table1[[#This Row],[Country_of_Transaction]], OR(Table1[[#This Row],[Merchant_Category]]="Electronics", Table1[[#This Row],[Merchant_Category]]="Travel")), "unsafe merchant transaction", "safe merchant transaction")</f>
        <v>safe merchant transaction</v>
      </c>
    </row>
    <row r="1936" spans="1:18">
      <c r="A1936" t="s">
        <v>4670</v>
      </c>
      <c r="B1936" t="s">
        <v>289</v>
      </c>
      <c r="C1936">
        <v>1</v>
      </c>
      <c r="D1936" t="s">
        <v>9</v>
      </c>
      <c r="E1936" t="s">
        <v>3</v>
      </c>
      <c r="F1936" s="2">
        <v>45856</v>
      </c>
      <c r="G1936">
        <v>1437.64</v>
      </c>
      <c r="H1936" s="1">
        <f>AVERAGEIF(Table1[Customer_ID], Table1[[#This Row],[Customer_ID]], Table1[Transaction_Amount])</f>
        <v>5058.2299999999987</v>
      </c>
      <c r="I1936" t="s">
        <v>2126</v>
      </c>
      <c r="J1936" t="s">
        <v>36</v>
      </c>
      <c r="K1936" t="s">
        <v>8</v>
      </c>
      <c r="L1936">
        <v>2</v>
      </c>
      <c r="M1936" t="s">
        <v>42</v>
      </c>
      <c r="N1936" t="s">
        <v>56</v>
      </c>
      <c r="O1936" t="s">
        <v>393</v>
      </c>
      <c r="P1936" s="6" t="str">
        <f>IF(Table1[[#This Row],[Transaction_Amount]]&lt;=Table1[[#This Row],[avg_transaction_amount]], "usual transaction", "unusual transaction")</f>
        <v>usual transaction</v>
      </c>
      <c r="Q1936" s="6" t="str">
        <f>IF(AND(Table1[[#This Row],[Country_of_Residence]]&lt;&gt;Table1[[#This Row],[Country_of_Transaction]], OR(Table1[[#This Row],[Authentication_Type]]="Biometric", Table1[[#This Row],[Authentication_Type]]="OTP")), "safe location transaction", "unsafe location transaction")</f>
        <v>safe location transaction</v>
      </c>
      <c r="R1936" s="6" t="str">
        <f>IF(AND(Table1[[#This Row],[Country_of_Residence]]&lt;&gt;Table1[[#This Row],[Country_of_Transaction]], OR(Table1[[#This Row],[Merchant_Category]]="Electronics", Table1[[#This Row],[Merchant_Category]]="Travel")), "unsafe merchant transaction", "safe merchant transaction")</f>
        <v>safe merchant transaction</v>
      </c>
    </row>
    <row r="1937" spans="1:18">
      <c r="A1937" t="s">
        <v>4687</v>
      </c>
      <c r="B1937" t="s">
        <v>289</v>
      </c>
      <c r="C1937">
        <v>1</v>
      </c>
      <c r="D1937" t="s">
        <v>9</v>
      </c>
      <c r="E1937" t="s">
        <v>3</v>
      </c>
      <c r="F1937" s="2">
        <v>45907</v>
      </c>
      <c r="G1937">
        <v>9317.4</v>
      </c>
      <c r="H1937" s="1">
        <f>AVERAGEIF(Table1[Customer_ID], Table1[[#This Row],[Customer_ID]], Table1[Transaction_Amount])</f>
        <v>5058.2299999999987</v>
      </c>
      <c r="I1937" t="s">
        <v>2137</v>
      </c>
      <c r="J1937" t="s">
        <v>50</v>
      </c>
      <c r="K1937" t="s">
        <v>10</v>
      </c>
      <c r="L1937">
        <v>0</v>
      </c>
      <c r="M1937" t="s">
        <v>412</v>
      </c>
      <c r="N1937" t="s">
        <v>42</v>
      </c>
      <c r="O1937" t="s">
        <v>393</v>
      </c>
      <c r="P1937" s="6" t="str">
        <f>IF(Table1[[#This Row],[Transaction_Amount]]&lt;=Table1[[#This Row],[avg_transaction_amount]], "usual transaction", "unusual transaction")</f>
        <v>unusual transaction</v>
      </c>
      <c r="Q1937" s="6" t="str">
        <f>IF(AND(Table1[[#This Row],[Country_of_Residence]]&lt;&gt;Table1[[#This Row],[Country_of_Transaction]], OR(Table1[[#This Row],[Authentication_Type]]="Biometric", Table1[[#This Row],[Authentication_Type]]="OTP")), "safe location transaction", "unsafe location transaction")</f>
        <v>safe location transaction</v>
      </c>
      <c r="R1937" s="6" t="str">
        <f>IF(AND(Table1[[#This Row],[Country_of_Residence]]&lt;&gt;Table1[[#This Row],[Country_of_Transaction]], OR(Table1[[#This Row],[Merchant_Category]]="Electronics", Table1[[#This Row],[Merchant_Category]]="Travel")), "unsafe merchant transaction", "safe merchant transaction")</f>
        <v>unsafe merchant transaction</v>
      </c>
    </row>
    <row r="1938" spans="1:18">
      <c r="A1938" t="s">
        <v>4689</v>
      </c>
      <c r="B1938" t="s">
        <v>289</v>
      </c>
      <c r="C1938">
        <v>1</v>
      </c>
      <c r="D1938" t="s">
        <v>9</v>
      </c>
      <c r="E1938" t="s">
        <v>420</v>
      </c>
      <c r="F1938" s="2">
        <v>45882</v>
      </c>
      <c r="G1938">
        <v>9778.77</v>
      </c>
      <c r="H1938" s="1">
        <f>AVERAGEIF(Table1[Customer_ID], Table1[[#This Row],[Customer_ID]], Table1[Transaction_Amount])</f>
        <v>5058.2299999999987</v>
      </c>
      <c r="I1938" t="s">
        <v>2139</v>
      </c>
      <c r="J1938" t="s">
        <v>46</v>
      </c>
      <c r="K1938" t="s">
        <v>12</v>
      </c>
      <c r="L1938">
        <v>1</v>
      </c>
      <c r="M1938" t="s">
        <v>56</v>
      </c>
      <c r="N1938" t="s">
        <v>32</v>
      </c>
      <c r="O1938" t="s">
        <v>393</v>
      </c>
      <c r="P1938" s="6" t="str">
        <f>IF(Table1[[#This Row],[Transaction_Amount]]&lt;=Table1[[#This Row],[avg_transaction_amount]], "usual transaction", "unusual transaction")</f>
        <v>unusual transaction</v>
      </c>
      <c r="Q1938" s="6" t="str">
        <f>IF(AND(Table1[[#This Row],[Country_of_Residence]]&lt;&gt;Table1[[#This Row],[Country_of_Transaction]], OR(Table1[[#This Row],[Authentication_Type]]="Biometric", Table1[[#This Row],[Authentication_Type]]="OTP")), "safe location transaction", "unsafe location transaction")</f>
        <v>unsafe location transaction</v>
      </c>
      <c r="R1938" s="6" t="str">
        <f>IF(AND(Table1[[#This Row],[Country_of_Residence]]&lt;&gt;Table1[[#This Row],[Country_of_Transaction]], OR(Table1[[#This Row],[Merchant_Category]]="Electronics", Table1[[#This Row],[Merchant_Category]]="Travel")), "unsafe merchant transaction", "safe merchant transaction")</f>
        <v>safe merchant transaction</v>
      </c>
    </row>
    <row r="1939" spans="1:18">
      <c r="A1939" t="s">
        <v>4805</v>
      </c>
      <c r="B1939" t="s">
        <v>289</v>
      </c>
      <c r="C1939">
        <v>1</v>
      </c>
      <c r="D1939" t="s">
        <v>9</v>
      </c>
      <c r="E1939" t="s">
        <v>420</v>
      </c>
      <c r="F1939" s="2">
        <v>45666</v>
      </c>
      <c r="G1939">
        <v>9630.57</v>
      </c>
      <c r="H1939" s="1">
        <f>AVERAGEIF(Table1[Customer_ID], Table1[[#This Row],[Customer_ID]], Table1[Transaction_Amount])</f>
        <v>5058.2299999999987</v>
      </c>
      <c r="I1939" t="s">
        <v>2226</v>
      </c>
      <c r="J1939" t="s">
        <v>36</v>
      </c>
      <c r="K1939" t="s">
        <v>10</v>
      </c>
      <c r="L1939">
        <v>3</v>
      </c>
      <c r="M1939" t="s">
        <v>412</v>
      </c>
      <c r="N1939" t="s">
        <v>32</v>
      </c>
      <c r="O1939" t="s">
        <v>393</v>
      </c>
      <c r="P1939" s="6" t="str">
        <f>IF(Table1[[#This Row],[Transaction_Amount]]&lt;=Table1[[#This Row],[avg_transaction_amount]], "usual transaction", "unusual transaction")</f>
        <v>unusual transaction</v>
      </c>
      <c r="Q1939" s="6" t="str">
        <f>IF(AND(Table1[[#This Row],[Country_of_Residence]]&lt;&gt;Table1[[#This Row],[Country_of_Transaction]], OR(Table1[[#This Row],[Authentication_Type]]="Biometric", Table1[[#This Row],[Authentication_Type]]="OTP")), "safe location transaction", "unsafe location transaction")</f>
        <v>safe location transaction</v>
      </c>
      <c r="R1939" s="6" t="str">
        <f>IF(AND(Table1[[#This Row],[Country_of_Residence]]&lt;&gt;Table1[[#This Row],[Country_of_Transaction]], OR(Table1[[#This Row],[Merchant_Category]]="Electronics", Table1[[#This Row],[Merchant_Category]]="Travel")), "unsafe merchant transaction", "safe merchant transaction")</f>
        <v>safe merchant transaction</v>
      </c>
    </row>
    <row r="1940" spans="1:18">
      <c r="A1940" t="s">
        <v>4857</v>
      </c>
      <c r="B1940" t="s">
        <v>289</v>
      </c>
      <c r="C1940">
        <v>1</v>
      </c>
      <c r="D1940" t="s">
        <v>15</v>
      </c>
      <c r="E1940" t="s">
        <v>3</v>
      </c>
      <c r="F1940" s="2">
        <v>45927</v>
      </c>
      <c r="G1940">
        <v>9067.02</v>
      </c>
      <c r="H1940" s="1">
        <f>AVERAGEIF(Table1[Customer_ID], Table1[[#This Row],[Customer_ID]], Table1[Transaction_Amount])</f>
        <v>5058.2299999999987</v>
      </c>
      <c r="I1940" t="s">
        <v>595</v>
      </c>
      <c r="J1940" t="s">
        <v>46</v>
      </c>
      <c r="K1940" t="s">
        <v>14</v>
      </c>
      <c r="L1940">
        <v>1</v>
      </c>
      <c r="M1940" t="s">
        <v>412</v>
      </c>
      <c r="N1940" t="s">
        <v>56</v>
      </c>
      <c r="O1940" t="s">
        <v>393</v>
      </c>
      <c r="P1940" s="6" t="str">
        <f>IF(Table1[[#This Row],[Transaction_Amount]]&lt;=Table1[[#This Row],[avg_transaction_amount]], "usual transaction", "unusual transaction")</f>
        <v>unusual transaction</v>
      </c>
      <c r="Q1940" s="6" t="str">
        <f>IF(AND(Table1[[#This Row],[Country_of_Residence]]&lt;&gt;Table1[[#This Row],[Country_of_Transaction]], OR(Table1[[#This Row],[Authentication_Type]]="Biometric", Table1[[#This Row],[Authentication_Type]]="OTP")), "safe location transaction", "unsafe location transaction")</f>
        <v>unsafe location transaction</v>
      </c>
      <c r="R1940" s="6" t="str">
        <f>IF(AND(Table1[[#This Row],[Country_of_Residence]]&lt;&gt;Table1[[#This Row],[Country_of_Transaction]], OR(Table1[[#This Row],[Merchant_Category]]="Electronics", Table1[[#This Row],[Merchant_Category]]="Travel")), "unsafe merchant transaction", "safe merchant transaction")</f>
        <v>safe merchant transaction</v>
      </c>
    </row>
    <row r="1941" spans="1:18">
      <c r="A1941" t="s">
        <v>4861</v>
      </c>
      <c r="B1941" t="s">
        <v>289</v>
      </c>
      <c r="C1941">
        <v>1</v>
      </c>
      <c r="D1941" t="s">
        <v>15</v>
      </c>
      <c r="E1941" t="s">
        <v>420</v>
      </c>
      <c r="F1941" s="2">
        <v>45885</v>
      </c>
      <c r="G1941">
        <v>3888.43</v>
      </c>
      <c r="H1941" s="1">
        <f>AVERAGEIF(Table1[Customer_ID], Table1[[#This Row],[Customer_ID]], Table1[Transaction_Amount])</f>
        <v>5058.2299999999987</v>
      </c>
      <c r="I1941" t="s">
        <v>2268</v>
      </c>
      <c r="J1941" t="s">
        <v>31</v>
      </c>
      <c r="K1941" t="s">
        <v>8</v>
      </c>
      <c r="L1941">
        <v>3</v>
      </c>
      <c r="M1941" t="s">
        <v>37</v>
      </c>
      <c r="N1941" t="s">
        <v>51</v>
      </c>
      <c r="O1941" t="s">
        <v>392</v>
      </c>
      <c r="P1941" s="6" t="str">
        <f>IF(Table1[[#This Row],[Transaction_Amount]]&lt;=Table1[[#This Row],[avg_transaction_amount]], "usual transaction", "unusual transaction")</f>
        <v>usual transaction</v>
      </c>
      <c r="Q1941" s="6" t="str">
        <f>IF(AND(Table1[[#This Row],[Country_of_Residence]]&lt;&gt;Table1[[#This Row],[Country_of_Transaction]], OR(Table1[[#This Row],[Authentication_Type]]="Biometric", Table1[[#This Row],[Authentication_Type]]="OTP")), "safe location transaction", "unsafe location transaction")</f>
        <v>safe location transaction</v>
      </c>
      <c r="R1941" s="6" t="str">
        <f>IF(AND(Table1[[#This Row],[Country_of_Residence]]&lt;&gt;Table1[[#This Row],[Country_of_Transaction]], OR(Table1[[#This Row],[Merchant_Category]]="Electronics", Table1[[#This Row],[Merchant_Category]]="Travel")), "unsafe merchant transaction", "safe merchant transaction")</f>
        <v>safe merchant transaction</v>
      </c>
    </row>
    <row r="1942" spans="1:18">
      <c r="A1942" t="s">
        <v>4920</v>
      </c>
      <c r="B1942" t="s">
        <v>289</v>
      </c>
      <c r="C1942">
        <v>1</v>
      </c>
      <c r="D1942" t="s">
        <v>9</v>
      </c>
      <c r="E1942" t="s">
        <v>3</v>
      </c>
      <c r="F1942" s="2">
        <v>45977</v>
      </c>
      <c r="G1942">
        <v>1365.56</v>
      </c>
      <c r="H1942" s="1">
        <f>AVERAGEIF(Table1[Customer_ID], Table1[[#This Row],[Customer_ID]], Table1[Transaction_Amount])</f>
        <v>5058.2299999999987</v>
      </c>
      <c r="I1942" t="s">
        <v>2315</v>
      </c>
      <c r="J1942" t="s">
        <v>36</v>
      </c>
      <c r="K1942" t="s">
        <v>8</v>
      </c>
      <c r="L1942">
        <v>4</v>
      </c>
      <c r="M1942" t="s">
        <v>51</v>
      </c>
      <c r="N1942" t="s">
        <v>47</v>
      </c>
      <c r="O1942" t="s">
        <v>392</v>
      </c>
      <c r="P1942" s="6" t="str">
        <f>IF(Table1[[#This Row],[Transaction_Amount]]&lt;=Table1[[#This Row],[avg_transaction_amount]], "usual transaction", "unusual transaction")</f>
        <v>usual transaction</v>
      </c>
      <c r="Q1942" s="6" t="str">
        <f>IF(AND(Table1[[#This Row],[Country_of_Residence]]&lt;&gt;Table1[[#This Row],[Country_of_Transaction]], OR(Table1[[#This Row],[Authentication_Type]]="Biometric", Table1[[#This Row],[Authentication_Type]]="OTP")), "safe location transaction", "unsafe location transaction")</f>
        <v>safe location transaction</v>
      </c>
      <c r="R1942" s="6" t="str">
        <f>IF(AND(Table1[[#This Row],[Country_of_Residence]]&lt;&gt;Table1[[#This Row],[Country_of_Transaction]], OR(Table1[[#This Row],[Merchant_Category]]="Electronics", Table1[[#This Row],[Merchant_Category]]="Travel")), "unsafe merchant transaction", "safe merchant transaction")</f>
        <v>safe merchant transaction</v>
      </c>
    </row>
    <row r="1943" spans="1:18">
      <c r="A1943" t="s">
        <v>4926</v>
      </c>
      <c r="B1943" t="s">
        <v>289</v>
      </c>
      <c r="C1943">
        <v>1</v>
      </c>
      <c r="D1943" t="s">
        <v>9</v>
      </c>
      <c r="E1943" t="s">
        <v>420</v>
      </c>
      <c r="F1943" s="2">
        <v>45832</v>
      </c>
      <c r="G1943">
        <v>8863.52</v>
      </c>
      <c r="H1943" s="1">
        <f>AVERAGEIF(Table1[Customer_ID], Table1[[#This Row],[Customer_ID]], Table1[Transaction_Amount])</f>
        <v>5058.2299999999987</v>
      </c>
      <c r="I1943" t="s">
        <v>2321</v>
      </c>
      <c r="J1943" t="s">
        <v>31</v>
      </c>
      <c r="K1943" t="s">
        <v>10</v>
      </c>
      <c r="L1943">
        <v>2</v>
      </c>
      <c r="M1943" t="s">
        <v>42</v>
      </c>
      <c r="N1943" t="s">
        <v>51</v>
      </c>
      <c r="O1943" t="s">
        <v>393</v>
      </c>
      <c r="P1943" s="6" t="str">
        <f>IF(Table1[[#This Row],[Transaction_Amount]]&lt;=Table1[[#This Row],[avg_transaction_amount]], "usual transaction", "unusual transaction")</f>
        <v>unusual transaction</v>
      </c>
      <c r="Q1943" s="6" t="str">
        <f>IF(AND(Table1[[#This Row],[Country_of_Residence]]&lt;&gt;Table1[[#This Row],[Country_of_Transaction]], OR(Table1[[#This Row],[Authentication_Type]]="Biometric", Table1[[#This Row],[Authentication_Type]]="OTP")), "safe location transaction", "unsafe location transaction")</f>
        <v>safe location transaction</v>
      </c>
      <c r="R1943" s="6" t="str">
        <f>IF(AND(Table1[[#This Row],[Country_of_Residence]]&lt;&gt;Table1[[#This Row],[Country_of_Transaction]], OR(Table1[[#This Row],[Merchant_Category]]="Electronics", Table1[[#This Row],[Merchant_Category]]="Travel")), "unsafe merchant transaction", "safe merchant transaction")</f>
        <v>safe merchant transaction</v>
      </c>
    </row>
    <row r="1944" spans="1:18">
      <c r="A1944" t="s">
        <v>4951</v>
      </c>
      <c r="B1944" t="s">
        <v>289</v>
      </c>
      <c r="C1944">
        <v>1</v>
      </c>
      <c r="D1944" t="s">
        <v>15</v>
      </c>
      <c r="E1944" t="s">
        <v>6</v>
      </c>
      <c r="F1944" s="2">
        <v>45826</v>
      </c>
      <c r="G1944">
        <v>2695.66</v>
      </c>
      <c r="H1944" s="1">
        <f>AVERAGEIF(Table1[Customer_ID], Table1[[#This Row],[Customer_ID]], Table1[Transaction_Amount])</f>
        <v>5058.2299999999987</v>
      </c>
      <c r="I1944" t="s">
        <v>2342</v>
      </c>
      <c r="J1944" t="s">
        <v>50</v>
      </c>
      <c r="K1944" t="s">
        <v>8</v>
      </c>
      <c r="L1944">
        <v>2</v>
      </c>
      <c r="M1944" t="s">
        <v>42</v>
      </c>
      <c r="N1944" t="s">
        <v>42</v>
      </c>
      <c r="O1944" t="s">
        <v>392</v>
      </c>
      <c r="P1944" s="6" t="str">
        <f>IF(Table1[[#This Row],[Transaction_Amount]]&lt;=Table1[[#This Row],[avg_transaction_amount]], "usual transaction", "unusual transaction")</f>
        <v>usual transaction</v>
      </c>
      <c r="Q1944" s="6" t="str">
        <f>IF(AND(Table1[[#This Row],[Country_of_Residence]]&lt;&gt;Table1[[#This Row],[Country_of_Transaction]], OR(Table1[[#This Row],[Authentication_Type]]="Biometric", Table1[[#This Row],[Authentication_Type]]="OTP")), "safe location transaction", "unsafe location transaction")</f>
        <v>unsafe location transaction</v>
      </c>
      <c r="R1944" s="6" t="str">
        <f>IF(AND(Table1[[#This Row],[Country_of_Residence]]&lt;&gt;Table1[[#This Row],[Country_of_Transaction]], OR(Table1[[#This Row],[Merchant_Category]]="Electronics", Table1[[#This Row],[Merchant_Category]]="Travel")), "unsafe merchant transaction", "safe merchant transaction")</f>
        <v>safe merchant transaction</v>
      </c>
    </row>
    <row r="1945" spans="1:18">
      <c r="A1945" t="s">
        <v>4993</v>
      </c>
      <c r="B1945" t="s">
        <v>289</v>
      </c>
      <c r="C1945">
        <v>1</v>
      </c>
      <c r="D1945" t="s">
        <v>15</v>
      </c>
      <c r="E1945" t="s">
        <v>5</v>
      </c>
      <c r="F1945" s="2">
        <v>45662</v>
      </c>
      <c r="G1945">
        <v>1081.26</v>
      </c>
      <c r="H1945" s="1">
        <f>AVERAGEIF(Table1[Customer_ID], Table1[[#This Row],[Customer_ID]], Table1[Transaction_Amount])</f>
        <v>5058.2299999999987</v>
      </c>
      <c r="I1945" t="s">
        <v>2375</v>
      </c>
      <c r="J1945" t="s">
        <v>46</v>
      </c>
      <c r="K1945" t="s">
        <v>12</v>
      </c>
      <c r="L1945">
        <v>2</v>
      </c>
      <c r="M1945" t="s">
        <v>32</v>
      </c>
      <c r="N1945" t="s">
        <v>47</v>
      </c>
      <c r="O1945" t="s">
        <v>392</v>
      </c>
      <c r="P1945" s="6" t="str">
        <f>IF(Table1[[#This Row],[Transaction_Amount]]&lt;=Table1[[#This Row],[avg_transaction_amount]], "usual transaction", "unusual transaction")</f>
        <v>usual transaction</v>
      </c>
      <c r="Q1945" s="6" t="str">
        <f>IF(AND(Table1[[#This Row],[Country_of_Residence]]&lt;&gt;Table1[[#This Row],[Country_of_Transaction]], OR(Table1[[#This Row],[Authentication_Type]]="Biometric", Table1[[#This Row],[Authentication_Type]]="OTP")), "safe location transaction", "unsafe location transaction")</f>
        <v>unsafe location transaction</v>
      </c>
      <c r="R1945" s="6" t="str">
        <f>IF(AND(Table1[[#This Row],[Country_of_Residence]]&lt;&gt;Table1[[#This Row],[Country_of_Transaction]], OR(Table1[[#This Row],[Merchant_Category]]="Electronics", Table1[[#This Row],[Merchant_Category]]="Travel")), "unsafe merchant transaction", "safe merchant transaction")</f>
        <v>safe merchant transaction</v>
      </c>
    </row>
    <row r="1946" spans="1:18">
      <c r="A1946" t="s">
        <v>4995</v>
      </c>
      <c r="B1946" t="s">
        <v>289</v>
      </c>
      <c r="C1946">
        <v>1</v>
      </c>
      <c r="D1946" t="s">
        <v>15</v>
      </c>
      <c r="E1946" t="s">
        <v>5</v>
      </c>
      <c r="F1946" s="2">
        <v>45839</v>
      </c>
      <c r="G1946">
        <v>2166.17</v>
      </c>
      <c r="H1946" s="1">
        <f>AVERAGEIF(Table1[Customer_ID], Table1[[#This Row],[Customer_ID]], Table1[Transaction_Amount])</f>
        <v>5058.2299999999987</v>
      </c>
      <c r="I1946" t="s">
        <v>2377</v>
      </c>
      <c r="J1946" t="s">
        <v>50</v>
      </c>
      <c r="K1946" t="s">
        <v>8</v>
      </c>
      <c r="L1946">
        <v>1</v>
      </c>
      <c r="M1946" t="s">
        <v>42</v>
      </c>
      <c r="N1946" t="s">
        <v>47</v>
      </c>
      <c r="O1946" t="s">
        <v>393</v>
      </c>
      <c r="P1946" s="6" t="str">
        <f>IF(Table1[[#This Row],[Transaction_Amount]]&lt;=Table1[[#This Row],[avg_transaction_amount]], "usual transaction", "unusual transaction")</f>
        <v>usual transaction</v>
      </c>
      <c r="Q1946" s="6" t="str">
        <f>IF(AND(Table1[[#This Row],[Country_of_Residence]]&lt;&gt;Table1[[#This Row],[Country_of_Transaction]], OR(Table1[[#This Row],[Authentication_Type]]="Biometric", Table1[[#This Row],[Authentication_Type]]="OTP")), "safe location transaction", "unsafe location transaction")</f>
        <v>safe location transaction</v>
      </c>
      <c r="R1946" s="6" t="str">
        <f>IF(AND(Table1[[#This Row],[Country_of_Residence]]&lt;&gt;Table1[[#This Row],[Country_of_Transaction]], OR(Table1[[#This Row],[Merchant_Category]]="Electronics", Table1[[#This Row],[Merchant_Category]]="Travel")), "unsafe merchant transaction", "safe merchant transaction")</f>
        <v>unsafe merchant transaction</v>
      </c>
    </row>
    <row r="1947" spans="1:18">
      <c r="A1947" t="s">
        <v>5041</v>
      </c>
      <c r="B1947" t="s">
        <v>289</v>
      </c>
      <c r="C1947">
        <v>1</v>
      </c>
      <c r="D1947" t="s">
        <v>15</v>
      </c>
      <c r="E1947" t="s">
        <v>3</v>
      </c>
      <c r="F1947" s="2">
        <v>45841</v>
      </c>
      <c r="G1947">
        <v>85.75</v>
      </c>
      <c r="H1947" s="1">
        <f>AVERAGEIF(Table1[Customer_ID], Table1[[#This Row],[Customer_ID]], Table1[Transaction_Amount])</f>
        <v>5058.2299999999987</v>
      </c>
      <c r="I1947" t="s">
        <v>2410</v>
      </c>
      <c r="J1947" t="s">
        <v>31</v>
      </c>
      <c r="K1947" t="s">
        <v>8</v>
      </c>
      <c r="L1947">
        <v>4</v>
      </c>
      <c r="M1947" t="s">
        <v>56</v>
      </c>
      <c r="N1947" t="s">
        <v>32</v>
      </c>
      <c r="O1947" t="s">
        <v>392</v>
      </c>
      <c r="P1947" s="6" t="str">
        <f>IF(Table1[[#This Row],[Transaction_Amount]]&lt;=Table1[[#This Row],[avg_transaction_amount]], "usual transaction", "unusual transaction")</f>
        <v>usual transaction</v>
      </c>
      <c r="Q1947" s="6" t="str">
        <f>IF(AND(Table1[[#This Row],[Country_of_Residence]]&lt;&gt;Table1[[#This Row],[Country_of_Transaction]], OR(Table1[[#This Row],[Authentication_Type]]="Biometric", Table1[[#This Row],[Authentication_Type]]="OTP")), "safe location transaction", "unsafe location transaction")</f>
        <v>safe location transaction</v>
      </c>
      <c r="R1947" s="6" t="str">
        <f>IF(AND(Table1[[#This Row],[Country_of_Residence]]&lt;&gt;Table1[[#This Row],[Country_of_Transaction]], OR(Table1[[#This Row],[Merchant_Category]]="Electronics", Table1[[#This Row],[Merchant_Category]]="Travel")), "unsafe merchant transaction", "safe merchant transaction")</f>
        <v>safe merchant transaction</v>
      </c>
    </row>
    <row r="1948" spans="1:18">
      <c r="A1948" t="s">
        <v>5093</v>
      </c>
      <c r="B1948" t="s">
        <v>289</v>
      </c>
      <c r="C1948">
        <v>1</v>
      </c>
      <c r="D1948" t="s">
        <v>15</v>
      </c>
      <c r="E1948" t="s">
        <v>5</v>
      </c>
      <c r="F1948" s="2">
        <v>45797</v>
      </c>
      <c r="G1948">
        <v>3017.83</v>
      </c>
      <c r="H1948" s="1">
        <f>AVERAGEIF(Table1[Customer_ID], Table1[[#This Row],[Customer_ID]], Table1[Transaction_Amount])</f>
        <v>5058.2299999999987</v>
      </c>
      <c r="I1948" t="s">
        <v>844</v>
      </c>
      <c r="J1948" t="s">
        <v>41</v>
      </c>
      <c r="K1948" t="s">
        <v>10</v>
      </c>
      <c r="L1948">
        <v>1</v>
      </c>
      <c r="M1948" t="s">
        <v>51</v>
      </c>
      <c r="N1948" t="s">
        <v>33</v>
      </c>
      <c r="O1948" t="s">
        <v>393</v>
      </c>
      <c r="P1948" s="6" t="str">
        <f>IF(Table1[[#This Row],[Transaction_Amount]]&lt;=Table1[[#This Row],[avg_transaction_amount]], "usual transaction", "unusual transaction")</f>
        <v>usual transaction</v>
      </c>
      <c r="Q1948" s="6" t="str">
        <f>IF(AND(Table1[[#This Row],[Country_of_Residence]]&lt;&gt;Table1[[#This Row],[Country_of_Transaction]], OR(Table1[[#This Row],[Authentication_Type]]="Biometric", Table1[[#This Row],[Authentication_Type]]="OTP")), "safe location transaction", "unsafe location transaction")</f>
        <v>safe location transaction</v>
      </c>
      <c r="R1948" s="6" t="str">
        <f>IF(AND(Table1[[#This Row],[Country_of_Residence]]&lt;&gt;Table1[[#This Row],[Country_of_Transaction]], OR(Table1[[#This Row],[Merchant_Category]]="Electronics", Table1[[#This Row],[Merchant_Category]]="Travel")), "unsafe merchant transaction", "safe merchant transaction")</f>
        <v>safe merchant transaction</v>
      </c>
    </row>
    <row r="1949" spans="1:18">
      <c r="A1949" t="s">
        <v>5148</v>
      </c>
      <c r="B1949" t="s">
        <v>289</v>
      </c>
      <c r="C1949">
        <v>1</v>
      </c>
      <c r="D1949" t="s">
        <v>15</v>
      </c>
      <c r="E1949" t="s">
        <v>5</v>
      </c>
      <c r="F1949" s="2">
        <v>45939</v>
      </c>
      <c r="G1949">
        <v>8516.6299999999992</v>
      </c>
      <c r="H1949" s="1">
        <f>AVERAGEIF(Table1[Customer_ID], Table1[[#This Row],[Customer_ID]], Table1[Transaction_Amount])</f>
        <v>5058.2299999999987</v>
      </c>
      <c r="I1949" t="s">
        <v>2486</v>
      </c>
      <c r="J1949" t="s">
        <v>50</v>
      </c>
      <c r="K1949" t="s">
        <v>14</v>
      </c>
      <c r="L1949">
        <v>0</v>
      </c>
      <c r="M1949" t="s">
        <v>55</v>
      </c>
      <c r="N1949" t="s">
        <v>32</v>
      </c>
      <c r="O1949" t="s">
        <v>393</v>
      </c>
      <c r="P1949" s="6" t="str">
        <f>IF(Table1[[#This Row],[Transaction_Amount]]&lt;=Table1[[#This Row],[avg_transaction_amount]], "usual transaction", "unusual transaction")</f>
        <v>unusual transaction</v>
      </c>
      <c r="Q1949" s="6" t="str">
        <f>IF(AND(Table1[[#This Row],[Country_of_Residence]]&lt;&gt;Table1[[#This Row],[Country_of_Transaction]], OR(Table1[[#This Row],[Authentication_Type]]="Biometric", Table1[[#This Row],[Authentication_Type]]="OTP")), "safe location transaction", "unsafe location transaction")</f>
        <v>unsafe location transaction</v>
      </c>
      <c r="R1949" s="6" t="str">
        <f>IF(AND(Table1[[#This Row],[Country_of_Residence]]&lt;&gt;Table1[[#This Row],[Country_of_Transaction]], OR(Table1[[#This Row],[Merchant_Category]]="Electronics", Table1[[#This Row],[Merchant_Category]]="Travel")), "unsafe merchant transaction", "safe merchant transaction")</f>
        <v>unsafe merchant transaction</v>
      </c>
    </row>
    <row r="1950" spans="1:18">
      <c r="A1950" t="s">
        <v>5192</v>
      </c>
      <c r="B1950" t="s">
        <v>289</v>
      </c>
      <c r="C1950">
        <v>1</v>
      </c>
      <c r="D1950" t="s">
        <v>15</v>
      </c>
      <c r="E1950" t="s">
        <v>6</v>
      </c>
      <c r="F1950" s="2">
        <v>45966</v>
      </c>
      <c r="G1950">
        <v>9920.85</v>
      </c>
      <c r="H1950" s="1">
        <f>AVERAGEIF(Table1[Customer_ID], Table1[[#This Row],[Customer_ID]], Table1[Transaction_Amount])</f>
        <v>5058.2299999999987</v>
      </c>
      <c r="I1950" t="s">
        <v>2523</v>
      </c>
      <c r="J1950" t="s">
        <v>41</v>
      </c>
      <c r="K1950" t="s">
        <v>12</v>
      </c>
      <c r="L1950">
        <v>5</v>
      </c>
      <c r="M1950" t="s">
        <v>55</v>
      </c>
      <c r="N1950" t="s">
        <v>32</v>
      </c>
      <c r="O1950" t="s">
        <v>393</v>
      </c>
      <c r="P1950" s="6" t="str">
        <f>IF(Table1[[#This Row],[Transaction_Amount]]&lt;=Table1[[#This Row],[avg_transaction_amount]], "usual transaction", "unusual transaction")</f>
        <v>unusual transaction</v>
      </c>
      <c r="Q1950" s="6" t="str">
        <f>IF(AND(Table1[[#This Row],[Country_of_Residence]]&lt;&gt;Table1[[#This Row],[Country_of_Transaction]], OR(Table1[[#This Row],[Authentication_Type]]="Biometric", Table1[[#This Row],[Authentication_Type]]="OTP")), "safe location transaction", "unsafe location transaction")</f>
        <v>unsafe location transaction</v>
      </c>
      <c r="R1950" s="6" t="str">
        <f>IF(AND(Table1[[#This Row],[Country_of_Residence]]&lt;&gt;Table1[[#This Row],[Country_of_Transaction]], OR(Table1[[#This Row],[Merchant_Category]]="Electronics", Table1[[#This Row],[Merchant_Category]]="Travel")), "unsafe merchant transaction", "safe merchant transaction")</f>
        <v>safe merchant transaction</v>
      </c>
    </row>
    <row r="1951" spans="1:18">
      <c r="A1951" t="s">
        <v>5209</v>
      </c>
      <c r="B1951" t="s">
        <v>289</v>
      </c>
      <c r="C1951">
        <v>1</v>
      </c>
      <c r="D1951" t="s">
        <v>15</v>
      </c>
      <c r="E1951" t="s">
        <v>6</v>
      </c>
      <c r="F1951" s="2">
        <v>45710</v>
      </c>
      <c r="G1951">
        <v>4086.72</v>
      </c>
      <c r="H1951" s="1">
        <f>AVERAGEIF(Table1[Customer_ID], Table1[[#This Row],[Customer_ID]], Table1[Transaction_Amount])</f>
        <v>5058.2299999999987</v>
      </c>
      <c r="I1951" t="s">
        <v>2536</v>
      </c>
      <c r="J1951" t="s">
        <v>36</v>
      </c>
      <c r="K1951" t="s">
        <v>10</v>
      </c>
      <c r="L1951">
        <v>1</v>
      </c>
      <c r="M1951" t="s">
        <v>33</v>
      </c>
      <c r="N1951" t="s">
        <v>47</v>
      </c>
      <c r="O1951" t="s">
        <v>392</v>
      </c>
      <c r="P1951" s="6" t="str">
        <f>IF(Table1[[#This Row],[Transaction_Amount]]&lt;=Table1[[#This Row],[avg_transaction_amount]], "usual transaction", "unusual transaction")</f>
        <v>usual transaction</v>
      </c>
      <c r="Q1951" s="6" t="str">
        <f>IF(AND(Table1[[#This Row],[Country_of_Residence]]&lt;&gt;Table1[[#This Row],[Country_of_Transaction]], OR(Table1[[#This Row],[Authentication_Type]]="Biometric", Table1[[#This Row],[Authentication_Type]]="OTP")), "safe location transaction", "unsafe location transaction")</f>
        <v>safe location transaction</v>
      </c>
      <c r="R1951" s="6" t="str">
        <f>IF(AND(Table1[[#This Row],[Country_of_Residence]]&lt;&gt;Table1[[#This Row],[Country_of_Transaction]], OR(Table1[[#This Row],[Merchant_Category]]="Electronics", Table1[[#This Row],[Merchant_Category]]="Travel")), "unsafe merchant transaction", "safe merchant transaction")</f>
        <v>safe merchant transaction</v>
      </c>
    </row>
    <row r="1952" spans="1:18">
      <c r="A1952" t="s">
        <v>5286</v>
      </c>
      <c r="B1952" t="s">
        <v>289</v>
      </c>
      <c r="C1952">
        <v>1</v>
      </c>
      <c r="D1952" t="s">
        <v>9</v>
      </c>
      <c r="E1952" t="s">
        <v>3</v>
      </c>
      <c r="F1952" s="2">
        <v>45904</v>
      </c>
      <c r="G1952">
        <v>4730.1899999999996</v>
      </c>
      <c r="H1952" s="1">
        <f>AVERAGEIF(Table1[Customer_ID], Table1[[#This Row],[Customer_ID]], Table1[Transaction_Amount])</f>
        <v>5058.2299999999987</v>
      </c>
      <c r="I1952" t="s">
        <v>971</v>
      </c>
      <c r="J1952" t="s">
        <v>31</v>
      </c>
      <c r="K1952" t="s">
        <v>12</v>
      </c>
      <c r="L1952">
        <v>4</v>
      </c>
      <c r="M1952" t="s">
        <v>42</v>
      </c>
      <c r="N1952" t="s">
        <v>55</v>
      </c>
      <c r="O1952" t="s">
        <v>393</v>
      </c>
      <c r="P1952" s="6" t="str">
        <f>IF(Table1[[#This Row],[Transaction_Amount]]&lt;=Table1[[#This Row],[avg_transaction_amount]], "usual transaction", "unusual transaction")</f>
        <v>usual transaction</v>
      </c>
      <c r="Q1952" s="6" t="str">
        <f>IF(AND(Table1[[#This Row],[Country_of_Residence]]&lt;&gt;Table1[[#This Row],[Country_of_Transaction]], OR(Table1[[#This Row],[Authentication_Type]]="Biometric", Table1[[#This Row],[Authentication_Type]]="OTP")), "safe location transaction", "unsafe location transaction")</f>
        <v>unsafe location transaction</v>
      </c>
      <c r="R1952" s="6" t="str">
        <f>IF(AND(Table1[[#This Row],[Country_of_Residence]]&lt;&gt;Table1[[#This Row],[Country_of_Transaction]], OR(Table1[[#This Row],[Merchant_Category]]="Electronics", Table1[[#This Row],[Merchant_Category]]="Travel")), "unsafe merchant transaction", "safe merchant transaction")</f>
        <v>safe merchant transaction</v>
      </c>
    </row>
    <row r="1953" spans="1:18">
      <c r="A1953" t="s">
        <v>5318</v>
      </c>
      <c r="B1953" t="s">
        <v>289</v>
      </c>
      <c r="C1953">
        <v>1</v>
      </c>
      <c r="D1953" t="s">
        <v>9</v>
      </c>
      <c r="E1953" t="s">
        <v>420</v>
      </c>
      <c r="F1953" s="2">
        <v>45864</v>
      </c>
      <c r="G1953">
        <v>1038.43</v>
      </c>
      <c r="H1953" s="1">
        <f>AVERAGEIF(Table1[Customer_ID], Table1[[#This Row],[Customer_ID]], Table1[Transaction_Amount])</f>
        <v>5058.2299999999987</v>
      </c>
      <c r="I1953" t="s">
        <v>2618</v>
      </c>
      <c r="J1953" t="s">
        <v>46</v>
      </c>
      <c r="K1953" t="s">
        <v>10</v>
      </c>
      <c r="L1953">
        <v>4</v>
      </c>
      <c r="M1953" t="s">
        <v>55</v>
      </c>
      <c r="N1953" t="s">
        <v>37</v>
      </c>
      <c r="O1953" t="s">
        <v>392</v>
      </c>
      <c r="P1953" s="6" t="str">
        <f>IF(Table1[[#This Row],[Transaction_Amount]]&lt;=Table1[[#This Row],[avg_transaction_amount]], "usual transaction", "unusual transaction")</f>
        <v>usual transaction</v>
      </c>
      <c r="Q1953" s="6" t="str">
        <f>IF(AND(Table1[[#This Row],[Country_of_Residence]]&lt;&gt;Table1[[#This Row],[Country_of_Transaction]], OR(Table1[[#This Row],[Authentication_Type]]="Biometric", Table1[[#This Row],[Authentication_Type]]="OTP")), "safe location transaction", "unsafe location transaction")</f>
        <v>safe location transaction</v>
      </c>
      <c r="R1953" s="6" t="str">
        <f>IF(AND(Table1[[#This Row],[Country_of_Residence]]&lt;&gt;Table1[[#This Row],[Country_of_Transaction]], OR(Table1[[#This Row],[Merchant_Category]]="Electronics", Table1[[#This Row],[Merchant_Category]]="Travel")), "unsafe merchant transaction", "safe merchant transaction")</f>
        <v>safe merchant transaction</v>
      </c>
    </row>
    <row r="1954" spans="1:18">
      <c r="A1954" t="s">
        <v>5349</v>
      </c>
      <c r="B1954" t="s">
        <v>289</v>
      </c>
      <c r="C1954">
        <v>1</v>
      </c>
      <c r="D1954" t="s">
        <v>9</v>
      </c>
      <c r="E1954" t="s">
        <v>5</v>
      </c>
      <c r="F1954" s="2">
        <v>45676</v>
      </c>
      <c r="G1954">
        <v>1128.99</v>
      </c>
      <c r="H1954" s="1">
        <f>AVERAGEIF(Table1[Customer_ID], Table1[[#This Row],[Customer_ID]], Table1[Transaction_Amount])</f>
        <v>5058.2299999999987</v>
      </c>
      <c r="I1954" t="s">
        <v>2642</v>
      </c>
      <c r="J1954" t="s">
        <v>36</v>
      </c>
      <c r="K1954" t="s">
        <v>12</v>
      </c>
      <c r="L1954">
        <v>5</v>
      </c>
      <c r="M1954" t="s">
        <v>55</v>
      </c>
      <c r="N1954" t="s">
        <v>412</v>
      </c>
      <c r="O1954" t="s">
        <v>392</v>
      </c>
      <c r="P1954" s="6" t="str">
        <f>IF(Table1[[#This Row],[Transaction_Amount]]&lt;=Table1[[#This Row],[avg_transaction_amount]], "usual transaction", "unusual transaction")</f>
        <v>usual transaction</v>
      </c>
      <c r="Q1954" s="6" t="str">
        <f>IF(AND(Table1[[#This Row],[Country_of_Residence]]&lt;&gt;Table1[[#This Row],[Country_of_Transaction]], OR(Table1[[#This Row],[Authentication_Type]]="Biometric", Table1[[#This Row],[Authentication_Type]]="OTP")), "safe location transaction", "unsafe location transaction")</f>
        <v>unsafe location transaction</v>
      </c>
      <c r="R1954" s="6" t="str">
        <f>IF(AND(Table1[[#This Row],[Country_of_Residence]]&lt;&gt;Table1[[#This Row],[Country_of_Transaction]], OR(Table1[[#This Row],[Merchant_Category]]="Electronics", Table1[[#This Row],[Merchant_Category]]="Travel")), "unsafe merchant transaction", "safe merchant transaction")</f>
        <v>safe merchant transaction</v>
      </c>
    </row>
    <row r="1955" spans="1:18">
      <c r="A1955" t="s">
        <v>5382</v>
      </c>
      <c r="B1955" t="s">
        <v>289</v>
      </c>
      <c r="C1955">
        <v>1</v>
      </c>
      <c r="D1955" t="s">
        <v>15</v>
      </c>
      <c r="E1955" t="s">
        <v>5</v>
      </c>
      <c r="F1955" s="2">
        <v>45878</v>
      </c>
      <c r="G1955">
        <v>3438.41</v>
      </c>
      <c r="H1955" s="1">
        <f>AVERAGEIF(Table1[Customer_ID], Table1[[#This Row],[Customer_ID]], Table1[Transaction_Amount])</f>
        <v>5058.2299999999987</v>
      </c>
      <c r="I1955" t="s">
        <v>2666</v>
      </c>
      <c r="J1955" t="s">
        <v>41</v>
      </c>
      <c r="K1955" t="s">
        <v>10</v>
      </c>
      <c r="L1955">
        <v>3</v>
      </c>
      <c r="M1955" t="s">
        <v>32</v>
      </c>
      <c r="N1955" t="s">
        <v>51</v>
      </c>
      <c r="O1955" t="s">
        <v>393</v>
      </c>
      <c r="P1955" s="6" t="str">
        <f>IF(Table1[[#This Row],[Transaction_Amount]]&lt;=Table1[[#This Row],[avg_transaction_amount]], "usual transaction", "unusual transaction")</f>
        <v>usual transaction</v>
      </c>
      <c r="Q1955" s="6" t="str">
        <f>IF(AND(Table1[[#This Row],[Country_of_Residence]]&lt;&gt;Table1[[#This Row],[Country_of_Transaction]], OR(Table1[[#This Row],[Authentication_Type]]="Biometric", Table1[[#This Row],[Authentication_Type]]="OTP")), "safe location transaction", "unsafe location transaction")</f>
        <v>safe location transaction</v>
      </c>
      <c r="R1955" s="6" t="str">
        <f>IF(AND(Table1[[#This Row],[Country_of_Residence]]&lt;&gt;Table1[[#This Row],[Country_of_Transaction]], OR(Table1[[#This Row],[Merchant_Category]]="Electronics", Table1[[#This Row],[Merchant_Category]]="Travel")), "unsafe merchant transaction", "safe merchant transaction")</f>
        <v>safe merchant transaction</v>
      </c>
    </row>
    <row r="1956" spans="1:18">
      <c r="A1956" t="s">
        <v>5490</v>
      </c>
      <c r="B1956" t="s">
        <v>289</v>
      </c>
      <c r="C1956">
        <v>1</v>
      </c>
      <c r="D1956" t="s">
        <v>9</v>
      </c>
      <c r="E1956" t="s">
        <v>5</v>
      </c>
      <c r="F1956" s="2">
        <v>45736</v>
      </c>
      <c r="G1956">
        <v>5006.62</v>
      </c>
      <c r="H1956" s="1">
        <f>AVERAGEIF(Table1[Customer_ID], Table1[[#This Row],[Customer_ID]], Table1[Transaction_Amount])</f>
        <v>5058.2299999999987</v>
      </c>
      <c r="I1956" t="s">
        <v>2747</v>
      </c>
      <c r="J1956" t="s">
        <v>31</v>
      </c>
      <c r="K1956" t="s">
        <v>14</v>
      </c>
      <c r="L1956">
        <v>0</v>
      </c>
      <c r="M1956" t="s">
        <v>37</v>
      </c>
      <c r="N1956" t="s">
        <v>55</v>
      </c>
      <c r="O1956" t="s">
        <v>393</v>
      </c>
      <c r="P1956" s="6" t="str">
        <f>IF(Table1[[#This Row],[Transaction_Amount]]&lt;=Table1[[#This Row],[avg_transaction_amount]], "usual transaction", "unusual transaction")</f>
        <v>usual transaction</v>
      </c>
      <c r="Q1956" s="6" t="str">
        <f>IF(AND(Table1[[#This Row],[Country_of_Residence]]&lt;&gt;Table1[[#This Row],[Country_of_Transaction]], OR(Table1[[#This Row],[Authentication_Type]]="Biometric", Table1[[#This Row],[Authentication_Type]]="OTP")), "safe location transaction", "unsafe location transaction")</f>
        <v>unsafe location transaction</v>
      </c>
      <c r="R1956" s="6" t="str">
        <f>IF(AND(Table1[[#This Row],[Country_of_Residence]]&lt;&gt;Table1[[#This Row],[Country_of_Transaction]], OR(Table1[[#This Row],[Merchant_Category]]="Electronics", Table1[[#This Row],[Merchant_Category]]="Travel")), "unsafe merchant transaction", "safe merchant transaction")</f>
        <v>safe merchant transaction</v>
      </c>
    </row>
    <row r="1957" spans="1:18">
      <c r="A1957" t="s">
        <v>298</v>
      </c>
      <c r="B1957" t="s">
        <v>295</v>
      </c>
      <c r="C1957">
        <v>1</v>
      </c>
      <c r="D1957" t="s">
        <v>9</v>
      </c>
      <c r="E1957" t="s">
        <v>6</v>
      </c>
      <c r="F1957" s="2">
        <v>45903.249305555597</v>
      </c>
      <c r="G1957">
        <v>6844.6</v>
      </c>
      <c r="H1957" s="1">
        <f>AVERAGEIF(Table1[Customer_ID], Table1[[#This Row],[Customer_ID]], Table1[Transaction_Amount])</f>
        <v>4813.7290000000003</v>
      </c>
      <c r="I1957" t="s">
        <v>299</v>
      </c>
      <c r="J1957" t="s">
        <v>59</v>
      </c>
      <c r="K1957" t="s">
        <v>8</v>
      </c>
      <c r="L1957">
        <v>4</v>
      </c>
      <c r="M1957" t="s">
        <v>297</v>
      </c>
      <c r="N1957" t="s">
        <v>300</v>
      </c>
      <c r="O1957" t="s">
        <v>392</v>
      </c>
      <c r="P1957" t="str">
        <f>IF(Table1[[#This Row],[Transaction_Amount]]&lt;=Table1[[#This Row],[avg_transaction_amount]], "usual transaction", "unusual transaction")</f>
        <v>unusual transaction</v>
      </c>
      <c r="Q1957" t="str">
        <f>IF(AND(Table1[[#This Row],[Country_of_Residence]]&lt;&gt;Table1[[#This Row],[Country_of_Transaction]], OR(Table1[[#This Row],[Authentication_Type]]="Biometric", Table1[[#This Row],[Authentication_Type]]="OTP")), "safe location transaction", "unsafe location transaction")</f>
        <v>safe location transaction</v>
      </c>
      <c r="R1957" t="str">
        <f>IF(AND(Table1[[#This Row],[Country_of_Residence]]&lt;&gt;Table1[[#This Row],[Country_of_Transaction]], OR(Table1[[#This Row],[Merchant_Category]]="Electronics", Table1[[#This Row],[Merchant_Category]]="Travel")), "unsafe merchant transaction", "safe merchant transaction")</f>
        <v>unsafe merchant transaction</v>
      </c>
    </row>
    <row r="1958" spans="1:18">
      <c r="A1958" t="s">
        <v>294</v>
      </c>
      <c r="B1958" t="s">
        <v>295</v>
      </c>
      <c r="C1958">
        <v>1</v>
      </c>
      <c r="D1958" t="s">
        <v>13</v>
      </c>
      <c r="E1958" t="s">
        <v>3</v>
      </c>
      <c r="F1958" s="2">
        <v>45879.311805555597</v>
      </c>
      <c r="G1958">
        <v>737.87</v>
      </c>
      <c r="H1958" s="1">
        <f>AVERAGEIF(Table1[Customer_ID], Table1[[#This Row],[Customer_ID]], Table1[Transaction_Amount])</f>
        <v>4813.7290000000003</v>
      </c>
      <c r="I1958" t="s">
        <v>296</v>
      </c>
      <c r="J1958" t="s">
        <v>50</v>
      </c>
      <c r="K1958" t="s">
        <v>12</v>
      </c>
      <c r="L1958">
        <v>4</v>
      </c>
      <c r="M1958" t="s">
        <v>297</v>
      </c>
      <c r="N1958" t="s">
        <v>85</v>
      </c>
      <c r="O1958" t="s">
        <v>392</v>
      </c>
      <c r="P1958" t="str">
        <f>IF(Table1[[#This Row],[Transaction_Amount]]&lt;=Table1[[#This Row],[avg_transaction_amount]], "usual transaction", "unusual transaction")</f>
        <v>usual transaction</v>
      </c>
      <c r="Q1958" t="str">
        <f>IF(AND(Table1[[#This Row],[Country_of_Residence]]&lt;&gt;Table1[[#This Row],[Country_of_Transaction]], OR(Table1[[#This Row],[Authentication_Type]]="Biometric", Table1[[#This Row],[Authentication_Type]]="OTP")), "safe location transaction", "unsafe location transaction")</f>
        <v>unsafe location transaction</v>
      </c>
      <c r="R1958" t="str">
        <f>IF(AND(Table1[[#This Row],[Country_of_Residence]]&lt;&gt;Table1[[#This Row],[Country_of_Transaction]], OR(Table1[[#This Row],[Merchant_Category]]="Electronics", Table1[[#This Row],[Merchant_Category]]="Travel")), "unsafe merchant transaction", "safe merchant transaction")</f>
        <v>unsafe merchant transaction</v>
      </c>
    </row>
    <row r="1959" spans="1:18">
      <c r="A1959" t="s">
        <v>2768</v>
      </c>
      <c r="B1959" t="s">
        <v>295</v>
      </c>
      <c r="C1959">
        <v>1</v>
      </c>
      <c r="D1959" t="s">
        <v>15</v>
      </c>
      <c r="E1959" t="s">
        <v>5</v>
      </c>
      <c r="F1959" s="2">
        <v>45979</v>
      </c>
      <c r="G1959">
        <v>1292.02</v>
      </c>
      <c r="H1959" s="1">
        <f>AVERAGEIF(Table1[Customer_ID], Table1[[#This Row],[Customer_ID]], Table1[Transaction_Amount])</f>
        <v>4813.7290000000003</v>
      </c>
      <c r="I1959" t="s">
        <v>416</v>
      </c>
      <c r="J1959" t="s">
        <v>41</v>
      </c>
      <c r="K1959" t="s">
        <v>12</v>
      </c>
      <c r="L1959">
        <v>5</v>
      </c>
      <c r="M1959" t="s">
        <v>32</v>
      </c>
      <c r="N1959" t="s">
        <v>412</v>
      </c>
      <c r="O1959" t="s">
        <v>392</v>
      </c>
      <c r="P1959" s="6" t="str">
        <f>IF(Table1[[#This Row],[Transaction_Amount]]&lt;=Table1[[#This Row],[avg_transaction_amount]], "usual transaction", "unusual transaction")</f>
        <v>usual transaction</v>
      </c>
      <c r="Q1959" s="6" t="str">
        <f>IF(AND(Table1[[#This Row],[Country_of_Residence]]&lt;&gt;Table1[[#This Row],[Country_of_Transaction]], OR(Table1[[#This Row],[Authentication_Type]]="Biometric", Table1[[#This Row],[Authentication_Type]]="OTP")), "safe location transaction", "unsafe location transaction")</f>
        <v>unsafe location transaction</v>
      </c>
      <c r="R1959" s="6" t="str">
        <f>IF(AND(Table1[[#This Row],[Country_of_Residence]]&lt;&gt;Table1[[#This Row],[Country_of_Transaction]], OR(Table1[[#This Row],[Merchant_Category]]="Electronics", Table1[[#This Row],[Merchant_Category]]="Travel")), "unsafe merchant transaction", "safe merchant transaction")</f>
        <v>safe merchant transaction</v>
      </c>
    </row>
    <row r="1960" spans="1:18">
      <c r="A1960" t="s">
        <v>2810</v>
      </c>
      <c r="B1960" t="s">
        <v>295</v>
      </c>
      <c r="C1960">
        <v>1</v>
      </c>
      <c r="D1960" t="s">
        <v>9</v>
      </c>
      <c r="E1960" t="s">
        <v>3</v>
      </c>
      <c r="F1960" s="2">
        <v>45873</v>
      </c>
      <c r="G1960">
        <v>4312.3599999999997</v>
      </c>
      <c r="H1960" s="1">
        <f>AVERAGEIF(Table1[Customer_ID], Table1[[#This Row],[Customer_ID]], Table1[Transaction_Amount])</f>
        <v>4813.7290000000003</v>
      </c>
      <c r="I1960" t="s">
        <v>461</v>
      </c>
      <c r="J1960" t="s">
        <v>36</v>
      </c>
      <c r="K1960" t="s">
        <v>14</v>
      </c>
      <c r="L1960">
        <v>5</v>
      </c>
      <c r="M1960" t="s">
        <v>47</v>
      </c>
      <c r="N1960" t="s">
        <v>42</v>
      </c>
      <c r="O1960" t="s">
        <v>393</v>
      </c>
      <c r="P1960" s="6" t="str">
        <f>IF(Table1[[#This Row],[Transaction_Amount]]&lt;=Table1[[#This Row],[avg_transaction_amount]], "usual transaction", "unusual transaction")</f>
        <v>usual transaction</v>
      </c>
      <c r="Q1960" s="6" t="str">
        <f>IF(AND(Table1[[#This Row],[Country_of_Residence]]&lt;&gt;Table1[[#This Row],[Country_of_Transaction]], OR(Table1[[#This Row],[Authentication_Type]]="Biometric", Table1[[#This Row],[Authentication_Type]]="OTP")), "safe location transaction", "unsafe location transaction")</f>
        <v>unsafe location transaction</v>
      </c>
      <c r="R1960" s="6" t="str">
        <f>IF(AND(Table1[[#This Row],[Country_of_Residence]]&lt;&gt;Table1[[#This Row],[Country_of_Transaction]], OR(Table1[[#This Row],[Merchant_Category]]="Electronics", Table1[[#This Row],[Merchant_Category]]="Travel")), "unsafe merchant transaction", "safe merchant transaction")</f>
        <v>safe merchant transaction</v>
      </c>
    </row>
    <row r="1961" spans="1:18">
      <c r="A1961" t="s">
        <v>2831</v>
      </c>
      <c r="B1961" t="s">
        <v>295</v>
      </c>
      <c r="C1961">
        <v>1</v>
      </c>
      <c r="D1961" t="s">
        <v>9</v>
      </c>
      <c r="E1961" t="s">
        <v>420</v>
      </c>
      <c r="F1961" s="2">
        <v>45822</v>
      </c>
      <c r="G1961">
        <v>4869.2</v>
      </c>
      <c r="H1961" s="1">
        <f>AVERAGEIF(Table1[Customer_ID], Table1[[#This Row],[Customer_ID]], Table1[Transaction_Amount])</f>
        <v>4813.7290000000003</v>
      </c>
      <c r="I1961" t="s">
        <v>482</v>
      </c>
      <c r="J1961" t="s">
        <v>41</v>
      </c>
      <c r="K1961" t="s">
        <v>8</v>
      </c>
      <c r="L1961">
        <v>1</v>
      </c>
      <c r="M1961" t="s">
        <v>56</v>
      </c>
      <c r="N1961" t="s">
        <v>412</v>
      </c>
      <c r="O1961" t="s">
        <v>393</v>
      </c>
      <c r="P1961" s="6" t="str">
        <f>IF(Table1[[#This Row],[Transaction_Amount]]&lt;=Table1[[#This Row],[avg_transaction_amount]], "usual transaction", "unusual transaction")</f>
        <v>unusual transaction</v>
      </c>
      <c r="Q1961" s="6" t="str">
        <f>IF(AND(Table1[[#This Row],[Country_of_Residence]]&lt;&gt;Table1[[#This Row],[Country_of_Transaction]], OR(Table1[[#This Row],[Authentication_Type]]="Biometric", Table1[[#This Row],[Authentication_Type]]="OTP")), "safe location transaction", "unsafe location transaction")</f>
        <v>safe location transaction</v>
      </c>
      <c r="R1961" s="6" t="str">
        <f>IF(AND(Table1[[#This Row],[Country_of_Residence]]&lt;&gt;Table1[[#This Row],[Country_of_Transaction]], OR(Table1[[#This Row],[Merchant_Category]]="Electronics", Table1[[#This Row],[Merchant_Category]]="Travel")), "unsafe merchant transaction", "safe merchant transaction")</f>
        <v>safe merchant transaction</v>
      </c>
    </row>
    <row r="1962" spans="1:18">
      <c r="A1962" t="s">
        <v>2884</v>
      </c>
      <c r="B1962" t="s">
        <v>295</v>
      </c>
      <c r="C1962">
        <v>1</v>
      </c>
      <c r="D1962" t="s">
        <v>15</v>
      </c>
      <c r="E1962" t="s">
        <v>5</v>
      </c>
      <c r="F1962" s="2">
        <v>45840</v>
      </c>
      <c r="G1962">
        <v>4760.33</v>
      </c>
      <c r="H1962" s="1">
        <f>AVERAGEIF(Table1[Customer_ID], Table1[[#This Row],[Customer_ID]], Table1[Transaction_Amount])</f>
        <v>4813.7290000000003</v>
      </c>
      <c r="I1962" t="s">
        <v>534</v>
      </c>
      <c r="J1962" t="s">
        <v>50</v>
      </c>
      <c r="K1962" t="s">
        <v>10</v>
      </c>
      <c r="L1962">
        <v>2</v>
      </c>
      <c r="M1962" t="s">
        <v>56</v>
      </c>
      <c r="N1962" t="s">
        <v>56</v>
      </c>
      <c r="O1962" t="s">
        <v>393</v>
      </c>
      <c r="P1962" s="6" t="str">
        <f>IF(Table1[[#This Row],[Transaction_Amount]]&lt;=Table1[[#This Row],[avg_transaction_amount]], "usual transaction", "unusual transaction")</f>
        <v>usual transaction</v>
      </c>
      <c r="Q1962" s="6" t="str">
        <f>IF(AND(Table1[[#This Row],[Country_of_Residence]]&lt;&gt;Table1[[#This Row],[Country_of_Transaction]], OR(Table1[[#This Row],[Authentication_Type]]="Biometric", Table1[[#This Row],[Authentication_Type]]="OTP")), "safe location transaction", "unsafe location transaction")</f>
        <v>unsafe location transaction</v>
      </c>
      <c r="R1962" s="6" t="str">
        <f>IF(AND(Table1[[#This Row],[Country_of_Residence]]&lt;&gt;Table1[[#This Row],[Country_of_Transaction]], OR(Table1[[#This Row],[Merchant_Category]]="Electronics", Table1[[#This Row],[Merchant_Category]]="Travel")), "unsafe merchant transaction", "safe merchant transaction")</f>
        <v>safe merchant transaction</v>
      </c>
    </row>
    <row r="1963" spans="1:18">
      <c r="A1963" t="s">
        <v>2937</v>
      </c>
      <c r="B1963" t="s">
        <v>295</v>
      </c>
      <c r="C1963">
        <v>1</v>
      </c>
      <c r="D1963" t="s">
        <v>15</v>
      </c>
      <c r="E1963" t="s">
        <v>3</v>
      </c>
      <c r="F1963" s="2">
        <v>46000</v>
      </c>
      <c r="G1963">
        <v>9903.7199999999993</v>
      </c>
      <c r="H1963" s="1">
        <f>AVERAGEIF(Table1[Customer_ID], Table1[[#This Row],[Customer_ID]], Table1[Transaction_Amount])</f>
        <v>4813.7290000000003</v>
      </c>
      <c r="I1963" t="s">
        <v>586</v>
      </c>
      <c r="J1963" t="s">
        <v>36</v>
      </c>
      <c r="K1963" t="s">
        <v>12</v>
      </c>
      <c r="L1963">
        <v>5</v>
      </c>
      <c r="M1963" t="s">
        <v>55</v>
      </c>
      <c r="N1963" t="s">
        <v>32</v>
      </c>
      <c r="O1963" t="s">
        <v>392</v>
      </c>
      <c r="P1963" s="6" t="str">
        <f>IF(Table1[[#This Row],[Transaction_Amount]]&lt;=Table1[[#This Row],[avg_transaction_amount]], "usual transaction", "unusual transaction")</f>
        <v>unusual transaction</v>
      </c>
      <c r="Q1963" s="6" t="str">
        <f>IF(AND(Table1[[#This Row],[Country_of_Residence]]&lt;&gt;Table1[[#This Row],[Country_of_Transaction]], OR(Table1[[#This Row],[Authentication_Type]]="Biometric", Table1[[#This Row],[Authentication_Type]]="OTP")), "safe location transaction", "unsafe location transaction")</f>
        <v>unsafe location transaction</v>
      </c>
      <c r="R1963" s="6" t="str">
        <f>IF(AND(Table1[[#This Row],[Country_of_Residence]]&lt;&gt;Table1[[#This Row],[Country_of_Transaction]], OR(Table1[[#This Row],[Merchant_Category]]="Electronics", Table1[[#This Row],[Merchant_Category]]="Travel")), "unsafe merchant transaction", "safe merchant transaction")</f>
        <v>safe merchant transaction</v>
      </c>
    </row>
    <row r="1964" spans="1:18">
      <c r="A1964" t="s">
        <v>2939</v>
      </c>
      <c r="B1964" t="s">
        <v>295</v>
      </c>
      <c r="C1964">
        <v>1</v>
      </c>
      <c r="D1964" t="s">
        <v>9</v>
      </c>
      <c r="E1964" t="s">
        <v>6</v>
      </c>
      <c r="F1964" s="2">
        <v>45712</v>
      </c>
      <c r="G1964">
        <v>9775.92</v>
      </c>
      <c r="H1964" s="1">
        <f>AVERAGEIF(Table1[Customer_ID], Table1[[#This Row],[Customer_ID]], Table1[Transaction_Amount])</f>
        <v>4813.7290000000003</v>
      </c>
      <c r="I1964" t="s">
        <v>588</v>
      </c>
      <c r="J1964" t="s">
        <v>46</v>
      </c>
      <c r="K1964" t="s">
        <v>12</v>
      </c>
      <c r="L1964">
        <v>1</v>
      </c>
      <c r="M1964" t="s">
        <v>33</v>
      </c>
      <c r="N1964" t="s">
        <v>37</v>
      </c>
      <c r="O1964" t="s">
        <v>393</v>
      </c>
      <c r="P1964" s="6" t="str">
        <f>IF(Table1[[#This Row],[Transaction_Amount]]&lt;=Table1[[#This Row],[avg_transaction_amount]], "usual transaction", "unusual transaction")</f>
        <v>unusual transaction</v>
      </c>
      <c r="Q1964" s="6" t="str">
        <f>IF(AND(Table1[[#This Row],[Country_of_Residence]]&lt;&gt;Table1[[#This Row],[Country_of_Transaction]], OR(Table1[[#This Row],[Authentication_Type]]="Biometric", Table1[[#This Row],[Authentication_Type]]="OTP")), "safe location transaction", "unsafe location transaction")</f>
        <v>unsafe location transaction</v>
      </c>
      <c r="R1964" s="6" t="str">
        <f>IF(AND(Table1[[#This Row],[Country_of_Residence]]&lt;&gt;Table1[[#This Row],[Country_of_Transaction]], OR(Table1[[#This Row],[Merchant_Category]]="Electronics", Table1[[#This Row],[Merchant_Category]]="Travel")), "unsafe merchant transaction", "safe merchant transaction")</f>
        <v>safe merchant transaction</v>
      </c>
    </row>
    <row r="1965" spans="1:18">
      <c r="A1965" t="s">
        <v>3074</v>
      </c>
      <c r="B1965" t="s">
        <v>295</v>
      </c>
      <c r="C1965">
        <v>1</v>
      </c>
      <c r="D1965" t="s">
        <v>15</v>
      </c>
      <c r="E1965" t="s">
        <v>5</v>
      </c>
      <c r="F1965" s="2">
        <v>45766</v>
      </c>
      <c r="G1965">
        <v>5497.88</v>
      </c>
      <c r="H1965" s="1">
        <f>AVERAGEIF(Table1[Customer_ID], Table1[[#This Row],[Customer_ID]], Table1[Transaction_Amount])</f>
        <v>4813.7290000000003</v>
      </c>
      <c r="I1965" t="s">
        <v>718</v>
      </c>
      <c r="J1965" t="s">
        <v>46</v>
      </c>
      <c r="K1965" t="s">
        <v>12</v>
      </c>
      <c r="L1965">
        <v>1</v>
      </c>
      <c r="M1965" t="s">
        <v>55</v>
      </c>
      <c r="N1965" t="s">
        <v>37</v>
      </c>
      <c r="O1965" t="s">
        <v>392</v>
      </c>
      <c r="P1965" s="6" t="str">
        <f>IF(Table1[[#This Row],[Transaction_Amount]]&lt;=Table1[[#This Row],[avg_transaction_amount]], "usual transaction", "unusual transaction")</f>
        <v>unusual transaction</v>
      </c>
      <c r="Q1965" s="6" t="str">
        <f>IF(AND(Table1[[#This Row],[Country_of_Residence]]&lt;&gt;Table1[[#This Row],[Country_of_Transaction]], OR(Table1[[#This Row],[Authentication_Type]]="Biometric", Table1[[#This Row],[Authentication_Type]]="OTP")), "safe location transaction", "unsafe location transaction")</f>
        <v>unsafe location transaction</v>
      </c>
      <c r="R1965" s="6" t="str">
        <f>IF(AND(Table1[[#This Row],[Country_of_Residence]]&lt;&gt;Table1[[#This Row],[Country_of_Transaction]], OR(Table1[[#This Row],[Merchant_Category]]="Electronics", Table1[[#This Row],[Merchant_Category]]="Travel")), "unsafe merchant transaction", "safe merchant transaction")</f>
        <v>safe merchant transaction</v>
      </c>
    </row>
    <row r="1966" spans="1:18">
      <c r="A1966" t="s">
        <v>3079</v>
      </c>
      <c r="B1966" t="s">
        <v>295</v>
      </c>
      <c r="C1966">
        <v>1</v>
      </c>
      <c r="D1966" t="s">
        <v>15</v>
      </c>
      <c r="E1966" t="s">
        <v>3</v>
      </c>
      <c r="F1966" s="2">
        <v>45667</v>
      </c>
      <c r="G1966">
        <v>2004.5</v>
      </c>
      <c r="H1966" s="1">
        <f>AVERAGEIF(Table1[Customer_ID], Table1[[#This Row],[Customer_ID]], Table1[Transaction_Amount])</f>
        <v>4813.7290000000003</v>
      </c>
      <c r="I1966" t="s">
        <v>723</v>
      </c>
      <c r="J1966" t="s">
        <v>41</v>
      </c>
      <c r="K1966" t="s">
        <v>8</v>
      </c>
      <c r="L1966">
        <v>4</v>
      </c>
      <c r="M1966" t="s">
        <v>55</v>
      </c>
      <c r="N1966" t="s">
        <v>412</v>
      </c>
      <c r="O1966" t="s">
        <v>393</v>
      </c>
      <c r="P1966" s="6" t="str">
        <f>IF(Table1[[#This Row],[Transaction_Amount]]&lt;=Table1[[#This Row],[avg_transaction_amount]], "usual transaction", "unusual transaction")</f>
        <v>usual transaction</v>
      </c>
      <c r="Q1966" s="6" t="str">
        <f>IF(AND(Table1[[#This Row],[Country_of_Residence]]&lt;&gt;Table1[[#This Row],[Country_of_Transaction]], OR(Table1[[#This Row],[Authentication_Type]]="Biometric", Table1[[#This Row],[Authentication_Type]]="OTP")), "safe location transaction", "unsafe location transaction")</f>
        <v>safe location transaction</v>
      </c>
      <c r="R1966" s="6" t="str">
        <f>IF(AND(Table1[[#This Row],[Country_of_Residence]]&lt;&gt;Table1[[#This Row],[Country_of_Transaction]], OR(Table1[[#This Row],[Merchant_Category]]="Electronics", Table1[[#This Row],[Merchant_Category]]="Travel")), "unsafe merchant transaction", "safe merchant transaction")</f>
        <v>safe merchant transaction</v>
      </c>
    </row>
    <row r="1967" spans="1:18">
      <c r="A1967" t="s">
        <v>3080</v>
      </c>
      <c r="B1967" t="s">
        <v>295</v>
      </c>
      <c r="C1967">
        <v>1</v>
      </c>
      <c r="D1967" t="s">
        <v>15</v>
      </c>
      <c r="E1967" t="s">
        <v>5</v>
      </c>
      <c r="F1967" s="2">
        <v>45858</v>
      </c>
      <c r="G1967">
        <v>8945.16</v>
      </c>
      <c r="H1967" s="1">
        <f>AVERAGEIF(Table1[Customer_ID], Table1[[#This Row],[Customer_ID]], Table1[Transaction_Amount])</f>
        <v>4813.7290000000003</v>
      </c>
      <c r="I1967" t="s">
        <v>724</v>
      </c>
      <c r="J1967" t="s">
        <v>46</v>
      </c>
      <c r="K1967" t="s">
        <v>8</v>
      </c>
      <c r="L1967">
        <v>4</v>
      </c>
      <c r="M1967" t="s">
        <v>33</v>
      </c>
      <c r="N1967" t="s">
        <v>32</v>
      </c>
      <c r="O1967" t="s">
        <v>393</v>
      </c>
      <c r="P1967" s="6" t="str">
        <f>IF(Table1[[#This Row],[Transaction_Amount]]&lt;=Table1[[#This Row],[avg_transaction_amount]], "usual transaction", "unusual transaction")</f>
        <v>unusual transaction</v>
      </c>
      <c r="Q1967" s="6" t="str">
        <f>IF(AND(Table1[[#This Row],[Country_of_Residence]]&lt;&gt;Table1[[#This Row],[Country_of_Transaction]], OR(Table1[[#This Row],[Authentication_Type]]="Biometric", Table1[[#This Row],[Authentication_Type]]="OTP")), "safe location transaction", "unsafe location transaction")</f>
        <v>safe location transaction</v>
      </c>
      <c r="R1967" s="6" t="str">
        <f>IF(AND(Table1[[#This Row],[Country_of_Residence]]&lt;&gt;Table1[[#This Row],[Country_of_Transaction]], OR(Table1[[#This Row],[Merchant_Category]]="Electronics", Table1[[#This Row],[Merchant_Category]]="Travel")), "unsafe merchant transaction", "safe merchant transaction")</f>
        <v>safe merchant transaction</v>
      </c>
    </row>
    <row r="1968" spans="1:18">
      <c r="A1968" t="s">
        <v>3167</v>
      </c>
      <c r="B1968" t="s">
        <v>295</v>
      </c>
      <c r="C1968">
        <v>1</v>
      </c>
      <c r="D1968" t="s">
        <v>9</v>
      </c>
      <c r="E1968" t="s">
        <v>6</v>
      </c>
      <c r="F1968" s="2">
        <v>45769</v>
      </c>
      <c r="G1968">
        <v>8084.17</v>
      </c>
      <c r="H1968" s="1">
        <f>AVERAGEIF(Table1[Customer_ID], Table1[[#This Row],[Customer_ID]], Table1[Transaction_Amount])</f>
        <v>4813.7290000000003</v>
      </c>
      <c r="I1968" t="s">
        <v>802</v>
      </c>
      <c r="J1968" t="s">
        <v>36</v>
      </c>
      <c r="K1968" t="s">
        <v>8</v>
      </c>
      <c r="L1968">
        <v>3</v>
      </c>
      <c r="M1968" t="s">
        <v>32</v>
      </c>
      <c r="N1968" t="s">
        <v>412</v>
      </c>
      <c r="O1968" t="s">
        <v>392</v>
      </c>
      <c r="P1968" s="6" t="str">
        <f>IF(Table1[[#This Row],[Transaction_Amount]]&lt;=Table1[[#This Row],[avg_transaction_amount]], "usual transaction", "unusual transaction")</f>
        <v>unusual transaction</v>
      </c>
      <c r="Q1968" s="6" t="str">
        <f>IF(AND(Table1[[#This Row],[Country_of_Residence]]&lt;&gt;Table1[[#This Row],[Country_of_Transaction]], OR(Table1[[#This Row],[Authentication_Type]]="Biometric", Table1[[#This Row],[Authentication_Type]]="OTP")), "safe location transaction", "unsafe location transaction")</f>
        <v>safe location transaction</v>
      </c>
      <c r="R1968" s="6" t="str">
        <f>IF(AND(Table1[[#This Row],[Country_of_Residence]]&lt;&gt;Table1[[#This Row],[Country_of_Transaction]], OR(Table1[[#This Row],[Merchant_Category]]="Electronics", Table1[[#This Row],[Merchant_Category]]="Travel")), "unsafe merchant transaction", "safe merchant transaction")</f>
        <v>safe merchant transaction</v>
      </c>
    </row>
    <row r="1969" spans="1:18">
      <c r="A1969" t="s">
        <v>3210</v>
      </c>
      <c r="B1969" t="s">
        <v>295</v>
      </c>
      <c r="C1969">
        <v>1</v>
      </c>
      <c r="D1969" t="s">
        <v>15</v>
      </c>
      <c r="E1969" t="s">
        <v>420</v>
      </c>
      <c r="F1969" s="2">
        <v>45790</v>
      </c>
      <c r="G1969">
        <v>7698.64</v>
      </c>
      <c r="H1969" s="1">
        <f>AVERAGEIF(Table1[Customer_ID], Table1[[#This Row],[Customer_ID]], Table1[Transaction_Amount])</f>
        <v>4813.7290000000003</v>
      </c>
      <c r="I1969" t="s">
        <v>844</v>
      </c>
      <c r="J1969" t="s">
        <v>31</v>
      </c>
      <c r="K1969" t="s">
        <v>10</v>
      </c>
      <c r="L1969">
        <v>4</v>
      </c>
      <c r="M1969" t="s">
        <v>37</v>
      </c>
      <c r="N1969" t="s">
        <v>47</v>
      </c>
      <c r="O1969" t="s">
        <v>392</v>
      </c>
      <c r="P1969" s="6" t="str">
        <f>IF(Table1[[#This Row],[Transaction_Amount]]&lt;=Table1[[#This Row],[avg_transaction_amount]], "usual transaction", "unusual transaction")</f>
        <v>unusual transaction</v>
      </c>
      <c r="Q1969" s="6" t="str">
        <f>IF(AND(Table1[[#This Row],[Country_of_Residence]]&lt;&gt;Table1[[#This Row],[Country_of_Transaction]], OR(Table1[[#This Row],[Authentication_Type]]="Biometric", Table1[[#This Row],[Authentication_Type]]="OTP")), "safe location transaction", "unsafe location transaction")</f>
        <v>safe location transaction</v>
      </c>
      <c r="R1969" s="6" t="str">
        <f>IF(AND(Table1[[#This Row],[Country_of_Residence]]&lt;&gt;Table1[[#This Row],[Country_of_Transaction]], OR(Table1[[#This Row],[Merchant_Category]]="Electronics", Table1[[#This Row],[Merchant_Category]]="Travel")), "unsafe merchant transaction", "safe merchant transaction")</f>
        <v>safe merchant transaction</v>
      </c>
    </row>
    <row r="1970" spans="1:18">
      <c r="A1970" t="s">
        <v>3271</v>
      </c>
      <c r="B1970" t="s">
        <v>295</v>
      </c>
      <c r="C1970">
        <v>1</v>
      </c>
      <c r="D1970" t="s">
        <v>15</v>
      </c>
      <c r="E1970" t="s">
        <v>3</v>
      </c>
      <c r="F1970" s="2">
        <v>45878</v>
      </c>
      <c r="G1970">
        <v>3468.98</v>
      </c>
      <c r="H1970" s="1">
        <f>AVERAGEIF(Table1[Customer_ID], Table1[[#This Row],[Customer_ID]], Table1[Transaction_Amount])</f>
        <v>4813.7290000000003</v>
      </c>
      <c r="I1970" t="s">
        <v>899</v>
      </c>
      <c r="J1970" t="s">
        <v>36</v>
      </c>
      <c r="K1970" t="s">
        <v>14</v>
      </c>
      <c r="L1970">
        <v>3</v>
      </c>
      <c r="M1970" t="s">
        <v>47</v>
      </c>
      <c r="N1970" t="s">
        <v>47</v>
      </c>
      <c r="O1970" t="s">
        <v>392</v>
      </c>
      <c r="P1970" s="6" t="str">
        <f>IF(Table1[[#This Row],[Transaction_Amount]]&lt;=Table1[[#This Row],[avg_transaction_amount]], "usual transaction", "unusual transaction")</f>
        <v>usual transaction</v>
      </c>
      <c r="Q1970" s="6" t="str">
        <f>IF(AND(Table1[[#This Row],[Country_of_Residence]]&lt;&gt;Table1[[#This Row],[Country_of_Transaction]], OR(Table1[[#This Row],[Authentication_Type]]="Biometric", Table1[[#This Row],[Authentication_Type]]="OTP")), "safe location transaction", "unsafe location transaction")</f>
        <v>unsafe location transaction</v>
      </c>
      <c r="R1970" s="6" t="str">
        <f>IF(AND(Table1[[#This Row],[Country_of_Residence]]&lt;&gt;Table1[[#This Row],[Country_of_Transaction]], OR(Table1[[#This Row],[Merchant_Category]]="Electronics", Table1[[#This Row],[Merchant_Category]]="Travel")), "unsafe merchant transaction", "safe merchant transaction")</f>
        <v>safe merchant transaction</v>
      </c>
    </row>
    <row r="1971" spans="1:18">
      <c r="A1971" t="s">
        <v>3344</v>
      </c>
      <c r="B1971" t="s">
        <v>295</v>
      </c>
      <c r="C1971">
        <v>1</v>
      </c>
      <c r="D1971" t="s">
        <v>9</v>
      </c>
      <c r="E1971" t="s">
        <v>5</v>
      </c>
      <c r="F1971" s="2">
        <v>45988</v>
      </c>
      <c r="G1971">
        <v>505.91</v>
      </c>
      <c r="H1971" s="1">
        <f>AVERAGEIF(Table1[Customer_ID], Table1[[#This Row],[Customer_ID]], Table1[Transaction_Amount])</f>
        <v>4813.7290000000003</v>
      </c>
      <c r="I1971" t="s">
        <v>968</v>
      </c>
      <c r="J1971" t="s">
        <v>31</v>
      </c>
      <c r="K1971" t="s">
        <v>14</v>
      </c>
      <c r="L1971">
        <v>4</v>
      </c>
      <c r="M1971" t="s">
        <v>32</v>
      </c>
      <c r="N1971" t="s">
        <v>33</v>
      </c>
      <c r="O1971" t="s">
        <v>392</v>
      </c>
      <c r="P1971" s="6" t="str">
        <f>IF(Table1[[#This Row],[Transaction_Amount]]&lt;=Table1[[#This Row],[avg_transaction_amount]], "usual transaction", "unusual transaction")</f>
        <v>usual transaction</v>
      </c>
      <c r="Q1971" s="6" t="str">
        <f>IF(AND(Table1[[#This Row],[Country_of_Residence]]&lt;&gt;Table1[[#This Row],[Country_of_Transaction]], OR(Table1[[#This Row],[Authentication_Type]]="Biometric", Table1[[#This Row],[Authentication_Type]]="OTP")), "safe location transaction", "unsafe location transaction")</f>
        <v>unsafe location transaction</v>
      </c>
      <c r="R1971" s="6" t="str">
        <f>IF(AND(Table1[[#This Row],[Country_of_Residence]]&lt;&gt;Table1[[#This Row],[Country_of_Transaction]], OR(Table1[[#This Row],[Merchant_Category]]="Electronics", Table1[[#This Row],[Merchant_Category]]="Travel")), "unsafe merchant transaction", "safe merchant transaction")</f>
        <v>safe merchant transaction</v>
      </c>
    </row>
    <row r="1972" spans="1:18">
      <c r="A1972" t="s">
        <v>3352</v>
      </c>
      <c r="B1972" t="s">
        <v>295</v>
      </c>
      <c r="C1972">
        <v>1</v>
      </c>
      <c r="D1972" t="s">
        <v>9</v>
      </c>
      <c r="E1972" t="s">
        <v>3</v>
      </c>
      <c r="F1972" s="2">
        <v>45658</v>
      </c>
      <c r="G1972">
        <v>9528.5</v>
      </c>
      <c r="H1972" s="1">
        <f>AVERAGEIF(Table1[Customer_ID], Table1[[#This Row],[Customer_ID]], Table1[Transaction_Amount])</f>
        <v>4813.7290000000003</v>
      </c>
      <c r="I1972" t="s">
        <v>976</v>
      </c>
      <c r="J1972" t="s">
        <v>46</v>
      </c>
      <c r="K1972" t="s">
        <v>10</v>
      </c>
      <c r="L1972">
        <v>0</v>
      </c>
      <c r="M1972" t="s">
        <v>47</v>
      </c>
      <c r="N1972" t="s">
        <v>37</v>
      </c>
      <c r="O1972" t="s">
        <v>393</v>
      </c>
      <c r="P1972" s="6" t="str">
        <f>IF(Table1[[#This Row],[Transaction_Amount]]&lt;=Table1[[#This Row],[avg_transaction_amount]], "usual transaction", "unusual transaction")</f>
        <v>unusual transaction</v>
      </c>
      <c r="Q1972" s="6" t="str">
        <f>IF(AND(Table1[[#This Row],[Country_of_Residence]]&lt;&gt;Table1[[#This Row],[Country_of_Transaction]], OR(Table1[[#This Row],[Authentication_Type]]="Biometric", Table1[[#This Row],[Authentication_Type]]="OTP")), "safe location transaction", "unsafe location transaction")</f>
        <v>safe location transaction</v>
      </c>
      <c r="R1972" s="6" t="str">
        <f>IF(AND(Table1[[#This Row],[Country_of_Residence]]&lt;&gt;Table1[[#This Row],[Country_of_Transaction]], OR(Table1[[#This Row],[Merchant_Category]]="Electronics", Table1[[#This Row],[Merchant_Category]]="Travel")), "unsafe merchant transaction", "safe merchant transaction")</f>
        <v>safe merchant transaction</v>
      </c>
    </row>
    <row r="1973" spans="1:18">
      <c r="A1973" t="s">
        <v>3512</v>
      </c>
      <c r="B1973" t="s">
        <v>295</v>
      </c>
      <c r="C1973">
        <v>1</v>
      </c>
      <c r="D1973" t="s">
        <v>15</v>
      </c>
      <c r="E1973" t="s">
        <v>5</v>
      </c>
      <c r="F1973" s="2">
        <v>45948</v>
      </c>
      <c r="G1973">
        <v>1599.62</v>
      </c>
      <c r="H1973" s="1">
        <f>AVERAGEIF(Table1[Customer_ID], Table1[[#This Row],[Customer_ID]], Table1[Transaction_Amount])</f>
        <v>4813.7290000000003</v>
      </c>
      <c r="I1973" t="s">
        <v>1127</v>
      </c>
      <c r="J1973" t="s">
        <v>31</v>
      </c>
      <c r="K1973" t="s">
        <v>14</v>
      </c>
      <c r="L1973">
        <v>3</v>
      </c>
      <c r="M1973" t="s">
        <v>47</v>
      </c>
      <c r="N1973" t="s">
        <v>55</v>
      </c>
      <c r="O1973" t="s">
        <v>392</v>
      </c>
      <c r="P1973" s="6" t="str">
        <f>IF(Table1[[#This Row],[Transaction_Amount]]&lt;=Table1[[#This Row],[avg_transaction_amount]], "usual transaction", "unusual transaction")</f>
        <v>usual transaction</v>
      </c>
      <c r="Q1973" s="6" t="str">
        <f>IF(AND(Table1[[#This Row],[Country_of_Residence]]&lt;&gt;Table1[[#This Row],[Country_of_Transaction]], OR(Table1[[#This Row],[Authentication_Type]]="Biometric", Table1[[#This Row],[Authentication_Type]]="OTP")), "safe location transaction", "unsafe location transaction")</f>
        <v>unsafe location transaction</v>
      </c>
      <c r="R1973" s="6" t="str">
        <f>IF(AND(Table1[[#This Row],[Country_of_Residence]]&lt;&gt;Table1[[#This Row],[Country_of_Transaction]], OR(Table1[[#This Row],[Merchant_Category]]="Electronics", Table1[[#This Row],[Merchant_Category]]="Travel")), "unsafe merchant transaction", "safe merchant transaction")</f>
        <v>safe merchant transaction</v>
      </c>
    </row>
    <row r="1974" spans="1:18">
      <c r="A1974" t="s">
        <v>3593</v>
      </c>
      <c r="B1974" t="s">
        <v>295</v>
      </c>
      <c r="C1974">
        <v>1</v>
      </c>
      <c r="D1974" t="s">
        <v>9</v>
      </c>
      <c r="E1974" t="s">
        <v>6</v>
      </c>
      <c r="F1974" s="2">
        <v>45885</v>
      </c>
      <c r="G1974">
        <v>2098.3200000000002</v>
      </c>
      <c r="H1974" s="1">
        <f>AVERAGEIF(Table1[Customer_ID], Table1[[#This Row],[Customer_ID]], Table1[Transaction_Amount])</f>
        <v>4813.7290000000003</v>
      </c>
      <c r="I1974" t="s">
        <v>1202</v>
      </c>
      <c r="J1974" t="s">
        <v>50</v>
      </c>
      <c r="K1974" t="s">
        <v>14</v>
      </c>
      <c r="L1974">
        <v>5</v>
      </c>
      <c r="M1974" t="s">
        <v>55</v>
      </c>
      <c r="N1974" t="s">
        <v>33</v>
      </c>
      <c r="O1974" t="s">
        <v>393</v>
      </c>
      <c r="P1974" s="6" t="str">
        <f>IF(Table1[[#This Row],[Transaction_Amount]]&lt;=Table1[[#This Row],[avg_transaction_amount]], "usual transaction", "unusual transaction")</f>
        <v>usual transaction</v>
      </c>
      <c r="Q1974" s="6" t="str">
        <f>IF(AND(Table1[[#This Row],[Country_of_Residence]]&lt;&gt;Table1[[#This Row],[Country_of_Transaction]], OR(Table1[[#This Row],[Authentication_Type]]="Biometric", Table1[[#This Row],[Authentication_Type]]="OTP")), "safe location transaction", "unsafe location transaction")</f>
        <v>unsafe location transaction</v>
      </c>
      <c r="R1974" s="6" t="str">
        <f>IF(AND(Table1[[#This Row],[Country_of_Residence]]&lt;&gt;Table1[[#This Row],[Country_of_Transaction]], OR(Table1[[#This Row],[Merchant_Category]]="Electronics", Table1[[#This Row],[Merchant_Category]]="Travel")), "unsafe merchant transaction", "safe merchant transaction")</f>
        <v>unsafe merchant transaction</v>
      </c>
    </row>
    <row r="1975" spans="1:18">
      <c r="A1975" t="s">
        <v>3639</v>
      </c>
      <c r="B1975" t="s">
        <v>295</v>
      </c>
      <c r="C1975">
        <v>1</v>
      </c>
      <c r="D1975" t="s">
        <v>15</v>
      </c>
      <c r="E1975" t="s">
        <v>5</v>
      </c>
      <c r="F1975" s="2">
        <v>45894</v>
      </c>
      <c r="G1975">
        <v>5023.16</v>
      </c>
      <c r="H1975" s="1">
        <f>AVERAGEIF(Table1[Customer_ID], Table1[[#This Row],[Customer_ID]], Table1[Transaction_Amount])</f>
        <v>4813.7290000000003</v>
      </c>
      <c r="I1975" t="s">
        <v>1244</v>
      </c>
      <c r="J1975" t="s">
        <v>41</v>
      </c>
      <c r="K1975" t="s">
        <v>10</v>
      </c>
      <c r="L1975">
        <v>0</v>
      </c>
      <c r="M1975" t="s">
        <v>56</v>
      </c>
      <c r="N1975" t="s">
        <v>32</v>
      </c>
      <c r="O1975" t="s">
        <v>393</v>
      </c>
      <c r="P1975" s="6" t="str">
        <f>IF(Table1[[#This Row],[Transaction_Amount]]&lt;=Table1[[#This Row],[avg_transaction_amount]], "usual transaction", "unusual transaction")</f>
        <v>unusual transaction</v>
      </c>
      <c r="Q1975" s="6" t="str">
        <f>IF(AND(Table1[[#This Row],[Country_of_Residence]]&lt;&gt;Table1[[#This Row],[Country_of_Transaction]], OR(Table1[[#This Row],[Authentication_Type]]="Biometric", Table1[[#This Row],[Authentication_Type]]="OTP")), "safe location transaction", "unsafe location transaction")</f>
        <v>safe location transaction</v>
      </c>
      <c r="R1975" s="6" t="str">
        <f>IF(AND(Table1[[#This Row],[Country_of_Residence]]&lt;&gt;Table1[[#This Row],[Country_of_Transaction]], OR(Table1[[#This Row],[Merchant_Category]]="Electronics", Table1[[#This Row],[Merchant_Category]]="Travel")), "unsafe merchant transaction", "safe merchant transaction")</f>
        <v>safe merchant transaction</v>
      </c>
    </row>
    <row r="1976" spans="1:18">
      <c r="A1976" t="s">
        <v>3654</v>
      </c>
      <c r="B1976" t="s">
        <v>295</v>
      </c>
      <c r="C1976">
        <v>1</v>
      </c>
      <c r="D1976" t="s">
        <v>15</v>
      </c>
      <c r="E1976" t="s">
        <v>5</v>
      </c>
      <c r="F1976" s="2">
        <v>46002</v>
      </c>
      <c r="G1976">
        <v>2810.91</v>
      </c>
      <c r="H1976" s="1">
        <f>AVERAGEIF(Table1[Customer_ID], Table1[[#This Row],[Customer_ID]], Table1[Transaction_Amount])</f>
        <v>4813.7290000000003</v>
      </c>
      <c r="I1976" t="s">
        <v>1257</v>
      </c>
      <c r="J1976" t="s">
        <v>41</v>
      </c>
      <c r="K1976" t="s">
        <v>14</v>
      </c>
      <c r="L1976">
        <v>4</v>
      </c>
      <c r="M1976" t="s">
        <v>412</v>
      </c>
      <c r="N1976" t="s">
        <v>56</v>
      </c>
      <c r="O1976" t="s">
        <v>393</v>
      </c>
      <c r="P1976" s="6" t="str">
        <f>IF(Table1[[#This Row],[Transaction_Amount]]&lt;=Table1[[#This Row],[avg_transaction_amount]], "usual transaction", "unusual transaction")</f>
        <v>usual transaction</v>
      </c>
      <c r="Q1976" s="6" t="str">
        <f>IF(AND(Table1[[#This Row],[Country_of_Residence]]&lt;&gt;Table1[[#This Row],[Country_of_Transaction]], OR(Table1[[#This Row],[Authentication_Type]]="Biometric", Table1[[#This Row],[Authentication_Type]]="OTP")), "safe location transaction", "unsafe location transaction")</f>
        <v>unsafe location transaction</v>
      </c>
      <c r="R1976" s="6" t="str">
        <f>IF(AND(Table1[[#This Row],[Country_of_Residence]]&lt;&gt;Table1[[#This Row],[Country_of_Transaction]], OR(Table1[[#This Row],[Merchant_Category]]="Electronics", Table1[[#This Row],[Merchant_Category]]="Travel")), "unsafe merchant transaction", "safe merchant transaction")</f>
        <v>safe merchant transaction</v>
      </c>
    </row>
    <row r="1977" spans="1:18">
      <c r="A1977" t="s">
        <v>3708</v>
      </c>
      <c r="B1977" t="s">
        <v>295</v>
      </c>
      <c r="C1977">
        <v>1</v>
      </c>
      <c r="D1977" t="s">
        <v>9</v>
      </c>
      <c r="E1977" t="s">
        <v>420</v>
      </c>
      <c r="F1977" s="2">
        <v>45715</v>
      </c>
      <c r="G1977">
        <v>2527.77</v>
      </c>
      <c r="H1977" s="1">
        <f>AVERAGEIF(Table1[Customer_ID], Table1[[#This Row],[Customer_ID]], Table1[Transaction_Amount])</f>
        <v>4813.7290000000003</v>
      </c>
      <c r="I1977" t="s">
        <v>1305</v>
      </c>
      <c r="J1977" t="s">
        <v>31</v>
      </c>
      <c r="K1977" t="s">
        <v>14</v>
      </c>
      <c r="L1977">
        <v>4</v>
      </c>
      <c r="M1977" t="s">
        <v>47</v>
      </c>
      <c r="N1977" t="s">
        <v>47</v>
      </c>
      <c r="O1977" t="s">
        <v>392</v>
      </c>
      <c r="P1977" s="6" t="str">
        <f>IF(Table1[[#This Row],[Transaction_Amount]]&lt;=Table1[[#This Row],[avg_transaction_amount]], "usual transaction", "unusual transaction")</f>
        <v>usual transaction</v>
      </c>
      <c r="Q1977" s="6" t="str">
        <f>IF(AND(Table1[[#This Row],[Country_of_Residence]]&lt;&gt;Table1[[#This Row],[Country_of_Transaction]], OR(Table1[[#This Row],[Authentication_Type]]="Biometric", Table1[[#This Row],[Authentication_Type]]="OTP")), "safe location transaction", "unsafe location transaction")</f>
        <v>unsafe location transaction</v>
      </c>
      <c r="R1977" s="6" t="str">
        <f>IF(AND(Table1[[#This Row],[Country_of_Residence]]&lt;&gt;Table1[[#This Row],[Country_of_Transaction]], OR(Table1[[#This Row],[Merchant_Category]]="Electronics", Table1[[#This Row],[Merchant_Category]]="Travel")), "unsafe merchant transaction", "safe merchant transaction")</f>
        <v>safe merchant transaction</v>
      </c>
    </row>
    <row r="1978" spans="1:18">
      <c r="A1978" t="s">
        <v>3733</v>
      </c>
      <c r="B1978" t="s">
        <v>295</v>
      </c>
      <c r="C1978">
        <v>1</v>
      </c>
      <c r="D1978" t="s">
        <v>15</v>
      </c>
      <c r="E1978" t="s">
        <v>6</v>
      </c>
      <c r="F1978" s="2">
        <v>45709</v>
      </c>
      <c r="G1978">
        <v>3801.52</v>
      </c>
      <c r="H1978" s="1">
        <f>AVERAGEIF(Table1[Customer_ID], Table1[[#This Row],[Customer_ID]], Table1[Transaction_Amount])</f>
        <v>4813.7290000000003</v>
      </c>
      <c r="I1978" t="s">
        <v>1328</v>
      </c>
      <c r="J1978" t="s">
        <v>46</v>
      </c>
      <c r="K1978" t="s">
        <v>10</v>
      </c>
      <c r="L1978">
        <v>3</v>
      </c>
      <c r="M1978" t="s">
        <v>32</v>
      </c>
      <c r="N1978" t="s">
        <v>32</v>
      </c>
      <c r="O1978" t="s">
        <v>393</v>
      </c>
      <c r="P1978" s="6" t="str">
        <f>IF(Table1[[#This Row],[Transaction_Amount]]&lt;=Table1[[#This Row],[avg_transaction_amount]], "usual transaction", "unusual transaction")</f>
        <v>usual transaction</v>
      </c>
      <c r="Q1978" s="6" t="str">
        <f>IF(AND(Table1[[#This Row],[Country_of_Residence]]&lt;&gt;Table1[[#This Row],[Country_of_Transaction]], OR(Table1[[#This Row],[Authentication_Type]]="Biometric", Table1[[#This Row],[Authentication_Type]]="OTP")), "safe location transaction", "unsafe location transaction")</f>
        <v>unsafe location transaction</v>
      </c>
      <c r="R1978" s="6" t="str">
        <f>IF(AND(Table1[[#This Row],[Country_of_Residence]]&lt;&gt;Table1[[#This Row],[Country_of_Transaction]], OR(Table1[[#This Row],[Merchant_Category]]="Electronics", Table1[[#This Row],[Merchant_Category]]="Travel")), "unsafe merchant transaction", "safe merchant transaction")</f>
        <v>safe merchant transaction</v>
      </c>
    </row>
    <row r="1979" spans="1:18">
      <c r="A1979" t="s">
        <v>3743</v>
      </c>
      <c r="B1979" t="s">
        <v>295</v>
      </c>
      <c r="C1979">
        <v>1</v>
      </c>
      <c r="D1979" t="s">
        <v>15</v>
      </c>
      <c r="E1979" t="s">
        <v>5</v>
      </c>
      <c r="F1979" s="2">
        <v>45739</v>
      </c>
      <c r="G1979">
        <v>3658.43</v>
      </c>
      <c r="H1979" s="1">
        <f>AVERAGEIF(Table1[Customer_ID], Table1[[#This Row],[Customer_ID]], Table1[Transaction_Amount])</f>
        <v>4813.7290000000003</v>
      </c>
      <c r="I1979" t="s">
        <v>968</v>
      </c>
      <c r="J1979" t="s">
        <v>41</v>
      </c>
      <c r="K1979" t="s">
        <v>12</v>
      </c>
      <c r="L1979">
        <v>5</v>
      </c>
      <c r="M1979" t="s">
        <v>42</v>
      </c>
      <c r="N1979" t="s">
        <v>33</v>
      </c>
      <c r="O1979" t="s">
        <v>393</v>
      </c>
      <c r="P1979" s="6" t="str">
        <f>IF(Table1[[#This Row],[Transaction_Amount]]&lt;=Table1[[#This Row],[avg_transaction_amount]], "usual transaction", "unusual transaction")</f>
        <v>usual transaction</v>
      </c>
      <c r="Q1979" s="6" t="str">
        <f>IF(AND(Table1[[#This Row],[Country_of_Residence]]&lt;&gt;Table1[[#This Row],[Country_of_Transaction]], OR(Table1[[#This Row],[Authentication_Type]]="Biometric", Table1[[#This Row],[Authentication_Type]]="OTP")), "safe location transaction", "unsafe location transaction")</f>
        <v>unsafe location transaction</v>
      </c>
      <c r="R1979" s="6" t="str">
        <f>IF(AND(Table1[[#This Row],[Country_of_Residence]]&lt;&gt;Table1[[#This Row],[Country_of_Transaction]], OR(Table1[[#This Row],[Merchant_Category]]="Electronics", Table1[[#This Row],[Merchant_Category]]="Travel")), "unsafe merchant transaction", "safe merchant transaction")</f>
        <v>safe merchant transaction</v>
      </c>
    </row>
    <row r="1980" spans="1:18">
      <c r="A1980" t="s">
        <v>3763</v>
      </c>
      <c r="B1980" t="s">
        <v>295</v>
      </c>
      <c r="C1980">
        <v>1</v>
      </c>
      <c r="D1980" t="s">
        <v>9</v>
      </c>
      <c r="E1980" t="s">
        <v>5</v>
      </c>
      <c r="F1980" s="2">
        <v>45711</v>
      </c>
      <c r="G1980">
        <v>5810.64</v>
      </c>
      <c r="H1980" s="1">
        <f>AVERAGEIF(Table1[Customer_ID], Table1[[#This Row],[Customer_ID]], Table1[Transaction_Amount])</f>
        <v>4813.7290000000003</v>
      </c>
      <c r="I1980" t="s">
        <v>1354</v>
      </c>
      <c r="J1980" t="s">
        <v>50</v>
      </c>
      <c r="K1980" t="s">
        <v>12</v>
      </c>
      <c r="L1980">
        <v>3</v>
      </c>
      <c r="M1980" t="s">
        <v>37</v>
      </c>
      <c r="N1980" t="s">
        <v>412</v>
      </c>
      <c r="O1980" t="s">
        <v>393</v>
      </c>
      <c r="P1980" s="6" t="str">
        <f>IF(Table1[[#This Row],[Transaction_Amount]]&lt;=Table1[[#This Row],[avg_transaction_amount]], "usual transaction", "unusual transaction")</f>
        <v>unusual transaction</v>
      </c>
      <c r="Q1980" s="6" t="str">
        <f>IF(AND(Table1[[#This Row],[Country_of_Residence]]&lt;&gt;Table1[[#This Row],[Country_of_Transaction]], OR(Table1[[#This Row],[Authentication_Type]]="Biometric", Table1[[#This Row],[Authentication_Type]]="OTP")), "safe location transaction", "unsafe location transaction")</f>
        <v>unsafe location transaction</v>
      </c>
      <c r="R1980" s="6" t="str">
        <f>IF(AND(Table1[[#This Row],[Country_of_Residence]]&lt;&gt;Table1[[#This Row],[Country_of_Transaction]], OR(Table1[[#This Row],[Merchant_Category]]="Electronics", Table1[[#This Row],[Merchant_Category]]="Travel")), "unsafe merchant transaction", "safe merchant transaction")</f>
        <v>unsafe merchant transaction</v>
      </c>
    </row>
    <row r="1981" spans="1:18">
      <c r="A1981" t="s">
        <v>3766</v>
      </c>
      <c r="B1981" t="s">
        <v>295</v>
      </c>
      <c r="C1981">
        <v>1</v>
      </c>
      <c r="D1981" t="s">
        <v>15</v>
      </c>
      <c r="E1981" t="s">
        <v>420</v>
      </c>
      <c r="F1981" s="2">
        <v>45731</v>
      </c>
      <c r="G1981">
        <v>6987.2</v>
      </c>
      <c r="H1981" s="1">
        <f>AVERAGEIF(Table1[Customer_ID], Table1[[#This Row],[Customer_ID]], Table1[Transaction_Amount])</f>
        <v>4813.7290000000003</v>
      </c>
      <c r="I1981" t="s">
        <v>1117</v>
      </c>
      <c r="J1981" t="s">
        <v>31</v>
      </c>
      <c r="K1981" t="s">
        <v>10</v>
      </c>
      <c r="L1981">
        <v>5</v>
      </c>
      <c r="M1981" t="s">
        <v>51</v>
      </c>
      <c r="N1981" t="s">
        <v>32</v>
      </c>
      <c r="O1981" t="s">
        <v>392</v>
      </c>
      <c r="P1981" s="6" t="str">
        <f>IF(Table1[[#This Row],[Transaction_Amount]]&lt;=Table1[[#This Row],[avg_transaction_amount]], "usual transaction", "unusual transaction")</f>
        <v>unusual transaction</v>
      </c>
      <c r="Q1981" s="6" t="str">
        <f>IF(AND(Table1[[#This Row],[Country_of_Residence]]&lt;&gt;Table1[[#This Row],[Country_of_Transaction]], OR(Table1[[#This Row],[Authentication_Type]]="Biometric", Table1[[#This Row],[Authentication_Type]]="OTP")), "safe location transaction", "unsafe location transaction")</f>
        <v>safe location transaction</v>
      </c>
      <c r="R1981" s="6" t="str">
        <f>IF(AND(Table1[[#This Row],[Country_of_Residence]]&lt;&gt;Table1[[#This Row],[Country_of_Transaction]], OR(Table1[[#This Row],[Merchant_Category]]="Electronics", Table1[[#This Row],[Merchant_Category]]="Travel")), "unsafe merchant transaction", "safe merchant transaction")</f>
        <v>safe merchant transaction</v>
      </c>
    </row>
    <row r="1982" spans="1:18">
      <c r="A1982" t="s">
        <v>3784</v>
      </c>
      <c r="B1982" t="s">
        <v>295</v>
      </c>
      <c r="C1982">
        <v>1</v>
      </c>
      <c r="D1982" t="s">
        <v>9</v>
      </c>
      <c r="E1982" t="s">
        <v>3</v>
      </c>
      <c r="F1982" s="2">
        <v>45719</v>
      </c>
      <c r="G1982">
        <v>2900.07</v>
      </c>
      <c r="H1982" s="1">
        <f>AVERAGEIF(Table1[Customer_ID], Table1[[#This Row],[Customer_ID]], Table1[Transaction_Amount])</f>
        <v>4813.7290000000003</v>
      </c>
      <c r="I1982" t="s">
        <v>1371</v>
      </c>
      <c r="J1982" t="s">
        <v>31</v>
      </c>
      <c r="K1982" t="s">
        <v>8</v>
      </c>
      <c r="L1982">
        <v>1</v>
      </c>
      <c r="M1982" t="s">
        <v>42</v>
      </c>
      <c r="N1982" t="s">
        <v>33</v>
      </c>
      <c r="O1982" t="s">
        <v>392</v>
      </c>
      <c r="P1982" s="6" t="str">
        <f>IF(Table1[[#This Row],[Transaction_Amount]]&lt;=Table1[[#This Row],[avg_transaction_amount]], "usual transaction", "unusual transaction")</f>
        <v>usual transaction</v>
      </c>
      <c r="Q1982" s="6" t="str">
        <f>IF(AND(Table1[[#This Row],[Country_of_Residence]]&lt;&gt;Table1[[#This Row],[Country_of_Transaction]], OR(Table1[[#This Row],[Authentication_Type]]="Biometric", Table1[[#This Row],[Authentication_Type]]="OTP")), "safe location transaction", "unsafe location transaction")</f>
        <v>safe location transaction</v>
      </c>
      <c r="R1982" s="6" t="str">
        <f>IF(AND(Table1[[#This Row],[Country_of_Residence]]&lt;&gt;Table1[[#This Row],[Country_of_Transaction]], OR(Table1[[#This Row],[Merchant_Category]]="Electronics", Table1[[#This Row],[Merchant_Category]]="Travel")), "unsafe merchant transaction", "safe merchant transaction")</f>
        <v>safe merchant transaction</v>
      </c>
    </row>
    <row r="1983" spans="1:18">
      <c r="A1983" t="s">
        <v>3940</v>
      </c>
      <c r="B1983" t="s">
        <v>295</v>
      </c>
      <c r="C1983">
        <v>1</v>
      </c>
      <c r="D1983" t="s">
        <v>15</v>
      </c>
      <c r="E1983" t="s">
        <v>3</v>
      </c>
      <c r="F1983" s="2">
        <v>45829</v>
      </c>
      <c r="G1983">
        <v>1113.56</v>
      </c>
      <c r="H1983" s="1">
        <f>AVERAGEIF(Table1[Customer_ID], Table1[[#This Row],[Customer_ID]], Table1[Transaction_Amount])</f>
        <v>4813.7290000000003</v>
      </c>
      <c r="I1983" t="s">
        <v>1504</v>
      </c>
      <c r="J1983" t="s">
        <v>41</v>
      </c>
      <c r="K1983" t="s">
        <v>10</v>
      </c>
      <c r="L1983">
        <v>5</v>
      </c>
      <c r="M1983" t="s">
        <v>412</v>
      </c>
      <c r="N1983" t="s">
        <v>47</v>
      </c>
      <c r="O1983" t="s">
        <v>392</v>
      </c>
      <c r="P1983" s="6" t="str">
        <f>IF(Table1[[#This Row],[Transaction_Amount]]&lt;=Table1[[#This Row],[avg_transaction_amount]], "usual transaction", "unusual transaction")</f>
        <v>usual transaction</v>
      </c>
      <c r="Q1983" s="6" t="str">
        <f>IF(AND(Table1[[#This Row],[Country_of_Residence]]&lt;&gt;Table1[[#This Row],[Country_of_Transaction]], OR(Table1[[#This Row],[Authentication_Type]]="Biometric", Table1[[#This Row],[Authentication_Type]]="OTP")), "safe location transaction", "unsafe location transaction")</f>
        <v>safe location transaction</v>
      </c>
      <c r="R1983" s="6" t="str">
        <f>IF(AND(Table1[[#This Row],[Country_of_Residence]]&lt;&gt;Table1[[#This Row],[Country_of_Transaction]], OR(Table1[[#This Row],[Merchant_Category]]="Electronics", Table1[[#This Row],[Merchant_Category]]="Travel")), "unsafe merchant transaction", "safe merchant transaction")</f>
        <v>safe merchant transaction</v>
      </c>
    </row>
    <row r="1984" spans="1:18">
      <c r="A1984" t="s">
        <v>3989</v>
      </c>
      <c r="B1984" t="s">
        <v>295</v>
      </c>
      <c r="C1984">
        <v>1</v>
      </c>
      <c r="D1984" t="s">
        <v>9</v>
      </c>
      <c r="E1984" t="s">
        <v>5</v>
      </c>
      <c r="F1984" s="2">
        <v>45671</v>
      </c>
      <c r="G1984">
        <v>2957.82</v>
      </c>
      <c r="H1984" s="1">
        <f>AVERAGEIF(Table1[Customer_ID], Table1[[#This Row],[Customer_ID]], Table1[Transaction_Amount])</f>
        <v>4813.7290000000003</v>
      </c>
      <c r="I1984" t="s">
        <v>1548</v>
      </c>
      <c r="J1984" t="s">
        <v>36</v>
      </c>
      <c r="K1984" t="s">
        <v>12</v>
      </c>
      <c r="L1984">
        <v>1</v>
      </c>
      <c r="M1984" t="s">
        <v>42</v>
      </c>
      <c r="N1984" t="s">
        <v>55</v>
      </c>
      <c r="O1984" t="s">
        <v>392</v>
      </c>
      <c r="P1984" s="6" t="str">
        <f>IF(Table1[[#This Row],[Transaction_Amount]]&lt;=Table1[[#This Row],[avg_transaction_amount]], "usual transaction", "unusual transaction")</f>
        <v>usual transaction</v>
      </c>
      <c r="Q1984" s="6" t="str">
        <f>IF(AND(Table1[[#This Row],[Country_of_Residence]]&lt;&gt;Table1[[#This Row],[Country_of_Transaction]], OR(Table1[[#This Row],[Authentication_Type]]="Biometric", Table1[[#This Row],[Authentication_Type]]="OTP")), "safe location transaction", "unsafe location transaction")</f>
        <v>unsafe location transaction</v>
      </c>
      <c r="R1984" s="6" t="str">
        <f>IF(AND(Table1[[#This Row],[Country_of_Residence]]&lt;&gt;Table1[[#This Row],[Country_of_Transaction]], OR(Table1[[#This Row],[Merchant_Category]]="Electronics", Table1[[#This Row],[Merchant_Category]]="Travel")), "unsafe merchant transaction", "safe merchant transaction")</f>
        <v>safe merchant transaction</v>
      </c>
    </row>
    <row r="1985" spans="1:18">
      <c r="A1985" t="s">
        <v>4003</v>
      </c>
      <c r="B1985" t="s">
        <v>295</v>
      </c>
      <c r="C1985">
        <v>1</v>
      </c>
      <c r="D1985" t="s">
        <v>9</v>
      </c>
      <c r="E1985" t="s">
        <v>3</v>
      </c>
      <c r="F1985" s="2">
        <v>45939</v>
      </c>
      <c r="G1985">
        <v>6781.71</v>
      </c>
      <c r="H1985" s="1">
        <f>AVERAGEIF(Table1[Customer_ID], Table1[[#This Row],[Customer_ID]], Table1[Transaction_Amount])</f>
        <v>4813.7290000000003</v>
      </c>
      <c r="I1985" t="s">
        <v>1561</v>
      </c>
      <c r="J1985" t="s">
        <v>50</v>
      </c>
      <c r="K1985" t="s">
        <v>8</v>
      </c>
      <c r="L1985">
        <v>5</v>
      </c>
      <c r="M1985" t="s">
        <v>32</v>
      </c>
      <c r="N1985" t="s">
        <v>55</v>
      </c>
      <c r="O1985" t="s">
        <v>392</v>
      </c>
      <c r="P1985" s="6" t="str">
        <f>IF(Table1[[#This Row],[Transaction_Amount]]&lt;=Table1[[#This Row],[avg_transaction_amount]], "usual transaction", "unusual transaction")</f>
        <v>unusual transaction</v>
      </c>
      <c r="Q1985" s="6" t="str">
        <f>IF(AND(Table1[[#This Row],[Country_of_Residence]]&lt;&gt;Table1[[#This Row],[Country_of_Transaction]], OR(Table1[[#This Row],[Authentication_Type]]="Biometric", Table1[[#This Row],[Authentication_Type]]="OTP")), "safe location transaction", "unsafe location transaction")</f>
        <v>safe location transaction</v>
      </c>
      <c r="R1985" s="6" t="str">
        <f>IF(AND(Table1[[#This Row],[Country_of_Residence]]&lt;&gt;Table1[[#This Row],[Country_of_Transaction]], OR(Table1[[#This Row],[Merchant_Category]]="Electronics", Table1[[#This Row],[Merchant_Category]]="Travel")), "unsafe merchant transaction", "safe merchant transaction")</f>
        <v>unsafe merchant transaction</v>
      </c>
    </row>
    <row r="1986" spans="1:18">
      <c r="A1986" t="s">
        <v>4026</v>
      </c>
      <c r="B1986" t="s">
        <v>295</v>
      </c>
      <c r="C1986">
        <v>1</v>
      </c>
      <c r="D1986" t="s">
        <v>15</v>
      </c>
      <c r="E1986" t="s">
        <v>420</v>
      </c>
      <c r="F1986" s="2">
        <v>45798</v>
      </c>
      <c r="G1986">
        <v>7702.62</v>
      </c>
      <c r="H1986" s="1">
        <f>AVERAGEIF(Table1[Customer_ID], Table1[[#This Row],[Customer_ID]], Table1[Transaction_Amount])</f>
        <v>4813.7290000000003</v>
      </c>
      <c r="I1986" t="s">
        <v>1582</v>
      </c>
      <c r="J1986" t="s">
        <v>41</v>
      </c>
      <c r="K1986" t="s">
        <v>10</v>
      </c>
      <c r="L1986">
        <v>5</v>
      </c>
      <c r="M1986" t="s">
        <v>47</v>
      </c>
      <c r="N1986" t="s">
        <v>47</v>
      </c>
      <c r="O1986" t="s">
        <v>393</v>
      </c>
      <c r="P1986" s="6" t="str">
        <f>IF(Table1[[#This Row],[Transaction_Amount]]&lt;=Table1[[#This Row],[avg_transaction_amount]], "usual transaction", "unusual transaction")</f>
        <v>unusual transaction</v>
      </c>
      <c r="Q1986" s="6" t="str">
        <f>IF(AND(Table1[[#This Row],[Country_of_Residence]]&lt;&gt;Table1[[#This Row],[Country_of_Transaction]], OR(Table1[[#This Row],[Authentication_Type]]="Biometric", Table1[[#This Row],[Authentication_Type]]="OTP")), "safe location transaction", "unsafe location transaction")</f>
        <v>unsafe location transaction</v>
      </c>
      <c r="R1986" s="6" t="str">
        <f>IF(AND(Table1[[#This Row],[Country_of_Residence]]&lt;&gt;Table1[[#This Row],[Country_of_Transaction]], OR(Table1[[#This Row],[Merchant_Category]]="Electronics", Table1[[#This Row],[Merchant_Category]]="Travel")), "unsafe merchant transaction", "safe merchant transaction")</f>
        <v>safe merchant transaction</v>
      </c>
    </row>
    <row r="1987" spans="1:18">
      <c r="A1987" t="s">
        <v>4088</v>
      </c>
      <c r="B1987" t="s">
        <v>295</v>
      </c>
      <c r="C1987">
        <v>1</v>
      </c>
      <c r="D1987" t="s">
        <v>9</v>
      </c>
      <c r="E1987" t="s">
        <v>6</v>
      </c>
      <c r="F1987" s="2">
        <v>45740</v>
      </c>
      <c r="G1987">
        <v>9284.35</v>
      </c>
      <c r="H1987" s="1">
        <f>AVERAGEIF(Table1[Customer_ID], Table1[[#This Row],[Customer_ID]], Table1[Transaction_Amount])</f>
        <v>4813.7290000000003</v>
      </c>
      <c r="I1987" t="s">
        <v>1632</v>
      </c>
      <c r="J1987" t="s">
        <v>50</v>
      </c>
      <c r="K1987" t="s">
        <v>12</v>
      </c>
      <c r="L1987">
        <v>4</v>
      </c>
      <c r="M1987" t="s">
        <v>47</v>
      </c>
      <c r="N1987" t="s">
        <v>33</v>
      </c>
      <c r="O1987" t="s">
        <v>393</v>
      </c>
      <c r="P1987" s="6" t="str">
        <f>IF(Table1[[#This Row],[Transaction_Amount]]&lt;=Table1[[#This Row],[avg_transaction_amount]], "usual transaction", "unusual transaction")</f>
        <v>unusual transaction</v>
      </c>
      <c r="Q1987" s="6" t="str">
        <f>IF(AND(Table1[[#This Row],[Country_of_Residence]]&lt;&gt;Table1[[#This Row],[Country_of_Transaction]], OR(Table1[[#This Row],[Authentication_Type]]="Biometric", Table1[[#This Row],[Authentication_Type]]="OTP")), "safe location transaction", "unsafe location transaction")</f>
        <v>unsafe location transaction</v>
      </c>
      <c r="R1987" s="6" t="str">
        <f>IF(AND(Table1[[#This Row],[Country_of_Residence]]&lt;&gt;Table1[[#This Row],[Country_of_Transaction]], OR(Table1[[#This Row],[Merchant_Category]]="Electronics", Table1[[#This Row],[Merchant_Category]]="Travel")), "unsafe merchant transaction", "safe merchant transaction")</f>
        <v>unsafe merchant transaction</v>
      </c>
    </row>
    <row r="1988" spans="1:18">
      <c r="A1988" t="s">
        <v>4094</v>
      </c>
      <c r="B1988" t="s">
        <v>295</v>
      </c>
      <c r="C1988">
        <v>1</v>
      </c>
      <c r="D1988" t="s">
        <v>9</v>
      </c>
      <c r="E1988" t="s">
        <v>3</v>
      </c>
      <c r="F1988" s="2">
        <v>45794</v>
      </c>
      <c r="G1988">
        <v>2524.12</v>
      </c>
      <c r="H1988" s="1">
        <f>AVERAGEIF(Table1[Customer_ID], Table1[[#This Row],[Customer_ID]], Table1[Transaction_Amount])</f>
        <v>4813.7290000000003</v>
      </c>
      <c r="I1988" t="s">
        <v>1637</v>
      </c>
      <c r="J1988" t="s">
        <v>50</v>
      </c>
      <c r="K1988" t="s">
        <v>12</v>
      </c>
      <c r="L1988">
        <v>0</v>
      </c>
      <c r="M1988" t="s">
        <v>47</v>
      </c>
      <c r="N1988" t="s">
        <v>412</v>
      </c>
      <c r="O1988" t="s">
        <v>392</v>
      </c>
      <c r="P1988" s="6" t="str">
        <f>IF(Table1[[#This Row],[Transaction_Amount]]&lt;=Table1[[#This Row],[avg_transaction_amount]], "usual transaction", "unusual transaction")</f>
        <v>usual transaction</v>
      </c>
      <c r="Q1988" s="6" t="str">
        <f>IF(AND(Table1[[#This Row],[Country_of_Residence]]&lt;&gt;Table1[[#This Row],[Country_of_Transaction]], OR(Table1[[#This Row],[Authentication_Type]]="Biometric", Table1[[#This Row],[Authentication_Type]]="OTP")), "safe location transaction", "unsafe location transaction")</f>
        <v>unsafe location transaction</v>
      </c>
      <c r="R1988" s="6" t="str">
        <f>IF(AND(Table1[[#This Row],[Country_of_Residence]]&lt;&gt;Table1[[#This Row],[Country_of_Transaction]], OR(Table1[[#This Row],[Merchant_Category]]="Electronics", Table1[[#This Row],[Merchant_Category]]="Travel")), "unsafe merchant transaction", "safe merchant transaction")</f>
        <v>unsafe merchant transaction</v>
      </c>
    </row>
    <row r="1989" spans="1:18">
      <c r="A1989" t="s">
        <v>4096</v>
      </c>
      <c r="B1989" t="s">
        <v>295</v>
      </c>
      <c r="C1989">
        <v>1</v>
      </c>
      <c r="D1989" t="s">
        <v>15</v>
      </c>
      <c r="E1989" t="s">
        <v>3</v>
      </c>
      <c r="F1989" s="2">
        <v>45881</v>
      </c>
      <c r="G1989">
        <v>4031.3</v>
      </c>
      <c r="H1989" s="1">
        <f>AVERAGEIF(Table1[Customer_ID], Table1[[#This Row],[Customer_ID]], Table1[Transaction_Amount])</f>
        <v>4813.7290000000003</v>
      </c>
      <c r="I1989" t="s">
        <v>1638</v>
      </c>
      <c r="J1989" t="s">
        <v>36</v>
      </c>
      <c r="K1989" t="s">
        <v>8</v>
      </c>
      <c r="L1989">
        <v>1</v>
      </c>
      <c r="M1989" t="s">
        <v>33</v>
      </c>
      <c r="N1989" t="s">
        <v>47</v>
      </c>
      <c r="O1989" t="s">
        <v>392</v>
      </c>
      <c r="P1989" s="6" t="str">
        <f>IF(Table1[[#This Row],[Transaction_Amount]]&lt;=Table1[[#This Row],[avg_transaction_amount]], "usual transaction", "unusual transaction")</f>
        <v>usual transaction</v>
      </c>
      <c r="Q1989" s="6" t="str">
        <f>IF(AND(Table1[[#This Row],[Country_of_Residence]]&lt;&gt;Table1[[#This Row],[Country_of_Transaction]], OR(Table1[[#This Row],[Authentication_Type]]="Biometric", Table1[[#This Row],[Authentication_Type]]="OTP")), "safe location transaction", "unsafe location transaction")</f>
        <v>safe location transaction</v>
      </c>
      <c r="R1989" s="6" t="str">
        <f>IF(AND(Table1[[#This Row],[Country_of_Residence]]&lt;&gt;Table1[[#This Row],[Country_of_Transaction]], OR(Table1[[#This Row],[Merchant_Category]]="Electronics", Table1[[#This Row],[Merchant_Category]]="Travel")), "unsafe merchant transaction", "safe merchant transaction")</f>
        <v>safe merchant transaction</v>
      </c>
    </row>
    <row r="1990" spans="1:18">
      <c r="A1990" t="s">
        <v>4125</v>
      </c>
      <c r="B1990" t="s">
        <v>295</v>
      </c>
      <c r="C1990">
        <v>1</v>
      </c>
      <c r="D1990" t="s">
        <v>9</v>
      </c>
      <c r="E1990" t="s">
        <v>6</v>
      </c>
      <c r="F1990" s="2">
        <v>46011</v>
      </c>
      <c r="G1990">
        <v>7366.64</v>
      </c>
      <c r="H1990" s="1">
        <f>AVERAGEIF(Table1[Customer_ID], Table1[[#This Row],[Customer_ID]], Table1[Transaction_Amount])</f>
        <v>4813.7290000000003</v>
      </c>
      <c r="I1990" t="s">
        <v>1658</v>
      </c>
      <c r="J1990" t="s">
        <v>50</v>
      </c>
      <c r="K1990" t="s">
        <v>14</v>
      </c>
      <c r="L1990">
        <v>3</v>
      </c>
      <c r="M1990" t="s">
        <v>42</v>
      </c>
      <c r="N1990" t="s">
        <v>47</v>
      </c>
      <c r="O1990" t="s">
        <v>392</v>
      </c>
      <c r="P1990" s="6" t="str">
        <f>IF(Table1[[#This Row],[Transaction_Amount]]&lt;=Table1[[#This Row],[avg_transaction_amount]], "usual transaction", "unusual transaction")</f>
        <v>unusual transaction</v>
      </c>
      <c r="Q1990" s="6" t="str">
        <f>IF(AND(Table1[[#This Row],[Country_of_Residence]]&lt;&gt;Table1[[#This Row],[Country_of_Transaction]], OR(Table1[[#This Row],[Authentication_Type]]="Biometric", Table1[[#This Row],[Authentication_Type]]="OTP")), "safe location transaction", "unsafe location transaction")</f>
        <v>unsafe location transaction</v>
      </c>
      <c r="R1990" s="6" t="str">
        <f>IF(AND(Table1[[#This Row],[Country_of_Residence]]&lt;&gt;Table1[[#This Row],[Country_of_Transaction]], OR(Table1[[#This Row],[Merchant_Category]]="Electronics", Table1[[#This Row],[Merchant_Category]]="Travel")), "unsafe merchant transaction", "safe merchant transaction")</f>
        <v>unsafe merchant transaction</v>
      </c>
    </row>
    <row r="1991" spans="1:18">
      <c r="A1991" t="s">
        <v>4200</v>
      </c>
      <c r="B1991" t="s">
        <v>295</v>
      </c>
      <c r="C1991">
        <v>1</v>
      </c>
      <c r="D1991" t="s">
        <v>9</v>
      </c>
      <c r="E1991" t="s">
        <v>5</v>
      </c>
      <c r="F1991" s="2">
        <v>45743</v>
      </c>
      <c r="G1991">
        <v>6473.89</v>
      </c>
      <c r="H1991" s="1">
        <f>AVERAGEIF(Table1[Customer_ID], Table1[[#This Row],[Customer_ID]], Table1[Transaction_Amount])</f>
        <v>4813.7290000000003</v>
      </c>
      <c r="I1991" t="s">
        <v>1720</v>
      </c>
      <c r="J1991" t="s">
        <v>31</v>
      </c>
      <c r="K1991" t="s">
        <v>14</v>
      </c>
      <c r="L1991">
        <v>5</v>
      </c>
      <c r="M1991" t="s">
        <v>33</v>
      </c>
      <c r="N1991" t="s">
        <v>47</v>
      </c>
      <c r="O1991" t="s">
        <v>392</v>
      </c>
      <c r="P1991" s="6" t="str">
        <f>IF(Table1[[#This Row],[Transaction_Amount]]&lt;=Table1[[#This Row],[avg_transaction_amount]], "usual transaction", "unusual transaction")</f>
        <v>unusual transaction</v>
      </c>
      <c r="Q1991" s="6" t="str">
        <f>IF(AND(Table1[[#This Row],[Country_of_Residence]]&lt;&gt;Table1[[#This Row],[Country_of_Transaction]], OR(Table1[[#This Row],[Authentication_Type]]="Biometric", Table1[[#This Row],[Authentication_Type]]="OTP")), "safe location transaction", "unsafe location transaction")</f>
        <v>unsafe location transaction</v>
      </c>
      <c r="R1991" s="6" t="str">
        <f>IF(AND(Table1[[#This Row],[Country_of_Residence]]&lt;&gt;Table1[[#This Row],[Country_of_Transaction]], OR(Table1[[#This Row],[Merchant_Category]]="Electronics", Table1[[#This Row],[Merchant_Category]]="Travel")), "unsafe merchant transaction", "safe merchant transaction")</f>
        <v>safe merchant transaction</v>
      </c>
    </row>
    <row r="1992" spans="1:18">
      <c r="A1992" t="s">
        <v>4204</v>
      </c>
      <c r="B1992" t="s">
        <v>295</v>
      </c>
      <c r="C1992">
        <v>1</v>
      </c>
      <c r="D1992" t="s">
        <v>9</v>
      </c>
      <c r="E1992" t="s">
        <v>5</v>
      </c>
      <c r="F1992" s="2">
        <v>45990</v>
      </c>
      <c r="G1992">
        <v>675.67</v>
      </c>
      <c r="H1992" s="1">
        <f>AVERAGEIF(Table1[Customer_ID], Table1[[#This Row],[Customer_ID]], Table1[Transaction_Amount])</f>
        <v>4813.7290000000003</v>
      </c>
      <c r="I1992" t="s">
        <v>1724</v>
      </c>
      <c r="J1992" t="s">
        <v>31</v>
      </c>
      <c r="K1992" t="s">
        <v>10</v>
      </c>
      <c r="L1992">
        <v>1</v>
      </c>
      <c r="M1992" t="s">
        <v>47</v>
      </c>
      <c r="N1992" t="s">
        <v>42</v>
      </c>
      <c r="O1992" t="s">
        <v>392</v>
      </c>
      <c r="P1992" s="6" t="str">
        <f>IF(Table1[[#This Row],[Transaction_Amount]]&lt;=Table1[[#This Row],[avg_transaction_amount]], "usual transaction", "unusual transaction")</f>
        <v>usual transaction</v>
      </c>
      <c r="Q1992" s="6" t="str">
        <f>IF(AND(Table1[[#This Row],[Country_of_Residence]]&lt;&gt;Table1[[#This Row],[Country_of_Transaction]], OR(Table1[[#This Row],[Authentication_Type]]="Biometric", Table1[[#This Row],[Authentication_Type]]="OTP")), "safe location transaction", "unsafe location transaction")</f>
        <v>safe location transaction</v>
      </c>
      <c r="R1992" s="6" t="str">
        <f>IF(AND(Table1[[#This Row],[Country_of_Residence]]&lt;&gt;Table1[[#This Row],[Country_of_Transaction]], OR(Table1[[#This Row],[Merchant_Category]]="Electronics", Table1[[#This Row],[Merchant_Category]]="Travel")), "unsafe merchant transaction", "safe merchant transaction")</f>
        <v>safe merchant transaction</v>
      </c>
    </row>
    <row r="1993" spans="1:18">
      <c r="A1993" t="s">
        <v>4242</v>
      </c>
      <c r="B1993" t="s">
        <v>295</v>
      </c>
      <c r="C1993">
        <v>1</v>
      </c>
      <c r="D1993" t="s">
        <v>9</v>
      </c>
      <c r="E1993" t="s">
        <v>6</v>
      </c>
      <c r="F1993" s="2">
        <v>45949</v>
      </c>
      <c r="G1993">
        <v>8320.39</v>
      </c>
      <c r="H1993" s="1">
        <f>AVERAGEIF(Table1[Customer_ID], Table1[[#This Row],[Customer_ID]], Table1[Transaction_Amount])</f>
        <v>4813.7290000000003</v>
      </c>
      <c r="I1993" t="s">
        <v>716</v>
      </c>
      <c r="J1993" t="s">
        <v>41</v>
      </c>
      <c r="K1993" t="s">
        <v>10</v>
      </c>
      <c r="L1993">
        <v>1</v>
      </c>
      <c r="M1993" t="s">
        <v>32</v>
      </c>
      <c r="N1993" t="s">
        <v>47</v>
      </c>
      <c r="O1993" t="s">
        <v>393</v>
      </c>
      <c r="P1993" s="6" t="str">
        <f>IF(Table1[[#This Row],[Transaction_Amount]]&lt;=Table1[[#This Row],[avg_transaction_amount]], "usual transaction", "unusual transaction")</f>
        <v>unusual transaction</v>
      </c>
      <c r="Q1993" s="6" t="str">
        <f>IF(AND(Table1[[#This Row],[Country_of_Residence]]&lt;&gt;Table1[[#This Row],[Country_of_Transaction]], OR(Table1[[#This Row],[Authentication_Type]]="Biometric", Table1[[#This Row],[Authentication_Type]]="OTP")), "safe location transaction", "unsafe location transaction")</f>
        <v>safe location transaction</v>
      </c>
      <c r="R1993" s="6" t="str">
        <f>IF(AND(Table1[[#This Row],[Country_of_Residence]]&lt;&gt;Table1[[#This Row],[Country_of_Transaction]], OR(Table1[[#This Row],[Merchant_Category]]="Electronics", Table1[[#This Row],[Merchant_Category]]="Travel")), "unsafe merchant transaction", "safe merchant transaction")</f>
        <v>safe merchant transaction</v>
      </c>
    </row>
    <row r="1994" spans="1:18">
      <c r="A1994" t="s">
        <v>4249</v>
      </c>
      <c r="B1994" t="s">
        <v>295</v>
      </c>
      <c r="C1994">
        <v>1</v>
      </c>
      <c r="D1994" t="s">
        <v>15</v>
      </c>
      <c r="E1994" t="s">
        <v>3</v>
      </c>
      <c r="F1994" s="2">
        <v>45890</v>
      </c>
      <c r="G1994">
        <v>2995.25</v>
      </c>
      <c r="H1994" s="1">
        <f>AVERAGEIF(Table1[Customer_ID], Table1[[#This Row],[Customer_ID]], Table1[Transaction_Amount])</f>
        <v>4813.7290000000003</v>
      </c>
      <c r="I1994" t="s">
        <v>1764</v>
      </c>
      <c r="J1994" t="s">
        <v>46</v>
      </c>
      <c r="K1994" t="s">
        <v>12</v>
      </c>
      <c r="L1994">
        <v>2</v>
      </c>
      <c r="M1994" t="s">
        <v>412</v>
      </c>
      <c r="N1994" t="s">
        <v>51</v>
      </c>
      <c r="O1994" t="s">
        <v>392</v>
      </c>
      <c r="P1994" s="6" t="str">
        <f>IF(Table1[[#This Row],[Transaction_Amount]]&lt;=Table1[[#This Row],[avg_transaction_amount]], "usual transaction", "unusual transaction")</f>
        <v>usual transaction</v>
      </c>
      <c r="Q1994" s="6" t="str">
        <f>IF(AND(Table1[[#This Row],[Country_of_Residence]]&lt;&gt;Table1[[#This Row],[Country_of_Transaction]], OR(Table1[[#This Row],[Authentication_Type]]="Biometric", Table1[[#This Row],[Authentication_Type]]="OTP")), "safe location transaction", "unsafe location transaction")</f>
        <v>unsafe location transaction</v>
      </c>
      <c r="R1994" s="6" t="str">
        <f>IF(AND(Table1[[#This Row],[Country_of_Residence]]&lt;&gt;Table1[[#This Row],[Country_of_Transaction]], OR(Table1[[#This Row],[Merchant_Category]]="Electronics", Table1[[#This Row],[Merchant_Category]]="Travel")), "unsafe merchant transaction", "safe merchant transaction")</f>
        <v>safe merchant transaction</v>
      </c>
    </row>
    <row r="1995" spans="1:18">
      <c r="A1995" t="s">
        <v>4273</v>
      </c>
      <c r="B1995" t="s">
        <v>295</v>
      </c>
      <c r="C1995">
        <v>1</v>
      </c>
      <c r="D1995" t="s">
        <v>15</v>
      </c>
      <c r="E1995" t="s">
        <v>3</v>
      </c>
      <c r="F1995" s="2">
        <v>45659</v>
      </c>
      <c r="G1995">
        <v>3399.77</v>
      </c>
      <c r="H1995" s="1">
        <f>AVERAGEIF(Table1[Customer_ID], Table1[[#This Row],[Customer_ID]], Table1[Transaction_Amount])</f>
        <v>4813.7290000000003</v>
      </c>
      <c r="I1995" t="s">
        <v>1786</v>
      </c>
      <c r="J1995" t="s">
        <v>50</v>
      </c>
      <c r="K1995" t="s">
        <v>12</v>
      </c>
      <c r="L1995">
        <v>2</v>
      </c>
      <c r="M1995" t="s">
        <v>55</v>
      </c>
      <c r="N1995" t="s">
        <v>33</v>
      </c>
      <c r="O1995" t="s">
        <v>392</v>
      </c>
      <c r="P1995" s="6" t="str">
        <f>IF(Table1[[#This Row],[Transaction_Amount]]&lt;=Table1[[#This Row],[avg_transaction_amount]], "usual transaction", "unusual transaction")</f>
        <v>usual transaction</v>
      </c>
      <c r="Q1995" s="6" t="str">
        <f>IF(AND(Table1[[#This Row],[Country_of_Residence]]&lt;&gt;Table1[[#This Row],[Country_of_Transaction]], OR(Table1[[#This Row],[Authentication_Type]]="Biometric", Table1[[#This Row],[Authentication_Type]]="OTP")), "safe location transaction", "unsafe location transaction")</f>
        <v>unsafe location transaction</v>
      </c>
      <c r="R1995" s="6" t="str">
        <f>IF(AND(Table1[[#This Row],[Country_of_Residence]]&lt;&gt;Table1[[#This Row],[Country_of_Transaction]], OR(Table1[[#This Row],[Merchant_Category]]="Electronics", Table1[[#This Row],[Merchant_Category]]="Travel")), "unsafe merchant transaction", "safe merchant transaction")</f>
        <v>unsafe merchant transaction</v>
      </c>
    </row>
    <row r="1996" spans="1:18">
      <c r="A1996" t="s">
        <v>4310</v>
      </c>
      <c r="B1996" t="s">
        <v>295</v>
      </c>
      <c r="C1996">
        <v>1</v>
      </c>
      <c r="D1996" t="s">
        <v>15</v>
      </c>
      <c r="E1996" t="s">
        <v>3</v>
      </c>
      <c r="F1996" s="2">
        <v>45930</v>
      </c>
      <c r="G1996">
        <v>5975.99</v>
      </c>
      <c r="H1996" s="1">
        <f>AVERAGEIF(Table1[Customer_ID], Table1[[#This Row],[Customer_ID]], Table1[Transaction_Amount])</f>
        <v>4813.7290000000003</v>
      </c>
      <c r="I1996" t="s">
        <v>1818</v>
      </c>
      <c r="J1996" t="s">
        <v>46</v>
      </c>
      <c r="K1996" t="s">
        <v>10</v>
      </c>
      <c r="L1996">
        <v>5</v>
      </c>
      <c r="M1996" t="s">
        <v>32</v>
      </c>
      <c r="N1996" t="s">
        <v>33</v>
      </c>
      <c r="O1996" t="s">
        <v>393</v>
      </c>
      <c r="P1996" s="6" t="str">
        <f>IF(Table1[[#This Row],[Transaction_Amount]]&lt;=Table1[[#This Row],[avg_transaction_amount]], "usual transaction", "unusual transaction")</f>
        <v>unusual transaction</v>
      </c>
      <c r="Q1996" s="6" t="str">
        <f>IF(AND(Table1[[#This Row],[Country_of_Residence]]&lt;&gt;Table1[[#This Row],[Country_of_Transaction]], OR(Table1[[#This Row],[Authentication_Type]]="Biometric", Table1[[#This Row],[Authentication_Type]]="OTP")), "safe location transaction", "unsafe location transaction")</f>
        <v>safe location transaction</v>
      </c>
      <c r="R1996" s="6" t="str">
        <f>IF(AND(Table1[[#This Row],[Country_of_Residence]]&lt;&gt;Table1[[#This Row],[Country_of_Transaction]], OR(Table1[[#This Row],[Merchant_Category]]="Electronics", Table1[[#This Row],[Merchant_Category]]="Travel")), "unsafe merchant transaction", "safe merchant transaction")</f>
        <v>safe merchant transaction</v>
      </c>
    </row>
    <row r="1997" spans="1:18">
      <c r="A1997" t="s">
        <v>4387</v>
      </c>
      <c r="B1997" t="s">
        <v>295</v>
      </c>
      <c r="C1997">
        <v>1</v>
      </c>
      <c r="D1997" t="s">
        <v>15</v>
      </c>
      <c r="E1997" t="s">
        <v>3</v>
      </c>
      <c r="F1997" s="2">
        <v>45887</v>
      </c>
      <c r="G1997">
        <v>2019.76</v>
      </c>
      <c r="H1997" s="1">
        <f>AVERAGEIF(Table1[Customer_ID], Table1[[#This Row],[Customer_ID]], Table1[Transaction_Amount])</f>
        <v>4813.7290000000003</v>
      </c>
      <c r="I1997" t="s">
        <v>1887</v>
      </c>
      <c r="J1997" t="s">
        <v>31</v>
      </c>
      <c r="K1997" t="s">
        <v>12</v>
      </c>
      <c r="L1997">
        <v>2</v>
      </c>
      <c r="M1997" t="s">
        <v>33</v>
      </c>
      <c r="N1997" t="s">
        <v>412</v>
      </c>
      <c r="O1997" t="s">
        <v>393</v>
      </c>
      <c r="P1997" s="6" t="str">
        <f>IF(Table1[[#This Row],[Transaction_Amount]]&lt;=Table1[[#This Row],[avg_transaction_amount]], "usual transaction", "unusual transaction")</f>
        <v>usual transaction</v>
      </c>
      <c r="Q1997" s="6" t="str">
        <f>IF(AND(Table1[[#This Row],[Country_of_Residence]]&lt;&gt;Table1[[#This Row],[Country_of_Transaction]], OR(Table1[[#This Row],[Authentication_Type]]="Biometric", Table1[[#This Row],[Authentication_Type]]="OTP")), "safe location transaction", "unsafe location transaction")</f>
        <v>unsafe location transaction</v>
      </c>
      <c r="R1997" s="6" t="str">
        <f>IF(AND(Table1[[#This Row],[Country_of_Residence]]&lt;&gt;Table1[[#This Row],[Country_of_Transaction]], OR(Table1[[#This Row],[Merchant_Category]]="Electronics", Table1[[#This Row],[Merchant_Category]]="Travel")), "unsafe merchant transaction", "safe merchant transaction")</f>
        <v>safe merchant transaction</v>
      </c>
    </row>
    <row r="1998" spans="1:18">
      <c r="A1998" t="s">
        <v>4423</v>
      </c>
      <c r="B1998" t="s">
        <v>295</v>
      </c>
      <c r="C1998">
        <v>1</v>
      </c>
      <c r="D1998" t="s">
        <v>15</v>
      </c>
      <c r="E1998" t="s">
        <v>3</v>
      </c>
      <c r="F1998" s="2">
        <v>45722</v>
      </c>
      <c r="G1998">
        <v>315.19</v>
      </c>
      <c r="H1998" s="1">
        <f>AVERAGEIF(Table1[Customer_ID], Table1[[#This Row],[Customer_ID]], Table1[Transaction_Amount])</f>
        <v>4813.7290000000003</v>
      </c>
      <c r="I1998" t="s">
        <v>1921</v>
      </c>
      <c r="J1998" t="s">
        <v>31</v>
      </c>
      <c r="K1998" t="s">
        <v>12</v>
      </c>
      <c r="L1998">
        <v>4</v>
      </c>
      <c r="M1998" t="s">
        <v>412</v>
      </c>
      <c r="N1998" t="s">
        <v>47</v>
      </c>
      <c r="O1998" t="s">
        <v>393</v>
      </c>
      <c r="P1998" s="6" t="str">
        <f>IF(Table1[[#This Row],[Transaction_Amount]]&lt;=Table1[[#This Row],[avg_transaction_amount]], "usual transaction", "unusual transaction")</f>
        <v>usual transaction</v>
      </c>
      <c r="Q1998" s="6" t="str">
        <f>IF(AND(Table1[[#This Row],[Country_of_Residence]]&lt;&gt;Table1[[#This Row],[Country_of_Transaction]], OR(Table1[[#This Row],[Authentication_Type]]="Biometric", Table1[[#This Row],[Authentication_Type]]="OTP")), "safe location transaction", "unsafe location transaction")</f>
        <v>unsafe location transaction</v>
      </c>
      <c r="R1998" s="6" t="str">
        <f>IF(AND(Table1[[#This Row],[Country_of_Residence]]&lt;&gt;Table1[[#This Row],[Country_of_Transaction]], OR(Table1[[#This Row],[Merchant_Category]]="Electronics", Table1[[#This Row],[Merchant_Category]]="Travel")), "unsafe merchant transaction", "safe merchant transaction")</f>
        <v>safe merchant transaction</v>
      </c>
    </row>
    <row r="1999" spans="1:18">
      <c r="A1999" t="s">
        <v>4466</v>
      </c>
      <c r="B1999" t="s">
        <v>295</v>
      </c>
      <c r="C1999">
        <v>1</v>
      </c>
      <c r="D1999" t="s">
        <v>9</v>
      </c>
      <c r="E1999" t="s">
        <v>6</v>
      </c>
      <c r="F1999" s="2">
        <v>45797</v>
      </c>
      <c r="G1999">
        <v>4419.93</v>
      </c>
      <c r="H1999" s="1">
        <f>AVERAGEIF(Table1[Customer_ID], Table1[[#This Row],[Customer_ID]], Table1[Transaction_Amount])</f>
        <v>4813.7290000000003</v>
      </c>
      <c r="I1999" t="s">
        <v>1958</v>
      </c>
      <c r="J1999" t="s">
        <v>50</v>
      </c>
      <c r="K1999" t="s">
        <v>12</v>
      </c>
      <c r="L1999">
        <v>0</v>
      </c>
      <c r="M1999" t="s">
        <v>42</v>
      </c>
      <c r="N1999" t="s">
        <v>32</v>
      </c>
      <c r="O1999" t="s">
        <v>393</v>
      </c>
      <c r="P1999" s="6" t="str">
        <f>IF(Table1[[#This Row],[Transaction_Amount]]&lt;=Table1[[#This Row],[avg_transaction_amount]], "usual transaction", "unusual transaction")</f>
        <v>usual transaction</v>
      </c>
      <c r="Q1999" s="6" t="str">
        <f>IF(AND(Table1[[#This Row],[Country_of_Residence]]&lt;&gt;Table1[[#This Row],[Country_of_Transaction]], OR(Table1[[#This Row],[Authentication_Type]]="Biometric", Table1[[#This Row],[Authentication_Type]]="OTP")), "safe location transaction", "unsafe location transaction")</f>
        <v>unsafe location transaction</v>
      </c>
      <c r="R1999" s="6" t="str">
        <f>IF(AND(Table1[[#This Row],[Country_of_Residence]]&lt;&gt;Table1[[#This Row],[Country_of_Transaction]], OR(Table1[[#This Row],[Merchant_Category]]="Electronics", Table1[[#This Row],[Merchant_Category]]="Travel")), "unsafe merchant transaction", "safe merchant transaction")</f>
        <v>unsafe merchant transaction</v>
      </c>
    </row>
    <row r="2000" spans="1:18">
      <c r="A2000" t="s">
        <v>4550</v>
      </c>
      <c r="B2000" t="s">
        <v>295</v>
      </c>
      <c r="C2000">
        <v>1</v>
      </c>
      <c r="D2000" t="s">
        <v>15</v>
      </c>
      <c r="E2000" t="s">
        <v>5</v>
      </c>
      <c r="F2000" s="2">
        <v>45693</v>
      </c>
      <c r="G2000">
        <v>6134.06</v>
      </c>
      <c r="H2000" s="1">
        <f>AVERAGEIF(Table1[Customer_ID], Table1[[#This Row],[Customer_ID]], Table1[Transaction_Amount])</f>
        <v>4813.7290000000003</v>
      </c>
      <c r="I2000" t="s">
        <v>2028</v>
      </c>
      <c r="J2000" t="s">
        <v>41</v>
      </c>
      <c r="K2000" t="s">
        <v>10</v>
      </c>
      <c r="L2000">
        <v>4</v>
      </c>
      <c r="M2000" t="s">
        <v>56</v>
      </c>
      <c r="N2000" t="s">
        <v>32</v>
      </c>
      <c r="O2000" t="s">
        <v>393</v>
      </c>
      <c r="P2000" s="6" t="str">
        <f>IF(Table1[[#This Row],[Transaction_Amount]]&lt;=Table1[[#This Row],[avg_transaction_amount]], "usual transaction", "unusual transaction")</f>
        <v>unusual transaction</v>
      </c>
      <c r="Q2000" s="6" t="str">
        <f>IF(AND(Table1[[#This Row],[Country_of_Residence]]&lt;&gt;Table1[[#This Row],[Country_of_Transaction]], OR(Table1[[#This Row],[Authentication_Type]]="Biometric", Table1[[#This Row],[Authentication_Type]]="OTP")), "safe location transaction", "unsafe location transaction")</f>
        <v>safe location transaction</v>
      </c>
      <c r="R2000" s="6" t="str">
        <f>IF(AND(Table1[[#This Row],[Country_of_Residence]]&lt;&gt;Table1[[#This Row],[Country_of_Transaction]], OR(Table1[[#This Row],[Merchant_Category]]="Electronics", Table1[[#This Row],[Merchant_Category]]="Travel")), "unsafe merchant transaction", "safe merchant transaction")</f>
        <v>safe merchant transaction</v>
      </c>
    </row>
    <row r="2001" spans="1:18">
      <c r="A2001" t="s">
        <v>4707</v>
      </c>
      <c r="B2001" t="s">
        <v>295</v>
      </c>
      <c r="C2001">
        <v>1</v>
      </c>
      <c r="D2001" t="s">
        <v>15</v>
      </c>
      <c r="E2001" t="s">
        <v>420</v>
      </c>
      <c r="F2001" s="2">
        <v>46000</v>
      </c>
      <c r="G2001">
        <v>3364.07</v>
      </c>
      <c r="H2001" s="1">
        <f>AVERAGEIF(Table1[Customer_ID], Table1[[#This Row],[Customer_ID]], Table1[Transaction_Amount])</f>
        <v>4813.7290000000003</v>
      </c>
      <c r="I2001" t="s">
        <v>2153</v>
      </c>
      <c r="J2001" t="s">
        <v>31</v>
      </c>
      <c r="K2001" t="s">
        <v>10</v>
      </c>
      <c r="L2001">
        <v>0</v>
      </c>
      <c r="M2001" t="s">
        <v>42</v>
      </c>
      <c r="N2001" t="s">
        <v>412</v>
      </c>
      <c r="O2001" t="s">
        <v>393</v>
      </c>
      <c r="P2001" s="6" t="str">
        <f>IF(Table1[[#This Row],[Transaction_Amount]]&lt;=Table1[[#This Row],[avg_transaction_amount]], "usual transaction", "unusual transaction")</f>
        <v>usual transaction</v>
      </c>
      <c r="Q2001" s="6" t="str">
        <f>IF(AND(Table1[[#This Row],[Country_of_Residence]]&lt;&gt;Table1[[#This Row],[Country_of_Transaction]], OR(Table1[[#This Row],[Authentication_Type]]="Biometric", Table1[[#This Row],[Authentication_Type]]="OTP")), "safe location transaction", "unsafe location transaction")</f>
        <v>safe location transaction</v>
      </c>
      <c r="R2001" s="6" t="str">
        <f>IF(AND(Table1[[#This Row],[Country_of_Residence]]&lt;&gt;Table1[[#This Row],[Country_of_Transaction]], OR(Table1[[#This Row],[Merchant_Category]]="Electronics", Table1[[#This Row],[Merchant_Category]]="Travel")), "unsafe merchant transaction", "safe merchant transaction")</f>
        <v>safe merchant transaction</v>
      </c>
    </row>
    <row r="2002" spans="1:18">
      <c r="A2002" t="s">
        <v>4743</v>
      </c>
      <c r="B2002" t="s">
        <v>295</v>
      </c>
      <c r="C2002">
        <v>1</v>
      </c>
      <c r="D2002" t="s">
        <v>15</v>
      </c>
      <c r="E2002" t="s">
        <v>6</v>
      </c>
      <c r="F2002" s="2">
        <v>45884</v>
      </c>
      <c r="G2002">
        <v>8459.75</v>
      </c>
      <c r="H2002" s="1">
        <f>AVERAGEIF(Table1[Customer_ID], Table1[[#This Row],[Customer_ID]], Table1[Transaction_Amount])</f>
        <v>4813.7290000000003</v>
      </c>
      <c r="I2002" t="s">
        <v>2179</v>
      </c>
      <c r="J2002" t="s">
        <v>31</v>
      </c>
      <c r="K2002" t="s">
        <v>12</v>
      </c>
      <c r="L2002">
        <v>0</v>
      </c>
      <c r="M2002" t="s">
        <v>51</v>
      </c>
      <c r="N2002" t="s">
        <v>47</v>
      </c>
      <c r="O2002" t="s">
        <v>393</v>
      </c>
      <c r="P2002" s="6" t="str">
        <f>IF(Table1[[#This Row],[Transaction_Amount]]&lt;=Table1[[#This Row],[avg_transaction_amount]], "usual transaction", "unusual transaction")</f>
        <v>unusual transaction</v>
      </c>
      <c r="Q2002" s="6" t="str">
        <f>IF(AND(Table1[[#This Row],[Country_of_Residence]]&lt;&gt;Table1[[#This Row],[Country_of_Transaction]], OR(Table1[[#This Row],[Authentication_Type]]="Biometric", Table1[[#This Row],[Authentication_Type]]="OTP")), "safe location transaction", "unsafe location transaction")</f>
        <v>unsafe location transaction</v>
      </c>
      <c r="R2002" s="6" t="str">
        <f>IF(AND(Table1[[#This Row],[Country_of_Residence]]&lt;&gt;Table1[[#This Row],[Country_of_Transaction]], OR(Table1[[#This Row],[Merchant_Category]]="Electronics", Table1[[#This Row],[Merchant_Category]]="Travel")), "unsafe merchant transaction", "safe merchant transaction")</f>
        <v>safe merchant transaction</v>
      </c>
    </row>
    <row r="2003" spans="1:18">
      <c r="A2003" t="s">
        <v>4811</v>
      </c>
      <c r="B2003" t="s">
        <v>295</v>
      </c>
      <c r="C2003">
        <v>1</v>
      </c>
      <c r="D2003" t="s">
        <v>9</v>
      </c>
      <c r="E2003" t="s">
        <v>420</v>
      </c>
      <c r="F2003" s="2">
        <v>45746</v>
      </c>
      <c r="G2003">
        <v>3271.07</v>
      </c>
      <c r="H2003" s="1">
        <f>AVERAGEIF(Table1[Customer_ID], Table1[[#This Row],[Customer_ID]], Table1[Transaction_Amount])</f>
        <v>4813.7290000000003</v>
      </c>
      <c r="I2003" t="s">
        <v>2231</v>
      </c>
      <c r="J2003" t="s">
        <v>41</v>
      </c>
      <c r="K2003" t="s">
        <v>10</v>
      </c>
      <c r="L2003">
        <v>5</v>
      </c>
      <c r="M2003" t="s">
        <v>56</v>
      </c>
      <c r="N2003" t="s">
        <v>55</v>
      </c>
      <c r="O2003" t="s">
        <v>393</v>
      </c>
      <c r="P2003" s="6" t="str">
        <f>IF(Table1[[#This Row],[Transaction_Amount]]&lt;=Table1[[#This Row],[avg_transaction_amount]], "usual transaction", "unusual transaction")</f>
        <v>usual transaction</v>
      </c>
      <c r="Q2003" s="6" t="str">
        <f>IF(AND(Table1[[#This Row],[Country_of_Residence]]&lt;&gt;Table1[[#This Row],[Country_of_Transaction]], OR(Table1[[#This Row],[Authentication_Type]]="Biometric", Table1[[#This Row],[Authentication_Type]]="OTP")), "safe location transaction", "unsafe location transaction")</f>
        <v>safe location transaction</v>
      </c>
      <c r="R2003" s="6" t="str">
        <f>IF(AND(Table1[[#This Row],[Country_of_Residence]]&lt;&gt;Table1[[#This Row],[Country_of_Transaction]], OR(Table1[[#This Row],[Merchant_Category]]="Electronics", Table1[[#This Row],[Merchant_Category]]="Travel")), "unsafe merchant transaction", "safe merchant transaction")</f>
        <v>safe merchant transaction</v>
      </c>
    </row>
    <row r="2004" spans="1:18">
      <c r="A2004" t="s">
        <v>4832</v>
      </c>
      <c r="B2004" t="s">
        <v>295</v>
      </c>
      <c r="C2004">
        <v>1</v>
      </c>
      <c r="D2004" t="s">
        <v>9</v>
      </c>
      <c r="E2004" t="s">
        <v>420</v>
      </c>
      <c r="F2004" s="2">
        <v>45816</v>
      </c>
      <c r="G2004">
        <v>9161.98</v>
      </c>
      <c r="H2004" s="1">
        <f>AVERAGEIF(Table1[Customer_ID], Table1[[#This Row],[Customer_ID]], Table1[Transaction_Amount])</f>
        <v>4813.7290000000003</v>
      </c>
      <c r="I2004" t="s">
        <v>2249</v>
      </c>
      <c r="J2004" t="s">
        <v>50</v>
      </c>
      <c r="K2004" t="s">
        <v>10</v>
      </c>
      <c r="L2004">
        <v>1</v>
      </c>
      <c r="M2004" t="s">
        <v>32</v>
      </c>
      <c r="N2004" t="s">
        <v>55</v>
      </c>
      <c r="O2004" t="s">
        <v>393</v>
      </c>
      <c r="P2004" s="6" t="str">
        <f>IF(Table1[[#This Row],[Transaction_Amount]]&lt;=Table1[[#This Row],[avg_transaction_amount]], "usual transaction", "unusual transaction")</f>
        <v>unusual transaction</v>
      </c>
      <c r="Q2004" s="6" t="str">
        <f>IF(AND(Table1[[#This Row],[Country_of_Residence]]&lt;&gt;Table1[[#This Row],[Country_of_Transaction]], OR(Table1[[#This Row],[Authentication_Type]]="Biometric", Table1[[#This Row],[Authentication_Type]]="OTP")), "safe location transaction", "unsafe location transaction")</f>
        <v>safe location transaction</v>
      </c>
      <c r="R2004" s="6" t="str">
        <f>IF(AND(Table1[[#This Row],[Country_of_Residence]]&lt;&gt;Table1[[#This Row],[Country_of_Transaction]], OR(Table1[[#This Row],[Merchant_Category]]="Electronics", Table1[[#This Row],[Merchant_Category]]="Travel")), "unsafe merchant transaction", "safe merchant transaction")</f>
        <v>unsafe merchant transaction</v>
      </c>
    </row>
    <row r="2005" spans="1:18">
      <c r="A2005" t="s">
        <v>4912</v>
      </c>
      <c r="B2005" t="s">
        <v>295</v>
      </c>
      <c r="C2005">
        <v>1</v>
      </c>
      <c r="D2005" t="s">
        <v>9</v>
      </c>
      <c r="E2005" t="s">
        <v>6</v>
      </c>
      <c r="F2005" s="2">
        <v>45780</v>
      </c>
      <c r="G2005">
        <v>8101.06</v>
      </c>
      <c r="H2005" s="1">
        <f>AVERAGEIF(Table1[Customer_ID], Table1[[#This Row],[Customer_ID]], Table1[Transaction_Amount])</f>
        <v>4813.7290000000003</v>
      </c>
      <c r="I2005" t="s">
        <v>2307</v>
      </c>
      <c r="J2005" t="s">
        <v>41</v>
      </c>
      <c r="K2005" t="s">
        <v>14</v>
      </c>
      <c r="L2005">
        <v>0</v>
      </c>
      <c r="M2005" t="s">
        <v>33</v>
      </c>
      <c r="N2005" t="s">
        <v>47</v>
      </c>
      <c r="O2005" t="s">
        <v>393</v>
      </c>
      <c r="P2005" s="6" t="str">
        <f>IF(Table1[[#This Row],[Transaction_Amount]]&lt;=Table1[[#This Row],[avg_transaction_amount]], "usual transaction", "unusual transaction")</f>
        <v>unusual transaction</v>
      </c>
      <c r="Q2005" s="6" t="str">
        <f>IF(AND(Table1[[#This Row],[Country_of_Residence]]&lt;&gt;Table1[[#This Row],[Country_of_Transaction]], OR(Table1[[#This Row],[Authentication_Type]]="Biometric", Table1[[#This Row],[Authentication_Type]]="OTP")), "safe location transaction", "unsafe location transaction")</f>
        <v>unsafe location transaction</v>
      </c>
      <c r="R2005" s="6" t="str">
        <f>IF(AND(Table1[[#This Row],[Country_of_Residence]]&lt;&gt;Table1[[#This Row],[Country_of_Transaction]], OR(Table1[[#This Row],[Merchant_Category]]="Electronics", Table1[[#This Row],[Merchant_Category]]="Travel")), "unsafe merchant transaction", "safe merchant transaction")</f>
        <v>safe merchant transaction</v>
      </c>
    </row>
    <row r="2006" spans="1:18">
      <c r="A2006" t="s">
        <v>4916</v>
      </c>
      <c r="B2006" t="s">
        <v>295</v>
      </c>
      <c r="C2006">
        <v>1</v>
      </c>
      <c r="D2006" t="s">
        <v>15</v>
      </c>
      <c r="E2006" t="s">
        <v>5</v>
      </c>
      <c r="F2006" s="2">
        <v>45806</v>
      </c>
      <c r="G2006">
        <v>972.66</v>
      </c>
      <c r="H2006" s="1">
        <f>AVERAGEIF(Table1[Customer_ID], Table1[[#This Row],[Customer_ID]], Table1[Transaction_Amount])</f>
        <v>4813.7290000000003</v>
      </c>
      <c r="I2006" t="s">
        <v>2311</v>
      </c>
      <c r="J2006" t="s">
        <v>31</v>
      </c>
      <c r="K2006" t="s">
        <v>8</v>
      </c>
      <c r="L2006">
        <v>4</v>
      </c>
      <c r="M2006" t="s">
        <v>51</v>
      </c>
      <c r="N2006" t="s">
        <v>37</v>
      </c>
      <c r="O2006" t="s">
        <v>393</v>
      </c>
      <c r="P2006" s="6" t="str">
        <f>IF(Table1[[#This Row],[Transaction_Amount]]&lt;=Table1[[#This Row],[avg_transaction_amount]], "usual transaction", "unusual transaction")</f>
        <v>usual transaction</v>
      </c>
      <c r="Q2006" s="6" t="str">
        <f>IF(AND(Table1[[#This Row],[Country_of_Residence]]&lt;&gt;Table1[[#This Row],[Country_of_Transaction]], OR(Table1[[#This Row],[Authentication_Type]]="Biometric", Table1[[#This Row],[Authentication_Type]]="OTP")), "safe location transaction", "unsafe location transaction")</f>
        <v>safe location transaction</v>
      </c>
      <c r="R2006" s="6" t="str">
        <f>IF(AND(Table1[[#This Row],[Country_of_Residence]]&lt;&gt;Table1[[#This Row],[Country_of_Transaction]], OR(Table1[[#This Row],[Merchant_Category]]="Electronics", Table1[[#This Row],[Merchant_Category]]="Travel")), "unsafe merchant transaction", "safe merchant transaction")</f>
        <v>safe merchant transaction</v>
      </c>
    </row>
    <row r="2007" spans="1:18">
      <c r="A2007" t="s">
        <v>4969</v>
      </c>
      <c r="B2007" t="s">
        <v>295</v>
      </c>
      <c r="C2007">
        <v>1</v>
      </c>
      <c r="D2007" t="s">
        <v>9</v>
      </c>
      <c r="E2007" t="s">
        <v>3</v>
      </c>
      <c r="F2007" s="2">
        <v>45855</v>
      </c>
      <c r="G2007">
        <v>5959.27</v>
      </c>
      <c r="H2007" s="1">
        <f>AVERAGEIF(Table1[Customer_ID], Table1[[#This Row],[Customer_ID]], Table1[Transaction_Amount])</f>
        <v>4813.7290000000003</v>
      </c>
      <c r="I2007" t="s">
        <v>1505</v>
      </c>
      <c r="J2007" t="s">
        <v>31</v>
      </c>
      <c r="K2007" t="s">
        <v>8</v>
      </c>
      <c r="L2007">
        <v>4</v>
      </c>
      <c r="M2007" t="s">
        <v>47</v>
      </c>
      <c r="N2007" t="s">
        <v>33</v>
      </c>
      <c r="O2007" t="s">
        <v>393</v>
      </c>
      <c r="P2007" s="6" t="str">
        <f>IF(Table1[[#This Row],[Transaction_Amount]]&lt;=Table1[[#This Row],[avg_transaction_amount]], "usual transaction", "unusual transaction")</f>
        <v>unusual transaction</v>
      </c>
      <c r="Q2007" s="6" t="str">
        <f>IF(AND(Table1[[#This Row],[Country_of_Residence]]&lt;&gt;Table1[[#This Row],[Country_of_Transaction]], OR(Table1[[#This Row],[Authentication_Type]]="Biometric", Table1[[#This Row],[Authentication_Type]]="OTP")), "safe location transaction", "unsafe location transaction")</f>
        <v>safe location transaction</v>
      </c>
      <c r="R2007" s="6" t="str">
        <f>IF(AND(Table1[[#This Row],[Country_of_Residence]]&lt;&gt;Table1[[#This Row],[Country_of_Transaction]], OR(Table1[[#This Row],[Merchant_Category]]="Electronics", Table1[[#This Row],[Merchant_Category]]="Travel")), "unsafe merchant transaction", "safe merchant transaction")</f>
        <v>safe merchant transaction</v>
      </c>
    </row>
    <row r="2008" spans="1:18">
      <c r="A2008" t="s">
        <v>4989</v>
      </c>
      <c r="B2008" t="s">
        <v>295</v>
      </c>
      <c r="C2008">
        <v>1</v>
      </c>
      <c r="D2008" t="s">
        <v>15</v>
      </c>
      <c r="E2008" t="s">
        <v>6</v>
      </c>
      <c r="F2008" s="2">
        <v>45894</v>
      </c>
      <c r="G2008">
        <v>5464.99</v>
      </c>
      <c r="H2008" s="1">
        <f>AVERAGEIF(Table1[Customer_ID], Table1[[#This Row],[Customer_ID]], Table1[Transaction_Amount])</f>
        <v>4813.7290000000003</v>
      </c>
      <c r="I2008" t="s">
        <v>2371</v>
      </c>
      <c r="J2008" t="s">
        <v>31</v>
      </c>
      <c r="K2008" t="s">
        <v>14</v>
      </c>
      <c r="L2008">
        <v>2</v>
      </c>
      <c r="M2008" t="s">
        <v>412</v>
      </c>
      <c r="N2008" t="s">
        <v>55</v>
      </c>
      <c r="O2008" t="s">
        <v>392</v>
      </c>
      <c r="P2008" s="6" t="str">
        <f>IF(Table1[[#This Row],[Transaction_Amount]]&lt;=Table1[[#This Row],[avg_transaction_amount]], "usual transaction", "unusual transaction")</f>
        <v>unusual transaction</v>
      </c>
      <c r="Q2008" s="6" t="str">
        <f>IF(AND(Table1[[#This Row],[Country_of_Residence]]&lt;&gt;Table1[[#This Row],[Country_of_Transaction]], OR(Table1[[#This Row],[Authentication_Type]]="Biometric", Table1[[#This Row],[Authentication_Type]]="OTP")), "safe location transaction", "unsafe location transaction")</f>
        <v>unsafe location transaction</v>
      </c>
      <c r="R2008" s="6" t="str">
        <f>IF(AND(Table1[[#This Row],[Country_of_Residence]]&lt;&gt;Table1[[#This Row],[Country_of_Transaction]], OR(Table1[[#This Row],[Merchant_Category]]="Electronics", Table1[[#This Row],[Merchant_Category]]="Travel")), "unsafe merchant transaction", "safe merchant transaction")</f>
        <v>safe merchant transaction</v>
      </c>
    </row>
    <row r="2009" spans="1:18">
      <c r="A2009" t="s">
        <v>5108</v>
      </c>
      <c r="B2009" t="s">
        <v>295</v>
      </c>
      <c r="C2009">
        <v>1</v>
      </c>
      <c r="D2009" t="s">
        <v>9</v>
      </c>
      <c r="E2009" t="s">
        <v>420</v>
      </c>
      <c r="F2009" s="2">
        <v>45697</v>
      </c>
      <c r="G2009">
        <v>7595.05</v>
      </c>
      <c r="H2009" s="1">
        <f>AVERAGEIF(Table1[Customer_ID], Table1[[#This Row],[Customer_ID]], Table1[Transaction_Amount])</f>
        <v>4813.7290000000003</v>
      </c>
      <c r="I2009" t="s">
        <v>676</v>
      </c>
      <c r="J2009" t="s">
        <v>50</v>
      </c>
      <c r="K2009" t="s">
        <v>14</v>
      </c>
      <c r="L2009">
        <v>4</v>
      </c>
      <c r="M2009" t="s">
        <v>56</v>
      </c>
      <c r="N2009" t="s">
        <v>56</v>
      </c>
      <c r="O2009" t="s">
        <v>392</v>
      </c>
      <c r="P2009" s="6" t="str">
        <f>IF(Table1[[#This Row],[Transaction_Amount]]&lt;=Table1[[#This Row],[avg_transaction_amount]], "usual transaction", "unusual transaction")</f>
        <v>unusual transaction</v>
      </c>
      <c r="Q2009" s="6" t="str">
        <f>IF(AND(Table1[[#This Row],[Country_of_Residence]]&lt;&gt;Table1[[#This Row],[Country_of_Transaction]], OR(Table1[[#This Row],[Authentication_Type]]="Biometric", Table1[[#This Row],[Authentication_Type]]="OTP")), "safe location transaction", "unsafe location transaction")</f>
        <v>unsafe location transaction</v>
      </c>
      <c r="R2009" s="6" t="str">
        <f>IF(AND(Table1[[#This Row],[Country_of_Residence]]&lt;&gt;Table1[[#This Row],[Country_of_Transaction]], OR(Table1[[#This Row],[Merchant_Category]]="Electronics", Table1[[#This Row],[Merchant_Category]]="Travel")), "unsafe merchant transaction", "safe merchant transaction")</f>
        <v>safe merchant transaction</v>
      </c>
    </row>
    <row r="2010" spans="1:18">
      <c r="A2010" t="s">
        <v>5159</v>
      </c>
      <c r="B2010" t="s">
        <v>295</v>
      </c>
      <c r="C2010">
        <v>1</v>
      </c>
      <c r="D2010" t="s">
        <v>15</v>
      </c>
      <c r="E2010" t="s">
        <v>5</v>
      </c>
      <c r="F2010" s="2">
        <v>46005</v>
      </c>
      <c r="G2010">
        <v>3708.12</v>
      </c>
      <c r="H2010" s="1">
        <f>AVERAGEIF(Table1[Customer_ID], Table1[[#This Row],[Customer_ID]], Table1[Transaction_Amount])</f>
        <v>4813.7290000000003</v>
      </c>
      <c r="I2010" t="s">
        <v>2496</v>
      </c>
      <c r="J2010" t="s">
        <v>31</v>
      </c>
      <c r="K2010" t="s">
        <v>12</v>
      </c>
      <c r="L2010">
        <v>2</v>
      </c>
      <c r="M2010" t="s">
        <v>412</v>
      </c>
      <c r="N2010" t="s">
        <v>32</v>
      </c>
      <c r="O2010" t="s">
        <v>393</v>
      </c>
      <c r="P2010" s="6" t="str">
        <f>IF(Table1[[#This Row],[Transaction_Amount]]&lt;=Table1[[#This Row],[avg_transaction_amount]], "usual transaction", "unusual transaction")</f>
        <v>usual transaction</v>
      </c>
      <c r="Q2010" s="6" t="str">
        <f>IF(AND(Table1[[#This Row],[Country_of_Residence]]&lt;&gt;Table1[[#This Row],[Country_of_Transaction]], OR(Table1[[#This Row],[Authentication_Type]]="Biometric", Table1[[#This Row],[Authentication_Type]]="OTP")), "safe location transaction", "unsafe location transaction")</f>
        <v>unsafe location transaction</v>
      </c>
      <c r="R2010" s="6" t="str">
        <f>IF(AND(Table1[[#This Row],[Country_of_Residence]]&lt;&gt;Table1[[#This Row],[Country_of_Transaction]], OR(Table1[[#This Row],[Merchant_Category]]="Electronics", Table1[[#This Row],[Merchant_Category]]="Travel")), "unsafe merchant transaction", "safe merchant transaction")</f>
        <v>safe merchant transaction</v>
      </c>
    </row>
    <row r="2011" spans="1:18">
      <c r="A2011" t="s">
        <v>5188</v>
      </c>
      <c r="B2011" t="s">
        <v>295</v>
      </c>
      <c r="C2011">
        <v>1</v>
      </c>
      <c r="D2011" t="s">
        <v>15</v>
      </c>
      <c r="E2011" t="s">
        <v>6</v>
      </c>
      <c r="F2011" s="2">
        <v>45842</v>
      </c>
      <c r="G2011">
        <v>2845.26</v>
      </c>
      <c r="H2011" s="1">
        <f>AVERAGEIF(Table1[Customer_ID], Table1[[#This Row],[Customer_ID]], Table1[Transaction_Amount])</f>
        <v>4813.7290000000003</v>
      </c>
      <c r="I2011" t="s">
        <v>2521</v>
      </c>
      <c r="J2011" t="s">
        <v>41</v>
      </c>
      <c r="K2011" t="s">
        <v>10</v>
      </c>
      <c r="L2011">
        <v>2</v>
      </c>
      <c r="M2011" t="s">
        <v>47</v>
      </c>
      <c r="N2011" t="s">
        <v>55</v>
      </c>
      <c r="O2011" t="s">
        <v>393</v>
      </c>
      <c r="P2011" s="6" t="str">
        <f>IF(Table1[[#This Row],[Transaction_Amount]]&lt;=Table1[[#This Row],[avg_transaction_amount]], "usual transaction", "unusual transaction")</f>
        <v>usual transaction</v>
      </c>
      <c r="Q2011" s="6" t="str">
        <f>IF(AND(Table1[[#This Row],[Country_of_Residence]]&lt;&gt;Table1[[#This Row],[Country_of_Transaction]], OR(Table1[[#This Row],[Authentication_Type]]="Biometric", Table1[[#This Row],[Authentication_Type]]="OTP")), "safe location transaction", "unsafe location transaction")</f>
        <v>safe location transaction</v>
      </c>
      <c r="R2011" s="6" t="str">
        <f>IF(AND(Table1[[#This Row],[Country_of_Residence]]&lt;&gt;Table1[[#This Row],[Country_of_Transaction]], OR(Table1[[#This Row],[Merchant_Category]]="Electronics", Table1[[#This Row],[Merchant_Category]]="Travel")), "unsafe merchant transaction", "safe merchant transaction")</f>
        <v>safe merchant transaction</v>
      </c>
    </row>
    <row r="2012" spans="1:18">
      <c r="A2012" t="s">
        <v>5258</v>
      </c>
      <c r="B2012" t="s">
        <v>295</v>
      </c>
      <c r="C2012">
        <v>1</v>
      </c>
      <c r="D2012" t="s">
        <v>15</v>
      </c>
      <c r="E2012" t="s">
        <v>6</v>
      </c>
      <c r="F2012" s="2">
        <v>45787</v>
      </c>
      <c r="G2012">
        <v>3555.53</v>
      </c>
      <c r="H2012" s="1">
        <f>AVERAGEIF(Table1[Customer_ID], Table1[[#This Row],[Customer_ID]], Table1[Transaction_Amount])</f>
        <v>4813.7290000000003</v>
      </c>
      <c r="I2012" t="s">
        <v>471</v>
      </c>
      <c r="J2012" t="s">
        <v>46</v>
      </c>
      <c r="K2012" t="s">
        <v>14</v>
      </c>
      <c r="L2012">
        <v>4</v>
      </c>
      <c r="M2012" t="s">
        <v>37</v>
      </c>
      <c r="N2012" t="s">
        <v>33</v>
      </c>
      <c r="O2012" t="s">
        <v>392</v>
      </c>
      <c r="P2012" s="6" t="str">
        <f>IF(Table1[[#This Row],[Transaction_Amount]]&lt;=Table1[[#This Row],[avg_transaction_amount]], "usual transaction", "unusual transaction")</f>
        <v>usual transaction</v>
      </c>
      <c r="Q2012" s="6" t="str">
        <f>IF(AND(Table1[[#This Row],[Country_of_Residence]]&lt;&gt;Table1[[#This Row],[Country_of_Transaction]], OR(Table1[[#This Row],[Authentication_Type]]="Biometric", Table1[[#This Row],[Authentication_Type]]="OTP")), "safe location transaction", "unsafe location transaction")</f>
        <v>unsafe location transaction</v>
      </c>
      <c r="R2012" s="6" t="str">
        <f>IF(AND(Table1[[#This Row],[Country_of_Residence]]&lt;&gt;Table1[[#This Row],[Country_of_Transaction]], OR(Table1[[#This Row],[Merchant_Category]]="Electronics", Table1[[#This Row],[Merchant_Category]]="Travel")), "unsafe merchant transaction", "safe merchant transaction")</f>
        <v>safe merchant transaction</v>
      </c>
    </row>
    <row r="2013" spans="1:18">
      <c r="A2013" t="s">
        <v>5408</v>
      </c>
      <c r="B2013" t="s">
        <v>295</v>
      </c>
      <c r="C2013">
        <v>1</v>
      </c>
      <c r="D2013" t="s">
        <v>15</v>
      </c>
      <c r="E2013" t="s">
        <v>420</v>
      </c>
      <c r="F2013" s="2">
        <v>45810</v>
      </c>
      <c r="G2013">
        <v>1000.47</v>
      </c>
      <c r="H2013" s="1">
        <f>AVERAGEIF(Table1[Customer_ID], Table1[[#This Row],[Customer_ID]], Table1[Transaction_Amount])</f>
        <v>4813.7290000000003</v>
      </c>
      <c r="I2013" t="s">
        <v>2686</v>
      </c>
      <c r="J2013" t="s">
        <v>31</v>
      </c>
      <c r="K2013" t="s">
        <v>10</v>
      </c>
      <c r="L2013">
        <v>0</v>
      </c>
      <c r="M2013" t="s">
        <v>42</v>
      </c>
      <c r="N2013" t="s">
        <v>32</v>
      </c>
      <c r="O2013" t="s">
        <v>392</v>
      </c>
      <c r="P2013" s="6" t="str">
        <f>IF(Table1[[#This Row],[Transaction_Amount]]&lt;=Table1[[#This Row],[avg_transaction_amount]], "usual transaction", "unusual transaction")</f>
        <v>usual transaction</v>
      </c>
      <c r="Q2013" s="6" t="str">
        <f>IF(AND(Table1[[#This Row],[Country_of_Residence]]&lt;&gt;Table1[[#This Row],[Country_of_Transaction]], OR(Table1[[#This Row],[Authentication_Type]]="Biometric", Table1[[#This Row],[Authentication_Type]]="OTP")), "safe location transaction", "unsafe location transaction")</f>
        <v>safe location transaction</v>
      </c>
      <c r="R2013" s="6" t="str">
        <f>IF(AND(Table1[[#This Row],[Country_of_Residence]]&lt;&gt;Table1[[#This Row],[Country_of_Transaction]], OR(Table1[[#This Row],[Merchant_Category]]="Electronics", Table1[[#This Row],[Merchant_Category]]="Travel")), "unsafe merchant transaction", "safe merchant transaction")</f>
        <v>safe merchant transaction</v>
      </c>
    </row>
    <row r="2014" spans="1:18">
      <c r="A2014" t="s">
        <v>5410</v>
      </c>
      <c r="B2014" t="s">
        <v>295</v>
      </c>
      <c r="C2014">
        <v>1</v>
      </c>
      <c r="D2014" t="s">
        <v>15</v>
      </c>
      <c r="E2014" t="s">
        <v>6</v>
      </c>
      <c r="F2014" s="2">
        <v>45690</v>
      </c>
      <c r="G2014">
        <v>4483.87</v>
      </c>
      <c r="H2014" s="1">
        <f>AVERAGEIF(Table1[Customer_ID], Table1[[#This Row],[Customer_ID]], Table1[Transaction_Amount])</f>
        <v>4813.7290000000003</v>
      </c>
      <c r="I2014" t="s">
        <v>345</v>
      </c>
      <c r="J2014" t="s">
        <v>31</v>
      </c>
      <c r="K2014" t="s">
        <v>12</v>
      </c>
      <c r="L2014">
        <v>5</v>
      </c>
      <c r="M2014" t="s">
        <v>42</v>
      </c>
      <c r="N2014" t="s">
        <v>412</v>
      </c>
      <c r="O2014" t="s">
        <v>393</v>
      </c>
      <c r="P2014" s="6" t="str">
        <f>IF(Table1[[#This Row],[Transaction_Amount]]&lt;=Table1[[#This Row],[avg_transaction_amount]], "usual transaction", "unusual transaction")</f>
        <v>usual transaction</v>
      </c>
      <c r="Q2014" s="6" t="str">
        <f>IF(AND(Table1[[#This Row],[Country_of_Residence]]&lt;&gt;Table1[[#This Row],[Country_of_Transaction]], OR(Table1[[#This Row],[Authentication_Type]]="Biometric", Table1[[#This Row],[Authentication_Type]]="OTP")), "safe location transaction", "unsafe location transaction")</f>
        <v>unsafe location transaction</v>
      </c>
      <c r="R2014" s="6" t="str">
        <f>IF(AND(Table1[[#This Row],[Country_of_Residence]]&lt;&gt;Table1[[#This Row],[Country_of_Transaction]], OR(Table1[[#This Row],[Merchant_Category]]="Electronics", Table1[[#This Row],[Merchant_Category]]="Travel")), "unsafe merchant transaction", "safe merchant transaction")</f>
        <v>safe merchant transaction</v>
      </c>
    </row>
    <row r="2015" spans="1:18">
      <c r="A2015" t="s">
        <v>5416</v>
      </c>
      <c r="B2015" t="s">
        <v>295</v>
      </c>
      <c r="C2015">
        <v>1</v>
      </c>
      <c r="D2015" t="s">
        <v>9</v>
      </c>
      <c r="E2015" t="s">
        <v>6</v>
      </c>
      <c r="F2015" s="2">
        <v>45679</v>
      </c>
      <c r="G2015">
        <v>9711.07</v>
      </c>
      <c r="H2015" s="1">
        <f>AVERAGEIF(Table1[Customer_ID], Table1[[#This Row],[Customer_ID]], Table1[Transaction_Amount])</f>
        <v>4813.7290000000003</v>
      </c>
      <c r="I2015" t="s">
        <v>2691</v>
      </c>
      <c r="J2015" t="s">
        <v>36</v>
      </c>
      <c r="K2015" t="s">
        <v>12</v>
      </c>
      <c r="L2015">
        <v>0</v>
      </c>
      <c r="M2015" t="s">
        <v>37</v>
      </c>
      <c r="N2015" t="s">
        <v>51</v>
      </c>
      <c r="O2015" t="s">
        <v>392</v>
      </c>
      <c r="P2015" s="6" t="str">
        <f>IF(Table1[[#This Row],[Transaction_Amount]]&lt;=Table1[[#This Row],[avg_transaction_amount]], "usual transaction", "unusual transaction")</f>
        <v>unusual transaction</v>
      </c>
      <c r="Q2015" s="6" t="str">
        <f>IF(AND(Table1[[#This Row],[Country_of_Residence]]&lt;&gt;Table1[[#This Row],[Country_of_Transaction]], OR(Table1[[#This Row],[Authentication_Type]]="Biometric", Table1[[#This Row],[Authentication_Type]]="OTP")), "safe location transaction", "unsafe location transaction")</f>
        <v>unsafe location transaction</v>
      </c>
      <c r="R2015" s="6" t="str">
        <f>IF(AND(Table1[[#This Row],[Country_of_Residence]]&lt;&gt;Table1[[#This Row],[Country_of_Transaction]], OR(Table1[[#This Row],[Merchant_Category]]="Electronics", Table1[[#This Row],[Merchant_Category]]="Travel")), "unsafe merchant transaction", "safe merchant transaction")</f>
        <v>safe merchant transaction</v>
      </c>
    </row>
    <row r="2016" spans="1:18">
      <c r="A2016" t="s">
        <v>5512</v>
      </c>
      <c r="B2016" t="s">
        <v>295</v>
      </c>
      <c r="C2016">
        <v>1</v>
      </c>
      <c r="D2016" t="s">
        <v>15</v>
      </c>
      <c r="E2016" t="s">
        <v>6</v>
      </c>
      <c r="F2016" s="2">
        <v>45754</v>
      </c>
      <c r="G2016">
        <v>3230.1</v>
      </c>
      <c r="H2016" s="1">
        <f>AVERAGEIF(Table1[Customer_ID], Table1[[#This Row],[Customer_ID]], Table1[Transaction_Amount])</f>
        <v>4813.7290000000003</v>
      </c>
      <c r="I2016" t="s">
        <v>2763</v>
      </c>
      <c r="J2016" t="s">
        <v>46</v>
      </c>
      <c r="K2016" t="s">
        <v>10</v>
      </c>
      <c r="L2016">
        <v>0</v>
      </c>
      <c r="M2016" t="s">
        <v>412</v>
      </c>
      <c r="N2016" t="s">
        <v>412</v>
      </c>
      <c r="O2016" t="s">
        <v>392</v>
      </c>
      <c r="P2016" s="6" t="str">
        <f>IF(Table1[[#This Row],[Transaction_Amount]]&lt;=Table1[[#This Row],[avg_transaction_amount]], "usual transaction", "unusual transaction")</f>
        <v>usual transaction</v>
      </c>
      <c r="Q2016" s="6" t="str">
        <f>IF(AND(Table1[[#This Row],[Country_of_Residence]]&lt;&gt;Table1[[#This Row],[Country_of_Transaction]], OR(Table1[[#This Row],[Authentication_Type]]="Biometric", Table1[[#This Row],[Authentication_Type]]="OTP")), "safe location transaction", "unsafe location transaction")</f>
        <v>unsafe location transaction</v>
      </c>
      <c r="R2016" s="6" t="str">
        <f>IF(AND(Table1[[#This Row],[Country_of_Residence]]&lt;&gt;Table1[[#This Row],[Country_of_Transaction]], OR(Table1[[#This Row],[Merchant_Category]]="Electronics", Table1[[#This Row],[Merchant_Category]]="Travel")), "unsafe merchant transaction", "safe merchant transaction")</f>
        <v>safe merchant transaction</v>
      </c>
    </row>
    <row r="2017" spans="1:18">
      <c r="A2017" t="s">
        <v>301</v>
      </c>
      <c r="B2017" t="s">
        <v>302</v>
      </c>
      <c r="C2017">
        <v>1</v>
      </c>
      <c r="D2017" t="s">
        <v>11</v>
      </c>
      <c r="E2017" t="s">
        <v>4</v>
      </c>
      <c r="F2017" s="2">
        <v>45779.097222222197</v>
      </c>
      <c r="G2017">
        <v>3940.73</v>
      </c>
      <c r="H2017" s="1">
        <f>AVERAGEIF(Table1[Customer_ID], Table1[[#This Row],[Customer_ID]], Table1[Transaction_Amount])</f>
        <v>5513.8293103448259</v>
      </c>
      <c r="I2017" t="s">
        <v>303</v>
      </c>
      <c r="J2017" t="s">
        <v>59</v>
      </c>
      <c r="K2017" t="s">
        <v>14</v>
      </c>
      <c r="L2017">
        <v>4</v>
      </c>
      <c r="M2017" t="s">
        <v>33</v>
      </c>
      <c r="N2017" t="s">
        <v>304</v>
      </c>
      <c r="O2017" t="s">
        <v>393</v>
      </c>
      <c r="P2017" t="str">
        <f>IF(Table1[[#This Row],[Transaction_Amount]]&lt;=Table1[[#This Row],[avg_transaction_amount]], "usual transaction", "unusual transaction")</f>
        <v>usual transaction</v>
      </c>
      <c r="Q2017" t="str">
        <f>IF(AND(Table1[[#This Row],[Country_of_Residence]]&lt;&gt;Table1[[#This Row],[Country_of_Transaction]], OR(Table1[[#This Row],[Authentication_Type]]="Biometric", Table1[[#This Row],[Authentication_Type]]="OTP")), "safe location transaction", "unsafe location transaction")</f>
        <v>unsafe location transaction</v>
      </c>
      <c r="R2017" t="str">
        <f>IF(AND(Table1[[#This Row],[Country_of_Residence]]&lt;&gt;Table1[[#This Row],[Country_of_Transaction]], OR(Table1[[#This Row],[Merchant_Category]]="Electronics", Table1[[#This Row],[Merchant_Category]]="Travel")), "unsafe merchant transaction", "safe merchant transaction")</f>
        <v>unsafe merchant transaction</v>
      </c>
    </row>
    <row r="2018" spans="1:18">
      <c r="A2018" t="s">
        <v>2890</v>
      </c>
      <c r="B2018" t="s">
        <v>302</v>
      </c>
      <c r="C2018">
        <v>1</v>
      </c>
      <c r="D2018" t="s">
        <v>9</v>
      </c>
      <c r="E2018" t="s">
        <v>6</v>
      </c>
      <c r="F2018" s="2">
        <v>45971</v>
      </c>
      <c r="G2018">
        <v>1221.72</v>
      </c>
      <c r="H2018" s="1">
        <f>AVERAGEIF(Table1[Customer_ID], Table1[[#This Row],[Customer_ID]], Table1[Transaction_Amount])</f>
        <v>5513.8293103448259</v>
      </c>
      <c r="I2018" t="s">
        <v>540</v>
      </c>
      <c r="J2018" t="s">
        <v>46</v>
      </c>
      <c r="K2018" t="s">
        <v>10</v>
      </c>
      <c r="L2018">
        <v>1</v>
      </c>
      <c r="M2018" t="s">
        <v>32</v>
      </c>
      <c r="N2018" t="s">
        <v>47</v>
      </c>
      <c r="O2018" t="s">
        <v>392</v>
      </c>
      <c r="P2018" s="6" t="str">
        <f>IF(Table1[[#This Row],[Transaction_Amount]]&lt;=Table1[[#This Row],[avg_transaction_amount]], "usual transaction", "unusual transaction")</f>
        <v>usual transaction</v>
      </c>
      <c r="Q2018" s="6" t="str">
        <f>IF(AND(Table1[[#This Row],[Country_of_Residence]]&lt;&gt;Table1[[#This Row],[Country_of_Transaction]], OR(Table1[[#This Row],[Authentication_Type]]="Biometric", Table1[[#This Row],[Authentication_Type]]="OTP")), "safe location transaction", "unsafe location transaction")</f>
        <v>safe location transaction</v>
      </c>
      <c r="R2018" s="6" t="str">
        <f>IF(AND(Table1[[#This Row],[Country_of_Residence]]&lt;&gt;Table1[[#This Row],[Country_of_Transaction]], OR(Table1[[#This Row],[Merchant_Category]]="Electronics", Table1[[#This Row],[Merchant_Category]]="Travel")), "unsafe merchant transaction", "safe merchant transaction")</f>
        <v>safe merchant transaction</v>
      </c>
    </row>
    <row r="2019" spans="1:18">
      <c r="A2019" t="s">
        <v>2929</v>
      </c>
      <c r="B2019" t="s">
        <v>302</v>
      </c>
      <c r="C2019">
        <v>1</v>
      </c>
      <c r="D2019" t="s">
        <v>15</v>
      </c>
      <c r="E2019" t="s">
        <v>420</v>
      </c>
      <c r="F2019" s="2">
        <v>45942</v>
      </c>
      <c r="G2019">
        <v>9487.7800000000007</v>
      </c>
      <c r="H2019" s="1">
        <f>AVERAGEIF(Table1[Customer_ID], Table1[[#This Row],[Customer_ID]], Table1[Transaction_Amount])</f>
        <v>5513.8293103448259</v>
      </c>
      <c r="I2019" t="s">
        <v>578</v>
      </c>
      <c r="J2019" t="s">
        <v>50</v>
      </c>
      <c r="K2019" t="s">
        <v>8</v>
      </c>
      <c r="L2019">
        <v>4</v>
      </c>
      <c r="M2019" t="s">
        <v>51</v>
      </c>
      <c r="N2019" t="s">
        <v>56</v>
      </c>
      <c r="O2019" t="s">
        <v>393</v>
      </c>
      <c r="P2019" s="6" t="str">
        <f>IF(Table1[[#This Row],[Transaction_Amount]]&lt;=Table1[[#This Row],[avg_transaction_amount]], "usual transaction", "unusual transaction")</f>
        <v>unusual transaction</v>
      </c>
      <c r="Q2019" s="6" t="str">
        <f>IF(AND(Table1[[#This Row],[Country_of_Residence]]&lt;&gt;Table1[[#This Row],[Country_of_Transaction]], OR(Table1[[#This Row],[Authentication_Type]]="Biometric", Table1[[#This Row],[Authentication_Type]]="OTP")), "safe location transaction", "unsafe location transaction")</f>
        <v>safe location transaction</v>
      </c>
      <c r="R2019" s="6" t="str">
        <f>IF(AND(Table1[[#This Row],[Country_of_Residence]]&lt;&gt;Table1[[#This Row],[Country_of_Transaction]], OR(Table1[[#This Row],[Merchant_Category]]="Electronics", Table1[[#This Row],[Merchant_Category]]="Travel")), "unsafe merchant transaction", "safe merchant transaction")</f>
        <v>unsafe merchant transaction</v>
      </c>
    </row>
    <row r="2020" spans="1:18">
      <c r="A2020" t="s">
        <v>2948</v>
      </c>
      <c r="B2020" t="s">
        <v>302</v>
      </c>
      <c r="C2020">
        <v>1</v>
      </c>
      <c r="D2020" t="s">
        <v>9</v>
      </c>
      <c r="E2020" t="s">
        <v>420</v>
      </c>
      <c r="F2020" s="2">
        <v>45664</v>
      </c>
      <c r="G2020">
        <v>975.99</v>
      </c>
      <c r="H2020" s="1">
        <f>AVERAGEIF(Table1[Customer_ID], Table1[[#This Row],[Customer_ID]], Table1[Transaction_Amount])</f>
        <v>5513.8293103448259</v>
      </c>
      <c r="I2020" t="s">
        <v>596</v>
      </c>
      <c r="J2020" t="s">
        <v>36</v>
      </c>
      <c r="K2020" t="s">
        <v>10</v>
      </c>
      <c r="L2020">
        <v>5</v>
      </c>
      <c r="M2020" t="s">
        <v>33</v>
      </c>
      <c r="N2020" t="s">
        <v>55</v>
      </c>
      <c r="O2020" t="s">
        <v>392</v>
      </c>
      <c r="P2020" s="6" t="str">
        <f>IF(Table1[[#This Row],[Transaction_Amount]]&lt;=Table1[[#This Row],[avg_transaction_amount]], "usual transaction", "unusual transaction")</f>
        <v>usual transaction</v>
      </c>
      <c r="Q2020" s="6" t="str">
        <f>IF(AND(Table1[[#This Row],[Country_of_Residence]]&lt;&gt;Table1[[#This Row],[Country_of_Transaction]], OR(Table1[[#This Row],[Authentication_Type]]="Biometric", Table1[[#This Row],[Authentication_Type]]="OTP")), "safe location transaction", "unsafe location transaction")</f>
        <v>safe location transaction</v>
      </c>
      <c r="R2020" s="6" t="str">
        <f>IF(AND(Table1[[#This Row],[Country_of_Residence]]&lt;&gt;Table1[[#This Row],[Country_of_Transaction]], OR(Table1[[#This Row],[Merchant_Category]]="Electronics", Table1[[#This Row],[Merchant_Category]]="Travel")), "unsafe merchant transaction", "safe merchant transaction")</f>
        <v>safe merchant transaction</v>
      </c>
    </row>
    <row r="2021" spans="1:18">
      <c r="A2021" t="s">
        <v>3050</v>
      </c>
      <c r="B2021" t="s">
        <v>302</v>
      </c>
      <c r="C2021">
        <v>1</v>
      </c>
      <c r="D2021" t="s">
        <v>15</v>
      </c>
      <c r="E2021" t="s">
        <v>6</v>
      </c>
      <c r="F2021" s="2">
        <v>45916</v>
      </c>
      <c r="G2021">
        <v>8926.02</v>
      </c>
      <c r="H2021" s="1">
        <f>AVERAGEIF(Table1[Customer_ID], Table1[[#This Row],[Customer_ID]], Table1[Transaction_Amount])</f>
        <v>5513.8293103448259</v>
      </c>
      <c r="I2021" t="s">
        <v>695</v>
      </c>
      <c r="J2021" t="s">
        <v>46</v>
      </c>
      <c r="K2021" t="s">
        <v>10</v>
      </c>
      <c r="L2021">
        <v>3</v>
      </c>
      <c r="M2021" t="s">
        <v>51</v>
      </c>
      <c r="N2021" t="s">
        <v>55</v>
      </c>
      <c r="O2021" t="s">
        <v>393</v>
      </c>
      <c r="P2021" s="6" t="str">
        <f>IF(Table1[[#This Row],[Transaction_Amount]]&lt;=Table1[[#This Row],[avg_transaction_amount]], "usual transaction", "unusual transaction")</f>
        <v>unusual transaction</v>
      </c>
      <c r="Q2021" s="6" t="str">
        <f>IF(AND(Table1[[#This Row],[Country_of_Residence]]&lt;&gt;Table1[[#This Row],[Country_of_Transaction]], OR(Table1[[#This Row],[Authentication_Type]]="Biometric", Table1[[#This Row],[Authentication_Type]]="OTP")), "safe location transaction", "unsafe location transaction")</f>
        <v>safe location transaction</v>
      </c>
      <c r="R2021" s="6" t="str">
        <f>IF(AND(Table1[[#This Row],[Country_of_Residence]]&lt;&gt;Table1[[#This Row],[Country_of_Transaction]], OR(Table1[[#This Row],[Merchant_Category]]="Electronics", Table1[[#This Row],[Merchant_Category]]="Travel")), "unsafe merchant transaction", "safe merchant transaction")</f>
        <v>safe merchant transaction</v>
      </c>
    </row>
    <row r="2022" spans="1:18">
      <c r="A2022" t="s">
        <v>3067</v>
      </c>
      <c r="B2022" t="s">
        <v>302</v>
      </c>
      <c r="C2022">
        <v>1</v>
      </c>
      <c r="D2022" t="s">
        <v>15</v>
      </c>
      <c r="E2022" t="s">
        <v>3</v>
      </c>
      <c r="F2022" s="2">
        <v>46000</v>
      </c>
      <c r="G2022">
        <v>8245.7000000000007</v>
      </c>
      <c r="H2022" s="1">
        <f>AVERAGEIF(Table1[Customer_ID], Table1[[#This Row],[Customer_ID]], Table1[Transaction_Amount])</f>
        <v>5513.8293103448259</v>
      </c>
      <c r="I2022" t="s">
        <v>712</v>
      </c>
      <c r="J2022" t="s">
        <v>46</v>
      </c>
      <c r="K2022" t="s">
        <v>12</v>
      </c>
      <c r="L2022">
        <v>0</v>
      </c>
      <c r="M2022" t="s">
        <v>51</v>
      </c>
      <c r="N2022" t="s">
        <v>56</v>
      </c>
      <c r="O2022" t="s">
        <v>392</v>
      </c>
      <c r="P2022" s="6" t="str">
        <f>IF(Table1[[#This Row],[Transaction_Amount]]&lt;=Table1[[#This Row],[avg_transaction_amount]], "usual transaction", "unusual transaction")</f>
        <v>unusual transaction</v>
      </c>
      <c r="Q2022" s="6" t="str">
        <f>IF(AND(Table1[[#This Row],[Country_of_Residence]]&lt;&gt;Table1[[#This Row],[Country_of_Transaction]], OR(Table1[[#This Row],[Authentication_Type]]="Biometric", Table1[[#This Row],[Authentication_Type]]="OTP")), "safe location transaction", "unsafe location transaction")</f>
        <v>unsafe location transaction</v>
      </c>
      <c r="R2022" s="6" t="str">
        <f>IF(AND(Table1[[#This Row],[Country_of_Residence]]&lt;&gt;Table1[[#This Row],[Country_of_Transaction]], OR(Table1[[#This Row],[Merchant_Category]]="Electronics", Table1[[#This Row],[Merchant_Category]]="Travel")), "unsafe merchant transaction", "safe merchant transaction")</f>
        <v>safe merchant transaction</v>
      </c>
    </row>
    <row r="2023" spans="1:18">
      <c r="A2023" t="s">
        <v>3146</v>
      </c>
      <c r="B2023" t="s">
        <v>302</v>
      </c>
      <c r="C2023">
        <v>1</v>
      </c>
      <c r="D2023" t="s">
        <v>15</v>
      </c>
      <c r="E2023" t="s">
        <v>6</v>
      </c>
      <c r="F2023" s="2">
        <v>45782</v>
      </c>
      <c r="G2023">
        <v>2021.18</v>
      </c>
      <c r="H2023" s="1">
        <f>AVERAGEIF(Table1[Customer_ID], Table1[[#This Row],[Customer_ID]], Table1[Transaction_Amount])</f>
        <v>5513.8293103448259</v>
      </c>
      <c r="I2023" t="s">
        <v>785</v>
      </c>
      <c r="J2023" t="s">
        <v>36</v>
      </c>
      <c r="K2023" t="s">
        <v>14</v>
      </c>
      <c r="L2023">
        <v>5</v>
      </c>
      <c r="M2023" t="s">
        <v>32</v>
      </c>
      <c r="N2023" t="s">
        <v>32</v>
      </c>
      <c r="O2023" t="s">
        <v>393</v>
      </c>
      <c r="P2023" s="6" t="str">
        <f>IF(Table1[[#This Row],[Transaction_Amount]]&lt;=Table1[[#This Row],[avg_transaction_amount]], "usual transaction", "unusual transaction")</f>
        <v>usual transaction</v>
      </c>
      <c r="Q2023" s="6" t="str">
        <f>IF(AND(Table1[[#This Row],[Country_of_Residence]]&lt;&gt;Table1[[#This Row],[Country_of_Transaction]], OR(Table1[[#This Row],[Authentication_Type]]="Biometric", Table1[[#This Row],[Authentication_Type]]="OTP")), "safe location transaction", "unsafe location transaction")</f>
        <v>unsafe location transaction</v>
      </c>
      <c r="R2023" s="6" t="str">
        <f>IF(AND(Table1[[#This Row],[Country_of_Residence]]&lt;&gt;Table1[[#This Row],[Country_of_Transaction]], OR(Table1[[#This Row],[Merchant_Category]]="Electronics", Table1[[#This Row],[Merchant_Category]]="Travel")), "unsafe merchant transaction", "safe merchant transaction")</f>
        <v>safe merchant transaction</v>
      </c>
    </row>
    <row r="2024" spans="1:18">
      <c r="A2024" t="s">
        <v>3168</v>
      </c>
      <c r="B2024" t="s">
        <v>302</v>
      </c>
      <c r="C2024">
        <v>1</v>
      </c>
      <c r="D2024" t="s">
        <v>15</v>
      </c>
      <c r="E2024" t="s">
        <v>3</v>
      </c>
      <c r="F2024" s="2">
        <v>45752</v>
      </c>
      <c r="G2024">
        <v>2817.22</v>
      </c>
      <c r="H2024" s="1">
        <f>AVERAGEIF(Table1[Customer_ID], Table1[[#This Row],[Customer_ID]], Table1[Transaction_Amount])</f>
        <v>5513.8293103448259</v>
      </c>
      <c r="I2024" t="s">
        <v>803</v>
      </c>
      <c r="J2024" t="s">
        <v>50</v>
      </c>
      <c r="K2024" t="s">
        <v>10</v>
      </c>
      <c r="L2024">
        <v>1</v>
      </c>
      <c r="M2024" t="s">
        <v>412</v>
      </c>
      <c r="N2024" t="s">
        <v>37</v>
      </c>
      <c r="O2024" t="s">
        <v>393</v>
      </c>
      <c r="P2024" s="6" t="str">
        <f>IF(Table1[[#This Row],[Transaction_Amount]]&lt;=Table1[[#This Row],[avg_transaction_amount]], "usual transaction", "unusual transaction")</f>
        <v>usual transaction</v>
      </c>
      <c r="Q2024" s="6" t="str">
        <f>IF(AND(Table1[[#This Row],[Country_of_Residence]]&lt;&gt;Table1[[#This Row],[Country_of_Transaction]], OR(Table1[[#This Row],[Authentication_Type]]="Biometric", Table1[[#This Row],[Authentication_Type]]="OTP")), "safe location transaction", "unsafe location transaction")</f>
        <v>safe location transaction</v>
      </c>
      <c r="R2024" s="6" t="str">
        <f>IF(AND(Table1[[#This Row],[Country_of_Residence]]&lt;&gt;Table1[[#This Row],[Country_of_Transaction]], OR(Table1[[#This Row],[Merchant_Category]]="Electronics", Table1[[#This Row],[Merchant_Category]]="Travel")), "unsafe merchant transaction", "safe merchant transaction")</f>
        <v>unsafe merchant transaction</v>
      </c>
    </row>
    <row r="2025" spans="1:18">
      <c r="A2025" t="s">
        <v>3192</v>
      </c>
      <c r="B2025" t="s">
        <v>302</v>
      </c>
      <c r="C2025">
        <v>1</v>
      </c>
      <c r="D2025" t="s">
        <v>9</v>
      </c>
      <c r="E2025" t="s">
        <v>3</v>
      </c>
      <c r="F2025" s="2">
        <v>45802</v>
      </c>
      <c r="G2025">
        <v>9680.6</v>
      </c>
      <c r="H2025" s="1">
        <f>AVERAGEIF(Table1[Customer_ID], Table1[[#This Row],[Customer_ID]], Table1[Transaction_Amount])</f>
        <v>5513.8293103448259</v>
      </c>
      <c r="I2025" t="s">
        <v>827</v>
      </c>
      <c r="J2025" t="s">
        <v>36</v>
      </c>
      <c r="K2025" t="s">
        <v>8</v>
      </c>
      <c r="L2025">
        <v>5</v>
      </c>
      <c r="M2025" t="s">
        <v>51</v>
      </c>
      <c r="N2025" t="s">
        <v>56</v>
      </c>
      <c r="O2025" t="s">
        <v>393</v>
      </c>
      <c r="P2025" s="6" t="str">
        <f>IF(Table1[[#This Row],[Transaction_Amount]]&lt;=Table1[[#This Row],[avg_transaction_amount]], "usual transaction", "unusual transaction")</f>
        <v>unusual transaction</v>
      </c>
      <c r="Q2025" s="6" t="str">
        <f>IF(AND(Table1[[#This Row],[Country_of_Residence]]&lt;&gt;Table1[[#This Row],[Country_of_Transaction]], OR(Table1[[#This Row],[Authentication_Type]]="Biometric", Table1[[#This Row],[Authentication_Type]]="OTP")), "safe location transaction", "unsafe location transaction")</f>
        <v>safe location transaction</v>
      </c>
      <c r="R2025" s="6" t="str">
        <f>IF(AND(Table1[[#This Row],[Country_of_Residence]]&lt;&gt;Table1[[#This Row],[Country_of_Transaction]], OR(Table1[[#This Row],[Merchant_Category]]="Electronics", Table1[[#This Row],[Merchant_Category]]="Travel")), "unsafe merchant transaction", "safe merchant transaction")</f>
        <v>safe merchant transaction</v>
      </c>
    </row>
    <row r="2026" spans="1:18">
      <c r="A2026" t="s">
        <v>3236</v>
      </c>
      <c r="B2026" t="s">
        <v>302</v>
      </c>
      <c r="C2026">
        <v>1</v>
      </c>
      <c r="D2026" t="s">
        <v>9</v>
      </c>
      <c r="E2026" t="s">
        <v>6</v>
      </c>
      <c r="F2026" s="2">
        <v>45934</v>
      </c>
      <c r="G2026">
        <v>7107.9</v>
      </c>
      <c r="H2026" s="1">
        <f>AVERAGEIF(Table1[Customer_ID], Table1[[#This Row],[Customer_ID]], Table1[Transaction_Amount])</f>
        <v>5513.8293103448259</v>
      </c>
      <c r="I2026" t="s">
        <v>869</v>
      </c>
      <c r="J2026" t="s">
        <v>41</v>
      </c>
      <c r="K2026" t="s">
        <v>12</v>
      </c>
      <c r="L2026">
        <v>5</v>
      </c>
      <c r="M2026" t="s">
        <v>55</v>
      </c>
      <c r="N2026" t="s">
        <v>51</v>
      </c>
      <c r="O2026" t="s">
        <v>393</v>
      </c>
      <c r="P2026" s="6" t="str">
        <f>IF(Table1[[#This Row],[Transaction_Amount]]&lt;=Table1[[#This Row],[avg_transaction_amount]], "usual transaction", "unusual transaction")</f>
        <v>unusual transaction</v>
      </c>
      <c r="Q2026" s="6" t="str">
        <f>IF(AND(Table1[[#This Row],[Country_of_Residence]]&lt;&gt;Table1[[#This Row],[Country_of_Transaction]], OR(Table1[[#This Row],[Authentication_Type]]="Biometric", Table1[[#This Row],[Authentication_Type]]="OTP")), "safe location transaction", "unsafe location transaction")</f>
        <v>unsafe location transaction</v>
      </c>
      <c r="R2026" s="6" t="str">
        <f>IF(AND(Table1[[#This Row],[Country_of_Residence]]&lt;&gt;Table1[[#This Row],[Country_of_Transaction]], OR(Table1[[#This Row],[Merchant_Category]]="Electronics", Table1[[#This Row],[Merchant_Category]]="Travel")), "unsafe merchant transaction", "safe merchant transaction")</f>
        <v>safe merchant transaction</v>
      </c>
    </row>
    <row r="2027" spans="1:18">
      <c r="A2027" t="s">
        <v>3251</v>
      </c>
      <c r="B2027" t="s">
        <v>302</v>
      </c>
      <c r="C2027">
        <v>1</v>
      </c>
      <c r="D2027" t="s">
        <v>15</v>
      </c>
      <c r="E2027" t="s">
        <v>6</v>
      </c>
      <c r="F2027" s="2">
        <v>45753</v>
      </c>
      <c r="G2027">
        <v>4648.09</v>
      </c>
      <c r="H2027" s="1">
        <f>AVERAGEIF(Table1[Customer_ID], Table1[[#This Row],[Customer_ID]], Table1[Transaction_Amount])</f>
        <v>5513.8293103448259</v>
      </c>
      <c r="I2027" t="s">
        <v>882</v>
      </c>
      <c r="J2027" t="s">
        <v>41</v>
      </c>
      <c r="K2027" t="s">
        <v>8</v>
      </c>
      <c r="L2027">
        <v>0</v>
      </c>
      <c r="M2027" t="s">
        <v>37</v>
      </c>
      <c r="N2027" t="s">
        <v>37</v>
      </c>
      <c r="O2027" t="s">
        <v>393</v>
      </c>
      <c r="P2027" s="6" t="str">
        <f>IF(Table1[[#This Row],[Transaction_Amount]]&lt;=Table1[[#This Row],[avg_transaction_amount]], "usual transaction", "unusual transaction")</f>
        <v>usual transaction</v>
      </c>
      <c r="Q2027" s="6" t="str">
        <f>IF(AND(Table1[[#This Row],[Country_of_Residence]]&lt;&gt;Table1[[#This Row],[Country_of_Transaction]], OR(Table1[[#This Row],[Authentication_Type]]="Biometric", Table1[[#This Row],[Authentication_Type]]="OTP")), "safe location transaction", "unsafe location transaction")</f>
        <v>unsafe location transaction</v>
      </c>
      <c r="R2027" s="6" t="str">
        <f>IF(AND(Table1[[#This Row],[Country_of_Residence]]&lt;&gt;Table1[[#This Row],[Country_of_Transaction]], OR(Table1[[#This Row],[Merchant_Category]]="Electronics", Table1[[#This Row],[Merchant_Category]]="Travel")), "unsafe merchant transaction", "safe merchant transaction")</f>
        <v>safe merchant transaction</v>
      </c>
    </row>
    <row r="2028" spans="1:18">
      <c r="A2028" t="s">
        <v>3252</v>
      </c>
      <c r="B2028" t="s">
        <v>302</v>
      </c>
      <c r="C2028">
        <v>1</v>
      </c>
      <c r="D2028" t="s">
        <v>15</v>
      </c>
      <c r="E2028" t="s">
        <v>6</v>
      </c>
      <c r="F2028" s="2">
        <v>45792</v>
      </c>
      <c r="G2028">
        <v>7411.57</v>
      </c>
      <c r="H2028" s="1">
        <f>AVERAGEIF(Table1[Customer_ID], Table1[[#This Row],[Customer_ID]], Table1[Transaction_Amount])</f>
        <v>5513.8293103448259</v>
      </c>
      <c r="I2028" t="s">
        <v>883</v>
      </c>
      <c r="J2028" t="s">
        <v>31</v>
      </c>
      <c r="K2028" t="s">
        <v>14</v>
      </c>
      <c r="L2028">
        <v>3</v>
      </c>
      <c r="M2028" t="s">
        <v>42</v>
      </c>
      <c r="N2028" t="s">
        <v>47</v>
      </c>
      <c r="O2028" t="s">
        <v>392</v>
      </c>
      <c r="P2028" s="6" t="str">
        <f>IF(Table1[[#This Row],[Transaction_Amount]]&lt;=Table1[[#This Row],[avg_transaction_amount]], "usual transaction", "unusual transaction")</f>
        <v>unusual transaction</v>
      </c>
      <c r="Q2028" s="6" t="str">
        <f>IF(AND(Table1[[#This Row],[Country_of_Residence]]&lt;&gt;Table1[[#This Row],[Country_of_Transaction]], OR(Table1[[#This Row],[Authentication_Type]]="Biometric", Table1[[#This Row],[Authentication_Type]]="OTP")), "safe location transaction", "unsafe location transaction")</f>
        <v>unsafe location transaction</v>
      </c>
      <c r="R2028" s="6" t="str">
        <f>IF(AND(Table1[[#This Row],[Country_of_Residence]]&lt;&gt;Table1[[#This Row],[Country_of_Transaction]], OR(Table1[[#This Row],[Merchant_Category]]="Electronics", Table1[[#This Row],[Merchant_Category]]="Travel")), "unsafe merchant transaction", "safe merchant transaction")</f>
        <v>safe merchant transaction</v>
      </c>
    </row>
    <row r="2029" spans="1:18">
      <c r="A2029" t="s">
        <v>3327</v>
      </c>
      <c r="B2029" t="s">
        <v>302</v>
      </c>
      <c r="C2029">
        <v>1</v>
      </c>
      <c r="D2029" t="s">
        <v>15</v>
      </c>
      <c r="E2029" t="s">
        <v>6</v>
      </c>
      <c r="F2029" s="2">
        <v>45843</v>
      </c>
      <c r="G2029">
        <v>467.6</v>
      </c>
      <c r="H2029" s="1">
        <f>AVERAGEIF(Table1[Customer_ID], Table1[[#This Row],[Customer_ID]], Table1[Transaction_Amount])</f>
        <v>5513.8293103448259</v>
      </c>
      <c r="I2029" t="s">
        <v>468</v>
      </c>
      <c r="J2029" t="s">
        <v>36</v>
      </c>
      <c r="K2029" t="s">
        <v>8</v>
      </c>
      <c r="L2029">
        <v>5</v>
      </c>
      <c r="M2029" t="s">
        <v>32</v>
      </c>
      <c r="N2029" t="s">
        <v>42</v>
      </c>
      <c r="O2029" t="s">
        <v>393</v>
      </c>
      <c r="P2029" s="6" t="str">
        <f>IF(Table1[[#This Row],[Transaction_Amount]]&lt;=Table1[[#This Row],[avg_transaction_amount]], "usual transaction", "unusual transaction")</f>
        <v>usual transaction</v>
      </c>
      <c r="Q2029" s="6" t="str">
        <f>IF(AND(Table1[[#This Row],[Country_of_Residence]]&lt;&gt;Table1[[#This Row],[Country_of_Transaction]], OR(Table1[[#This Row],[Authentication_Type]]="Biometric", Table1[[#This Row],[Authentication_Type]]="OTP")), "safe location transaction", "unsafe location transaction")</f>
        <v>safe location transaction</v>
      </c>
      <c r="R2029" s="6" t="str">
        <f>IF(AND(Table1[[#This Row],[Country_of_Residence]]&lt;&gt;Table1[[#This Row],[Country_of_Transaction]], OR(Table1[[#This Row],[Merchant_Category]]="Electronics", Table1[[#This Row],[Merchant_Category]]="Travel")), "unsafe merchant transaction", "safe merchant transaction")</f>
        <v>safe merchant transaction</v>
      </c>
    </row>
    <row r="2030" spans="1:18">
      <c r="A2030" t="s">
        <v>3356</v>
      </c>
      <c r="B2030" t="s">
        <v>302</v>
      </c>
      <c r="C2030">
        <v>1</v>
      </c>
      <c r="D2030" t="s">
        <v>9</v>
      </c>
      <c r="E2030" t="s">
        <v>3</v>
      </c>
      <c r="F2030" s="2">
        <v>45990</v>
      </c>
      <c r="G2030">
        <v>8957.92</v>
      </c>
      <c r="H2030" s="1">
        <f>AVERAGEIF(Table1[Customer_ID], Table1[[#This Row],[Customer_ID]], Table1[Transaction_Amount])</f>
        <v>5513.8293103448259</v>
      </c>
      <c r="I2030" t="s">
        <v>980</v>
      </c>
      <c r="J2030" t="s">
        <v>41</v>
      </c>
      <c r="K2030" t="s">
        <v>10</v>
      </c>
      <c r="L2030">
        <v>5</v>
      </c>
      <c r="M2030" t="s">
        <v>47</v>
      </c>
      <c r="N2030" t="s">
        <v>32</v>
      </c>
      <c r="O2030" t="s">
        <v>393</v>
      </c>
      <c r="P2030" s="6" t="str">
        <f>IF(Table1[[#This Row],[Transaction_Amount]]&lt;=Table1[[#This Row],[avg_transaction_amount]], "usual transaction", "unusual transaction")</f>
        <v>unusual transaction</v>
      </c>
      <c r="Q2030" s="6" t="str">
        <f>IF(AND(Table1[[#This Row],[Country_of_Residence]]&lt;&gt;Table1[[#This Row],[Country_of_Transaction]], OR(Table1[[#This Row],[Authentication_Type]]="Biometric", Table1[[#This Row],[Authentication_Type]]="OTP")), "safe location transaction", "unsafe location transaction")</f>
        <v>safe location transaction</v>
      </c>
      <c r="R2030" s="6" t="str">
        <f>IF(AND(Table1[[#This Row],[Country_of_Residence]]&lt;&gt;Table1[[#This Row],[Country_of_Transaction]], OR(Table1[[#This Row],[Merchant_Category]]="Electronics", Table1[[#This Row],[Merchant_Category]]="Travel")), "unsafe merchant transaction", "safe merchant transaction")</f>
        <v>safe merchant transaction</v>
      </c>
    </row>
    <row r="2031" spans="1:18">
      <c r="A2031" t="s">
        <v>3476</v>
      </c>
      <c r="B2031" t="s">
        <v>302</v>
      </c>
      <c r="C2031">
        <v>1</v>
      </c>
      <c r="D2031" t="s">
        <v>9</v>
      </c>
      <c r="E2031" t="s">
        <v>6</v>
      </c>
      <c r="F2031" s="2">
        <v>45752</v>
      </c>
      <c r="G2031">
        <v>7804.75</v>
      </c>
      <c r="H2031" s="1">
        <f>AVERAGEIF(Table1[Customer_ID], Table1[[#This Row],[Customer_ID]], Table1[Transaction_Amount])</f>
        <v>5513.8293103448259</v>
      </c>
      <c r="I2031" t="s">
        <v>1094</v>
      </c>
      <c r="J2031" t="s">
        <v>41</v>
      </c>
      <c r="K2031" t="s">
        <v>12</v>
      </c>
      <c r="L2031">
        <v>4</v>
      </c>
      <c r="M2031" t="s">
        <v>412</v>
      </c>
      <c r="N2031" t="s">
        <v>33</v>
      </c>
      <c r="O2031" t="s">
        <v>393</v>
      </c>
      <c r="P2031" s="6" t="str">
        <f>IF(Table1[[#This Row],[Transaction_Amount]]&lt;=Table1[[#This Row],[avg_transaction_amount]], "usual transaction", "unusual transaction")</f>
        <v>unusual transaction</v>
      </c>
      <c r="Q2031" s="6" t="str">
        <f>IF(AND(Table1[[#This Row],[Country_of_Residence]]&lt;&gt;Table1[[#This Row],[Country_of_Transaction]], OR(Table1[[#This Row],[Authentication_Type]]="Biometric", Table1[[#This Row],[Authentication_Type]]="OTP")), "safe location transaction", "unsafe location transaction")</f>
        <v>unsafe location transaction</v>
      </c>
      <c r="R2031" s="6" t="str">
        <f>IF(AND(Table1[[#This Row],[Country_of_Residence]]&lt;&gt;Table1[[#This Row],[Country_of_Transaction]], OR(Table1[[#This Row],[Merchant_Category]]="Electronics", Table1[[#This Row],[Merchant_Category]]="Travel")), "unsafe merchant transaction", "safe merchant transaction")</f>
        <v>safe merchant transaction</v>
      </c>
    </row>
    <row r="2032" spans="1:18">
      <c r="A2032" t="s">
        <v>3494</v>
      </c>
      <c r="B2032" t="s">
        <v>302</v>
      </c>
      <c r="C2032">
        <v>1</v>
      </c>
      <c r="D2032" t="s">
        <v>15</v>
      </c>
      <c r="E2032" t="s">
        <v>6</v>
      </c>
      <c r="F2032" s="2">
        <v>45772</v>
      </c>
      <c r="G2032">
        <v>9719.61</v>
      </c>
      <c r="H2032" s="1">
        <f>AVERAGEIF(Table1[Customer_ID], Table1[[#This Row],[Customer_ID]], Table1[Transaction_Amount])</f>
        <v>5513.8293103448259</v>
      </c>
      <c r="I2032" t="s">
        <v>1110</v>
      </c>
      <c r="J2032" t="s">
        <v>31</v>
      </c>
      <c r="K2032" t="s">
        <v>12</v>
      </c>
      <c r="L2032">
        <v>3</v>
      </c>
      <c r="M2032" t="s">
        <v>412</v>
      </c>
      <c r="N2032" t="s">
        <v>56</v>
      </c>
      <c r="O2032" t="s">
        <v>393</v>
      </c>
      <c r="P2032" s="6" t="str">
        <f>IF(Table1[[#This Row],[Transaction_Amount]]&lt;=Table1[[#This Row],[avg_transaction_amount]], "usual transaction", "unusual transaction")</f>
        <v>unusual transaction</v>
      </c>
      <c r="Q2032" s="6" t="str">
        <f>IF(AND(Table1[[#This Row],[Country_of_Residence]]&lt;&gt;Table1[[#This Row],[Country_of_Transaction]], OR(Table1[[#This Row],[Authentication_Type]]="Biometric", Table1[[#This Row],[Authentication_Type]]="OTP")), "safe location transaction", "unsafe location transaction")</f>
        <v>unsafe location transaction</v>
      </c>
      <c r="R2032" s="6" t="str">
        <f>IF(AND(Table1[[#This Row],[Country_of_Residence]]&lt;&gt;Table1[[#This Row],[Country_of_Transaction]], OR(Table1[[#This Row],[Merchant_Category]]="Electronics", Table1[[#This Row],[Merchant_Category]]="Travel")), "unsafe merchant transaction", "safe merchant transaction")</f>
        <v>safe merchant transaction</v>
      </c>
    </row>
    <row r="2033" spans="1:18">
      <c r="A2033" t="s">
        <v>3498</v>
      </c>
      <c r="B2033" t="s">
        <v>302</v>
      </c>
      <c r="C2033">
        <v>1</v>
      </c>
      <c r="D2033" t="s">
        <v>9</v>
      </c>
      <c r="E2033" t="s">
        <v>6</v>
      </c>
      <c r="F2033" s="2">
        <v>45874</v>
      </c>
      <c r="G2033">
        <v>7128.5</v>
      </c>
      <c r="H2033" s="1">
        <f>AVERAGEIF(Table1[Customer_ID], Table1[[#This Row],[Customer_ID]], Table1[Transaction_Amount])</f>
        <v>5513.8293103448259</v>
      </c>
      <c r="I2033" t="s">
        <v>1113</v>
      </c>
      <c r="J2033" t="s">
        <v>31</v>
      </c>
      <c r="K2033" t="s">
        <v>8</v>
      </c>
      <c r="L2033">
        <v>1</v>
      </c>
      <c r="M2033" t="s">
        <v>55</v>
      </c>
      <c r="N2033" t="s">
        <v>56</v>
      </c>
      <c r="O2033" t="s">
        <v>392</v>
      </c>
      <c r="P2033" s="6" t="str">
        <f>IF(Table1[[#This Row],[Transaction_Amount]]&lt;=Table1[[#This Row],[avg_transaction_amount]], "usual transaction", "unusual transaction")</f>
        <v>unusual transaction</v>
      </c>
      <c r="Q2033" s="6" t="str">
        <f>IF(AND(Table1[[#This Row],[Country_of_Residence]]&lt;&gt;Table1[[#This Row],[Country_of_Transaction]], OR(Table1[[#This Row],[Authentication_Type]]="Biometric", Table1[[#This Row],[Authentication_Type]]="OTP")), "safe location transaction", "unsafe location transaction")</f>
        <v>safe location transaction</v>
      </c>
      <c r="R2033" s="6" t="str">
        <f>IF(AND(Table1[[#This Row],[Country_of_Residence]]&lt;&gt;Table1[[#This Row],[Country_of_Transaction]], OR(Table1[[#This Row],[Merchant_Category]]="Electronics", Table1[[#This Row],[Merchant_Category]]="Travel")), "unsafe merchant transaction", "safe merchant transaction")</f>
        <v>safe merchant transaction</v>
      </c>
    </row>
    <row r="2034" spans="1:18">
      <c r="A2034" t="s">
        <v>3506</v>
      </c>
      <c r="B2034" t="s">
        <v>302</v>
      </c>
      <c r="C2034">
        <v>1</v>
      </c>
      <c r="D2034" t="s">
        <v>15</v>
      </c>
      <c r="E2034" t="s">
        <v>420</v>
      </c>
      <c r="F2034" s="2">
        <v>45706</v>
      </c>
      <c r="G2034">
        <v>8681.9599999999991</v>
      </c>
      <c r="H2034" s="1">
        <f>AVERAGEIF(Table1[Customer_ID], Table1[[#This Row],[Customer_ID]], Table1[Transaction_Amount])</f>
        <v>5513.8293103448259</v>
      </c>
      <c r="I2034" t="s">
        <v>1121</v>
      </c>
      <c r="J2034" t="s">
        <v>46</v>
      </c>
      <c r="K2034" t="s">
        <v>14</v>
      </c>
      <c r="L2034">
        <v>1</v>
      </c>
      <c r="M2034" t="s">
        <v>32</v>
      </c>
      <c r="N2034" t="s">
        <v>37</v>
      </c>
      <c r="O2034" t="s">
        <v>393</v>
      </c>
      <c r="P2034" s="6" t="str">
        <f>IF(Table1[[#This Row],[Transaction_Amount]]&lt;=Table1[[#This Row],[avg_transaction_amount]], "usual transaction", "unusual transaction")</f>
        <v>unusual transaction</v>
      </c>
      <c r="Q2034" s="6" t="str">
        <f>IF(AND(Table1[[#This Row],[Country_of_Residence]]&lt;&gt;Table1[[#This Row],[Country_of_Transaction]], OR(Table1[[#This Row],[Authentication_Type]]="Biometric", Table1[[#This Row],[Authentication_Type]]="OTP")), "safe location transaction", "unsafe location transaction")</f>
        <v>unsafe location transaction</v>
      </c>
      <c r="R2034" s="6" t="str">
        <f>IF(AND(Table1[[#This Row],[Country_of_Residence]]&lt;&gt;Table1[[#This Row],[Country_of_Transaction]], OR(Table1[[#This Row],[Merchant_Category]]="Electronics", Table1[[#This Row],[Merchant_Category]]="Travel")), "unsafe merchant transaction", "safe merchant transaction")</f>
        <v>safe merchant transaction</v>
      </c>
    </row>
    <row r="2035" spans="1:18">
      <c r="A2035" t="s">
        <v>3588</v>
      </c>
      <c r="B2035" t="s">
        <v>302</v>
      </c>
      <c r="C2035">
        <v>1</v>
      </c>
      <c r="D2035" t="s">
        <v>15</v>
      </c>
      <c r="E2035" t="s">
        <v>3</v>
      </c>
      <c r="F2035" s="2">
        <v>45676</v>
      </c>
      <c r="G2035">
        <v>4813.78</v>
      </c>
      <c r="H2035" s="1">
        <f>AVERAGEIF(Table1[Customer_ID], Table1[[#This Row],[Customer_ID]], Table1[Transaction_Amount])</f>
        <v>5513.8293103448259</v>
      </c>
      <c r="I2035" t="s">
        <v>1197</v>
      </c>
      <c r="J2035" t="s">
        <v>46</v>
      </c>
      <c r="K2035" t="s">
        <v>14</v>
      </c>
      <c r="L2035">
        <v>3</v>
      </c>
      <c r="M2035" t="s">
        <v>47</v>
      </c>
      <c r="N2035" t="s">
        <v>37</v>
      </c>
      <c r="O2035" t="s">
        <v>392</v>
      </c>
      <c r="P2035" s="6" t="str">
        <f>IF(Table1[[#This Row],[Transaction_Amount]]&lt;=Table1[[#This Row],[avg_transaction_amount]], "usual transaction", "unusual transaction")</f>
        <v>usual transaction</v>
      </c>
      <c r="Q2035" s="6" t="str">
        <f>IF(AND(Table1[[#This Row],[Country_of_Residence]]&lt;&gt;Table1[[#This Row],[Country_of_Transaction]], OR(Table1[[#This Row],[Authentication_Type]]="Biometric", Table1[[#This Row],[Authentication_Type]]="OTP")), "safe location transaction", "unsafe location transaction")</f>
        <v>unsafe location transaction</v>
      </c>
      <c r="R2035" s="6" t="str">
        <f>IF(AND(Table1[[#This Row],[Country_of_Residence]]&lt;&gt;Table1[[#This Row],[Country_of_Transaction]], OR(Table1[[#This Row],[Merchant_Category]]="Electronics", Table1[[#This Row],[Merchant_Category]]="Travel")), "unsafe merchant transaction", "safe merchant transaction")</f>
        <v>safe merchant transaction</v>
      </c>
    </row>
    <row r="2036" spans="1:18">
      <c r="A2036" t="s">
        <v>3631</v>
      </c>
      <c r="B2036" t="s">
        <v>302</v>
      </c>
      <c r="C2036">
        <v>1</v>
      </c>
      <c r="D2036" t="s">
        <v>15</v>
      </c>
      <c r="E2036" t="s">
        <v>3</v>
      </c>
      <c r="F2036" s="2">
        <v>45927</v>
      </c>
      <c r="G2036">
        <v>7346.68</v>
      </c>
      <c r="H2036" s="1">
        <f>AVERAGEIF(Table1[Customer_ID], Table1[[#This Row],[Customer_ID]], Table1[Transaction_Amount])</f>
        <v>5513.8293103448259</v>
      </c>
      <c r="I2036" t="s">
        <v>1236</v>
      </c>
      <c r="J2036" t="s">
        <v>36</v>
      </c>
      <c r="K2036" t="s">
        <v>8</v>
      </c>
      <c r="L2036">
        <v>0</v>
      </c>
      <c r="M2036" t="s">
        <v>42</v>
      </c>
      <c r="N2036" t="s">
        <v>37</v>
      </c>
      <c r="O2036" t="s">
        <v>393</v>
      </c>
      <c r="P2036" s="6" t="str">
        <f>IF(Table1[[#This Row],[Transaction_Amount]]&lt;=Table1[[#This Row],[avg_transaction_amount]], "usual transaction", "unusual transaction")</f>
        <v>unusual transaction</v>
      </c>
      <c r="Q2036" s="6" t="str">
        <f>IF(AND(Table1[[#This Row],[Country_of_Residence]]&lt;&gt;Table1[[#This Row],[Country_of_Transaction]], OR(Table1[[#This Row],[Authentication_Type]]="Biometric", Table1[[#This Row],[Authentication_Type]]="OTP")), "safe location transaction", "unsafe location transaction")</f>
        <v>safe location transaction</v>
      </c>
      <c r="R2036" s="6" t="str">
        <f>IF(AND(Table1[[#This Row],[Country_of_Residence]]&lt;&gt;Table1[[#This Row],[Country_of_Transaction]], OR(Table1[[#This Row],[Merchant_Category]]="Electronics", Table1[[#This Row],[Merchant_Category]]="Travel")), "unsafe merchant transaction", "safe merchant transaction")</f>
        <v>safe merchant transaction</v>
      </c>
    </row>
    <row r="2037" spans="1:18">
      <c r="A2037" t="s">
        <v>3703</v>
      </c>
      <c r="B2037" t="s">
        <v>302</v>
      </c>
      <c r="C2037">
        <v>1</v>
      </c>
      <c r="D2037" t="s">
        <v>15</v>
      </c>
      <c r="E2037" t="s">
        <v>3</v>
      </c>
      <c r="F2037" s="2">
        <v>45886</v>
      </c>
      <c r="G2037">
        <v>9618.48</v>
      </c>
      <c r="H2037" s="1">
        <f>AVERAGEIF(Table1[Customer_ID], Table1[[#This Row],[Customer_ID]], Table1[Transaction_Amount])</f>
        <v>5513.8293103448259</v>
      </c>
      <c r="I2037" t="s">
        <v>1300</v>
      </c>
      <c r="J2037" t="s">
        <v>46</v>
      </c>
      <c r="K2037" t="s">
        <v>12</v>
      </c>
      <c r="L2037">
        <v>2</v>
      </c>
      <c r="M2037" t="s">
        <v>42</v>
      </c>
      <c r="N2037" t="s">
        <v>55</v>
      </c>
      <c r="O2037" t="s">
        <v>392</v>
      </c>
      <c r="P2037" s="6" t="str">
        <f>IF(Table1[[#This Row],[Transaction_Amount]]&lt;=Table1[[#This Row],[avg_transaction_amount]], "usual transaction", "unusual transaction")</f>
        <v>unusual transaction</v>
      </c>
      <c r="Q2037" s="6" t="str">
        <f>IF(AND(Table1[[#This Row],[Country_of_Residence]]&lt;&gt;Table1[[#This Row],[Country_of_Transaction]], OR(Table1[[#This Row],[Authentication_Type]]="Biometric", Table1[[#This Row],[Authentication_Type]]="OTP")), "safe location transaction", "unsafe location transaction")</f>
        <v>unsafe location transaction</v>
      </c>
      <c r="R2037" s="6" t="str">
        <f>IF(AND(Table1[[#This Row],[Country_of_Residence]]&lt;&gt;Table1[[#This Row],[Country_of_Transaction]], OR(Table1[[#This Row],[Merchant_Category]]="Electronics", Table1[[#This Row],[Merchant_Category]]="Travel")), "unsafe merchant transaction", "safe merchant transaction")</f>
        <v>safe merchant transaction</v>
      </c>
    </row>
    <row r="2038" spans="1:18">
      <c r="A2038" t="s">
        <v>3721</v>
      </c>
      <c r="B2038" t="s">
        <v>302</v>
      </c>
      <c r="C2038">
        <v>1</v>
      </c>
      <c r="D2038" t="s">
        <v>15</v>
      </c>
      <c r="E2038" t="s">
        <v>420</v>
      </c>
      <c r="F2038" s="2">
        <v>45970</v>
      </c>
      <c r="G2038">
        <v>7816.85</v>
      </c>
      <c r="H2038" s="1">
        <f>AVERAGEIF(Table1[Customer_ID], Table1[[#This Row],[Customer_ID]], Table1[Transaction_Amount])</f>
        <v>5513.8293103448259</v>
      </c>
      <c r="I2038" t="s">
        <v>1317</v>
      </c>
      <c r="J2038" t="s">
        <v>31</v>
      </c>
      <c r="K2038" t="s">
        <v>8</v>
      </c>
      <c r="L2038">
        <v>2</v>
      </c>
      <c r="M2038" t="s">
        <v>47</v>
      </c>
      <c r="N2038" t="s">
        <v>47</v>
      </c>
      <c r="O2038" t="s">
        <v>392</v>
      </c>
      <c r="P2038" s="6" t="str">
        <f>IF(Table1[[#This Row],[Transaction_Amount]]&lt;=Table1[[#This Row],[avg_transaction_amount]], "usual transaction", "unusual transaction")</f>
        <v>unusual transaction</v>
      </c>
      <c r="Q2038" s="6" t="str">
        <f>IF(AND(Table1[[#This Row],[Country_of_Residence]]&lt;&gt;Table1[[#This Row],[Country_of_Transaction]], OR(Table1[[#This Row],[Authentication_Type]]="Biometric", Table1[[#This Row],[Authentication_Type]]="OTP")), "safe location transaction", "unsafe location transaction")</f>
        <v>unsafe location transaction</v>
      </c>
      <c r="R2038" s="6" t="str">
        <f>IF(AND(Table1[[#This Row],[Country_of_Residence]]&lt;&gt;Table1[[#This Row],[Country_of_Transaction]], OR(Table1[[#This Row],[Merchant_Category]]="Electronics", Table1[[#This Row],[Merchant_Category]]="Travel")), "unsafe merchant transaction", "safe merchant transaction")</f>
        <v>safe merchant transaction</v>
      </c>
    </row>
    <row r="2039" spans="1:18">
      <c r="A2039" t="s">
        <v>3795</v>
      </c>
      <c r="B2039" t="s">
        <v>302</v>
      </c>
      <c r="C2039">
        <v>1</v>
      </c>
      <c r="D2039" t="s">
        <v>9</v>
      </c>
      <c r="E2039" t="s">
        <v>5</v>
      </c>
      <c r="F2039" s="2">
        <v>45767</v>
      </c>
      <c r="G2039">
        <v>8631.26</v>
      </c>
      <c r="H2039" s="1">
        <f>AVERAGEIF(Table1[Customer_ID], Table1[[#This Row],[Customer_ID]], Table1[Transaction_Amount])</f>
        <v>5513.8293103448259</v>
      </c>
      <c r="I2039" t="s">
        <v>1381</v>
      </c>
      <c r="J2039" t="s">
        <v>36</v>
      </c>
      <c r="K2039" t="s">
        <v>10</v>
      </c>
      <c r="L2039">
        <v>4</v>
      </c>
      <c r="M2039" t="s">
        <v>47</v>
      </c>
      <c r="N2039" t="s">
        <v>37</v>
      </c>
      <c r="O2039" t="s">
        <v>393</v>
      </c>
      <c r="P2039" s="6" t="str">
        <f>IF(Table1[[#This Row],[Transaction_Amount]]&lt;=Table1[[#This Row],[avg_transaction_amount]], "usual transaction", "unusual transaction")</f>
        <v>unusual transaction</v>
      </c>
      <c r="Q2039" s="6" t="str">
        <f>IF(AND(Table1[[#This Row],[Country_of_Residence]]&lt;&gt;Table1[[#This Row],[Country_of_Transaction]], OR(Table1[[#This Row],[Authentication_Type]]="Biometric", Table1[[#This Row],[Authentication_Type]]="OTP")), "safe location transaction", "unsafe location transaction")</f>
        <v>safe location transaction</v>
      </c>
      <c r="R2039" s="6" t="str">
        <f>IF(AND(Table1[[#This Row],[Country_of_Residence]]&lt;&gt;Table1[[#This Row],[Country_of_Transaction]], OR(Table1[[#This Row],[Merchant_Category]]="Electronics", Table1[[#This Row],[Merchant_Category]]="Travel")), "unsafe merchant transaction", "safe merchant transaction")</f>
        <v>safe merchant transaction</v>
      </c>
    </row>
    <row r="2040" spans="1:18">
      <c r="A2040" t="s">
        <v>3829</v>
      </c>
      <c r="B2040" t="s">
        <v>302</v>
      </c>
      <c r="C2040">
        <v>1</v>
      </c>
      <c r="D2040" t="s">
        <v>9</v>
      </c>
      <c r="E2040" t="s">
        <v>3</v>
      </c>
      <c r="F2040" s="2">
        <v>45798</v>
      </c>
      <c r="G2040">
        <v>1611.94</v>
      </c>
      <c r="H2040" s="1">
        <f>AVERAGEIF(Table1[Customer_ID], Table1[[#This Row],[Customer_ID]], Table1[Transaction_Amount])</f>
        <v>5513.8293103448259</v>
      </c>
      <c r="I2040" t="s">
        <v>780</v>
      </c>
      <c r="J2040" t="s">
        <v>46</v>
      </c>
      <c r="K2040" t="s">
        <v>8</v>
      </c>
      <c r="L2040">
        <v>2</v>
      </c>
      <c r="M2040" t="s">
        <v>42</v>
      </c>
      <c r="N2040" t="s">
        <v>42</v>
      </c>
      <c r="O2040" t="s">
        <v>393</v>
      </c>
      <c r="P2040" s="6" t="str">
        <f>IF(Table1[[#This Row],[Transaction_Amount]]&lt;=Table1[[#This Row],[avg_transaction_amount]], "usual transaction", "unusual transaction")</f>
        <v>usual transaction</v>
      </c>
      <c r="Q2040" s="6" t="str">
        <f>IF(AND(Table1[[#This Row],[Country_of_Residence]]&lt;&gt;Table1[[#This Row],[Country_of_Transaction]], OR(Table1[[#This Row],[Authentication_Type]]="Biometric", Table1[[#This Row],[Authentication_Type]]="OTP")), "safe location transaction", "unsafe location transaction")</f>
        <v>unsafe location transaction</v>
      </c>
      <c r="R2040" s="6" t="str">
        <f>IF(AND(Table1[[#This Row],[Country_of_Residence]]&lt;&gt;Table1[[#This Row],[Country_of_Transaction]], OR(Table1[[#This Row],[Merchant_Category]]="Electronics", Table1[[#This Row],[Merchant_Category]]="Travel")), "unsafe merchant transaction", "safe merchant transaction")</f>
        <v>safe merchant transaction</v>
      </c>
    </row>
    <row r="2041" spans="1:18">
      <c r="A2041" t="s">
        <v>3852</v>
      </c>
      <c r="B2041" t="s">
        <v>302</v>
      </c>
      <c r="C2041">
        <v>1</v>
      </c>
      <c r="D2041" t="s">
        <v>15</v>
      </c>
      <c r="E2041" t="s">
        <v>5</v>
      </c>
      <c r="F2041" s="2">
        <v>45908</v>
      </c>
      <c r="G2041">
        <v>6663.14</v>
      </c>
      <c r="H2041" s="1">
        <f>AVERAGEIF(Table1[Customer_ID], Table1[[#This Row],[Customer_ID]], Table1[Transaction_Amount])</f>
        <v>5513.8293103448259</v>
      </c>
      <c r="I2041" t="s">
        <v>1427</v>
      </c>
      <c r="J2041" t="s">
        <v>50</v>
      </c>
      <c r="K2041" t="s">
        <v>8</v>
      </c>
      <c r="L2041">
        <v>4</v>
      </c>
      <c r="M2041" t="s">
        <v>56</v>
      </c>
      <c r="N2041" t="s">
        <v>55</v>
      </c>
      <c r="O2041" t="s">
        <v>393</v>
      </c>
      <c r="P2041" s="6" t="str">
        <f>IF(Table1[[#This Row],[Transaction_Amount]]&lt;=Table1[[#This Row],[avg_transaction_amount]], "usual transaction", "unusual transaction")</f>
        <v>unusual transaction</v>
      </c>
      <c r="Q2041" s="6" t="str">
        <f>IF(AND(Table1[[#This Row],[Country_of_Residence]]&lt;&gt;Table1[[#This Row],[Country_of_Transaction]], OR(Table1[[#This Row],[Authentication_Type]]="Biometric", Table1[[#This Row],[Authentication_Type]]="OTP")), "safe location transaction", "unsafe location transaction")</f>
        <v>safe location transaction</v>
      </c>
      <c r="R2041" s="6" t="str">
        <f>IF(AND(Table1[[#This Row],[Country_of_Residence]]&lt;&gt;Table1[[#This Row],[Country_of_Transaction]], OR(Table1[[#This Row],[Merchant_Category]]="Electronics", Table1[[#This Row],[Merchant_Category]]="Travel")), "unsafe merchant transaction", "safe merchant transaction")</f>
        <v>unsafe merchant transaction</v>
      </c>
    </row>
    <row r="2042" spans="1:18">
      <c r="A2042" t="s">
        <v>3868</v>
      </c>
      <c r="B2042" t="s">
        <v>302</v>
      </c>
      <c r="C2042">
        <v>1</v>
      </c>
      <c r="D2042" t="s">
        <v>15</v>
      </c>
      <c r="E2042" t="s">
        <v>6</v>
      </c>
      <c r="F2042" s="2">
        <v>45999</v>
      </c>
      <c r="G2042">
        <v>6352.3</v>
      </c>
      <c r="H2042" s="1">
        <f>AVERAGEIF(Table1[Customer_ID], Table1[[#This Row],[Customer_ID]], Table1[Transaction_Amount])</f>
        <v>5513.8293103448259</v>
      </c>
      <c r="I2042" t="s">
        <v>1441</v>
      </c>
      <c r="J2042" t="s">
        <v>46</v>
      </c>
      <c r="K2042" t="s">
        <v>10</v>
      </c>
      <c r="L2042">
        <v>3</v>
      </c>
      <c r="M2042" t="s">
        <v>33</v>
      </c>
      <c r="N2042" t="s">
        <v>32</v>
      </c>
      <c r="O2042" t="s">
        <v>392</v>
      </c>
      <c r="P2042" s="6" t="str">
        <f>IF(Table1[[#This Row],[Transaction_Amount]]&lt;=Table1[[#This Row],[avg_transaction_amount]], "usual transaction", "unusual transaction")</f>
        <v>unusual transaction</v>
      </c>
      <c r="Q2042" s="6" t="str">
        <f>IF(AND(Table1[[#This Row],[Country_of_Residence]]&lt;&gt;Table1[[#This Row],[Country_of_Transaction]], OR(Table1[[#This Row],[Authentication_Type]]="Biometric", Table1[[#This Row],[Authentication_Type]]="OTP")), "safe location transaction", "unsafe location transaction")</f>
        <v>safe location transaction</v>
      </c>
      <c r="R2042" s="6" t="str">
        <f>IF(AND(Table1[[#This Row],[Country_of_Residence]]&lt;&gt;Table1[[#This Row],[Country_of_Transaction]], OR(Table1[[#This Row],[Merchant_Category]]="Electronics", Table1[[#This Row],[Merchant_Category]]="Travel")), "unsafe merchant transaction", "safe merchant transaction")</f>
        <v>safe merchant transaction</v>
      </c>
    </row>
    <row r="2043" spans="1:18">
      <c r="A2043" t="s">
        <v>3881</v>
      </c>
      <c r="B2043" t="s">
        <v>302</v>
      </c>
      <c r="C2043">
        <v>1</v>
      </c>
      <c r="D2043" t="s">
        <v>15</v>
      </c>
      <c r="E2043" t="s">
        <v>5</v>
      </c>
      <c r="F2043" s="2">
        <v>45770</v>
      </c>
      <c r="G2043">
        <v>3567.84</v>
      </c>
      <c r="H2043" s="1">
        <f>AVERAGEIF(Table1[Customer_ID], Table1[[#This Row],[Customer_ID]], Table1[Transaction_Amount])</f>
        <v>5513.8293103448259</v>
      </c>
      <c r="I2043" t="s">
        <v>1452</v>
      </c>
      <c r="J2043" t="s">
        <v>46</v>
      </c>
      <c r="K2043" t="s">
        <v>10</v>
      </c>
      <c r="L2043">
        <v>1</v>
      </c>
      <c r="M2043" t="s">
        <v>32</v>
      </c>
      <c r="N2043" t="s">
        <v>37</v>
      </c>
      <c r="O2043" t="s">
        <v>393</v>
      </c>
      <c r="P2043" s="6" t="str">
        <f>IF(Table1[[#This Row],[Transaction_Amount]]&lt;=Table1[[#This Row],[avg_transaction_amount]], "usual transaction", "unusual transaction")</f>
        <v>usual transaction</v>
      </c>
      <c r="Q2043" s="6" t="str">
        <f>IF(AND(Table1[[#This Row],[Country_of_Residence]]&lt;&gt;Table1[[#This Row],[Country_of_Transaction]], OR(Table1[[#This Row],[Authentication_Type]]="Biometric", Table1[[#This Row],[Authentication_Type]]="OTP")), "safe location transaction", "unsafe location transaction")</f>
        <v>safe location transaction</v>
      </c>
      <c r="R2043" s="6" t="str">
        <f>IF(AND(Table1[[#This Row],[Country_of_Residence]]&lt;&gt;Table1[[#This Row],[Country_of_Transaction]], OR(Table1[[#This Row],[Merchant_Category]]="Electronics", Table1[[#This Row],[Merchant_Category]]="Travel")), "unsafe merchant transaction", "safe merchant transaction")</f>
        <v>safe merchant transaction</v>
      </c>
    </row>
    <row r="2044" spans="1:18">
      <c r="A2044" t="s">
        <v>3934</v>
      </c>
      <c r="B2044" t="s">
        <v>302</v>
      </c>
      <c r="C2044">
        <v>1</v>
      </c>
      <c r="D2044" t="s">
        <v>9</v>
      </c>
      <c r="E2044" t="s">
        <v>3</v>
      </c>
      <c r="F2044" s="2">
        <v>45977</v>
      </c>
      <c r="G2044">
        <v>9961.5499999999993</v>
      </c>
      <c r="H2044" s="1">
        <f>AVERAGEIF(Table1[Customer_ID], Table1[[#This Row],[Customer_ID]], Table1[Transaction_Amount])</f>
        <v>5513.8293103448259</v>
      </c>
      <c r="I2044" t="s">
        <v>1498</v>
      </c>
      <c r="J2044" t="s">
        <v>46</v>
      </c>
      <c r="K2044" t="s">
        <v>14</v>
      </c>
      <c r="L2044">
        <v>4</v>
      </c>
      <c r="M2044" t="s">
        <v>56</v>
      </c>
      <c r="N2044" t="s">
        <v>37</v>
      </c>
      <c r="O2044" t="s">
        <v>392</v>
      </c>
      <c r="P2044" s="6" t="str">
        <f>IF(Table1[[#This Row],[Transaction_Amount]]&lt;=Table1[[#This Row],[avg_transaction_amount]], "usual transaction", "unusual transaction")</f>
        <v>unusual transaction</v>
      </c>
      <c r="Q2044" s="6" t="str">
        <f>IF(AND(Table1[[#This Row],[Country_of_Residence]]&lt;&gt;Table1[[#This Row],[Country_of_Transaction]], OR(Table1[[#This Row],[Authentication_Type]]="Biometric", Table1[[#This Row],[Authentication_Type]]="OTP")), "safe location transaction", "unsafe location transaction")</f>
        <v>unsafe location transaction</v>
      </c>
      <c r="R2044" s="6" t="str">
        <f>IF(AND(Table1[[#This Row],[Country_of_Residence]]&lt;&gt;Table1[[#This Row],[Country_of_Transaction]], OR(Table1[[#This Row],[Merchant_Category]]="Electronics", Table1[[#This Row],[Merchant_Category]]="Travel")), "unsafe merchant transaction", "safe merchant transaction")</f>
        <v>safe merchant transaction</v>
      </c>
    </row>
    <row r="2045" spans="1:18">
      <c r="A2045" t="s">
        <v>4004</v>
      </c>
      <c r="B2045" t="s">
        <v>302</v>
      </c>
      <c r="C2045">
        <v>1</v>
      </c>
      <c r="D2045" t="s">
        <v>15</v>
      </c>
      <c r="E2045" t="s">
        <v>6</v>
      </c>
      <c r="F2045" s="2">
        <v>45928</v>
      </c>
      <c r="G2045">
        <v>4845.1899999999996</v>
      </c>
      <c r="H2045" s="1">
        <f>AVERAGEIF(Table1[Customer_ID], Table1[[#This Row],[Customer_ID]], Table1[Transaction_Amount])</f>
        <v>5513.8293103448259</v>
      </c>
      <c r="I2045" t="s">
        <v>1562</v>
      </c>
      <c r="J2045" t="s">
        <v>31</v>
      </c>
      <c r="K2045" t="s">
        <v>14</v>
      </c>
      <c r="L2045">
        <v>1</v>
      </c>
      <c r="M2045" t="s">
        <v>37</v>
      </c>
      <c r="N2045" t="s">
        <v>56</v>
      </c>
      <c r="O2045" t="s">
        <v>392</v>
      </c>
      <c r="P2045" s="6" t="str">
        <f>IF(Table1[[#This Row],[Transaction_Amount]]&lt;=Table1[[#This Row],[avg_transaction_amount]], "usual transaction", "unusual transaction")</f>
        <v>usual transaction</v>
      </c>
      <c r="Q2045" s="6" t="str">
        <f>IF(AND(Table1[[#This Row],[Country_of_Residence]]&lt;&gt;Table1[[#This Row],[Country_of_Transaction]], OR(Table1[[#This Row],[Authentication_Type]]="Biometric", Table1[[#This Row],[Authentication_Type]]="OTP")), "safe location transaction", "unsafe location transaction")</f>
        <v>unsafe location transaction</v>
      </c>
      <c r="R2045" s="6" t="str">
        <f>IF(AND(Table1[[#This Row],[Country_of_Residence]]&lt;&gt;Table1[[#This Row],[Country_of_Transaction]], OR(Table1[[#This Row],[Merchant_Category]]="Electronics", Table1[[#This Row],[Merchant_Category]]="Travel")), "unsafe merchant transaction", "safe merchant transaction")</f>
        <v>safe merchant transaction</v>
      </c>
    </row>
    <row r="2046" spans="1:18">
      <c r="A2046" t="s">
        <v>4069</v>
      </c>
      <c r="B2046" t="s">
        <v>302</v>
      </c>
      <c r="C2046">
        <v>1</v>
      </c>
      <c r="D2046" t="s">
        <v>15</v>
      </c>
      <c r="E2046" t="s">
        <v>420</v>
      </c>
      <c r="F2046" s="2">
        <v>45701</v>
      </c>
      <c r="G2046">
        <v>4973.83</v>
      </c>
      <c r="H2046" s="1">
        <f>AVERAGEIF(Table1[Customer_ID], Table1[[#This Row],[Customer_ID]], Table1[Transaction_Amount])</f>
        <v>5513.8293103448259</v>
      </c>
      <c r="I2046" t="s">
        <v>1617</v>
      </c>
      <c r="J2046" t="s">
        <v>41</v>
      </c>
      <c r="K2046" t="s">
        <v>10</v>
      </c>
      <c r="L2046">
        <v>3</v>
      </c>
      <c r="M2046" t="s">
        <v>55</v>
      </c>
      <c r="N2046" t="s">
        <v>42</v>
      </c>
      <c r="O2046" t="s">
        <v>392</v>
      </c>
      <c r="P2046" s="6" t="str">
        <f>IF(Table1[[#This Row],[Transaction_Amount]]&lt;=Table1[[#This Row],[avg_transaction_amount]], "usual transaction", "unusual transaction")</f>
        <v>usual transaction</v>
      </c>
      <c r="Q2046" s="6" t="str">
        <f>IF(AND(Table1[[#This Row],[Country_of_Residence]]&lt;&gt;Table1[[#This Row],[Country_of_Transaction]], OR(Table1[[#This Row],[Authentication_Type]]="Biometric", Table1[[#This Row],[Authentication_Type]]="OTP")), "safe location transaction", "unsafe location transaction")</f>
        <v>safe location transaction</v>
      </c>
      <c r="R2046" s="6" t="str">
        <f>IF(AND(Table1[[#This Row],[Country_of_Residence]]&lt;&gt;Table1[[#This Row],[Country_of_Transaction]], OR(Table1[[#This Row],[Merchant_Category]]="Electronics", Table1[[#This Row],[Merchant_Category]]="Travel")), "unsafe merchant transaction", "safe merchant transaction")</f>
        <v>safe merchant transaction</v>
      </c>
    </row>
    <row r="2047" spans="1:18">
      <c r="A2047" t="s">
        <v>4091</v>
      </c>
      <c r="B2047" t="s">
        <v>302</v>
      </c>
      <c r="C2047">
        <v>1</v>
      </c>
      <c r="D2047" t="s">
        <v>9</v>
      </c>
      <c r="E2047" t="s">
        <v>420</v>
      </c>
      <c r="F2047" s="2">
        <v>45998</v>
      </c>
      <c r="G2047">
        <v>9042.93</v>
      </c>
      <c r="H2047" s="1">
        <f>AVERAGEIF(Table1[Customer_ID], Table1[[#This Row],[Customer_ID]], Table1[Transaction_Amount])</f>
        <v>5513.8293103448259</v>
      </c>
      <c r="I2047" t="s">
        <v>1635</v>
      </c>
      <c r="J2047" t="s">
        <v>50</v>
      </c>
      <c r="K2047" t="s">
        <v>10</v>
      </c>
      <c r="L2047">
        <v>4</v>
      </c>
      <c r="M2047" t="s">
        <v>51</v>
      </c>
      <c r="N2047" t="s">
        <v>55</v>
      </c>
      <c r="O2047" t="s">
        <v>392</v>
      </c>
      <c r="P2047" s="6" t="str">
        <f>IF(Table1[[#This Row],[Transaction_Amount]]&lt;=Table1[[#This Row],[avg_transaction_amount]], "usual transaction", "unusual transaction")</f>
        <v>unusual transaction</v>
      </c>
      <c r="Q2047" s="6" t="str">
        <f>IF(AND(Table1[[#This Row],[Country_of_Residence]]&lt;&gt;Table1[[#This Row],[Country_of_Transaction]], OR(Table1[[#This Row],[Authentication_Type]]="Biometric", Table1[[#This Row],[Authentication_Type]]="OTP")), "safe location transaction", "unsafe location transaction")</f>
        <v>safe location transaction</v>
      </c>
      <c r="R2047" s="6" t="str">
        <f>IF(AND(Table1[[#This Row],[Country_of_Residence]]&lt;&gt;Table1[[#This Row],[Country_of_Transaction]], OR(Table1[[#This Row],[Merchant_Category]]="Electronics", Table1[[#This Row],[Merchant_Category]]="Travel")), "unsafe merchant transaction", "safe merchant transaction")</f>
        <v>unsafe merchant transaction</v>
      </c>
    </row>
    <row r="2048" spans="1:18">
      <c r="A2048" t="s">
        <v>4095</v>
      </c>
      <c r="B2048" t="s">
        <v>302</v>
      </c>
      <c r="C2048">
        <v>1</v>
      </c>
      <c r="D2048" t="s">
        <v>15</v>
      </c>
      <c r="E2048" t="s">
        <v>5</v>
      </c>
      <c r="F2048" s="2">
        <v>45954</v>
      </c>
      <c r="G2048">
        <v>3413.28</v>
      </c>
      <c r="H2048" s="1">
        <f>AVERAGEIF(Table1[Customer_ID], Table1[[#This Row],[Customer_ID]], Table1[Transaction_Amount])</f>
        <v>5513.8293103448259</v>
      </c>
      <c r="I2048" t="s">
        <v>865</v>
      </c>
      <c r="J2048" t="s">
        <v>50</v>
      </c>
      <c r="K2048" t="s">
        <v>12</v>
      </c>
      <c r="L2048">
        <v>0</v>
      </c>
      <c r="M2048" t="s">
        <v>33</v>
      </c>
      <c r="N2048" t="s">
        <v>55</v>
      </c>
      <c r="O2048" t="s">
        <v>393</v>
      </c>
      <c r="P2048" s="6" t="str">
        <f>IF(Table1[[#This Row],[Transaction_Amount]]&lt;=Table1[[#This Row],[avg_transaction_amount]], "usual transaction", "unusual transaction")</f>
        <v>usual transaction</v>
      </c>
      <c r="Q2048" s="6" t="str">
        <f>IF(AND(Table1[[#This Row],[Country_of_Residence]]&lt;&gt;Table1[[#This Row],[Country_of_Transaction]], OR(Table1[[#This Row],[Authentication_Type]]="Biometric", Table1[[#This Row],[Authentication_Type]]="OTP")), "safe location transaction", "unsafe location transaction")</f>
        <v>unsafe location transaction</v>
      </c>
      <c r="R2048" s="6" t="str">
        <f>IF(AND(Table1[[#This Row],[Country_of_Residence]]&lt;&gt;Table1[[#This Row],[Country_of_Transaction]], OR(Table1[[#This Row],[Merchant_Category]]="Electronics", Table1[[#This Row],[Merchant_Category]]="Travel")), "unsafe merchant transaction", "safe merchant transaction")</f>
        <v>unsafe merchant transaction</v>
      </c>
    </row>
    <row r="2049" spans="1:18">
      <c r="A2049" t="s">
        <v>4154</v>
      </c>
      <c r="B2049" t="s">
        <v>302</v>
      </c>
      <c r="C2049">
        <v>1</v>
      </c>
      <c r="D2049" t="s">
        <v>15</v>
      </c>
      <c r="E2049" t="s">
        <v>420</v>
      </c>
      <c r="F2049" s="2">
        <v>45980</v>
      </c>
      <c r="G2049">
        <v>3071.22</v>
      </c>
      <c r="H2049" s="1">
        <f>AVERAGEIF(Table1[Customer_ID], Table1[[#This Row],[Customer_ID]], Table1[Transaction_Amount])</f>
        <v>5513.8293103448259</v>
      </c>
      <c r="I2049" t="s">
        <v>1474</v>
      </c>
      <c r="J2049" t="s">
        <v>46</v>
      </c>
      <c r="K2049" t="s">
        <v>10</v>
      </c>
      <c r="L2049">
        <v>2</v>
      </c>
      <c r="M2049" t="s">
        <v>51</v>
      </c>
      <c r="N2049" t="s">
        <v>412</v>
      </c>
      <c r="O2049" t="s">
        <v>393</v>
      </c>
      <c r="P2049" s="6" t="str">
        <f>IF(Table1[[#This Row],[Transaction_Amount]]&lt;=Table1[[#This Row],[avg_transaction_amount]], "usual transaction", "unusual transaction")</f>
        <v>usual transaction</v>
      </c>
      <c r="Q2049" s="6" t="str">
        <f>IF(AND(Table1[[#This Row],[Country_of_Residence]]&lt;&gt;Table1[[#This Row],[Country_of_Transaction]], OR(Table1[[#This Row],[Authentication_Type]]="Biometric", Table1[[#This Row],[Authentication_Type]]="OTP")), "safe location transaction", "unsafe location transaction")</f>
        <v>safe location transaction</v>
      </c>
      <c r="R2049" s="6" t="str">
        <f>IF(AND(Table1[[#This Row],[Country_of_Residence]]&lt;&gt;Table1[[#This Row],[Country_of_Transaction]], OR(Table1[[#This Row],[Merchant_Category]]="Electronics", Table1[[#This Row],[Merchant_Category]]="Travel")), "unsafe merchant transaction", "safe merchant transaction")</f>
        <v>safe merchant transaction</v>
      </c>
    </row>
    <row r="2050" spans="1:18">
      <c r="A2050" t="s">
        <v>4201</v>
      </c>
      <c r="B2050" t="s">
        <v>302</v>
      </c>
      <c r="C2050">
        <v>1</v>
      </c>
      <c r="D2050" t="s">
        <v>9</v>
      </c>
      <c r="E2050" t="s">
        <v>5</v>
      </c>
      <c r="F2050" s="2">
        <v>45748</v>
      </c>
      <c r="G2050">
        <v>2844.47</v>
      </c>
      <c r="H2050" s="1">
        <f>AVERAGEIF(Table1[Customer_ID], Table1[[#This Row],[Customer_ID]], Table1[Transaction_Amount])</f>
        <v>5513.8293103448259</v>
      </c>
      <c r="I2050" t="s">
        <v>1721</v>
      </c>
      <c r="J2050" t="s">
        <v>36</v>
      </c>
      <c r="K2050" t="s">
        <v>14</v>
      </c>
      <c r="L2050">
        <v>2</v>
      </c>
      <c r="M2050" t="s">
        <v>47</v>
      </c>
      <c r="N2050" t="s">
        <v>412</v>
      </c>
      <c r="O2050" t="s">
        <v>392</v>
      </c>
      <c r="P2050" s="6" t="str">
        <f>IF(Table1[[#This Row],[Transaction_Amount]]&lt;=Table1[[#This Row],[avg_transaction_amount]], "usual transaction", "unusual transaction")</f>
        <v>usual transaction</v>
      </c>
      <c r="Q2050" s="6" t="str">
        <f>IF(AND(Table1[[#This Row],[Country_of_Residence]]&lt;&gt;Table1[[#This Row],[Country_of_Transaction]], OR(Table1[[#This Row],[Authentication_Type]]="Biometric", Table1[[#This Row],[Authentication_Type]]="OTP")), "safe location transaction", "unsafe location transaction")</f>
        <v>unsafe location transaction</v>
      </c>
      <c r="R2050" s="6" t="str">
        <f>IF(AND(Table1[[#This Row],[Country_of_Residence]]&lt;&gt;Table1[[#This Row],[Country_of_Transaction]], OR(Table1[[#This Row],[Merchant_Category]]="Electronics", Table1[[#This Row],[Merchant_Category]]="Travel")), "unsafe merchant transaction", "safe merchant transaction")</f>
        <v>safe merchant transaction</v>
      </c>
    </row>
    <row r="2051" spans="1:18">
      <c r="A2051" t="s">
        <v>4274</v>
      </c>
      <c r="B2051" t="s">
        <v>302</v>
      </c>
      <c r="C2051">
        <v>1</v>
      </c>
      <c r="D2051" t="s">
        <v>15</v>
      </c>
      <c r="E2051" t="s">
        <v>420</v>
      </c>
      <c r="F2051" s="2">
        <v>45973</v>
      </c>
      <c r="G2051">
        <v>7112.35</v>
      </c>
      <c r="H2051" s="1">
        <f>AVERAGEIF(Table1[Customer_ID], Table1[[#This Row],[Customer_ID]], Table1[Transaction_Amount])</f>
        <v>5513.8293103448259</v>
      </c>
      <c r="I2051" t="s">
        <v>1787</v>
      </c>
      <c r="J2051" t="s">
        <v>31</v>
      </c>
      <c r="K2051" t="s">
        <v>8</v>
      </c>
      <c r="L2051">
        <v>3</v>
      </c>
      <c r="M2051" t="s">
        <v>33</v>
      </c>
      <c r="N2051" t="s">
        <v>56</v>
      </c>
      <c r="O2051" t="s">
        <v>392</v>
      </c>
      <c r="P2051" s="6" t="str">
        <f>IF(Table1[[#This Row],[Transaction_Amount]]&lt;=Table1[[#This Row],[avg_transaction_amount]], "usual transaction", "unusual transaction")</f>
        <v>unusual transaction</v>
      </c>
      <c r="Q2051" s="6" t="str">
        <f>IF(AND(Table1[[#This Row],[Country_of_Residence]]&lt;&gt;Table1[[#This Row],[Country_of_Transaction]], OR(Table1[[#This Row],[Authentication_Type]]="Biometric", Table1[[#This Row],[Authentication_Type]]="OTP")), "safe location transaction", "unsafe location transaction")</f>
        <v>safe location transaction</v>
      </c>
      <c r="R2051" s="6" t="str">
        <f>IF(AND(Table1[[#This Row],[Country_of_Residence]]&lt;&gt;Table1[[#This Row],[Country_of_Transaction]], OR(Table1[[#This Row],[Merchant_Category]]="Electronics", Table1[[#This Row],[Merchant_Category]]="Travel")), "unsafe merchant transaction", "safe merchant transaction")</f>
        <v>safe merchant transaction</v>
      </c>
    </row>
    <row r="2052" spans="1:18">
      <c r="A2052" t="s">
        <v>4277</v>
      </c>
      <c r="B2052" t="s">
        <v>302</v>
      </c>
      <c r="C2052">
        <v>1</v>
      </c>
      <c r="D2052" t="s">
        <v>15</v>
      </c>
      <c r="E2052" t="s">
        <v>3</v>
      </c>
      <c r="F2052" s="2">
        <v>45755</v>
      </c>
      <c r="G2052">
        <v>3081.79</v>
      </c>
      <c r="H2052" s="1">
        <f>AVERAGEIF(Table1[Customer_ID], Table1[[#This Row],[Customer_ID]], Table1[Transaction_Amount])</f>
        <v>5513.8293103448259</v>
      </c>
      <c r="I2052" t="s">
        <v>1790</v>
      </c>
      <c r="J2052" t="s">
        <v>46</v>
      </c>
      <c r="K2052" t="s">
        <v>12</v>
      </c>
      <c r="L2052">
        <v>1</v>
      </c>
      <c r="M2052" t="s">
        <v>42</v>
      </c>
      <c r="N2052" t="s">
        <v>32</v>
      </c>
      <c r="O2052" t="s">
        <v>392</v>
      </c>
      <c r="P2052" s="6" t="str">
        <f>IF(Table1[[#This Row],[Transaction_Amount]]&lt;=Table1[[#This Row],[avg_transaction_amount]], "usual transaction", "unusual transaction")</f>
        <v>usual transaction</v>
      </c>
      <c r="Q2052" s="6" t="str">
        <f>IF(AND(Table1[[#This Row],[Country_of_Residence]]&lt;&gt;Table1[[#This Row],[Country_of_Transaction]], OR(Table1[[#This Row],[Authentication_Type]]="Biometric", Table1[[#This Row],[Authentication_Type]]="OTP")), "safe location transaction", "unsafe location transaction")</f>
        <v>unsafe location transaction</v>
      </c>
      <c r="R2052" s="6" t="str">
        <f>IF(AND(Table1[[#This Row],[Country_of_Residence]]&lt;&gt;Table1[[#This Row],[Country_of_Transaction]], OR(Table1[[#This Row],[Merchant_Category]]="Electronics", Table1[[#This Row],[Merchant_Category]]="Travel")), "unsafe merchant transaction", "safe merchant transaction")</f>
        <v>safe merchant transaction</v>
      </c>
    </row>
    <row r="2053" spans="1:18">
      <c r="A2053" t="s">
        <v>4284</v>
      </c>
      <c r="B2053" t="s">
        <v>302</v>
      </c>
      <c r="C2053">
        <v>1</v>
      </c>
      <c r="D2053" t="s">
        <v>9</v>
      </c>
      <c r="E2053" t="s">
        <v>5</v>
      </c>
      <c r="F2053" s="2">
        <v>45944</v>
      </c>
      <c r="G2053">
        <v>7829.38</v>
      </c>
      <c r="H2053" s="1">
        <f>AVERAGEIF(Table1[Customer_ID], Table1[[#This Row],[Customer_ID]], Table1[Transaction_Amount])</f>
        <v>5513.8293103448259</v>
      </c>
      <c r="I2053" t="s">
        <v>1795</v>
      </c>
      <c r="J2053" t="s">
        <v>36</v>
      </c>
      <c r="K2053" t="s">
        <v>14</v>
      </c>
      <c r="L2053">
        <v>0</v>
      </c>
      <c r="M2053" t="s">
        <v>33</v>
      </c>
      <c r="N2053" t="s">
        <v>55</v>
      </c>
      <c r="O2053" t="s">
        <v>393</v>
      </c>
      <c r="P2053" s="6" t="str">
        <f>IF(Table1[[#This Row],[Transaction_Amount]]&lt;=Table1[[#This Row],[avg_transaction_amount]], "usual transaction", "unusual transaction")</f>
        <v>unusual transaction</v>
      </c>
      <c r="Q2053" s="6" t="str">
        <f>IF(AND(Table1[[#This Row],[Country_of_Residence]]&lt;&gt;Table1[[#This Row],[Country_of_Transaction]], OR(Table1[[#This Row],[Authentication_Type]]="Biometric", Table1[[#This Row],[Authentication_Type]]="OTP")), "safe location transaction", "unsafe location transaction")</f>
        <v>unsafe location transaction</v>
      </c>
      <c r="R2053" s="6" t="str">
        <f>IF(AND(Table1[[#This Row],[Country_of_Residence]]&lt;&gt;Table1[[#This Row],[Country_of_Transaction]], OR(Table1[[#This Row],[Merchant_Category]]="Electronics", Table1[[#This Row],[Merchant_Category]]="Travel")), "unsafe merchant transaction", "safe merchant transaction")</f>
        <v>safe merchant transaction</v>
      </c>
    </row>
    <row r="2054" spans="1:18">
      <c r="A2054" t="s">
        <v>4289</v>
      </c>
      <c r="B2054" t="s">
        <v>302</v>
      </c>
      <c r="C2054">
        <v>1</v>
      </c>
      <c r="D2054" t="s">
        <v>15</v>
      </c>
      <c r="E2054" t="s">
        <v>3</v>
      </c>
      <c r="F2054" s="2">
        <v>45734</v>
      </c>
      <c r="G2054">
        <v>3508.95</v>
      </c>
      <c r="H2054" s="1">
        <f>AVERAGEIF(Table1[Customer_ID], Table1[[#This Row],[Customer_ID]], Table1[Transaction_Amount])</f>
        <v>5513.8293103448259</v>
      </c>
      <c r="I2054" t="s">
        <v>1555</v>
      </c>
      <c r="J2054" t="s">
        <v>31</v>
      </c>
      <c r="K2054" t="s">
        <v>10</v>
      </c>
      <c r="L2054">
        <v>0</v>
      </c>
      <c r="M2054" t="s">
        <v>55</v>
      </c>
      <c r="N2054" t="s">
        <v>412</v>
      </c>
      <c r="O2054" t="s">
        <v>393</v>
      </c>
      <c r="P2054" s="6" t="str">
        <f>IF(Table1[[#This Row],[Transaction_Amount]]&lt;=Table1[[#This Row],[avg_transaction_amount]], "usual transaction", "unusual transaction")</f>
        <v>usual transaction</v>
      </c>
      <c r="Q2054" s="6" t="str">
        <f>IF(AND(Table1[[#This Row],[Country_of_Residence]]&lt;&gt;Table1[[#This Row],[Country_of_Transaction]], OR(Table1[[#This Row],[Authentication_Type]]="Biometric", Table1[[#This Row],[Authentication_Type]]="OTP")), "safe location transaction", "unsafe location transaction")</f>
        <v>safe location transaction</v>
      </c>
      <c r="R2054" s="6" t="str">
        <f>IF(AND(Table1[[#This Row],[Country_of_Residence]]&lt;&gt;Table1[[#This Row],[Country_of_Transaction]], OR(Table1[[#This Row],[Merchant_Category]]="Electronics", Table1[[#This Row],[Merchant_Category]]="Travel")), "unsafe merchant transaction", "safe merchant transaction")</f>
        <v>safe merchant transaction</v>
      </c>
    </row>
    <row r="2055" spans="1:18">
      <c r="A2055" t="s">
        <v>4395</v>
      </c>
      <c r="B2055" t="s">
        <v>302</v>
      </c>
      <c r="C2055">
        <v>1</v>
      </c>
      <c r="D2055" t="s">
        <v>15</v>
      </c>
      <c r="E2055" t="s">
        <v>3</v>
      </c>
      <c r="F2055" s="2">
        <v>45799</v>
      </c>
      <c r="G2055">
        <v>952.62</v>
      </c>
      <c r="H2055" s="1">
        <f>AVERAGEIF(Table1[Customer_ID], Table1[[#This Row],[Customer_ID]], Table1[Transaction_Amount])</f>
        <v>5513.8293103448259</v>
      </c>
      <c r="I2055" t="s">
        <v>1895</v>
      </c>
      <c r="J2055" t="s">
        <v>50</v>
      </c>
      <c r="K2055" t="s">
        <v>12</v>
      </c>
      <c r="L2055">
        <v>3</v>
      </c>
      <c r="M2055" t="s">
        <v>33</v>
      </c>
      <c r="N2055" t="s">
        <v>56</v>
      </c>
      <c r="O2055" t="s">
        <v>392</v>
      </c>
      <c r="P2055" s="6" t="str">
        <f>IF(Table1[[#This Row],[Transaction_Amount]]&lt;=Table1[[#This Row],[avg_transaction_amount]], "usual transaction", "unusual transaction")</f>
        <v>usual transaction</v>
      </c>
      <c r="Q2055" s="6" t="str">
        <f>IF(AND(Table1[[#This Row],[Country_of_Residence]]&lt;&gt;Table1[[#This Row],[Country_of_Transaction]], OR(Table1[[#This Row],[Authentication_Type]]="Biometric", Table1[[#This Row],[Authentication_Type]]="OTP")), "safe location transaction", "unsafe location transaction")</f>
        <v>unsafe location transaction</v>
      </c>
      <c r="R2055" s="6" t="str">
        <f>IF(AND(Table1[[#This Row],[Country_of_Residence]]&lt;&gt;Table1[[#This Row],[Country_of_Transaction]], OR(Table1[[#This Row],[Merchant_Category]]="Electronics", Table1[[#This Row],[Merchant_Category]]="Travel")), "unsafe merchant transaction", "safe merchant transaction")</f>
        <v>unsafe merchant transaction</v>
      </c>
    </row>
    <row r="2056" spans="1:18">
      <c r="A2056" t="s">
        <v>4522</v>
      </c>
      <c r="B2056" t="s">
        <v>302</v>
      </c>
      <c r="C2056">
        <v>1</v>
      </c>
      <c r="D2056" t="s">
        <v>9</v>
      </c>
      <c r="E2056" t="s">
        <v>5</v>
      </c>
      <c r="F2056" s="2">
        <v>45979</v>
      </c>
      <c r="G2056">
        <v>2388.7600000000002</v>
      </c>
      <c r="H2056" s="1">
        <f>AVERAGEIF(Table1[Customer_ID], Table1[[#This Row],[Customer_ID]], Table1[Transaction_Amount])</f>
        <v>5513.8293103448259</v>
      </c>
      <c r="I2056" t="s">
        <v>2006</v>
      </c>
      <c r="J2056" t="s">
        <v>36</v>
      </c>
      <c r="K2056" t="s">
        <v>10</v>
      </c>
      <c r="L2056">
        <v>2</v>
      </c>
      <c r="M2056" t="s">
        <v>47</v>
      </c>
      <c r="N2056" t="s">
        <v>412</v>
      </c>
      <c r="O2056" t="s">
        <v>392</v>
      </c>
      <c r="P2056" s="6" t="str">
        <f>IF(Table1[[#This Row],[Transaction_Amount]]&lt;=Table1[[#This Row],[avg_transaction_amount]], "usual transaction", "unusual transaction")</f>
        <v>usual transaction</v>
      </c>
      <c r="Q2056" s="6" t="str">
        <f>IF(AND(Table1[[#This Row],[Country_of_Residence]]&lt;&gt;Table1[[#This Row],[Country_of_Transaction]], OR(Table1[[#This Row],[Authentication_Type]]="Biometric", Table1[[#This Row],[Authentication_Type]]="OTP")), "safe location transaction", "unsafe location transaction")</f>
        <v>safe location transaction</v>
      </c>
      <c r="R2056" s="6" t="str">
        <f>IF(AND(Table1[[#This Row],[Country_of_Residence]]&lt;&gt;Table1[[#This Row],[Country_of_Transaction]], OR(Table1[[#This Row],[Merchant_Category]]="Electronics", Table1[[#This Row],[Merchant_Category]]="Travel")), "unsafe merchant transaction", "safe merchant transaction")</f>
        <v>safe merchant transaction</v>
      </c>
    </row>
    <row r="2057" spans="1:18">
      <c r="A2057" t="s">
        <v>4587</v>
      </c>
      <c r="B2057" t="s">
        <v>302</v>
      </c>
      <c r="C2057">
        <v>1</v>
      </c>
      <c r="D2057" t="s">
        <v>9</v>
      </c>
      <c r="E2057" t="s">
        <v>3</v>
      </c>
      <c r="F2057" s="2">
        <v>45706</v>
      </c>
      <c r="G2057">
        <v>2246.04</v>
      </c>
      <c r="H2057" s="1">
        <f>AVERAGEIF(Table1[Customer_ID], Table1[[#This Row],[Customer_ID]], Table1[Transaction_Amount])</f>
        <v>5513.8293103448259</v>
      </c>
      <c r="I2057" t="s">
        <v>2056</v>
      </c>
      <c r="J2057" t="s">
        <v>41</v>
      </c>
      <c r="K2057" t="s">
        <v>10</v>
      </c>
      <c r="L2057">
        <v>2</v>
      </c>
      <c r="M2057" t="s">
        <v>42</v>
      </c>
      <c r="N2057" t="s">
        <v>37</v>
      </c>
      <c r="O2057" t="s">
        <v>393</v>
      </c>
      <c r="P2057" s="6" t="str">
        <f>IF(Table1[[#This Row],[Transaction_Amount]]&lt;=Table1[[#This Row],[avg_transaction_amount]], "usual transaction", "unusual transaction")</f>
        <v>usual transaction</v>
      </c>
      <c r="Q2057" s="6" t="str">
        <f>IF(AND(Table1[[#This Row],[Country_of_Residence]]&lt;&gt;Table1[[#This Row],[Country_of_Transaction]], OR(Table1[[#This Row],[Authentication_Type]]="Biometric", Table1[[#This Row],[Authentication_Type]]="OTP")), "safe location transaction", "unsafe location transaction")</f>
        <v>safe location transaction</v>
      </c>
      <c r="R2057" s="6" t="str">
        <f>IF(AND(Table1[[#This Row],[Country_of_Residence]]&lt;&gt;Table1[[#This Row],[Country_of_Transaction]], OR(Table1[[#This Row],[Merchant_Category]]="Electronics", Table1[[#This Row],[Merchant_Category]]="Travel")), "unsafe merchant transaction", "safe merchant transaction")</f>
        <v>safe merchant transaction</v>
      </c>
    </row>
    <row r="2058" spans="1:18">
      <c r="A2058" t="s">
        <v>4696</v>
      </c>
      <c r="B2058" t="s">
        <v>302</v>
      </c>
      <c r="C2058">
        <v>1</v>
      </c>
      <c r="D2058" t="s">
        <v>9</v>
      </c>
      <c r="E2058" t="s">
        <v>420</v>
      </c>
      <c r="F2058" s="2">
        <v>45898</v>
      </c>
      <c r="G2058">
        <v>8657.0400000000009</v>
      </c>
      <c r="H2058" s="1">
        <f>AVERAGEIF(Table1[Customer_ID], Table1[[#This Row],[Customer_ID]], Table1[Transaction_Amount])</f>
        <v>5513.8293103448259</v>
      </c>
      <c r="I2058" t="s">
        <v>2145</v>
      </c>
      <c r="J2058" t="s">
        <v>31</v>
      </c>
      <c r="K2058" t="s">
        <v>14</v>
      </c>
      <c r="L2058">
        <v>1</v>
      </c>
      <c r="M2058" t="s">
        <v>51</v>
      </c>
      <c r="N2058" t="s">
        <v>42</v>
      </c>
      <c r="O2058" t="s">
        <v>393</v>
      </c>
      <c r="P2058" s="6" t="str">
        <f>IF(Table1[[#This Row],[Transaction_Amount]]&lt;=Table1[[#This Row],[avg_transaction_amount]], "usual transaction", "unusual transaction")</f>
        <v>unusual transaction</v>
      </c>
      <c r="Q2058" s="6" t="str">
        <f>IF(AND(Table1[[#This Row],[Country_of_Residence]]&lt;&gt;Table1[[#This Row],[Country_of_Transaction]], OR(Table1[[#This Row],[Authentication_Type]]="Biometric", Table1[[#This Row],[Authentication_Type]]="OTP")), "safe location transaction", "unsafe location transaction")</f>
        <v>unsafe location transaction</v>
      </c>
      <c r="R2058" s="6" t="str">
        <f>IF(AND(Table1[[#This Row],[Country_of_Residence]]&lt;&gt;Table1[[#This Row],[Country_of_Transaction]], OR(Table1[[#This Row],[Merchant_Category]]="Electronics", Table1[[#This Row],[Merchant_Category]]="Travel")), "unsafe merchant transaction", "safe merchant transaction")</f>
        <v>safe merchant transaction</v>
      </c>
    </row>
    <row r="2059" spans="1:18">
      <c r="A2059" t="s">
        <v>4737</v>
      </c>
      <c r="B2059" t="s">
        <v>302</v>
      </c>
      <c r="C2059">
        <v>1</v>
      </c>
      <c r="D2059" t="s">
        <v>15</v>
      </c>
      <c r="E2059" t="s">
        <v>6</v>
      </c>
      <c r="F2059" s="2">
        <v>46010</v>
      </c>
      <c r="G2059">
        <v>9928.43</v>
      </c>
      <c r="H2059" s="1">
        <f>AVERAGEIF(Table1[Customer_ID], Table1[[#This Row],[Customer_ID]], Table1[Transaction_Amount])</f>
        <v>5513.8293103448259</v>
      </c>
      <c r="I2059" t="s">
        <v>721</v>
      </c>
      <c r="J2059" t="s">
        <v>50</v>
      </c>
      <c r="K2059" t="s">
        <v>14</v>
      </c>
      <c r="L2059">
        <v>0</v>
      </c>
      <c r="M2059" t="s">
        <v>42</v>
      </c>
      <c r="N2059" t="s">
        <v>33</v>
      </c>
      <c r="O2059" t="s">
        <v>392</v>
      </c>
      <c r="P2059" s="6" t="str">
        <f>IF(Table1[[#This Row],[Transaction_Amount]]&lt;=Table1[[#This Row],[avg_transaction_amount]], "usual transaction", "unusual transaction")</f>
        <v>unusual transaction</v>
      </c>
      <c r="Q2059" s="6" t="str">
        <f>IF(AND(Table1[[#This Row],[Country_of_Residence]]&lt;&gt;Table1[[#This Row],[Country_of_Transaction]], OR(Table1[[#This Row],[Authentication_Type]]="Biometric", Table1[[#This Row],[Authentication_Type]]="OTP")), "safe location transaction", "unsafe location transaction")</f>
        <v>unsafe location transaction</v>
      </c>
      <c r="R2059" s="6" t="str">
        <f>IF(AND(Table1[[#This Row],[Country_of_Residence]]&lt;&gt;Table1[[#This Row],[Country_of_Transaction]], OR(Table1[[#This Row],[Merchant_Category]]="Electronics", Table1[[#This Row],[Merchant_Category]]="Travel")), "unsafe merchant transaction", "safe merchant transaction")</f>
        <v>unsafe merchant transaction</v>
      </c>
    </row>
    <row r="2060" spans="1:18">
      <c r="A2060" t="s">
        <v>4741</v>
      </c>
      <c r="B2060" t="s">
        <v>302</v>
      </c>
      <c r="C2060">
        <v>1</v>
      </c>
      <c r="D2060" t="s">
        <v>9</v>
      </c>
      <c r="E2060" t="s">
        <v>5</v>
      </c>
      <c r="F2060" s="2">
        <v>45699</v>
      </c>
      <c r="G2060">
        <v>7163.38</v>
      </c>
      <c r="H2060" s="1">
        <f>AVERAGEIF(Table1[Customer_ID], Table1[[#This Row],[Customer_ID]], Table1[Transaction_Amount])</f>
        <v>5513.8293103448259</v>
      </c>
      <c r="I2060" t="s">
        <v>2177</v>
      </c>
      <c r="J2060" t="s">
        <v>31</v>
      </c>
      <c r="K2060" t="s">
        <v>10</v>
      </c>
      <c r="L2060">
        <v>4</v>
      </c>
      <c r="M2060" t="s">
        <v>55</v>
      </c>
      <c r="N2060" t="s">
        <v>51</v>
      </c>
      <c r="O2060" t="s">
        <v>392</v>
      </c>
      <c r="P2060" s="6" t="str">
        <f>IF(Table1[[#This Row],[Transaction_Amount]]&lt;=Table1[[#This Row],[avg_transaction_amount]], "usual transaction", "unusual transaction")</f>
        <v>unusual transaction</v>
      </c>
      <c r="Q2060" s="6" t="str">
        <f>IF(AND(Table1[[#This Row],[Country_of_Residence]]&lt;&gt;Table1[[#This Row],[Country_of_Transaction]], OR(Table1[[#This Row],[Authentication_Type]]="Biometric", Table1[[#This Row],[Authentication_Type]]="OTP")), "safe location transaction", "unsafe location transaction")</f>
        <v>safe location transaction</v>
      </c>
      <c r="R2060" s="6" t="str">
        <f>IF(AND(Table1[[#This Row],[Country_of_Residence]]&lt;&gt;Table1[[#This Row],[Country_of_Transaction]], OR(Table1[[#This Row],[Merchant_Category]]="Electronics", Table1[[#This Row],[Merchant_Category]]="Travel")), "unsafe merchant transaction", "safe merchant transaction")</f>
        <v>safe merchant transaction</v>
      </c>
    </row>
    <row r="2061" spans="1:18">
      <c r="A2061" t="s">
        <v>4859</v>
      </c>
      <c r="B2061" t="s">
        <v>302</v>
      </c>
      <c r="C2061">
        <v>1</v>
      </c>
      <c r="D2061" t="s">
        <v>9</v>
      </c>
      <c r="E2061" t="s">
        <v>5</v>
      </c>
      <c r="F2061" s="2">
        <v>45952</v>
      </c>
      <c r="G2061">
        <v>2227.17</v>
      </c>
      <c r="H2061" s="1">
        <f>AVERAGEIF(Table1[Customer_ID], Table1[[#This Row],[Customer_ID]], Table1[Transaction_Amount])</f>
        <v>5513.8293103448259</v>
      </c>
      <c r="I2061" t="s">
        <v>1833</v>
      </c>
      <c r="J2061" t="s">
        <v>46</v>
      </c>
      <c r="K2061" t="s">
        <v>10</v>
      </c>
      <c r="L2061">
        <v>1</v>
      </c>
      <c r="M2061" t="s">
        <v>51</v>
      </c>
      <c r="N2061" t="s">
        <v>55</v>
      </c>
      <c r="O2061" t="s">
        <v>392</v>
      </c>
      <c r="P2061" s="6" t="str">
        <f>IF(Table1[[#This Row],[Transaction_Amount]]&lt;=Table1[[#This Row],[avg_transaction_amount]], "usual transaction", "unusual transaction")</f>
        <v>usual transaction</v>
      </c>
      <c r="Q2061" s="6" t="str">
        <f>IF(AND(Table1[[#This Row],[Country_of_Residence]]&lt;&gt;Table1[[#This Row],[Country_of_Transaction]], OR(Table1[[#This Row],[Authentication_Type]]="Biometric", Table1[[#This Row],[Authentication_Type]]="OTP")), "safe location transaction", "unsafe location transaction")</f>
        <v>safe location transaction</v>
      </c>
      <c r="R2061" s="6" t="str">
        <f>IF(AND(Table1[[#This Row],[Country_of_Residence]]&lt;&gt;Table1[[#This Row],[Country_of_Transaction]], OR(Table1[[#This Row],[Merchant_Category]]="Electronics", Table1[[#This Row],[Merchant_Category]]="Travel")), "unsafe merchant transaction", "safe merchant transaction")</f>
        <v>safe merchant transaction</v>
      </c>
    </row>
    <row r="2062" spans="1:18">
      <c r="A2062" t="s">
        <v>4872</v>
      </c>
      <c r="B2062" t="s">
        <v>302</v>
      </c>
      <c r="C2062">
        <v>1</v>
      </c>
      <c r="D2062" t="s">
        <v>9</v>
      </c>
      <c r="E2062" t="s">
        <v>5</v>
      </c>
      <c r="F2062" s="2">
        <v>45700</v>
      </c>
      <c r="G2062">
        <v>6114.63</v>
      </c>
      <c r="H2062" s="1">
        <f>AVERAGEIF(Table1[Customer_ID], Table1[[#This Row],[Customer_ID]], Table1[Transaction_Amount])</f>
        <v>5513.8293103448259</v>
      </c>
      <c r="I2062" t="s">
        <v>2277</v>
      </c>
      <c r="J2062" t="s">
        <v>41</v>
      </c>
      <c r="K2062" t="s">
        <v>10</v>
      </c>
      <c r="L2062">
        <v>3</v>
      </c>
      <c r="M2062" t="s">
        <v>47</v>
      </c>
      <c r="N2062" t="s">
        <v>51</v>
      </c>
      <c r="O2062" t="s">
        <v>393</v>
      </c>
      <c r="P2062" s="6" t="str">
        <f>IF(Table1[[#This Row],[Transaction_Amount]]&lt;=Table1[[#This Row],[avg_transaction_amount]], "usual transaction", "unusual transaction")</f>
        <v>unusual transaction</v>
      </c>
      <c r="Q2062" s="6" t="str">
        <f>IF(AND(Table1[[#This Row],[Country_of_Residence]]&lt;&gt;Table1[[#This Row],[Country_of_Transaction]], OR(Table1[[#This Row],[Authentication_Type]]="Biometric", Table1[[#This Row],[Authentication_Type]]="OTP")), "safe location transaction", "unsafe location transaction")</f>
        <v>safe location transaction</v>
      </c>
      <c r="R2062" s="6" t="str">
        <f>IF(AND(Table1[[#This Row],[Country_of_Residence]]&lt;&gt;Table1[[#This Row],[Country_of_Transaction]], OR(Table1[[#This Row],[Merchant_Category]]="Electronics", Table1[[#This Row],[Merchant_Category]]="Travel")), "unsafe merchant transaction", "safe merchant transaction")</f>
        <v>safe merchant transaction</v>
      </c>
    </row>
    <row r="2063" spans="1:18">
      <c r="A2063" t="s">
        <v>4928</v>
      </c>
      <c r="B2063" t="s">
        <v>302</v>
      </c>
      <c r="C2063">
        <v>1</v>
      </c>
      <c r="D2063" t="s">
        <v>9</v>
      </c>
      <c r="E2063" t="s">
        <v>420</v>
      </c>
      <c r="F2063" s="2">
        <v>45672</v>
      </c>
      <c r="G2063">
        <v>8603.42</v>
      </c>
      <c r="H2063" s="1">
        <f>AVERAGEIF(Table1[Customer_ID], Table1[[#This Row],[Customer_ID]], Table1[Transaction_Amount])</f>
        <v>5513.8293103448259</v>
      </c>
      <c r="I2063" t="s">
        <v>210</v>
      </c>
      <c r="J2063" t="s">
        <v>31</v>
      </c>
      <c r="K2063" t="s">
        <v>12</v>
      </c>
      <c r="L2063">
        <v>5</v>
      </c>
      <c r="M2063" t="s">
        <v>42</v>
      </c>
      <c r="N2063" t="s">
        <v>42</v>
      </c>
      <c r="O2063" t="s">
        <v>392</v>
      </c>
      <c r="P2063" s="6" t="str">
        <f>IF(Table1[[#This Row],[Transaction_Amount]]&lt;=Table1[[#This Row],[avg_transaction_amount]], "usual transaction", "unusual transaction")</f>
        <v>unusual transaction</v>
      </c>
      <c r="Q2063" s="6" t="str">
        <f>IF(AND(Table1[[#This Row],[Country_of_Residence]]&lt;&gt;Table1[[#This Row],[Country_of_Transaction]], OR(Table1[[#This Row],[Authentication_Type]]="Biometric", Table1[[#This Row],[Authentication_Type]]="OTP")), "safe location transaction", "unsafe location transaction")</f>
        <v>unsafe location transaction</v>
      </c>
      <c r="R2063" s="6" t="str">
        <f>IF(AND(Table1[[#This Row],[Country_of_Residence]]&lt;&gt;Table1[[#This Row],[Country_of_Transaction]], OR(Table1[[#This Row],[Merchant_Category]]="Electronics", Table1[[#This Row],[Merchant_Category]]="Travel")), "unsafe merchant transaction", "safe merchant transaction")</f>
        <v>safe merchant transaction</v>
      </c>
    </row>
    <row r="2064" spans="1:18">
      <c r="A2064" t="s">
        <v>4940</v>
      </c>
      <c r="B2064" t="s">
        <v>302</v>
      </c>
      <c r="C2064">
        <v>1</v>
      </c>
      <c r="D2064" t="s">
        <v>9</v>
      </c>
      <c r="E2064" t="s">
        <v>6</v>
      </c>
      <c r="F2064" s="2">
        <v>45779</v>
      </c>
      <c r="G2064">
        <v>1589.64</v>
      </c>
      <c r="H2064" s="1">
        <f>AVERAGEIF(Table1[Customer_ID], Table1[[#This Row],[Customer_ID]], Table1[Transaction_Amount])</f>
        <v>5513.8293103448259</v>
      </c>
      <c r="I2064" t="s">
        <v>2333</v>
      </c>
      <c r="J2064" t="s">
        <v>41</v>
      </c>
      <c r="K2064" t="s">
        <v>8</v>
      </c>
      <c r="L2064">
        <v>0</v>
      </c>
      <c r="M2064" t="s">
        <v>37</v>
      </c>
      <c r="N2064" t="s">
        <v>55</v>
      </c>
      <c r="O2064" t="s">
        <v>393</v>
      </c>
      <c r="P2064" s="6" t="str">
        <f>IF(Table1[[#This Row],[Transaction_Amount]]&lt;=Table1[[#This Row],[avg_transaction_amount]], "usual transaction", "unusual transaction")</f>
        <v>usual transaction</v>
      </c>
      <c r="Q2064" s="6" t="str">
        <f>IF(AND(Table1[[#This Row],[Country_of_Residence]]&lt;&gt;Table1[[#This Row],[Country_of_Transaction]], OR(Table1[[#This Row],[Authentication_Type]]="Biometric", Table1[[#This Row],[Authentication_Type]]="OTP")), "safe location transaction", "unsafe location transaction")</f>
        <v>safe location transaction</v>
      </c>
      <c r="R2064" s="6" t="str">
        <f>IF(AND(Table1[[#This Row],[Country_of_Residence]]&lt;&gt;Table1[[#This Row],[Country_of_Transaction]], OR(Table1[[#This Row],[Merchant_Category]]="Electronics", Table1[[#This Row],[Merchant_Category]]="Travel")), "unsafe merchant transaction", "safe merchant transaction")</f>
        <v>safe merchant transaction</v>
      </c>
    </row>
    <row r="2065" spans="1:18">
      <c r="A2065" t="s">
        <v>5173</v>
      </c>
      <c r="B2065" t="s">
        <v>302</v>
      </c>
      <c r="C2065">
        <v>1</v>
      </c>
      <c r="D2065" t="s">
        <v>15</v>
      </c>
      <c r="E2065" t="s">
        <v>5</v>
      </c>
      <c r="F2065" s="2">
        <v>45782</v>
      </c>
      <c r="G2065">
        <v>5627.07</v>
      </c>
      <c r="H2065" s="1">
        <f>AVERAGEIF(Table1[Customer_ID], Table1[[#This Row],[Customer_ID]], Table1[Transaction_Amount])</f>
        <v>5513.8293103448259</v>
      </c>
      <c r="I2065" t="s">
        <v>2508</v>
      </c>
      <c r="J2065" t="s">
        <v>31</v>
      </c>
      <c r="K2065" t="s">
        <v>12</v>
      </c>
      <c r="L2065">
        <v>0</v>
      </c>
      <c r="M2065" t="s">
        <v>33</v>
      </c>
      <c r="N2065" t="s">
        <v>412</v>
      </c>
      <c r="O2065" t="s">
        <v>392</v>
      </c>
      <c r="P2065" s="6" t="str">
        <f>IF(Table1[[#This Row],[Transaction_Amount]]&lt;=Table1[[#This Row],[avg_transaction_amount]], "usual transaction", "unusual transaction")</f>
        <v>unusual transaction</v>
      </c>
      <c r="Q2065" s="6" t="str">
        <f>IF(AND(Table1[[#This Row],[Country_of_Residence]]&lt;&gt;Table1[[#This Row],[Country_of_Transaction]], OR(Table1[[#This Row],[Authentication_Type]]="Biometric", Table1[[#This Row],[Authentication_Type]]="OTP")), "safe location transaction", "unsafe location transaction")</f>
        <v>unsafe location transaction</v>
      </c>
      <c r="R2065" s="6" t="str">
        <f>IF(AND(Table1[[#This Row],[Country_of_Residence]]&lt;&gt;Table1[[#This Row],[Country_of_Transaction]], OR(Table1[[#This Row],[Merchant_Category]]="Electronics", Table1[[#This Row],[Merchant_Category]]="Travel")), "unsafe merchant transaction", "safe merchant transaction")</f>
        <v>safe merchant transaction</v>
      </c>
    </row>
    <row r="2066" spans="1:18">
      <c r="A2066" t="s">
        <v>5175</v>
      </c>
      <c r="B2066" t="s">
        <v>302</v>
      </c>
      <c r="C2066">
        <v>1</v>
      </c>
      <c r="D2066" t="s">
        <v>9</v>
      </c>
      <c r="E2066" t="s">
        <v>420</v>
      </c>
      <c r="F2066" s="2">
        <v>45690</v>
      </c>
      <c r="G2066">
        <v>9927.8700000000008</v>
      </c>
      <c r="H2066" s="1">
        <f>AVERAGEIF(Table1[Customer_ID], Table1[[#This Row],[Customer_ID]], Table1[Transaction_Amount])</f>
        <v>5513.8293103448259</v>
      </c>
      <c r="I2066" t="s">
        <v>2510</v>
      </c>
      <c r="J2066" t="s">
        <v>36</v>
      </c>
      <c r="K2066" t="s">
        <v>12</v>
      </c>
      <c r="L2066">
        <v>0</v>
      </c>
      <c r="M2066" t="s">
        <v>412</v>
      </c>
      <c r="N2066" t="s">
        <v>412</v>
      </c>
      <c r="O2066" t="s">
        <v>392</v>
      </c>
      <c r="P2066" s="6" t="str">
        <f>IF(Table1[[#This Row],[Transaction_Amount]]&lt;=Table1[[#This Row],[avg_transaction_amount]], "usual transaction", "unusual transaction")</f>
        <v>unusual transaction</v>
      </c>
      <c r="Q2066" s="6" t="str">
        <f>IF(AND(Table1[[#This Row],[Country_of_Residence]]&lt;&gt;Table1[[#This Row],[Country_of_Transaction]], OR(Table1[[#This Row],[Authentication_Type]]="Biometric", Table1[[#This Row],[Authentication_Type]]="OTP")), "safe location transaction", "unsafe location transaction")</f>
        <v>unsafe location transaction</v>
      </c>
      <c r="R2066" s="6" t="str">
        <f>IF(AND(Table1[[#This Row],[Country_of_Residence]]&lt;&gt;Table1[[#This Row],[Country_of_Transaction]], OR(Table1[[#This Row],[Merchant_Category]]="Electronics", Table1[[#This Row],[Merchant_Category]]="Travel")), "unsafe merchant transaction", "safe merchant transaction")</f>
        <v>safe merchant transaction</v>
      </c>
    </row>
    <row r="2067" spans="1:18">
      <c r="A2067" t="s">
        <v>5254</v>
      </c>
      <c r="B2067" t="s">
        <v>302</v>
      </c>
      <c r="C2067">
        <v>1</v>
      </c>
      <c r="D2067" t="s">
        <v>9</v>
      </c>
      <c r="E2067" t="s">
        <v>5</v>
      </c>
      <c r="F2067" s="2">
        <v>45661</v>
      </c>
      <c r="G2067">
        <v>4660.07</v>
      </c>
      <c r="H2067" s="1">
        <f>AVERAGEIF(Table1[Customer_ID], Table1[[#This Row],[Customer_ID]], Table1[Transaction_Amount])</f>
        <v>5513.8293103448259</v>
      </c>
      <c r="I2067" t="s">
        <v>2573</v>
      </c>
      <c r="J2067" t="s">
        <v>46</v>
      </c>
      <c r="K2067" t="s">
        <v>8</v>
      </c>
      <c r="L2067">
        <v>3</v>
      </c>
      <c r="M2067" t="s">
        <v>56</v>
      </c>
      <c r="N2067" t="s">
        <v>51</v>
      </c>
      <c r="O2067" t="s">
        <v>393</v>
      </c>
      <c r="P2067" s="6" t="str">
        <f>IF(Table1[[#This Row],[Transaction_Amount]]&lt;=Table1[[#This Row],[avg_transaction_amount]], "usual transaction", "unusual transaction")</f>
        <v>usual transaction</v>
      </c>
      <c r="Q2067" s="6" t="str">
        <f>IF(AND(Table1[[#This Row],[Country_of_Residence]]&lt;&gt;Table1[[#This Row],[Country_of_Transaction]], OR(Table1[[#This Row],[Authentication_Type]]="Biometric", Table1[[#This Row],[Authentication_Type]]="OTP")), "safe location transaction", "unsafe location transaction")</f>
        <v>safe location transaction</v>
      </c>
      <c r="R2067" s="6" t="str">
        <f>IF(AND(Table1[[#This Row],[Country_of_Residence]]&lt;&gt;Table1[[#This Row],[Country_of_Transaction]], OR(Table1[[#This Row],[Merchant_Category]]="Electronics", Table1[[#This Row],[Merchant_Category]]="Travel")), "unsafe merchant transaction", "safe merchant transaction")</f>
        <v>safe merchant transaction</v>
      </c>
    </row>
    <row r="2068" spans="1:18">
      <c r="A2068" t="s">
        <v>5260</v>
      </c>
      <c r="B2068" t="s">
        <v>302</v>
      </c>
      <c r="C2068">
        <v>1</v>
      </c>
      <c r="D2068" t="s">
        <v>15</v>
      </c>
      <c r="E2068" t="s">
        <v>5</v>
      </c>
      <c r="F2068" s="2">
        <v>45944</v>
      </c>
      <c r="G2068">
        <v>6837.98</v>
      </c>
      <c r="H2068" s="1">
        <f>AVERAGEIF(Table1[Customer_ID], Table1[[#This Row],[Customer_ID]], Table1[Transaction_Amount])</f>
        <v>5513.8293103448259</v>
      </c>
      <c r="I2068" t="s">
        <v>2578</v>
      </c>
      <c r="J2068" t="s">
        <v>36</v>
      </c>
      <c r="K2068" t="s">
        <v>14</v>
      </c>
      <c r="L2068">
        <v>5</v>
      </c>
      <c r="M2068" t="s">
        <v>33</v>
      </c>
      <c r="N2068" t="s">
        <v>32</v>
      </c>
      <c r="O2068" t="s">
        <v>392</v>
      </c>
      <c r="P2068" s="6" t="str">
        <f>IF(Table1[[#This Row],[Transaction_Amount]]&lt;=Table1[[#This Row],[avg_transaction_amount]], "usual transaction", "unusual transaction")</f>
        <v>unusual transaction</v>
      </c>
      <c r="Q2068" s="6" t="str">
        <f>IF(AND(Table1[[#This Row],[Country_of_Residence]]&lt;&gt;Table1[[#This Row],[Country_of_Transaction]], OR(Table1[[#This Row],[Authentication_Type]]="Biometric", Table1[[#This Row],[Authentication_Type]]="OTP")), "safe location transaction", "unsafe location transaction")</f>
        <v>unsafe location transaction</v>
      </c>
      <c r="R2068" s="6" t="str">
        <f>IF(AND(Table1[[#This Row],[Country_of_Residence]]&lt;&gt;Table1[[#This Row],[Country_of_Transaction]], OR(Table1[[#This Row],[Merchant_Category]]="Electronics", Table1[[#This Row],[Merchant_Category]]="Travel")), "unsafe merchant transaction", "safe merchant transaction")</f>
        <v>safe merchant transaction</v>
      </c>
    </row>
    <row r="2069" spans="1:18">
      <c r="A2069" t="s">
        <v>5354</v>
      </c>
      <c r="B2069" t="s">
        <v>302</v>
      </c>
      <c r="C2069">
        <v>1</v>
      </c>
      <c r="D2069" t="s">
        <v>15</v>
      </c>
      <c r="E2069" t="s">
        <v>3</v>
      </c>
      <c r="F2069" s="2">
        <v>45671</v>
      </c>
      <c r="G2069">
        <v>4389.29</v>
      </c>
      <c r="H2069" s="1">
        <f>AVERAGEIF(Table1[Customer_ID], Table1[[#This Row],[Customer_ID]], Table1[Transaction_Amount])</f>
        <v>5513.8293103448259</v>
      </c>
      <c r="I2069" t="s">
        <v>2646</v>
      </c>
      <c r="J2069" t="s">
        <v>36</v>
      </c>
      <c r="K2069" t="s">
        <v>10</v>
      </c>
      <c r="L2069">
        <v>4</v>
      </c>
      <c r="M2069" t="s">
        <v>32</v>
      </c>
      <c r="N2069" t="s">
        <v>37</v>
      </c>
      <c r="O2069" t="s">
        <v>392</v>
      </c>
      <c r="P2069" s="6" t="str">
        <f>IF(Table1[[#This Row],[Transaction_Amount]]&lt;=Table1[[#This Row],[avg_transaction_amount]], "usual transaction", "unusual transaction")</f>
        <v>usual transaction</v>
      </c>
      <c r="Q2069" s="6" t="str">
        <f>IF(AND(Table1[[#This Row],[Country_of_Residence]]&lt;&gt;Table1[[#This Row],[Country_of_Transaction]], OR(Table1[[#This Row],[Authentication_Type]]="Biometric", Table1[[#This Row],[Authentication_Type]]="OTP")), "safe location transaction", "unsafe location transaction")</f>
        <v>safe location transaction</v>
      </c>
      <c r="R2069" s="6" t="str">
        <f>IF(AND(Table1[[#This Row],[Country_of_Residence]]&lt;&gt;Table1[[#This Row],[Country_of_Transaction]], OR(Table1[[#This Row],[Merchant_Category]]="Electronics", Table1[[#This Row],[Merchant_Category]]="Travel")), "unsafe merchant transaction", "safe merchant transaction")</f>
        <v>safe merchant transaction</v>
      </c>
    </row>
    <row r="2070" spans="1:18">
      <c r="A2070" t="s">
        <v>5355</v>
      </c>
      <c r="B2070" t="s">
        <v>302</v>
      </c>
      <c r="C2070">
        <v>1</v>
      </c>
      <c r="D2070" t="s">
        <v>15</v>
      </c>
      <c r="E2070" t="s">
        <v>6</v>
      </c>
      <c r="F2070" s="2">
        <v>45727</v>
      </c>
      <c r="G2070">
        <v>719.07</v>
      </c>
      <c r="H2070" s="1">
        <f>AVERAGEIF(Table1[Customer_ID], Table1[[#This Row],[Customer_ID]], Table1[Transaction_Amount])</f>
        <v>5513.8293103448259</v>
      </c>
      <c r="I2070" t="s">
        <v>537</v>
      </c>
      <c r="J2070" t="s">
        <v>46</v>
      </c>
      <c r="K2070" t="s">
        <v>10</v>
      </c>
      <c r="L2070">
        <v>2</v>
      </c>
      <c r="M2070" t="s">
        <v>33</v>
      </c>
      <c r="N2070" t="s">
        <v>47</v>
      </c>
      <c r="O2070" t="s">
        <v>393</v>
      </c>
      <c r="P2070" s="6" t="str">
        <f>IF(Table1[[#This Row],[Transaction_Amount]]&lt;=Table1[[#This Row],[avg_transaction_amount]], "usual transaction", "unusual transaction")</f>
        <v>usual transaction</v>
      </c>
      <c r="Q2070" s="6" t="str">
        <f>IF(AND(Table1[[#This Row],[Country_of_Residence]]&lt;&gt;Table1[[#This Row],[Country_of_Transaction]], OR(Table1[[#This Row],[Authentication_Type]]="Biometric", Table1[[#This Row],[Authentication_Type]]="OTP")), "safe location transaction", "unsafe location transaction")</f>
        <v>safe location transaction</v>
      </c>
      <c r="R2070" s="6" t="str">
        <f>IF(AND(Table1[[#This Row],[Country_of_Residence]]&lt;&gt;Table1[[#This Row],[Country_of_Transaction]], OR(Table1[[#This Row],[Merchant_Category]]="Electronics", Table1[[#This Row],[Merchant_Category]]="Travel")), "unsafe merchant transaction", "safe merchant transaction")</f>
        <v>safe merchant transaction</v>
      </c>
    </row>
    <row r="2071" spans="1:18">
      <c r="A2071" t="s">
        <v>5364</v>
      </c>
      <c r="B2071" t="s">
        <v>302</v>
      </c>
      <c r="C2071">
        <v>1</v>
      </c>
      <c r="D2071" t="s">
        <v>9</v>
      </c>
      <c r="E2071" t="s">
        <v>6</v>
      </c>
      <c r="F2071" s="2">
        <v>45921</v>
      </c>
      <c r="G2071">
        <v>2206.66</v>
      </c>
      <c r="H2071" s="1">
        <f>AVERAGEIF(Table1[Customer_ID], Table1[[#This Row],[Customer_ID]], Table1[Transaction_Amount])</f>
        <v>5513.8293103448259</v>
      </c>
      <c r="I2071" t="s">
        <v>1971</v>
      </c>
      <c r="J2071" t="s">
        <v>50</v>
      </c>
      <c r="K2071" t="s">
        <v>12</v>
      </c>
      <c r="L2071">
        <v>1</v>
      </c>
      <c r="M2071" t="s">
        <v>51</v>
      </c>
      <c r="N2071" t="s">
        <v>51</v>
      </c>
      <c r="O2071" t="s">
        <v>392</v>
      </c>
      <c r="P2071" s="6" t="str">
        <f>IF(Table1[[#This Row],[Transaction_Amount]]&lt;=Table1[[#This Row],[avg_transaction_amount]], "usual transaction", "unusual transaction")</f>
        <v>usual transaction</v>
      </c>
      <c r="Q2071" s="6" t="str">
        <f>IF(AND(Table1[[#This Row],[Country_of_Residence]]&lt;&gt;Table1[[#This Row],[Country_of_Transaction]], OR(Table1[[#This Row],[Authentication_Type]]="Biometric", Table1[[#This Row],[Authentication_Type]]="OTP")), "safe location transaction", "unsafe location transaction")</f>
        <v>unsafe location transaction</v>
      </c>
      <c r="R2071" s="6" t="str">
        <f>IF(AND(Table1[[#This Row],[Country_of_Residence]]&lt;&gt;Table1[[#This Row],[Country_of_Transaction]], OR(Table1[[#This Row],[Merchant_Category]]="Electronics", Table1[[#This Row],[Merchant_Category]]="Travel")), "unsafe merchant transaction", "safe merchant transaction")</f>
        <v>safe merchant transaction</v>
      </c>
    </row>
    <row r="2072" spans="1:18">
      <c r="A2072" t="s">
        <v>5383</v>
      </c>
      <c r="B2072" t="s">
        <v>302</v>
      </c>
      <c r="C2072">
        <v>1</v>
      </c>
      <c r="D2072" t="s">
        <v>9</v>
      </c>
      <c r="E2072" t="s">
        <v>6</v>
      </c>
      <c r="F2072" s="2">
        <v>45813</v>
      </c>
      <c r="G2072">
        <v>1745.83</v>
      </c>
      <c r="H2072" s="1">
        <f>AVERAGEIF(Table1[Customer_ID], Table1[[#This Row],[Customer_ID]], Table1[Transaction_Amount])</f>
        <v>5513.8293103448259</v>
      </c>
      <c r="I2072" t="s">
        <v>2667</v>
      </c>
      <c r="J2072" t="s">
        <v>46</v>
      </c>
      <c r="K2072" t="s">
        <v>10</v>
      </c>
      <c r="L2072">
        <v>4</v>
      </c>
      <c r="M2072" t="s">
        <v>32</v>
      </c>
      <c r="N2072" t="s">
        <v>32</v>
      </c>
      <c r="O2072" t="s">
        <v>393</v>
      </c>
      <c r="P2072" s="6" t="str">
        <f>IF(Table1[[#This Row],[Transaction_Amount]]&lt;=Table1[[#This Row],[avg_transaction_amount]], "usual transaction", "unusual transaction")</f>
        <v>usual transaction</v>
      </c>
      <c r="Q2072" s="6" t="str">
        <f>IF(AND(Table1[[#This Row],[Country_of_Residence]]&lt;&gt;Table1[[#This Row],[Country_of_Transaction]], OR(Table1[[#This Row],[Authentication_Type]]="Biometric", Table1[[#This Row],[Authentication_Type]]="OTP")), "safe location transaction", "unsafe location transaction")</f>
        <v>unsafe location transaction</v>
      </c>
      <c r="R2072" s="6" t="str">
        <f>IF(AND(Table1[[#This Row],[Country_of_Residence]]&lt;&gt;Table1[[#This Row],[Country_of_Transaction]], OR(Table1[[#This Row],[Merchant_Category]]="Electronics", Table1[[#This Row],[Merchant_Category]]="Travel")), "unsafe merchant transaction", "safe merchant transaction")</f>
        <v>safe merchant transaction</v>
      </c>
    </row>
    <row r="2073" spans="1:18">
      <c r="A2073" t="s">
        <v>5425</v>
      </c>
      <c r="B2073" t="s">
        <v>302</v>
      </c>
      <c r="C2073">
        <v>1</v>
      </c>
      <c r="D2073" t="s">
        <v>9</v>
      </c>
      <c r="E2073" t="s">
        <v>5</v>
      </c>
      <c r="F2073" s="2">
        <v>45797</v>
      </c>
      <c r="G2073">
        <v>4303.8599999999997</v>
      </c>
      <c r="H2073" s="1">
        <f>AVERAGEIF(Table1[Customer_ID], Table1[[#This Row],[Customer_ID]], Table1[Transaction_Amount])</f>
        <v>5513.8293103448259</v>
      </c>
      <c r="I2073" t="s">
        <v>1469</v>
      </c>
      <c r="J2073" t="s">
        <v>46</v>
      </c>
      <c r="K2073" t="s">
        <v>14</v>
      </c>
      <c r="L2073">
        <v>2</v>
      </c>
      <c r="M2073" t="s">
        <v>47</v>
      </c>
      <c r="N2073" t="s">
        <v>412</v>
      </c>
      <c r="O2073" t="s">
        <v>393</v>
      </c>
      <c r="P2073" s="6" t="str">
        <f>IF(Table1[[#This Row],[Transaction_Amount]]&lt;=Table1[[#This Row],[avg_transaction_amount]], "usual transaction", "unusual transaction")</f>
        <v>usual transaction</v>
      </c>
      <c r="Q2073" s="6" t="str">
        <f>IF(AND(Table1[[#This Row],[Country_of_Residence]]&lt;&gt;Table1[[#This Row],[Country_of_Transaction]], OR(Table1[[#This Row],[Authentication_Type]]="Biometric", Table1[[#This Row],[Authentication_Type]]="OTP")), "safe location transaction", "unsafe location transaction")</f>
        <v>unsafe location transaction</v>
      </c>
      <c r="R2073" s="6" t="str">
        <f>IF(AND(Table1[[#This Row],[Country_of_Residence]]&lt;&gt;Table1[[#This Row],[Country_of_Transaction]], OR(Table1[[#This Row],[Merchant_Category]]="Electronics", Table1[[#This Row],[Merchant_Category]]="Travel")), "unsafe merchant transaction", "safe merchant transaction")</f>
        <v>safe merchant transaction</v>
      </c>
    </row>
    <row r="2074" spans="1:18">
      <c r="A2074" t="s">
        <v>5514</v>
      </c>
      <c r="B2074" t="s">
        <v>302</v>
      </c>
      <c r="C2074">
        <v>1</v>
      </c>
      <c r="D2074" t="s">
        <v>9</v>
      </c>
      <c r="E2074" t="s">
        <v>420</v>
      </c>
      <c r="F2074" s="2">
        <v>45992</v>
      </c>
      <c r="G2074">
        <v>4161.22</v>
      </c>
      <c r="H2074" s="1">
        <f>AVERAGEIF(Table1[Customer_ID], Table1[[#This Row],[Customer_ID]], Table1[Transaction_Amount])</f>
        <v>5513.8293103448259</v>
      </c>
      <c r="I2074" t="s">
        <v>2764</v>
      </c>
      <c r="J2074" t="s">
        <v>50</v>
      </c>
      <c r="K2074" t="s">
        <v>14</v>
      </c>
      <c r="L2074">
        <v>3</v>
      </c>
      <c r="M2074" t="s">
        <v>55</v>
      </c>
      <c r="N2074" t="s">
        <v>55</v>
      </c>
      <c r="O2074" t="s">
        <v>392</v>
      </c>
      <c r="P2074" s="6" t="str">
        <f>IF(Table1[[#This Row],[Transaction_Amount]]&lt;=Table1[[#This Row],[avg_transaction_amount]], "usual transaction", "unusual transaction")</f>
        <v>usual transaction</v>
      </c>
      <c r="Q2074" s="6" t="str">
        <f>IF(AND(Table1[[#This Row],[Country_of_Residence]]&lt;&gt;Table1[[#This Row],[Country_of_Transaction]], OR(Table1[[#This Row],[Authentication_Type]]="Biometric", Table1[[#This Row],[Authentication_Type]]="OTP")), "safe location transaction", "unsafe location transaction")</f>
        <v>unsafe location transaction</v>
      </c>
      <c r="R2074" s="6" t="str">
        <f>IF(AND(Table1[[#This Row],[Country_of_Residence]]&lt;&gt;Table1[[#This Row],[Country_of_Transaction]], OR(Table1[[#This Row],[Merchant_Category]]="Electronics", Table1[[#This Row],[Merchant_Category]]="Travel")), "unsafe merchant transaction", "safe merchant transaction")</f>
        <v>safe merchant transaction</v>
      </c>
    </row>
    <row r="2075" spans="1:18">
      <c r="A2075" t="s">
        <v>313</v>
      </c>
      <c r="B2075" t="s">
        <v>306</v>
      </c>
      <c r="C2075">
        <v>1</v>
      </c>
      <c r="D2075" t="s">
        <v>13</v>
      </c>
      <c r="E2075" t="s">
        <v>6</v>
      </c>
      <c r="F2075" s="2">
        <v>45803.320833333302</v>
      </c>
      <c r="G2075">
        <v>6245.64</v>
      </c>
      <c r="H2075" s="1">
        <f>AVERAGEIF(Table1[Customer_ID], Table1[[#This Row],[Customer_ID]], Table1[Transaction_Amount])</f>
        <v>4876.7728571428579</v>
      </c>
      <c r="I2075" t="s">
        <v>314</v>
      </c>
      <c r="J2075" t="s">
        <v>50</v>
      </c>
      <c r="K2075" t="s">
        <v>10</v>
      </c>
      <c r="L2075">
        <v>1</v>
      </c>
      <c r="M2075" t="s">
        <v>308</v>
      </c>
      <c r="N2075" t="s">
        <v>287</v>
      </c>
      <c r="O2075" t="s">
        <v>393</v>
      </c>
      <c r="P2075" t="str">
        <f>IF(Table1[[#This Row],[Transaction_Amount]]&lt;=Table1[[#This Row],[avg_transaction_amount]], "usual transaction", "unusual transaction")</f>
        <v>unusual transaction</v>
      </c>
      <c r="Q2075" t="str">
        <f>IF(AND(Table1[[#This Row],[Country_of_Residence]]&lt;&gt;Table1[[#This Row],[Country_of_Transaction]], OR(Table1[[#This Row],[Authentication_Type]]="Biometric", Table1[[#This Row],[Authentication_Type]]="OTP")), "safe location transaction", "unsafe location transaction")</f>
        <v>safe location transaction</v>
      </c>
      <c r="R2075" t="str">
        <f>IF(AND(Table1[[#This Row],[Country_of_Residence]]&lt;&gt;Table1[[#This Row],[Country_of_Transaction]], OR(Table1[[#This Row],[Merchant_Category]]="Electronics", Table1[[#This Row],[Merchant_Category]]="Travel")), "unsafe merchant transaction", "safe merchant transaction")</f>
        <v>unsafe merchant transaction</v>
      </c>
    </row>
    <row r="2076" spans="1:18">
      <c r="A2076" t="s">
        <v>305</v>
      </c>
      <c r="B2076" t="s">
        <v>306</v>
      </c>
      <c r="C2076">
        <v>1</v>
      </c>
      <c r="D2076" t="s">
        <v>15</v>
      </c>
      <c r="E2076" t="s">
        <v>4</v>
      </c>
      <c r="F2076" s="2">
        <v>45670.342361111099</v>
      </c>
      <c r="G2076">
        <v>2050.1999999999998</v>
      </c>
      <c r="H2076" s="1">
        <f>AVERAGEIF(Table1[Customer_ID], Table1[[#This Row],[Customer_ID]], Table1[Transaction_Amount])</f>
        <v>4876.7728571428579</v>
      </c>
      <c r="I2076" t="s">
        <v>307</v>
      </c>
      <c r="J2076" t="s">
        <v>59</v>
      </c>
      <c r="K2076" t="s">
        <v>14</v>
      </c>
      <c r="L2076">
        <v>4</v>
      </c>
      <c r="M2076" t="s">
        <v>308</v>
      </c>
      <c r="N2076" t="s">
        <v>309</v>
      </c>
      <c r="O2076" t="s">
        <v>392</v>
      </c>
      <c r="P2076" t="str">
        <f>IF(Table1[[#This Row],[Transaction_Amount]]&lt;=Table1[[#This Row],[avg_transaction_amount]], "usual transaction", "unusual transaction")</f>
        <v>usual transaction</v>
      </c>
      <c r="Q2076" t="str">
        <f>IF(AND(Table1[[#This Row],[Country_of_Residence]]&lt;&gt;Table1[[#This Row],[Country_of_Transaction]], OR(Table1[[#This Row],[Authentication_Type]]="Biometric", Table1[[#This Row],[Authentication_Type]]="OTP")), "safe location transaction", "unsafe location transaction")</f>
        <v>unsafe location transaction</v>
      </c>
      <c r="R2076" t="str">
        <f>IF(AND(Table1[[#This Row],[Country_of_Residence]]&lt;&gt;Table1[[#This Row],[Country_of_Transaction]], OR(Table1[[#This Row],[Merchant_Category]]="Electronics", Table1[[#This Row],[Merchant_Category]]="Travel")), "unsafe merchant transaction", "safe merchant transaction")</f>
        <v>unsafe merchant transaction</v>
      </c>
    </row>
    <row r="2077" spans="1:18">
      <c r="A2077" t="s">
        <v>310</v>
      </c>
      <c r="B2077" t="s">
        <v>306</v>
      </c>
      <c r="C2077">
        <v>1</v>
      </c>
      <c r="D2077" t="s">
        <v>15</v>
      </c>
      <c r="E2077" t="s">
        <v>5</v>
      </c>
      <c r="F2077" s="2">
        <v>45845.226388888899</v>
      </c>
      <c r="G2077">
        <v>6899.8</v>
      </c>
      <c r="H2077" s="1">
        <f>AVERAGEIF(Table1[Customer_ID], Table1[[#This Row],[Customer_ID]], Table1[Transaction_Amount])</f>
        <v>4876.7728571428579</v>
      </c>
      <c r="I2077" t="s">
        <v>311</v>
      </c>
      <c r="J2077" t="s">
        <v>50</v>
      </c>
      <c r="K2077" t="s">
        <v>12</v>
      </c>
      <c r="L2077">
        <v>0</v>
      </c>
      <c r="M2077" t="s">
        <v>308</v>
      </c>
      <c r="N2077" t="s">
        <v>312</v>
      </c>
      <c r="O2077" t="s">
        <v>392</v>
      </c>
      <c r="P2077" t="str">
        <f>IF(Table1[[#This Row],[Transaction_Amount]]&lt;=Table1[[#This Row],[avg_transaction_amount]], "usual transaction", "unusual transaction")</f>
        <v>unusual transaction</v>
      </c>
      <c r="Q2077" t="str">
        <f>IF(AND(Table1[[#This Row],[Country_of_Residence]]&lt;&gt;Table1[[#This Row],[Country_of_Transaction]], OR(Table1[[#This Row],[Authentication_Type]]="Biometric", Table1[[#This Row],[Authentication_Type]]="OTP")), "safe location transaction", "unsafe location transaction")</f>
        <v>unsafe location transaction</v>
      </c>
      <c r="R2077" t="str">
        <f>IF(AND(Table1[[#This Row],[Country_of_Residence]]&lt;&gt;Table1[[#This Row],[Country_of_Transaction]], OR(Table1[[#This Row],[Merchant_Category]]="Electronics", Table1[[#This Row],[Merchant_Category]]="Travel")), "unsafe merchant transaction", "safe merchant transaction")</f>
        <v>unsafe merchant transaction</v>
      </c>
    </row>
    <row r="2078" spans="1:18">
      <c r="A2078" t="s">
        <v>2819</v>
      </c>
      <c r="B2078" t="s">
        <v>306</v>
      </c>
      <c r="C2078">
        <v>1</v>
      </c>
      <c r="D2078" t="s">
        <v>15</v>
      </c>
      <c r="E2078" t="s">
        <v>3</v>
      </c>
      <c r="F2078" s="2">
        <v>45943</v>
      </c>
      <c r="G2078">
        <v>9493.7999999999993</v>
      </c>
      <c r="H2078" s="1">
        <f>AVERAGEIF(Table1[Customer_ID], Table1[[#This Row],[Customer_ID]], Table1[Transaction_Amount])</f>
        <v>4876.7728571428579</v>
      </c>
      <c r="I2078" t="s">
        <v>470</v>
      </c>
      <c r="J2078" t="s">
        <v>41</v>
      </c>
      <c r="K2078" t="s">
        <v>8</v>
      </c>
      <c r="L2078">
        <v>3</v>
      </c>
      <c r="M2078" t="s">
        <v>47</v>
      </c>
      <c r="N2078" t="s">
        <v>37</v>
      </c>
      <c r="O2078" t="s">
        <v>393</v>
      </c>
      <c r="P2078" s="6" t="str">
        <f>IF(Table1[[#This Row],[Transaction_Amount]]&lt;=Table1[[#This Row],[avg_transaction_amount]], "usual transaction", "unusual transaction")</f>
        <v>unusual transaction</v>
      </c>
      <c r="Q2078" s="6" t="str">
        <f>IF(AND(Table1[[#This Row],[Country_of_Residence]]&lt;&gt;Table1[[#This Row],[Country_of_Transaction]], OR(Table1[[#This Row],[Authentication_Type]]="Biometric", Table1[[#This Row],[Authentication_Type]]="OTP")), "safe location transaction", "unsafe location transaction")</f>
        <v>safe location transaction</v>
      </c>
      <c r="R2078" s="6" t="str">
        <f>IF(AND(Table1[[#This Row],[Country_of_Residence]]&lt;&gt;Table1[[#This Row],[Country_of_Transaction]], OR(Table1[[#This Row],[Merchant_Category]]="Electronics", Table1[[#This Row],[Merchant_Category]]="Travel")), "unsafe merchant transaction", "safe merchant transaction")</f>
        <v>safe merchant transaction</v>
      </c>
    </row>
    <row r="2079" spans="1:18">
      <c r="A2079" t="s">
        <v>2856</v>
      </c>
      <c r="B2079" t="s">
        <v>306</v>
      </c>
      <c r="C2079">
        <v>1</v>
      </c>
      <c r="D2079" t="s">
        <v>15</v>
      </c>
      <c r="E2079" t="s">
        <v>5</v>
      </c>
      <c r="F2079" s="2">
        <v>45672</v>
      </c>
      <c r="G2079">
        <v>2300.2800000000002</v>
      </c>
      <c r="H2079" s="1">
        <f>AVERAGEIF(Table1[Customer_ID], Table1[[#This Row],[Customer_ID]], Table1[Transaction_Amount])</f>
        <v>4876.7728571428579</v>
      </c>
      <c r="I2079" t="s">
        <v>508</v>
      </c>
      <c r="J2079" t="s">
        <v>50</v>
      </c>
      <c r="K2079" t="s">
        <v>14</v>
      </c>
      <c r="L2079">
        <v>2</v>
      </c>
      <c r="M2079" t="s">
        <v>412</v>
      </c>
      <c r="N2079" t="s">
        <v>42</v>
      </c>
      <c r="O2079" t="s">
        <v>392</v>
      </c>
      <c r="P2079" s="6" t="str">
        <f>IF(Table1[[#This Row],[Transaction_Amount]]&lt;=Table1[[#This Row],[avg_transaction_amount]], "usual transaction", "unusual transaction")</f>
        <v>usual transaction</v>
      </c>
      <c r="Q2079" s="6" t="str">
        <f>IF(AND(Table1[[#This Row],[Country_of_Residence]]&lt;&gt;Table1[[#This Row],[Country_of_Transaction]], OR(Table1[[#This Row],[Authentication_Type]]="Biometric", Table1[[#This Row],[Authentication_Type]]="OTP")), "safe location transaction", "unsafe location transaction")</f>
        <v>unsafe location transaction</v>
      </c>
      <c r="R2079" s="6" t="str">
        <f>IF(AND(Table1[[#This Row],[Country_of_Residence]]&lt;&gt;Table1[[#This Row],[Country_of_Transaction]], OR(Table1[[#This Row],[Merchant_Category]]="Electronics", Table1[[#This Row],[Merchant_Category]]="Travel")), "unsafe merchant transaction", "safe merchant transaction")</f>
        <v>unsafe merchant transaction</v>
      </c>
    </row>
    <row r="2080" spans="1:18">
      <c r="A2080" t="s">
        <v>2857</v>
      </c>
      <c r="B2080" t="s">
        <v>306</v>
      </c>
      <c r="C2080">
        <v>1</v>
      </c>
      <c r="D2080" t="s">
        <v>15</v>
      </c>
      <c r="E2080" t="s">
        <v>3</v>
      </c>
      <c r="F2080" s="2">
        <v>45929</v>
      </c>
      <c r="G2080">
        <v>6590.58</v>
      </c>
      <c r="H2080" s="1">
        <f>AVERAGEIF(Table1[Customer_ID], Table1[[#This Row],[Customer_ID]], Table1[Transaction_Amount])</f>
        <v>4876.7728571428579</v>
      </c>
      <c r="I2080" t="s">
        <v>509</v>
      </c>
      <c r="J2080" t="s">
        <v>36</v>
      </c>
      <c r="K2080" t="s">
        <v>8</v>
      </c>
      <c r="L2080">
        <v>2</v>
      </c>
      <c r="M2080" t="s">
        <v>42</v>
      </c>
      <c r="N2080" t="s">
        <v>51</v>
      </c>
      <c r="O2080" t="s">
        <v>393</v>
      </c>
      <c r="P2080" s="6" t="str">
        <f>IF(Table1[[#This Row],[Transaction_Amount]]&lt;=Table1[[#This Row],[avg_transaction_amount]], "usual transaction", "unusual transaction")</f>
        <v>unusual transaction</v>
      </c>
      <c r="Q2080" s="6" t="str">
        <f>IF(AND(Table1[[#This Row],[Country_of_Residence]]&lt;&gt;Table1[[#This Row],[Country_of_Transaction]], OR(Table1[[#This Row],[Authentication_Type]]="Biometric", Table1[[#This Row],[Authentication_Type]]="OTP")), "safe location transaction", "unsafe location transaction")</f>
        <v>safe location transaction</v>
      </c>
      <c r="R2080" s="6" t="str">
        <f>IF(AND(Table1[[#This Row],[Country_of_Residence]]&lt;&gt;Table1[[#This Row],[Country_of_Transaction]], OR(Table1[[#This Row],[Merchant_Category]]="Electronics", Table1[[#This Row],[Merchant_Category]]="Travel")), "unsafe merchant transaction", "safe merchant transaction")</f>
        <v>safe merchant transaction</v>
      </c>
    </row>
    <row r="2081" spans="1:18">
      <c r="A2081" t="s">
        <v>2862</v>
      </c>
      <c r="B2081" t="s">
        <v>306</v>
      </c>
      <c r="C2081">
        <v>1</v>
      </c>
      <c r="D2081" t="s">
        <v>9</v>
      </c>
      <c r="E2081" t="s">
        <v>3</v>
      </c>
      <c r="F2081" s="2">
        <v>45865</v>
      </c>
      <c r="G2081">
        <v>4074.01</v>
      </c>
      <c r="H2081" s="1">
        <f>AVERAGEIF(Table1[Customer_ID], Table1[[#This Row],[Customer_ID]], Table1[Transaction_Amount])</f>
        <v>4876.7728571428579</v>
      </c>
      <c r="I2081" t="s">
        <v>514</v>
      </c>
      <c r="J2081" t="s">
        <v>46</v>
      </c>
      <c r="K2081" t="s">
        <v>8</v>
      </c>
      <c r="L2081">
        <v>5</v>
      </c>
      <c r="M2081" t="s">
        <v>51</v>
      </c>
      <c r="N2081" t="s">
        <v>32</v>
      </c>
      <c r="O2081" t="s">
        <v>393</v>
      </c>
      <c r="P2081" s="6" t="str">
        <f>IF(Table1[[#This Row],[Transaction_Amount]]&lt;=Table1[[#This Row],[avg_transaction_amount]], "usual transaction", "unusual transaction")</f>
        <v>usual transaction</v>
      </c>
      <c r="Q2081" s="6" t="str">
        <f>IF(AND(Table1[[#This Row],[Country_of_Residence]]&lt;&gt;Table1[[#This Row],[Country_of_Transaction]], OR(Table1[[#This Row],[Authentication_Type]]="Biometric", Table1[[#This Row],[Authentication_Type]]="OTP")), "safe location transaction", "unsafe location transaction")</f>
        <v>safe location transaction</v>
      </c>
      <c r="R2081" s="6" t="str">
        <f>IF(AND(Table1[[#This Row],[Country_of_Residence]]&lt;&gt;Table1[[#This Row],[Country_of_Transaction]], OR(Table1[[#This Row],[Merchant_Category]]="Electronics", Table1[[#This Row],[Merchant_Category]]="Travel")), "unsafe merchant transaction", "safe merchant transaction")</f>
        <v>safe merchant transaction</v>
      </c>
    </row>
    <row r="2082" spans="1:18">
      <c r="A2082" t="s">
        <v>2966</v>
      </c>
      <c r="B2082" t="s">
        <v>306</v>
      </c>
      <c r="C2082">
        <v>1</v>
      </c>
      <c r="D2082" t="s">
        <v>9</v>
      </c>
      <c r="E2082" t="s">
        <v>3</v>
      </c>
      <c r="F2082" s="2">
        <v>45883</v>
      </c>
      <c r="G2082">
        <v>1186.3599999999999</v>
      </c>
      <c r="H2082" s="1">
        <f>AVERAGEIF(Table1[Customer_ID], Table1[[#This Row],[Customer_ID]], Table1[Transaction_Amount])</f>
        <v>4876.7728571428579</v>
      </c>
      <c r="I2082" t="s">
        <v>614</v>
      </c>
      <c r="J2082" t="s">
        <v>36</v>
      </c>
      <c r="K2082" t="s">
        <v>10</v>
      </c>
      <c r="L2082">
        <v>5</v>
      </c>
      <c r="M2082" t="s">
        <v>55</v>
      </c>
      <c r="N2082" t="s">
        <v>37</v>
      </c>
      <c r="O2082" t="s">
        <v>392</v>
      </c>
      <c r="P2082" s="6" t="str">
        <f>IF(Table1[[#This Row],[Transaction_Amount]]&lt;=Table1[[#This Row],[avg_transaction_amount]], "usual transaction", "unusual transaction")</f>
        <v>usual transaction</v>
      </c>
      <c r="Q2082" s="6" t="str">
        <f>IF(AND(Table1[[#This Row],[Country_of_Residence]]&lt;&gt;Table1[[#This Row],[Country_of_Transaction]], OR(Table1[[#This Row],[Authentication_Type]]="Biometric", Table1[[#This Row],[Authentication_Type]]="OTP")), "safe location transaction", "unsafe location transaction")</f>
        <v>safe location transaction</v>
      </c>
      <c r="R2082" s="6" t="str">
        <f>IF(AND(Table1[[#This Row],[Country_of_Residence]]&lt;&gt;Table1[[#This Row],[Country_of_Transaction]], OR(Table1[[#This Row],[Merchant_Category]]="Electronics", Table1[[#This Row],[Merchant_Category]]="Travel")), "unsafe merchant transaction", "safe merchant transaction")</f>
        <v>safe merchant transaction</v>
      </c>
    </row>
    <row r="2083" spans="1:18">
      <c r="A2083" t="s">
        <v>3026</v>
      </c>
      <c r="B2083" t="s">
        <v>306</v>
      </c>
      <c r="C2083">
        <v>1</v>
      </c>
      <c r="D2083" t="s">
        <v>15</v>
      </c>
      <c r="E2083" t="s">
        <v>6</v>
      </c>
      <c r="F2083" s="2">
        <v>46004</v>
      </c>
      <c r="G2083">
        <v>7809.31</v>
      </c>
      <c r="H2083" s="1">
        <f>AVERAGEIF(Table1[Customer_ID], Table1[[#This Row],[Customer_ID]], Table1[Transaction_Amount])</f>
        <v>4876.7728571428579</v>
      </c>
      <c r="I2083" t="s">
        <v>673</v>
      </c>
      <c r="J2083" t="s">
        <v>36</v>
      </c>
      <c r="K2083" t="s">
        <v>10</v>
      </c>
      <c r="L2083">
        <v>5</v>
      </c>
      <c r="M2083" t="s">
        <v>412</v>
      </c>
      <c r="N2083" t="s">
        <v>47</v>
      </c>
      <c r="O2083" t="s">
        <v>392</v>
      </c>
      <c r="P2083" s="6" t="str">
        <f>IF(Table1[[#This Row],[Transaction_Amount]]&lt;=Table1[[#This Row],[avg_transaction_amount]], "usual transaction", "unusual transaction")</f>
        <v>unusual transaction</v>
      </c>
      <c r="Q2083" s="6" t="str">
        <f>IF(AND(Table1[[#This Row],[Country_of_Residence]]&lt;&gt;Table1[[#This Row],[Country_of_Transaction]], OR(Table1[[#This Row],[Authentication_Type]]="Biometric", Table1[[#This Row],[Authentication_Type]]="OTP")), "safe location transaction", "unsafe location transaction")</f>
        <v>safe location transaction</v>
      </c>
      <c r="R2083" s="6" t="str">
        <f>IF(AND(Table1[[#This Row],[Country_of_Residence]]&lt;&gt;Table1[[#This Row],[Country_of_Transaction]], OR(Table1[[#This Row],[Merchant_Category]]="Electronics", Table1[[#This Row],[Merchant_Category]]="Travel")), "unsafe merchant transaction", "safe merchant transaction")</f>
        <v>safe merchant transaction</v>
      </c>
    </row>
    <row r="2084" spans="1:18">
      <c r="A2084" t="s">
        <v>3044</v>
      </c>
      <c r="B2084" t="s">
        <v>306</v>
      </c>
      <c r="C2084">
        <v>1</v>
      </c>
      <c r="D2084" t="s">
        <v>15</v>
      </c>
      <c r="E2084" t="s">
        <v>3</v>
      </c>
      <c r="F2084" s="2">
        <v>45709</v>
      </c>
      <c r="G2084">
        <v>6706.77</v>
      </c>
      <c r="H2084" s="1">
        <f>AVERAGEIF(Table1[Customer_ID], Table1[[#This Row],[Customer_ID]], Table1[Transaction_Amount])</f>
        <v>4876.7728571428579</v>
      </c>
      <c r="I2084" t="s">
        <v>689</v>
      </c>
      <c r="J2084" t="s">
        <v>36</v>
      </c>
      <c r="K2084" t="s">
        <v>14</v>
      </c>
      <c r="L2084">
        <v>2</v>
      </c>
      <c r="M2084" t="s">
        <v>47</v>
      </c>
      <c r="N2084" t="s">
        <v>412</v>
      </c>
      <c r="O2084" t="s">
        <v>392</v>
      </c>
      <c r="P2084" s="6" t="str">
        <f>IF(Table1[[#This Row],[Transaction_Amount]]&lt;=Table1[[#This Row],[avg_transaction_amount]], "usual transaction", "unusual transaction")</f>
        <v>unusual transaction</v>
      </c>
      <c r="Q2084" s="6" t="str">
        <f>IF(AND(Table1[[#This Row],[Country_of_Residence]]&lt;&gt;Table1[[#This Row],[Country_of_Transaction]], OR(Table1[[#This Row],[Authentication_Type]]="Biometric", Table1[[#This Row],[Authentication_Type]]="OTP")), "safe location transaction", "unsafe location transaction")</f>
        <v>unsafe location transaction</v>
      </c>
      <c r="R2084" s="6" t="str">
        <f>IF(AND(Table1[[#This Row],[Country_of_Residence]]&lt;&gt;Table1[[#This Row],[Country_of_Transaction]], OR(Table1[[#This Row],[Merchant_Category]]="Electronics", Table1[[#This Row],[Merchant_Category]]="Travel")), "unsafe merchant transaction", "safe merchant transaction")</f>
        <v>safe merchant transaction</v>
      </c>
    </row>
    <row r="2085" spans="1:18">
      <c r="A2085" t="s">
        <v>3100</v>
      </c>
      <c r="B2085" t="s">
        <v>306</v>
      </c>
      <c r="C2085">
        <v>1</v>
      </c>
      <c r="D2085" t="s">
        <v>15</v>
      </c>
      <c r="E2085" t="s">
        <v>3</v>
      </c>
      <c r="F2085" s="2">
        <v>45915</v>
      </c>
      <c r="G2085">
        <v>96.28</v>
      </c>
      <c r="H2085" s="1">
        <f>AVERAGEIF(Table1[Customer_ID], Table1[[#This Row],[Customer_ID]], Table1[Transaction_Amount])</f>
        <v>4876.7728571428579</v>
      </c>
      <c r="I2085" t="s">
        <v>744</v>
      </c>
      <c r="J2085" t="s">
        <v>31</v>
      </c>
      <c r="K2085" t="s">
        <v>14</v>
      </c>
      <c r="L2085">
        <v>4</v>
      </c>
      <c r="M2085" t="s">
        <v>37</v>
      </c>
      <c r="N2085" t="s">
        <v>47</v>
      </c>
      <c r="O2085" t="s">
        <v>393</v>
      </c>
      <c r="P2085" s="6" t="str">
        <f>IF(Table1[[#This Row],[Transaction_Amount]]&lt;=Table1[[#This Row],[avg_transaction_amount]], "usual transaction", "unusual transaction")</f>
        <v>usual transaction</v>
      </c>
      <c r="Q2085" s="6" t="str">
        <f>IF(AND(Table1[[#This Row],[Country_of_Residence]]&lt;&gt;Table1[[#This Row],[Country_of_Transaction]], OR(Table1[[#This Row],[Authentication_Type]]="Biometric", Table1[[#This Row],[Authentication_Type]]="OTP")), "safe location transaction", "unsafe location transaction")</f>
        <v>unsafe location transaction</v>
      </c>
      <c r="R2085" s="6" t="str">
        <f>IF(AND(Table1[[#This Row],[Country_of_Residence]]&lt;&gt;Table1[[#This Row],[Country_of_Transaction]], OR(Table1[[#This Row],[Merchant_Category]]="Electronics", Table1[[#This Row],[Merchant_Category]]="Travel")), "unsafe merchant transaction", "safe merchant transaction")</f>
        <v>safe merchant transaction</v>
      </c>
    </row>
    <row r="2086" spans="1:18">
      <c r="A2086" t="s">
        <v>3101</v>
      </c>
      <c r="B2086" t="s">
        <v>306</v>
      </c>
      <c r="C2086">
        <v>1</v>
      </c>
      <c r="D2086" t="s">
        <v>9</v>
      </c>
      <c r="E2086" t="s">
        <v>420</v>
      </c>
      <c r="F2086" s="2">
        <v>46006</v>
      </c>
      <c r="G2086">
        <v>4862.12</v>
      </c>
      <c r="H2086" s="1">
        <f>AVERAGEIF(Table1[Customer_ID], Table1[[#This Row],[Customer_ID]], Table1[Transaction_Amount])</f>
        <v>4876.7728571428579</v>
      </c>
      <c r="I2086" t="s">
        <v>745</v>
      </c>
      <c r="J2086" t="s">
        <v>36</v>
      </c>
      <c r="K2086" t="s">
        <v>10</v>
      </c>
      <c r="L2086">
        <v>2</v>
      </c>
      <c r="M2086" t="s">
        <v>32</v>
      </c>
      <c r="N2086" t="s">
        <v>56</v>
      </c>
      <c r="O2086" t="s">
        <v>392</v>
      </c>
      <c r="P2086" s="6" t="str">
        <f>IF(Table1[[#This Row],[Transaction_Amount]]&lt;=Table1[[#This Row],[avg_transaction_amount]], "usual transaction", "unusual transaction")</f>
        <v>usual transaction</v>
      </c>
      <c r="Q2086" s="6" t="str">
        <f>IF(AND(Table1[[#This Row],[Country_of_Residence]]&lt;&gt;Table1[[#This Row],[Country_of_Transaction]], OR(Table1[[#This Row],[Authentication_Type]]="Biometric", Table1[[#This Row],[Authentication_Type]]="OTP")), "safe location transaction", "unsafe location transaction")</f>
        <v>safe location transaction</v>
      </c>
      <c r="R2086" s="6" t="str">
        <f>IF(AND(Table1[[#This Row],[Country_of_Residence]]&lt;&gt;Table1[[#This Row],[Country_of_Transaction]], OR(Table1[[#This Row],[Merchant_Category]]="Electronics", Table1[[#This Row],[Merchant_Category]]="Travel")), "unsafe merchant transaction", "safe merchant transaction")</f>
        <v>safe merchant transaction</v>
      </c>
    </row>
    <row r="2087" spans="1:18">
      <c r="A2087" t="s">
        <v>3137</v>
      </c>
      <c r="B2087" t="s">
        <v>306</v>
      </c>
      <c r="C2087">
        <v>1</v>
      </c>
      <c r="D2087" t="s">
        <v>9</v>
      </c>
      <c r="E2087" t="s">
        <v>3</v>
      </c>
      <c r="F2087" s="2">
        <v>45984</v>
      </c>
      <c r="G2087">
        <v>6271.98</v>
      </c>
      <c r="H2087" s="1">
        <f>AVERAGEIF(Table1[Customer_ID], Table1[[#This Row],[Customer_ID]], Table1[Transaction_Amount])</f>
        <v>4876.7728571428579</v>
      </c>
      <c r="I2087" t="s">
        <v>777</v>
      </c>
      <c r="J2087" t="s">
        <v>36</v>
      </c>
      <c r="K2087" t="s">
        <v>8</v>
      </c>
      <c r="L2087">
        <v>0</v>
      </c>
      <c r="M2087" t="s">
        <v>42</v>
      </c>
      <c r="N2087" t="s">
        <v>42</v>
      </c>
      <c r="O2087" t="s">
        <v>393</v>
      </c>
      <c r="P2087" s="6" t="str">
        <f>IF(Table1[[#This Row],[Transaction_Amount]]&lt;=Table1[[#This Row],[avg_transaction_amount]], "usual transaction", "unusual transaction")</f>
        <v>unusual transaction</v>
      </c>
      <c r="Q2087" s="6" t="str">
        <f>IF(AND(Table1[[#This Row],[Country_of_Residence]]&lt;&gt;Table1[[#This Row],[Country_of_Transaction]], OR(Table1[[#This Row],[Authentication_Type]]="Biometric", Table1[[#This Row],[Authentication_Type]]="OTP")), "safe location transaction", "unsafe location transaction")</f>
        <v>unsafe location transaction</v>
      </c>
      <c r="R2087" s="6" t="str">
        <f>IF(AND(Table1[[#This Row],[Country_of_Residence]]&lt;&gt;Table1[[#This Row],[Country_of_Transaction]], OR(Table1[[#This Row],[Merchant_Category]]="Electronics", Table1[[#This Row],[Merchant_Category]]="Travel")), "unsafe merchant transaction", "safe merchant transaction")</f>
        <v>safe merchant transaction</v>
      </c>
    </row>
    <row r="2088" spans="1:18">
      <c r="A2088" t="s">
        <v>3139</v>
      </c>
      <c r="B2088" t="s">
        <v>306</v>
      </c>
      <c r="C2088">
        <v>1</v>
      </c>
      <c r="D2088" t="s">
        <v>9</v>
      </c>
      <c r="E2088" t="s">
        <v>5</v>
      </c>
      <c r="F2088" s="2">
        <v>45889</v>
      </c>
      <c r="G2088">
        <v>5478.98</v>
      </c>
      <c r="H2088" s="1">
        <f>AVERAGEIF(Table1[Customer_ID], Table1[[#This Row],[Customer_ID]], Table1[Transaction_Amount])</f>
        <v>4876.7728571428579</v>
      </c>
      <c r="I2088" t="s">
        <v>779</v>
      </c>
      <c r="J2088" t="s">
        <v>31</v>
      </c>
      <c r="K2088" t="s">
        <v>10</v>
      </c>
      <c r="L2088">
        <v>2</v>
      </c>
      <c r="M2088" t="s">
        <v>412</v>
      </c>
      <c r="N2088" t="s">
        <v>33</v>
      </c>
      <c r="O2088" t="s">
        <v>392</v>
      </c>
      <c r="P2088" s="6" t="str">
        <f>IF(Table1[[#This Row],[Transaction_Amount]]&lt;=Table1[[#This Row],[avg_transaction_amount]], "usual transaction", "unusual transaction")</f>
        <v>unusual transaction</v>
      </c>
      <c r="Q2088" s="6" t="str">
        <f>IF(AND(Table1[[#This Row],[Country_of_Residence]]&lt;&gt;Table1[[#This Row],[Country_of_Transaction]], OR(Table1[[#This Row],[Authentication_Type]]="Biometric", Table1[[#This Row],[Authentication_Type]]="OTP")), "safe location transaction", "unsafe location transaction")</f>
        <v>safe location transaction</v>
      </c>
      <c r="R2088" s="6" t="str">
        <f>IF(AND(Table1[[#This Row],[Country_of_Residence]]&lt;&gt;Table1[[#This Row],[Country_of_Transaction]], OR(Table1[[#This Row],[Merchant_Category]]="Electronics", Table1[[#This Row],[Merchant_Category]]="Travel")), "unsafe merchant transaction", "safe merchant transaction")</f>
        <v>safe merchant transaction</v>
      </c>
    </row>
    <row r="2089" spans="1:18">
      <c r="A2089" t="s">
        <v>3277</v>
      </c>
      <c r="B2089" t="s">
        <v>306</v>
      </c>
      <c r="C2089">
        <v>1</v>
      </c>
      <c r="D2089" t="s">
        <v>15</v>
      </c>
      <c r="E2089" t="s">
        <v>5</v>
      </c>
      <c r="F2089" s="2">
        <v>45912</v>
      </c>
      <c r="G2089">
        <v>1022.37</v>
      </c>
      <c r="H2089" s="1">
        <f>AVERAGEIF(Table1[Customer_ID], Table1[[#This Row],[Customer_ID]], Table1[Transaction_Amount])</f>
        <v>4876.7728571428579</v>
      </c>
      <c r="I2089" t="s">
        <v>905</v>
      </c>
      <c r="J2089" t="s">
        <v>46</v>
      </c>
      <c r="K2089" t="s">
        <v>14</v>
      </c>
      <c r="L2089">
        <v>2</v>
      </c>
      <c r="M2089" t="s">
        <v>56</v>
      </c>
      <c r="N2089" t="s">
        <v>55</v>
      </c>
      <c r="O2089" t="s">
        <v>393</v>
      </c>
      <c r="P2089" s="6" t="str">
        <f>IF(Table1[[#This Row],[Transaction_Amount]]&lt;=Table1[[#This Row],[avg_transaction_amount]], "usual transaction", "unusual transaction")</f>
        <v>usual transaction</v>
      </c>
      <c r="Q2089" s="6" t="str">
        <f>IF(AND(Table1[[#This Row],[Country_of_Residence]]&lt;&gt;Table1[[#This Row],[Country_of_Transaction]], OR(Table1[[#This Row],[Authentication_Type]]="Biometric", Table1[[#This Row],[Authentication_Type]]="OTP")), "safe location transaction", "unsafe location transaction")</f>
        <v>unsafe location transaction</v>
      </c>
      <c r="R2089" s="6" t="str">
        <f>IF(AND(Table1[[#This Row],[Country_of_Residence]]&lt;&gt;Table1[[#This Row],[Country_of_Transaction]], OR(Table1[[#This Row],[Merchant_Category]]="Electronics", Table1[[#This Row],[Merchant_Category]]="Travel")), "unsafe merchant transaction", "safe merchant transaction")</f>
        <v>safe merchant transaction</v>
      </c>
    </row>
    <row r="2090" spans="1:18">
      <c r="A2090" t="s">
        <v>3281</v>
      </c>
      <c r="B2090" t="s">
        <v>306</v>
      </c>
      <c r="C2090">
        <v>1</v>
      </c>
      <c r="D2090" t="s">
        <v>15</v>
      </c>
      <c r="E2090" t="s">
        <v>5</v>
      </c>
      <c r="F2090" s="2">
        <v>45894</v>
      </c>
      <c r="G2090">
        <v>7279.82</v>
      </c>
      <c r="H2090" s="1">
        <f>AVERAGEIF(Table1[Customer_ID], Table1[[#This Row],[Customer_ID]], Table1[Transaction_Amount])</f>
        <v>4876.7728571428579</v>
      </c>
      <c r="I2090" t="s">
        <v>909</v>
      </c>
      <c r="J2090" t="s">
        <v>46</v>
      </c>
      <c r="K2090" t="s">
        <v>14</v>
      </c>
      <c r="L2090">
        <v>3</v>
      </c>
      <c r="M2090" t="s">
        <v>56</v>
      </c>
      <c r="N2090" t="s">
        <v>51</v>
      </c>
      <c r="O2090" t="s">
        <v>392</v>
      </c>
      <c r="P2090" s="6" t="str">
        <f>IF(Table1[[#This Row],[Transaction_Amount]]&lt;=Table1[[#This Row],[avg_transaction_amount]], "usual transaction", "unusual transaction")</f>
        <v>unusual transaction</v>
      </c>
      <c r="Q2090" s="6" t="str">
        <f>IF(AND(Table1[[#This Row],[Country_of_Residence]]&lt;&gt;Table1[[#This Row],[Country_of_Transaction]], OR(Table1[[#This Row],[Authentication_Type]]="Biometric", Table1[[#This Row],[Authentication_Type]]="OTP")), "safe location transaction", "unsafe location transaction")</f>
        <v>unsafe location transaction</v>
      </c>
      <c r="R2090" s="6" t="str">
        <f>IF(AND(Table1[[#This Row],[Country_of_Residence]]&lt;&gt;Table1[[#This Row],[Country_of_Transaction]], OR(Table1[[#This Row],[Merchant_Category]]="Electronics", Table1[[#This Row],[Merchant_Category]]="Travel")), "unsafe merchant transaction", "safe merchant transaction")</f>
        <v>safe merchant transaction</v>
      </c>
    </row>
    <row r="2091" spans="1:18">
      <c r="A2091" t="s">
        <v>3393</v>
      </c>
      <c r="B2091" t="s">
        <v>306</v>
      </c>
      <c r="C2091">
        <v>1</v>
      </c>
      <c r="D2091" t="s">
        <v>9</v>
      </c>
      <c r="E2091" t="s">
        <v>5</v>
      </c>
      <c r="F2091" s="2">
        <v>46016</v>
      </c>
      <c r="G2091">
        <v>438.89</v>
      </c>
      <c r="H2091" s="1">
        <f>AVERAGEIF(Table1[Customer_ID], Table1[[#This Row],[Customer_ID]], Table1[Transaction_Amount])</f>
        <v>4876.7728571428579</v>
      </c>
      <c r="I2091" t="s">
        <v>1014</v>
      </c>
      <c r="J2091" t="s">
        <v>36</v>
      </c>
      <c r="K2091" t="s">
        <v>12</v>
      </c>
      <c r="L2091">
        <v>3</v>
      </c>
      <c r="M2091" t="s">
        <v>55</v>
      </c>
      <c r="N2091" t="s">
        <v>42</v>
      </c>
      <c r="O2091" t="s">
        <v>393</v>
      </c>
      <c r="P2091" s="6" t="str">
        <f>IF(Table1[[#This Row],[Transaction_Amount]]&lt;=Table1[[#This Row],[avg_transaction_amount]], "usual transaction", "unusual transaction")</f>
        <v>usual transaction</v>
      </c>
      <c r="Q2091" s="6" t="str">
        <f>IF(AND(Table1[[#This Row],[Country_of_Residence]]&lt;&gt;Table1[[#This Row],[Country_of_Transaction]], OR(Table1[[#This Row],[Authentication_Type]]="Biometric", Table1[[#This Row],[Authentication_Type]]="OTP")), "safe location transaction", "unsafe location transaction")</f>
        <v>unsafe location transaction</v>
      </c>
      <c r="R2091" s="6" t="str">
        <f>IF(AND(Table1[[#This Row],[Country_of_Residence]]&lt;&gt;Table1[[#This Row],[Country_of_Transaction]], OR(Table1[[#This Row],[Merchant_Category]]="Electronics", Table1[[#This Row],[Merchant_Category]]="Travel")), "unsafe merchant transaction", "safe merchant transaction")</f>
        <v>safe merchant transaction</v>
      </c>
    </row>
    <row r="2092" spans="1:18">
      <c r="A2092" t="s">
        <v>3754</v>
      </c>
      <c r="B2092" t="s">
        <v>306</v>
      </c>
      <c r="C2092">
        <v>1</v>
      </c>
      <c r="D2092" t="s">
        <v>9</v>
      </c>
      <c r="E2092" t="s">
        <v>3</v>
      </c>
      <c r="F2092" s="2">
        <v>45807</v>
      </c>
      <c r="G2092">
        <v>1848.34</v>
      </c>
      <c r="H2092" s="1">
        <f>AVERAGEIF(Table1[Customer_ID], Table1[[#This Row],[Customer_ID]], Table1[Transaction_Amount])</f>
        <v>4876.7728571428579</v>
      </c>
      <c r="I2092" t="s">
        <v>1345</v>
      </c>
      <c r="J2092" t="s">
        <v>36</v>
      </c>
      <c r="K2092" t="s">
        <v>14</v>
      </c>
      <c r="L2092">
        <v>2</v>
      </c>
      <c r="M2092" t="s">
        <v>51</v>
      </c>
      <c r="N2092" t="s">
        <v>51</v>
      </c>
      <c r="O2092" t="s">
        <v>392</v>
      </c>
      <c r="P2092" s="6" t="str">
        <f>IF(Table1[[#This Row],[Transaction_Amount]]&lt;=Table1[[#This Row],[avg_transaction_amount]], "usual transaction", "unusual transaction")</f>
        <v>usual transaction</v>
      </c>
      <c r="Q2092" s="6" t="str">
        <f>IF(AND(Table1[[#This Row],[Country_of_Residence]]&lt;&gt;Table1[[#This Row],[Country_of_Transaction]], OR(Table1[[#This Row],[Authentication_Type]]="Biometric", Table1[[#This Row],[Authentication_Type]]="OTP")), "safe location transaction", "unsafe location transaction")</f>
        <v>unsafe location transaction</v>
      </c>
      <c r="R2092" s="6" t="str">
        <f>IF(AND(Table1[[#This Row],[Country_of_Residence]]&lt;&gt;Table1[[#This Row],[Country_of_Transaction]], OR(Table1[[#This Row],[Merchant_Category]]="Electronics", Table1[[#This Row],[Merchant_Category]]="Travel")), "unsafe merchant transaction", "safe merchant transaction")</f>
        <v>safe merchant transaction</v>
      </c>
    </row>
    <row r="2093" spans="1:18">
      <c r="A2093" t="s">
        <v>3772</v>
      </c>
      <c r="B2093" t="s">
        <v>306</v>
      </c>
      <c r="C2093">
        <v>1</v>
      </c>
      <c r="D2093" t="s">
        <v>15</v>
      </c>
      <c r="E2093" t="s">
        <v>6</v>
      </c>
      <c r="F2093" s="2">
        <v>45885</v>
      </c>
      <c r="G2093">
        <v>1810.44</v>
      </c>
      <c r="H2093" s="1">
        <f>AVERAGEIF(Table1[Customer_ID], Table1[[#This Row],[Customer_ID]], Table1[Transaction_Amount])</f>
        <v>4876.7728571428579</v>
      </c>
      <c r="I2093" t="s">
        <v>1362</v>
      </c>
      <c r="J2093" t="s">
        <v>41</v>
      </c>
      <c r="K2093" t="s">
        <v>10</v>
      </c>
      <c r="L2093">
        <v>2</v>
      </c>
      <c r="M2093" t="s">
        <v>37</v>
      </c>
      <c r="N2093" t="s">
        <v>32</v>
      </c>
      <c r="O2093" t="s">
        <v>393</v>
      </c>
      <c r="P2093" s="6" t="str">
        <f>IF(Table1[[#This Row],[Transaction_Amount]]&lt;=Table1[[#This Row],[avg_transaction_amount]], "usual transaction", "unusual transaction")</f>
        <v>usual transaction</v>
      </c>
      <c r="Q2093" s="6" t="str">
        <f>IF(AND(Table1[[#This Row],[Country_of_Residence]]&lt;&gt;Table1[[#This Row],[Country_of_Transaction]], OR(Table1[[#This Row],[Authentication_Type]]="Biometric", Table1[[#This Row],[Authentication_Type]]="OTP")), "safe location transaction", "unsafe location transaction")</f>
        <v>safe location transaction</v>
      </c>
      <c r="R2093" s="6" t="str">
        <f>IF(AND(Table1[[#This Row],[Country_of_Residence]]&lt;&gt;Table1[[#This Row],[Country_of_Transaction]], OR(Table1[[#This Row],[Merchant_Category]]="Electronics", Table1[[#This Row],[Merchant_Category]]="Travel")), "unsafe merchant transaction", "safe merchant transaction")</f>
        <v>safe merchant transaction</v>
      </c>
    </row>
    <row r="2094" spans="1:18">
      <c r="A2094" t="s">
        <v>3780</v>
      </c>
      <c r="B2094" t="s">
        <v>306</v>
      </c>
      <c r="C2094">
        <v>1</v>
      </c>
      <c r="D2094" t="s">
        <v>9</v>
      </c>
      <c r="E2094" t="s">
        <v>6</v>
      </c>
      <c r="F2094" s="2">
        <v>46010</v>
      </c>
      <c r="G2094">
        <v>6422.19</v>
      </c>
      <c r="H2094" s="1">
        <f>AVERAGEIF(Table1[Customer_ID], Table1[[#This Row],[Customer_ID]], Table1[Transaction_Amount])</f>
        <v>4876.7728571428579</v>
      </c>
      <c r="I2094" t="s">
        <v>1368</v>
      </c>
      <c r="J2094" t="s">
        <v>31</v>
      </c>
      <c r="K2094" t="s">
        <v>12</v>
      </c>
      <c r="L2094">
        <v>5</v>
      </c>
      <c r="M2094" t="s">
        <v>51</v>
      </c>
      <c r="N2094" t="s">
        <v>42</v>
      </c>
      <c r="O2094" t="s">
        <v>393</v>
      </c>
      <c r="P2094" s="6" t="str">
        <f>IF(Table1[[#This Row],[Transaction_Amount]]&lt;=Table1[[#This Row],[avg_transaction_amount]], "usual transaction", "unusual transaction")</f>
        <v>unusual transaction</v>
      </c>
      <c r="Q2094" s="6" t="str">
        <f>IF(AND(Table1[[#This Row],[Country_of_Residence]]&lt;&gt;Table1[[#This Row],[Country_of_Transaction]], OR(Table1[[#This Row],[Authentication_Type]]="Biometric", Table1[[#This Row],[Authentication_Type]]="OTP")), "safe location transaction", "unsafe location transaction")</f>
        <v>unsafe location transaction</v>
      </c>
      <c r="R2094" s="6" t="str">
        <f>IF(AND(Table1[[#This Row],[Country_of_Residence]]&lt;&gt;Table1[[#This Row],[Country_of_Transaction]], OR(Table1[[#This Row],[Merchant_Category]]="Electronics", Table1[[#This Row],[Merchant_Category]]="Travel")), "unsafe merchant transaction", "safe merchant transaction")</f>
        <v>safe merchant transaction</v>
      </c>
    </row>
    <row r="2095" spans="1:18">
      <c r="A2095" t="s">
        <v>3840</v>
      </c>
      <c r="B2095" t="s">
        <v>306</v>
      </c>
      <c r="C2095">
        <v>1</v>
      </c>
      <c r="D2095" t="s">
        <v>15</v>
      </c>
      <c r="E2095" t="s">
        <v>3</v>
      </c>
      <c r="F2095" s="2">
        <v>45816</v>
      </c>
      <c r="G2095">
        <v>8907.5499999999993</v>
      </c>
      <c r="H2095" s="1">
        <f>AVERAGEIF(Table1[Customer_ID], Table1[[#This Row],[Customer_ID]], Table1[Transaction_Amount])</f>
        <v>4876.7728571428579</v>
      </c>
      <c r="I2095" t="s">
        <v>1417</v>
      </c>
      <c r="J2095" t="s">
        <v>46</v>
      </c>
      <c r="K2095" t="s">
        <v>14</v>
      </c>
      <c r="L2095">
        <v>1</v>
      </c>
      <c r="M2095" t="s">
        <v>47</v>
      </c>
      <c r="N2095" t="s">
        <v>56</v>
      </c>
      <c r="O2095" t="s">
        <v>393</v>
      </c>
      <c r="P2095" s="6" t="str">
        <f>IF(Table1[[#This Row],[Transaction_Amount]]&lt;=Table1[[#This Row],[avg_transaction_amount]], "usual transaction", "unusual transaction")</f>
        <v>unusual transaction</v>
      </c>
      <c r="Q2095" s="6" t="str">
        <f>IF(AND(Table1[[#This Row],[Country_of_Residence]]&lt;&gt;Table1[[#This Row],[Country_of_Transaction]], OR(Table1[[#This Row],[Authentication_Type]]="Biometric", Table1[[#This Row],[Authentication_Type]]="OTP")), "safe location transaction", "unsafe location transaction")</f>
        <v>unsafe location transaction</v>
      </c>
      <c r="R2095" s="6" t="str">
        <f>IF(AND(Table1[[#This Row],[Country_of_Residence]]&lt;&gt;Table1[[#This Row],[Country_of_Transaction]], OR(Table1[[#This Row],[Merchant_Category]]="Electronics", Table1[[#This Row],[Merchant_Category]]="Travel")), "unsafe merchant transaction", "safe merchant transaction")</f>
        <v>safe merchant transaction</v>
      </c>
    </row>
    <row r="2096" spans="1:18">
      <c r="A2096" t="s">
        <v>3851</v>
      </c>
      <c r="B2096" t="s">
        <v>306</v>
      </c>
      <c r="C2096">
        <v>1</v>
      </c>
      <c r="D2096" t="s">
        <v>15</v>
      </c>
      <c r="E2096" t="s">
        <v>420</v>
      </c>
      <c r="F2096" s="2">
        <v>45699</v>
      </c>
      <c r="G2096">
        <v>1438.24</v>
      </c>
      <c r="H2096" s="1">
        <f>AVERAGEIF(Table1[Customer_ID], Table1[[#This Row],[Customer_ID]], Table1[Transaction_Amount])</f>
        <v>4876.7728571428579</v>
      </c>
      <c r="I2096" t="s">
        <v>1426</v>
      </c>
      <c r="J2096" t="s">
        <v>41</v>
      </c>
      <c r="K2096" t="s">
        <v>10</v>
      </c>
      <c r="L2096">
        <v>4</v>
      </c>
      <c r="M2096" t="s">
        <v>32</v>
      </c>
      <c r="N2096" t="s">
        <v>412</v>
      </c>
      <c r="O2096" t="s">
        <v>393</v>
      </c>
      <c r="P2096" s="6" t="str">
        <f>IF(Table1[[#This Row],[Transaction_Amount]]&lt;=Table1[[#This Row],[avg_transaction_amount]], "usual transaction", "unusual transaction")</f>
        <v>usual transaction</v>
      </c>
      <c r="Q2096" s="6" t="str">
        <f>IF(AND(Table1[[#This Row],[Country_of_Residence]]&lt;&gt;Table1[[#This Row],[Country_of_Transaction]], OR(Table1[[#This Row],[Authentication_Type]]="Biometric", Table1[[#This Row],[Authentication_Type]]="OTP")), "safe location transaction", "unsafe location transaction")</f>
        <v>safe location transaction</v>
      </c>
      <c r="R2096" s="6" t="str">
        <f>IF(AND(Table1[[#This Row],[Country_of_Residence]]&lt;&gt;Table1[[#This Row],[Country_of_Transaction]], OR(Table1[[#This Row],[Merchant_Category]]="Electronics", Table1[[#This Row],[Merchant_Category]]="Travel")), "unsafe merchant transaction", "safe merchant transaction")</f>
        <v>safe merchant transaction</v>
      </c>
    </row>
    <row r="2097" spans="1:18">
      <c r="A2097" t="s">
        <v>3944</v>
      </c>
      <c r="B2097" t="s">
        <v>306</v>
      </c>
      <c r="C2097">
        <v>1</v>
      </c>
      <c r="D2097" t="s">
        <v>15</v>
      </c>
      <c r="E2097" t="s">
        <v>6</v>
      </c>
      <c r="F2097" s="2">
        <v>45725</v>
      </c>
      <c r="G2097">
        <v>1884.36</v>
      </c>
      <c r="H2097" s="1">
        <f>AVERAGEIF(Table1[Customer_ID], Table1[[#This Row],[Customer_ID]], Table1[Transaction_Amount])</f>
        <v>4876.7728571428579</v>
      </c>
      <c r="I2097" t="s">
        <v>1508</v>
      </c>
      <c r="J2097" t="s">
        <v>46</v>
      </c>
      <c r="K2097" t="s">
        <v>12</v>
      </c>
      <c r="L2097">
        <v>5</v>
      </c>
      <c r="M2097" t="s">
        <v>412</v>
      </c>
      <c r="N2097" t="s">
        <v>32</v>
      </c>
      <c r="O2097" t="s">
        <v>393</v>
      </c>
      <c r="P2097" s="6" t="str">
        <f>IF(Table1[[#This Row],[Transaction_Amount]]&lt;=Table1[[#This Row],[avg_transaction_amount]], "usual transaction", "unusual transaction")</f>
        <v>usual transaction</v>
      </c>
      <c r="Q2097" s="6" t="str">
        <f>IF(AND(Table1[[#This Row],[Country_of_Residence]]&lt;&gt;Table1[[#This Row],[Country_of_Transaction]], OR(Table1[[#This Row],[Authentication_Type]]="Biometric", Table1[[#This Row],[Authentication_Type]]="OTP")), "safe location transaction", "unsafe location transaction")</f>
        <v>unsafe location transaction</v>
      </c>
      <c r="R2097" s="6" t="str">
        <f>IF(AND(Table1[[#This Row],[Country_of_Residence]]&lt;&gt;Table1[[#This Row],[Country_of_Transaction]], OR(Table1[[#This Row],[Merchant_Category]]="Electronics", Table1[[#This Row],[Merchant_Category]]="Travel")), "unsafe merchant transaction", "safe merchant transaction")</f>
        <v>safe merchant transaction</v>
      </c>
    </row>
    <row r="2098" spans="1:18">
      <c r="A2098" t="s">
        <v>3997</v>
      </c>
      <c r="B2098" t="s">
        <v>306</v>
      </c>
      <c r="C2098">
        <v>1</v>
      </c>
      <c r="D2098" t="s">
        <v>9</v>
      </c>
      <c r="E2098" t="s">
        <v>5</v>
      </c>
      <c r="F2098" s="2">
        <v>45951</v>
      </c>
      <c r="G2098">
        <v>5829.39</v>
      </c>
      <c r="H2098" s="1">
        <f>AVERAGEIF(Table1[Customer_ID], Table1[[#This Row],[Customer_ID]], Table1[Transaction_Amount])</f>
        <v>4876.7728571428579</v>
      </c>
      <c r="I2098" t="s">
        <v>1556</v>
      </c>
      <c r="J2098" t="s">
        <v>36</v>
      </c>
      <c r="K2098" t="s">
        <v>14</v>
      </c>
      <c r="L2098">
        <v>4</v>
      </c>
      <c r="M2098" t="s">
        <v>42</v>
      </c>
      <c r="N2098" t="s">
        <v>56</v>
      </c>
      <c r="O2098" t="s">
        <v>393</v>
      </c>
      <c r="P2098" s="6" t="str">
        <f>IF(Table1[[#This Row],[Transaction_Amount]]&lt;=Table1[[#This Row],[avg_transaction_amount]], "usual transaction", "unusual transaction")</f>
        <v>unusual transaction</v>
      </c>
      <c r="Q2098" s="6" t="str">
        <f>IF(AND(Table1[[#This Row],[Country_of_Residence]]&lt;&gt;Table1[[#This Row],[Country_of_Transaction]], OR(Table1[[#This Row],[Authentication_Type]]="Biometric", Table1[[#This Row],[Authentication_Type]]="OTP")), "safe location transaction", "unsafe location transaction")</f>
        <v>unsafe location transaction</v>
      </c>
      <c r="R2098" s="6" t="str">
        <f>IF(AND(Table1[[#This Row],[Country_of_Residence]]&lt;&gt;Table1[[#This Row],[Country_of_Transaction]], OR(Table1[[#This Row],[Merchant_Category]]="Electronics", Table1[[#This Row],[Merchant_Category]]="Travel")), "unsafe merchant transaction", "safe merchant transaction")</f>
        <v>safe merchant transaction</v>
      </c>
    </row>
    <row r="2099" spans="1:18">
      <c r="A2099" t="s">
        <v>4000</v>
      </c>
      <c r="B2099" t="s">
        <v>306</v>
      </c>
      <c r="C2099">
        <v>1</v>
      </c>
      <c r="D2099" t="s">
        <v>9</v>
      </c>
      <c r="E2099" t="s">
        <v>3</v>
      </c>
      <c r="F2099" s="2">
        <v>45943</v>
      </c>
      <c r="G2099">
        <v>5620.5</v>
      </c>
      <c r="H2099" s="1">
        <f>AVERAGEIF(Table1[Customer_ID], Table1[[#This Row],[Customer_ID]], Table1[Transaction_Amount])</f>
        <v>4876.7728571428579</v>
      </c>
      <c r="I2099" t="s">
        <v>1559</v>
      </c>
      <c r="J2099" t="s">
        <v>36</v>
      </c>
      <c r="K2099" t="s">
        <v>10</v>
      </c>
      <c r="L2099">
        <v>3</v>
      </c>
      <c r="M2099" t="s">
        <v>56</v>
      </c>
      <c r="N2099" t="s">
        <v>412</v>
      </c>
      <c r="O2099" t="s">
        <v>393</v>
      </c>
      <c r="P2099" s="6" t="str">
        <f>IF(Table1[[#This Row],[Transaction_Amount]]&lt;=Table1[[#This Row],[avg_transaction_amount]], "usual transaction", "unusual transaction")</f>
        <v>unusual transaction</v>
      </c>
      <c r="Q2099" s="6" t="str">
        <f>IF(AND(Table1[[#This Row],[Country_of_Residence]]&lt;&gt;Table1[[#This Row],[Country_of_Transaction]], OR(Table1[[#This Row],[Authentication_Type]]="Biometric", Table1[[#This Row],[Authentication_Type]]="OTP")), "safe location transaction", "unsafe location transaction")</f>
        <v>safe location transaction</v>
      </c>
      <c r="R2099" s="6" t="str">
        <f>IF(AND(Table1[[#This Row],[Country_of_Residence]]&lt;&gt;Table1[[#This Row],[Country_of_Transaction]], OR(Table1[[#This Row],[Merchant_Category]]="Electronics", Table1[[#This Row],[Merchant_Category]]="Travel")), "unsafe merchant transaction", "safe merchant transaction")</f>
        <v>safe merchant transaction</v>
      </c>
    </row>
    <row r="2100" spans="1:18">
      <c r="A2100" t="s">
        <v>4029</v>
      </c>
      <c r="B2100" t="s">
        <v>306</v>
      </c>
      <c r="C2100">
        <v>1</v>
      </c>
      <c r="D2100" t="s">
        <v>15</v>
      </c>
      <c r="E2100" t="s">
        <v>5</v>
      </c>
      <c r="F2100" s="2">
        <v>45935</v>
      </c>
      <c r="G2100">
        <v>431.24</v>
      </c>
      <c r="H2100" s="1">
        <f>AVERAGEIF(Table1[Customer_ID], Table1[[#This Row],[Customer_ID]], Table1[Transaction_Amount])</f>
        <v>4876.7728571428579</v>
      </c>
      <c r="I2100" t="s">
        <v>1585</v>
      </c>
      <c r="J2100" t="s">
        <v>50</v>
      </c>
      <c r="K2100" t="s">
        <v>14</v>
      </c>
      <c r="L2100">
        <v>2</v>
      </c>
      <c r="M2100" t="s">
        <v>42</v>
      </c>
      <c r="N2100" t="s">
        <v>33</v>
      </c>
      <c r="O2100" t="s">
        <v>393</v>
      </c>
      <c r="P2100" s="6" t="str">
        <f>IF(Table1[[#This Row],[Transaction_Amount]]&lt;=Table1[[#This Row],[avg_transaction_amount]], "usual transaction", "unusual transaction")</f>
        <v>usual transaction</v>
      </c>
      <c r="Q2100" s="6" t="str">
        <f>IF(AND(Table1[[#This Row],[Country_of_Residence]]&lt;&gt;Table1[[#This Row],[Country_of_Transaction]], OR(Table1[[#This Row],[Authentication_Type]]="Biometric", Table1[[#This Row],[Authentication_Type]]="OTP")), "safe location transaction", "unsafe location transaction")</f>
        <v>unsafe location transaction</v>
      </c>
      <c r="R2100" s="6" t="str">
        <f>IF(AND(Table1[[#This Row],[Country_of_Residence]]&lt;&gt;Table1[[#This Row],[Country_of_Transaction]], OR(Table1[[#This Row],[Merchant_Category]]="Electronics", Table1[[#This Row],[Merchant_Category]]="Travel")), "unsafe merchant transaction", "safe merchant transaction")</f>
        <v>unsafe merchant transaction</v>
      </c>
    </row>
    <row r="2101" spans="1:18">
      <c r="A2101" t="s">
        <v>4054</v>
      </c>
      <c r="B2101" t="s">
        <v>306</v>
      </c>
      <c r="C2101">
        <v>1</v>
      </c>
      <c r="D2101" t="s">
        <v>15</v>
      </c>
      <c r="E2101" t="s">
        <v>6</v>
      </c>
      <c r="F2101" s="2">
        <v>45886</v>
      </c>
      <c r="G2101">
        <v>8117.1</v>
      </c>
      <c r="H2101" s="1">
        <f>AVERAGEIF(Table1[Customer_ID], Table1[[#This Row],[Customer_ID]], Table1[Transaction_Amount])</f>
        <v>4876.7728571428579</v>
      </c>
      <c r="I2101" t="s">
        <v>1608</v>
      </c>
      <c r="J2101" t="s">
        <v>31</v>
      </c>
      <c r="K2101" t="s">
        <v>12</v>
      </c>
      <c r="L2101">
        <v>4</v>
      </c>
      <c r="M2101" t="s">
        <v>42</v>
      </c>
      <c r="N2101" t="s">
        <v>47</v>
      </c>
      <c r="O2101" t="s">
        <v>392</v>
      </c>
      <c r="P2101" s="6" t="str">
        <f>IF(Table1[[#This Row],[Transaction_Amount]]&lt;=Table1[[#This Row],[avg_transaction_amount]], "usual transaction", "unusual transaction")</f>
        <v>unusual transaction</v>
      </c>
      <c r="Q2101" s="6" t="str">
        <f>IF(AND(Table1[[#This Row],[Country_of_Residence]]&lt;&gt;Table1[[#This Row],[Country_of_Transaction]], OR(Table1[[#This Row],[Authentication_Type]]="Biometric", Table1[[#This Row],[Authentication_Type]]="OTP")), "safe location transaction", "unsafe location transaction")</f>
        <v>unsafe location transaction</v>
      </c>
      <c r="R2101" s="6" t="str">
        <f>IF(AND(Table1[[#This Row],[Country_of_Residence]]&lt;&gt;Table1[[#This Row],[Country_of_Transaction]], OR(Table1[[#This Row],[Merchant_Category]]="Electronics", Table1[[#This Row],[Merchant_Category]]="Travel")), "unsafe merchant transaction", "safe merchant transaction")</f>
        <v>safe merchant transaction</v>
      </c>
    </row>
    <row r="2102" spans="1:18">
      <c r="A2102" t="s">
        <v>4138</v>
      </c>
      <c r="B2102" t="s">
        <v>306</v>
      </c>
      <c r="C2102">
        <v>1</v>
      </c>
      <c r="D2102" t="s">
        <v>15</v>
      </c>
      <c r="E2102" t="s">
        <v>6</v>
      </c>
      <c r="F2102" s="2">
        <v>45669</v>
      </c>
      <c r="G2102">
        <v>4571.9799999999996</v>
      </c>
      <c r="H2102" s="1">
        <f>AVERAGEIF(Table1[Customer_ID], Table1[[#This Row],[Customer_ID]], Table1[Transaction_Amount])</f>
        <v>4876.7728571428579</v>
      </c>
      <c r="I2102" t="s">
        <v>617</v>
      </c>
      <c r="J2102" t="s">
        <v>36</v>
      </c>
      <c r="K2102" t="s">
        <v>14</v>
      </c>
      <c r="L2102">
        <v>3</v>
      </c>
      <c r="M2102" t="s">
        <v>33</v>
      </c>
      <c r="N2102" t="s">
        <v>33</v>
      </c>
      <c r="O2102" t="s">
        <v>392</v>
      </c>
      <c r="P2102" s="6" t="str">
        <f>IF(Table1[[#This Row],[Transaction_Amount]]&lt;=Table1[[#This Row],[avg_transaction_amount]], "usual transaction", "unusual transaction")</f>
        <v>usual transaction</v>
      </c>
      <c r="Q2102" s="6" t="str">
        <f>IF(AND(Table1[[#This Row],[Country_of_Residence]]&lt;&gt;Table1[[#This Row],[Country_of_Transaction]], OR(Table1[[#This Row],[Authentication_Type]]="Biometric", Table1[[#This Row],[Authentication_Type]]="OTP")), "safe location transaction", "unsafe location transaction")</f>
        <v>unsafe location transaction</v>
      </c>
      <c r="R2102" s="6" t="str">
        <f>IF(AND(Table1[[#This Row],[Country_of_Residence]]&lt;&gt;Table1[[#This Row],[Country_of_Transaction]], OR(Table1[[#This Row],[Merchant_Category]]="Electronics", Table1[[#This Row],[Merchant_Category]]="Travel")), "unsafe merchant transaction", "safe merchant transaction")</f>
        <v>safe merchant transaction</v>
      </c>
    </row>
    <row r="2103" spans="1:18">
      <c r="A2103" t="s">
        <v>4147</v>
      </c>
      <c r="B2103" t="s">
        <v>306</v>
      </c>
      <c r="C2103">
        <v>1</v>
      </c>
      <c r="D2103" t="s">
        <v>15</v>
      </c>
      <c r="E2103" t="s">
        <v>420</v>
      </c>
      <c r="F2103" s="2">
        <v>45713</v>
      </c>
      <c r="G2103">
        <v>3749.42</v>
      </c>
      <c r="H2103" s="1">
        <f>AVERAGEIF(Table1[Customer_ID], Table1[[#This Row],[Customer_ID]], Table1[Transaction_Amount])</f>
        <v>4876.7728571428579</v>
      </c>
      <c r="I2103" t="s">
        <v>1675</v>
      </c>
      <c r="J2103" t="s">
        <v>50</v>
      </c>
      <c r="K2103" t="s">
        <v>12</v>
      </c>
      <c r="L2103">
        <v>3</v>
      </c>
      <c r="M2103" t="s">
        <v>32</v>
      </c>
      <c r="N2103" t="s">
        <v>412</v>
      </c>
      <c r="O2103" t="s">
        <v>393</v>
      </c>
      <c r="P2103" s="6" t="str">
        <f>IF(Table1[[#This Row],[Transaction_Amount]]&lt;=Table1[[#This Row],[avg_transaction_amount]], "usual transaction", "unusual transaction")</f>
        <v>usual transaction</v>
      </c>
      <c r="Q2103" s="6" t="str">
        <f>IF(AND(Table1[[#This Row],[Country_of_Residence]]&lt;&gt;Table1[[#This Row],[Country_of_Transaction]], OR(Table1[[#This Row],[Authentication_Type]]="Biometric", Table1[[#This Row],[Authentication_Type]]="OTP")), "safe location transaction", "unsafe location transaction")</f>
        <v>unsafe location transaction</v>
      </c>
      <c r="R2103" s="6" t="str">
        <f>IF(AND(Table1[[#This Row],[Country_of_Residence]]&lt;&gt;Table1[[#This Row],[Country_of_Transaction]], OR(Table1[[#This Row],[Merchant_Category]]="Electronics", Table1[[#This Row],[Merchant_Category]]="Travel")), "unsafe merchant transaction", "safe merchant transaction")</f>
        <v>unsafe merchant transaction</v>
      </c>
    </row>
    <row r="2104" spans="1:18">
      <c r="A2104" t="s">
        <v>4150</v>
      </c>
      <c r="B2104" t="s">
        <v>306</v>
      </c>
      <c r="C2104">
        <v>1</v>
      </c>
      <c r="D2104" t="s">
        <v>15</v>
      </c>
      <c r="E2104" t="s">
        <v>420</v>
      </c>
      <c r="F2104" s="2">
        <v>45834</v>
      </c>
      <c r="G2104">
        <v>5242.93</v>
      </c>
      <c r="H2104" s="1">
        <f>AVERAGEIF(Table1[Customer_ID], Table1[[#This Row],[Customer_ID]], Table1[Transaction_Amount])</f>
        <v>4876.7728571428579</v>
      </c>
      <c r="I2104" t="s">
        <v>1678</v>
      </c>
      <c r="J2104" t="s">
        <v>50</v>
      </c>
      <c r="K2104" t="s">
        <v>8</v>
      </c>
      <c r="L2104">
        <v>0</v>
      </c>
      <c r="M2104" t="s">
        <v>56</v>
      </c>
      <c r="N2104" t="s">
        <v>32</v>
      </c>
      <c r="O2104" t="s">
        <v>392</v>
      </c>
      <c r="P2104" s="6" t="str">
        <f>IF(Table1[[#This Row],[Transaction_Amount]]&lt;=Table1[[#This Row],[avg_transaction_amount]], "usual transaction", "unusual transaction")</f>
        <v>unusual transaction</v>
      </c>
      <c r="Q2104" s="6" t="str">
        <f>IF(AND(Table1[[#This Row],[Country_of_Residence]]&lt;&gt;Table1[[#This Row],[Country_of_Transaction]], OR(Table1[[#This Row],[Authentication_Type]]="Biometric", Table1[[#This Row],[Authentication_Type]]="OTP")), "safe location transaction", "unsafe location transaction")</f>
        <v>safe location transaction</v>
      </c>
      <c r="R2104" s="6" t="str">
        <f>IF(AND(Table1[[#This Row],[Country_of_Residence]]&lt;&gt;Table1[[#This Row],[Country_of_Transaction]], OR(Table1[[#This Row],[Merchant_Category]]="Electronics", Table1[[#This Row],[Merchant_Category]]="Travel")), "unsafe merchant transaction", "safe merchant transaction")</f>
        <v>unsafe merchant transaction</v>
      </c>
    </row>
    <row r="2105" spans="1:18">
      <c r="A2105" t="s">
        <v>4156</v>
      </c>
      <c r="B2105" t="s">
        <v>306</v>
      </c>
      <c r="C2105">
        <v>1</v>
      </c>
      <c r="D2105" t="s">
        <v>15</v>
      </c>
      <c r="E2105" t="s">
        <v>5</v>
      </c>
      <c r="F2105" s="2">
        <v>45824</v>
      </c>
      <c r="G2105">
        <v>1868.58</v>
      </c>
      <c r="H2105" s="1">
        <f>AVERAGEIF(Table1[Customer_ID], Table1[[#This Row],[Customer_ID]], Table1[Transaction_Amount])</f>
        <v>4876.7728571428579</v>
      </c>
      <c r="I2105" t="s">
        <v>1683</v>
      </c>
      <c r="J2105" t="s">
        <v>36</v>
      </c>
      <c r="K2105" t="s">
        <v>14</v>
      </c>
      <c r="L2105">
        <v>5</v>
      </c>
      <c r="M2105" t="s">
        <v>412</v>
      </c>
      <c r="N2105" t="s">
        <v>32</v>
      </c>
      <c r="O2105" t="s">
        <v>392</v>
      </c>
      <c r="P2105" s="6" t="str">
        <f>IF(Table1[[#This Row],[Transaction_Amount]]&lt;=Table1[[#This Row],[avg_transaction_amount]], "usual transaction", "unusual transaction")</f>
        <v>usual transaction</v>
      </c>
      <c r="Q2105" s="6" t="str">
        <f>IF(AND(Table1[[#This Row],[Country_of_Residence]]&lt;&gt;Table1[[#This Row],[Country_of_Transaction]], OR(Table1[[#This Row],[Authentication_Type]]="Biometric", Table1[[#This Row],[Authentication_Type]]="OTP")), "safe location transaction", "unsafe location transaction")</f>
        <v>unsafe location transaction</v>
      </c>
      <c r="R2105" s="6" t="str">
        <f>IF(AND(Table1[[#This Row],[Country_of_Residence]]&lt;&gt;Table1[[#This Row],[Country_of_Transaction]], OR(Table1[[#This Row],[Merchant_Category]]="Electronics", Table1[[#This Row],[Merchant_Category]]="Travel")), "unsafe merchant transaction", "safe merchant transaction")</f>
        <v>safe merchant transaction</v>
      </c>
    </row>
    <row r="2106" spans="1:18">
      <c r="A2106" t="s">
        <v>4165</v>
      </c>
      <c r="B2106" t="s">
        <v>306</v>
      </c>
      <c r="C2106">
        <v>1</v>
      </c>
      <c r="D2106" t="s">
        <v>15</v>
      </c>
      <c r="E2106" t="s">
        <v>420</v>
      </c>
      <c r="F2106" s="2">
        <v>45950</v>
      </c>
      <c r="G2106">
        <v>9408.67</v>
      </c>
      <c r="H2106" s="1">
        <f>AVERAGEIF(Table1[Customer_ID], Table1[[#This Row],[Customer_ID]], Table1[Transaction_Amount])</f>
        <v>4876.7728571428579</v>
      </c>
      <c r="I2106" t="s">
        <v>1690</v>
      </c>
      <c r="J2106" t="s">
        <v>31</v>
      </c>
      <c r="K2106" t="s">
        <v>10</v>
      </c>
      <c r="L2106">
        <v>4</v>
      </c>
      <c r="M2106" t="s">
        <v>56</v>
      </c>
      <c r="N2106" t="s">
        <v>47</v>
      </c>
      <c r="O2106" t="s">
        <v>393</v>
      </c>
      <c r="P2106" s="6" t="str">
        <f>IF(Table1[[#This Row],[Transaction_Amount]]&lt;=Table1[[#This Row],[avg_transaction_amount]], "usual transaction", "unusual transaction")</f>
        <v>unusual transaction</v>
      </c>
      <c r="Q2106" s="6" t="str">
        <f>IF(AND(Table1[[#This Row],[Country_of_Residence]]&lt;&gt;Table1[[#This Row],[Country_of_Transaction]], OR(Table1[[#This Row],[Authentication_Type]]="Biometric", Table1[[#This Row],[Authentication_Type]]="OTP")), "safe location transaction", "unsafe location transaction")</f>
        <v>safe location transaction</v>
      </c>
      <c r="R2106" s="6" t="str">
        <f>IF(AND(Table1[[#This Row],[Country_of_Residence]]&lt;&gt;Table1[[#This Row],[Country_of_Transaction]], OR(Table1[[#This Row],[Merchant_Category]]="Electronics", Table1[[#This Row],[Merchant_Category]]="Travel")), "unsafe merchant transaction", "safe merchant transaction")</f>
        <v>safe merchant transaction</v>
      </c>
    </row>
    <row r="2107" spans="1:18">
      <c r="A2107" t="s">
        <v>4197</v>
      </c>
      <c r="B2107" t="s">
        <v>306</v>
      </c>
      <c r="C2107">
        <v>1</v>
      </c>
      <c r="D2107" t="s">
        <v>9</v>
      </c>
      <c r="E2107" t="s">
        <v>6</v>
      </c>
      <c r="F2107" s="2">
        <v>45715</v>
      </c>
      <c r="G2107">
        <v>3843.8</v>
      </c>
      <c r="H2107" s="1">
        <f>AVERAGEIF(Table1[Customer_ID], Table1[[#This Row],[Customer_ID]], Table1[Transaction_Amount])</f>
        <v>4876.7728571428579</v>
      </c>
      <c r="I2107" t="s">
        <v>1717</v>
      </c>
      <c r="J2107" t="s">
        <v>36</v>
      </c>
      <c r="K2107" t="s">
        <v>14</v>
      </c>
      <c r="L2107">
        <v>1</v>
      </c>
      <c r="M2107" t="s">
        <v>55</v>
      </c>
      <c r="N2107" t="s">
        <v>51</v>
      </c>
      <c r="O2107" t="s">
        <v>392</v>
      </c>
      <c r="P2107" s="6" t="str">
        <f>IF(Table1[[#This Row],[Transaction_Amount]]&lt;=Table1[[#This Row],[avg_transaction_amount]], "usual transaction", "unusual transaction")</f>
        <v>usual transaction</v>
      </c>
      <c r="Q2107" s="6" t="str">
        <f>IF(AND(Table1[[#This Row],[Country_of_Residence]]&lt;&gt;Table1[[#This Row],[Country_of_Transaction]], OR(Table1[[#This Row],[Authentication_Type]]="Biometric", Table1[[#This Row],[Authentication_Type]]="OTP")), "safe location transaction", "unsafe location transaction")</f>
        <v>unsafe location transaction</v>
      </c>
      <c r="R2107" s="6" t="str">
        <f>IF(AND(Table1[[#This Row],[Country_of_Residence]]&lt;&gt;Table1[[#This Row],[Country_of_Transaction]], OR(Table1[[#This Row],[Merchant_Category]]="Electronics", Table1[[#This Row],[Merchant_Category]]="Travel")), "unsafe merchant transaction", "safe merchant transaction")</f>
        <v>safe merchant transaction</v>
      </c>
    </row>
    <row r="2108" spans="1:18">
      <c r="A2108" t="s">
        <v>4226</v>
      </c>
      <c r="B2108" t="s">
        <v>306</v>
      </c>
      <c r="C2108">
        <v>1</v>
      </c>
      <c r="D2108" t="s">
        <v>9</v>
      </c>
      <c r="E2108" t="s">
        <v>420</v>
      </c>
      <c r="F2108" s="2">
        <v>45661</v>
      </c>
      <c r="G2108">
        <v>6418.83</v>
      </c>
      <c r="H2108" s="1">
        <f>AVERAGEIF(Table1[Customer_ID], Table1[[#This Row],[Customer_ID]], Table1[Transaction_Amount])</f>
        <v>4876.7728571428579</v>
      </c>
      <c r="I2108" t="s">
        <v>1745</v>
      </c>
      <c r="J2108" t="s">
        <v>31</v>
      </c>
      <c r="K2108" t="s">
        <v>12</v>
      </c>
      <c r="L2108">
        <v>3</v>
      </c>
      <c r="M2108" t="s">
        <v>33</v>
      </c>
      <c r="N2108" t="s">
        <v>47</v>
      </c>
      <c r="O2108" t="s">
        <v>393</v>
      </c>
      <c r="P2108" s="6" t="str">
        <f>IF(Table1[[#This Row],[Transaction_Amount]]&lt;=Table1[[#This Row],[avg_transaction_amount]], "usual transaction", "unusual transaction")</f>
        <v>unusual transaction</v>
      </c>
      <c r="Q2108" s="6" t="str">
        <f>IF(AND(Table1[[#This Row],[Country_of_Residence]]&lt;&gt;Table1[[#This Row],[Country_of_Transaction]], OR(Table1[[#This Row],[Authentication_Type]]="Biometric", Table1[[#This Row],[Authentication_Type]]="OTP")), "safe location transaction", "unsafe location transaction")</f>
        <v>unsafe location transaction</v>
      </c>
      <c r="R2108" s="6" t="str">
        <f>IF(AND(Table1[[#This Row],[Country_of_Residence]]&lt;&gt;Table1[[#This Row],[Country_of_Transaction]], OR(Table1[[#This Row],[Merchant_Category]]="Electronics", Table1[[#This Row],[Merchant_Category]]="Travel")), "unsafe merchant transaction", "safe merchant transaction")</f>
        <v>safe merchant transaction</v>
      </c>
    </row>
    <row r="2109" spans="1:18">
      <c r="A2109" t="s">
        <v>4233</v>
      </c>
      <c r="B2109" t="s">
        <v>306</v>
      </c>
      <c r="C2109">
        <v>1</v>
      </c>
      <c r="D2109" t="s">
        <v>15</v>
      </c>
      <c r="E2109" t="s">
        <v>5</v>
      </c>
      <c r="F2109" s="2">
        <v>45799</v>
      </c>
      <c r="G2109">
        <v>9283.6299999999992</v>
      </c>
      <c r="H2109" s="1">
        <f>AVERAGEIF(Table1[Customer_ID], Table1[[#This Row],[Customer_ID]], Table1[Transaction_Amount])</f>
        <v>4876.7728571428579</v>
      </c>
      <c r="I2109" t="s">
        <v>800</v>
      </c>
      <c r="J2109" t="s">
        <v>50</v>
      </c>
      <c r="K2109" t="s">
        <v>12</v>
      </c>
      <c r="L2109">
        <v>4</v>
      </c>
      <c r="M2109" t="s">
        <v>37</v>
      </c>
      <c r="N2109" t="s">
        <v>56</v>
      </c>
      <c r="O2109" t="s">
        <v>393</v>
      </c>
      <c r="P2109" s="6" t="str">
        <f>IF(Table1[[#This Row],[Transaction_Amount]]&lt;=Table1[[#This Row],[avg_transaction_amount]], "usual transaction", "unusual transaction")</f>
        <v>unusual transaction</v>
      </c>
      <c r="Q2109" s="6" t="str">
        <f>IF(AND(Table1[[#This Row],[Country_of_Residence]]&lt;&gt;Table1[[#This Row],[Country_of_Transaction]], OR(Table1[[#This Row],[Authentication_Type]]="Biometric", Table1[[#This Row],[Authentication_Type]]="OTP")), "safe location transaction", "unsafe location transaction")</f>
        <v>unsafe location transaction</v>
      </c>
      <c r="R2109" s="6" t="str">
        <f>IF(AND(Table1[[#This Row],[Country_of_Residence]]&lt;&gt;Table1[[#This Row],[Country_of_Transaction]], OR(Table1[[#This Row],[Merchant_Category]]="Electronics", Table1[[#This Row],[Merchant_Category]]="Travel")), "unsafe merchant transaction", "safe merchant transaction")</f>
        <v>unsafe merchant transaction</v>
      </c>
    </row>
    <row r="2110" spans="1:18">
      <c r="A2110" t="s">
        <v>4322</v>
      </c>
      <c r="B2110" t="s">
        <v>306</v>
      </c>
      <c r="C2110">
        <v>1</v>
      </c>
      <c r="D2110" t="s">
        <v>15</v>
      </c>
      <c r="E2110" t="s">
        <v>3</v>
      </c>
      <c r="F2110" s="2">
        <v>45978</v>
      </c>
      <c r="G2110">
        <v>2491.19</v>
      </c>
      <c r="H2110" s="1">
        <f>AVERAGEIF(Table1[Customer_ID], Table1[[#This Row],[Customer_ID]], Table1[Transaction_Amount])</f>
        <v>4876.7728571428579</v>
      </c>
      <c r="I2110" t="s">
        <v>823</v>
      </c>
      <c r="J2110" t="s">
        <v>50</v>
      </c>
      <c r="K2110" t="s">
        <v>8</v>
      </c>
      <c r="L2110">
        <v>0</v>
      </c>
      <c r="M2110" t="s">
        <v>51</v>
      </c>
      <c r="N2110" t="s">
        <v>37</v>
      </c>
      <c r="O2110" t="s">
        <v>393</v>
      </c>
      <c r="P2110" s="6" t="str">
        <f>IF(Table1[[#This Row],[Transaction_Amount]]&lt;=Table1[[#This Row],[avg_transaction_amount]], "usual transaction", "unusual transaction")</f>
        <v>usual transaction</v>
      </c>
      <c r="Q2110" s="6" t="str">
        <f>IF(AND(Table1[[#This Row],[Country_of_Residence]]&lt;&gt;Table1[[#This Row],[Country_of_Transaction]], OR(Table1[[#This Row],[Authentication_Type]]="Biometric", Table1[[#This Row],[Authentication_Type]]="OTP")), "safe location transaction", "unsafe location transaction")</f>
        <v>safe location transaction</v>
      </c>
      <c r="R2110" s="6" t="str">
        <f>IF(AND(Table1[[#This Row],[Country_of_Residence]]&lt;&gt;Table1[[#This Row],[Country_of_Transaction]], OR(Table1[[#This Row],[Merchant_Category]]="Electronics", Table1[[#This Row],[Merchant_Category]]="Travel")), "unsafe merchant transaction", "safe merchant transaction")</f>
        <v>unsafe merchant transaction</v>
      </c>
    </row>
    <row r="2111" spans="1:18">
      <c r="A2111" t="s">
        <v>4410</v>
      </c>
      <c r="B2111" t="s">
        <v>306</v>
      </c>
      <c r="C2111">
        <v>1</v>
      </c>
      <c r="D2111" t="s">
        <v>15</v>
      </c>
      <c r="E2111" t="s">
        <v>3</v>
      </c>
      <c r="F2111" s="2">
        <v>45875</v>
      </c>
      <c r="G2111">
        <v>5556.92</v>
      </c>
      <c r="H2111" s="1">
        <f>AVERAGEIF(Table1[Customer_ID], Table1[[#This Row],[Customer_ID]], Table1[Transaction_Amount])</f>
        <v>4876.7728571428579</v>
      </c>
      <c r="I2111" t="s">
        <v>1909</v>
      </c>
      <c r="J2111" t="s">
        <v>46</v>
      </c>
      <c r="K2111" t="s">
        <v>12</v>
      </c>
      <c r="L2111">
        <v>1</v>
      </c>
      <c r="M2111" t="s">
        <v>412</v>
      </c>
      <c r="N2111" t="s">
        <v>42</v>
      </c>
      <c r="O2111" t="s">
        <v>393</v>
      </c>
      <c r="P2111" s="6" t="str">
        <f>IF(Table1[[#This Row],[Transaction_Amount]]&lt;=Table1[[#This Row],[avg_transaction_amount]], "usual transaction", "unusual transaction")</f>
        <v>unusual transaction</v>
      </c>
      <c r="Q2111" s="6" t="str">
        <f>IF(AND(Table1[[#This Row],[Country_of_Residence]]&lt;&gt;Table1[[#This Row],[Country_of_Transaction]], OR(Table1[[#This Row],[Authentication_Type]]="Biometric", Table1[[#This Row],[Authentication_Type]]="OTP")), "safe location transaction", "unsafe location transaction")</f>
        <v>unsafe location transaction</v>
      </c>
      <c r="R2111" s="6" t="str">
        <f>IF(AND(Table1[[#This Row],[Country_of_Residence]]&lt;&gt;Table1[[#This Row],[Country_of_Transaction]], OR(Table1[[#This Row],[Merchant_Category]]="Electronics", Table1[[#This Row],[Merchant_Category]]="Travel")), "unsafe merchant transaction", "safe merchant transaction")</f>
        <v>safe merchant transaction</v>
      </c>
    </row>
    <row r="2112" spans="1:18">
      <c r="A2112" t="s">
        <v>4411</v>
      </c>
      <c r="B2112" t="s">
        <v>306</v>
      </c>
      <c r="C2112">
        <v>1</v>
      </c>
      <c r="D2112" t="s">
        <v>9</v>
      </c>
      <c r="E2112" t="s">
        <v>6</v>
      </c>
      <c r="F2112" s="2">
        <v>46005</v>
      </c>
      <c r="G2112">
        <v>7957.4</v>
      </c>
      <c r="H2112" s="1">
        <f>AVERAGEIF(Table1[Customer_ID], Table1[[#This Row],[Customer_ID]], Table1[Transaction_Amount])</f>
        <v>4876.7728571428579</v>
      </c>
      <c r="I2112" t="s">
        <v>1910</v>
      </c>
      <c r="J2112" t="s">
        <v>36</v>
      </c>
      <c r="K2112" t="s">
        <v>10</v>
      </c>
      <c r="L2112">
        <v>0</v>
      </c>
      <c r="M2112" t="s">
        <v>56</v>
      </c>
      <c r="N2112" t="s">
        <v>33</v>
      </c>
      <c r="O2112" t="s">
        <v>392</v>
      </c>
      <c r="P2112" s="6" t="str">
        <f>IF(Table1[[#This Row],[Transaction_Amount]]&lt;=Table1[[#This Row],[avg_transaction_amount]], "usual transaction", "unusual transaction")</f>
        <v>unusual transaction</v>
      </c>
      <c r="Q2112" s="6" t="str">
        <f>IF(AND(Table1[[#This Row],[Country_of_Residence]]&lt;&gt;Table1[[#This Row],[Country_of_Transaction]], OR(Table1[[#This Row],[Authentication_Type]]="Biometric", Table1[[#This Row],[Authentication_Type]]="OTP")), "safe location transaction", "unsafe location transaction")</f>
        <v>safe location transaction</v>
      </c>
      <c r="R2112" s="6" t="str">
        <f>IF(AND(Table1[[#This Row],[Country_of_Residence]]&lt;&gt;Table1[[#This Row],[Country_of_Transaction]], OR(Table1[[#This Row],[Merchant_Category]]="Electronics", Table1[[#This Row],[Merchant_Category]]="Travel")), "unsafe merchant transaction", "safe merchant transaction")</f>
        <v>safe merchant transaction</v>
      </c>
    </row>
    <row r="2113" spans="1:18">
      <c r="A2113" t="s">
        <v>4471</v>
      </c>
      <c r="B2113" t="s">
        <v>306</v>
      </c>
      <c r="C2113">
        <v>1</v>
      </c>
      <c r="D2113" t="s">
        <v>9</v>
      </c>
      <c r="E2113" t="s">
        <v>3</v>
      </c>
      <c r="F2113" s="2">
        <v>45696</v>
      </c>
      <c r="G2113">
        <v>1879.31</v>
      </c>
      <c r="H2113" s="1">
        <f>AVERAGEIF(Table1[Customer_ID], Table1[[#This Row],[Customer_ID]], Table1[Transaction_Amount])</f>
        <v>4876.7728571428579</v>
      </c>
      <c r="I2113" t="s">
        <v>1224</v>
      </c>
      <c r="J2113" t="s">
        <v>31</v>
      </c>
      <c r="K2113" t="s">
        <v>8</v>
      </c>
      <c r="L2113">
        <v>4</v>
      </c>
      <c r="M2113" t="s">
        <v>32</v>
      </c>
      <c r="N2113" t="s">
        <v>56</v>
      </c>
      <c r="O2113" t="s">
        <v>392</v>
      </c>
      <c r="P2113" s="6" t="str">
        <f>IF(Table1[[#This Row],[Transaction_Amount]]&lt;=Table1[[#This Row],[avg_transaction_amount]], "usual transaction", "unusual transaction")</f>
        <v>usual transaction</v>
      </c>
      <c r="Q2113" s="6" t="str">
        <f>IF(AND(Table1[[#This Row],[Country_of_Residence]]&lt;&gt;Table1[[#This Row],[Country_of_Transaction]], OR(Table1[[#This Row],[Authentication_Type]]="Biometric", Table1[[#This Row],[Authentication_Type]]="OTP")), "safe location transaction", "unsafe location transaction")</f>
        <v>safe location transaction</v>
      </c>
      <c r="R2113" s="6" t="str">
        <f>IF(AND(Table1[[#This Row],[Country_of_Residence]]&lt;&gt;Table1[[#This Row],[Country_of_Transaction]], OR(Table1[[#This Row],[Merchant_Category]]="Electronics", Table1[[#This Row],[Merchant_Category]]="Travel")), "unsafe merchant transaction", "safe merchant transaction")</f>
        <v>safe merchant transaction</v>
      </c>
    </row>
    <row r="2114" spans="1:18">
      <c r="A2114" t="s">
        <v>4488</v>
      </c>
      <c r="B2114" t="s">
        <v>306</v>
      </c>
      <c r="C2114">
        <v>1</v>
      </c>
      <c r="D2114" t="s">
        <v>9</v>
      </c>
      <c r="E2114" t="s">
        <v>3</v>
      </c>
      <c r="F2114" s="2">
        <v>45976</v>
      </c>
      <c r="G2114">
        <v>9328.26</v>
      </c>
      <c r="H2114" s="1">
        <f>AVERAGEIF(Table1[Customer_ID], Table1[[#This Row],[Customer_ID]], Table1[Transaction_Amount])</f>
        <v>4876.7728571428579</v>
      </c>
      <c r="I2114" t="s">
        <v>1977</v>
      </c>
      <c r="J2114" t="s">
        <v>46</v>
      </c>
      <c r="K2114" t="s">
        <v>10</v>
      </c>
      <c r="L2114">
        <v>5</v>
      </c>
      <c r="M2114" t="s">
        <v>51</v>
      </c>
      <c r="N2114" t="s">
        <v>56</v>
      </c>
      <c r="O2114" t="s">
        <v>392</v>
      </c>
      <c r="P2114" s="6" t="str">
        <f>IF(Table1[[#This Row],[Transaction_Amount]]&lt;=Table1[[#This Row],[avg_transaction_amount]], "usual transaction", "unusual transaction")</f>
        <v>unusual transaction</v>
      </c>
      <c r="Q2114" s="6" t="str">
        <f>IF(AND(Table1[[#This Row],[Country_of_Residence]]&lt;&gt;Table1[[#This Row],[Country_of_Transaction]], OR(Table1[[#This Row],[Authentication_Type]]="Biometric", Table1[[#This Row],[Authentication_Type]]="OTP")), "safe location transaction", "unsafe location transaction")</f>
        <v>safe location transaction</v>
      </c>
      <c r="R2114" s="6" t="str">
        <f>IF(AND(Table1[[#This Row],[Country_of_Residence]]&lt;&gt;Table1[[#This Row],[Country_of_Transaction]], OR(Table1[[#This Row],[Merchant_Category]]="Electronics", Table1[[#This Row],[Merchant_Category]]="Travel")), "unsafe merchant transaction", "safe merchant transaction")</f>
        <v>safe merchant transaction</v>
      </c>
    </row>
    <row r="2115" spans="1:18">
      <c r="A2115" t="s">
        <v>4520</v>
      </c>
      <c r="B2115" t="s">
        <v>306</v>
      </c>
      <c r="C2115">
        <v>1</v>
      </c>
      <c r="D2115" t="s">
        <v>9</v>
      </c>
      <c r="E2115" t="s">
        <v>5</v>
      </c>
      <c r="F2115" s="2">
        <v>45767</v>
      </c>
      <c r="G2115">
        <v>2690.22</v>
      </c>
      <c r="H2115" s="1">
        <f>AVERAGEIF(Table1[Customer_ID], Table1[[#This Row],[Customer_ID]], Table1[Transaction_Amount])</f>
        <v>4876.7728571428579</v>
      </c>
      <c r="I2115" t="s">
        <v>2004</v>
      </c>
      <c r="J2115" t="s">
        <v>36</v>
      </c>
      <c r="K2115" t="s">
        <v>10</v>
      </c>
      <c r="L2115">
        <v>2</v>
      </c>
      <c r="M2115" t="s">
        <v>47</v>
      </c>
      <c r="N2115" t="s">
        <v>32</v>
      </c>
      <c r="O2115" t="s">
        <v>392</v>
      </c>
      <c r="P2115" s="6" t="str">
        <f>IF(Table1[[#This Row],[Transaction_Amount]]&lt;=Table1[[#This Row],[avg_transaction_amount]], "usual transaction", "unusual transaction")</f>
        <v>usual transaction</v>
      </c>
      <c r="Q2115" s="6" t="str">
        <f>IF(AND(Table1[[#This Row],[Country_of_Residence]]&lt;&gt;Table1[[#This Row],[Country_of_Transaction]], OR(Table1[[#This Row],[Authentication_Type]]="Biometric", Table1[[#This Row],[Authentication_Type]]="OTP")), "safe location transaction", "unsafe location transaction")</f>
        <v>safe location transaction</v>
      </c>
      <c r="R2115" s="6" t="str">
        <f>IF(AND(Table1[[#This Row],[Country_of_Residence]]&lt;&gt;Table1[[#This Row],[Country_of_Transaction]], OR(Table1[[#This Row],[Merchant_Category]]="Electronics", Table1[[#This Row],[Merchant_Category]]="Travel")), "unsafe merchant transaction", "safe merchant transaction")</f>
        <v>safe merchant transaction</v>
      </c>
    </row>
    <row r="2116" spans="1:18">
      <c r="A2116" t="s">
        <v>4567</v>
      </c>
      <c r="B2116" t="s">
        <v>306</v>
      </c>
      <c r="C2116">
        <v>1</v>
      </c>
      <c r="D2116" t="s">
        <v>9</v>
      </c>
      <c r="E2116" t="s">
        <v>3</v>
      </c>
      <c r="F2116" s="2">
        <v>45919</v>
      </c>
      <c r="G2116">
        <v>6488.05</v>
      </c>
      <c r="H2116" s="1">
        <f>AVERAGEIF(Table1[Customer_ID], Table1[[#This Row],[Customer_ID]], Table1[Transaction_Amount])</f>
        <v>4876.7728571428579</v>
      </c>
      <c r="I2116" t="s">
        <v>1545</v>
      </c>
      <c r="J2116" t="s">
        <v>36</v>
      </c>
      <c r="K2116" t="s">
        <v>10</v>
      </c>
      <c r="L2116">
        <v>3</v>
      </c>
      <c r="M2116" t="s">
        <v>56</v>
      </c>
      <c r="N2116" t="s">
        <v>412</v>
      </c>
      <c r="O2116" t="s">
        <v>392</v>
      </c>
      <c r="P2116" s="6" t="str">
        <f>IF(Table1[[#This Row],[Transaction_Amount]]&lt;=Table1[[#This Row],[avg_transaction_amount]], "usual transaction", "unusual transaction")</f>
        <v>unusual transaction</v>
      </c>
      <c r="Q2116" s="6" t="str">
        <f>IF(AND(Table1[[#This Row],[Country_of_Residence]]&lt;&gt;Table1[[#This Row],[Country_of_Transaction]], OR(Table1[[#This Row],[Authentication_Type]]="Biometric", Table1[[#This Row],[Authentication_Type]]="OTP")), "safe location transaction", "unsafe location transaction")</f>
        <v>safe location transaction</v>
      </c>
      <c r="R2116" s="6" t="str">
        <f>IF(AND(Table1[[#This Row],[Country_of_Residence]]&lt;&gt;Table1[[#This Row],[Country_of_Transaction]], OR(Table1[[#This Row],[Merchant_Category]]="Electronics", Table1[[#This Row],[Merchant_Category]]="Travel")), "unsafe merchant transaction", "safe merchant transaction")</f>
        <v>safe merchant transaction</v>
      </c>
    </row>
    <row r="2117" spans="1:18">
      <c r="A2117" t="s">
        <v>4720</v>
      </c>
      <c r="B2117" t="s">
        <v>306</v>
      </c>
      <c r="C2117">
        <v>1</v>
      </c>
      <c r="D2117" t="s">
        <v>9</v>
      </c>
      <c r="E2117" t="s">
        <v>420</v>
      </c>
      <c r="F2117" s="2">
        <v>45903</v>
      </c>
      <c r="G2117">
        <v>5377.83</v>
      </c>
      <c r="H2117" s="1">
        <f>AVERAGEIF(Table1[Customer_ID], Table1[[#This Row],[Customer_ID]], Table1[Transaction_Amount])</f>
        <v>4876.7728571428579</v>
      </c>
      <c r="I2117" t="s">
        <v>2161</v>
      </c>
      <c r="J2117" t="s">
        <v>36</v>
      </c>
      <c r="K2117" t="s">
        <v>14</v>
      </c>
      <c r="L2117">
        <v>4</v>
      </c>
      <c r="M2117" t="s">
        <v>47</v>
      </c>
      <c r="N2117" t="s">
        <v>56</v>
      </c>
      <c r="O2117" t="s">
        <v>393</v>
      </c>
      <c r="P2117" s="6" t="str">
        <f>IF(Table1[[#This Row],[Transaction_Amount]]&lt;=Table1[[#This Row],[avg_transaction_amount]], "usual transaction", "unusual transaction")</f>
        <v>unusual transaction</v>
      </c>
      <c r="Q2117" s="6" t="str">
        <f>IF(AND(Table1[[#This Row],[Country_of_Residence]]&lt;&gt;Table1[[#This Row],[Country_of_Transaction]], OR(Table1[[#This Row],[Authentication_Type]]="Biometric", Table1[[#This Row],[Authentication_Type]]="OTP")), "safe location transaction", "unsafe location transaction")</f>
        <v>unsafe location transaction</v>
      </c>
      <c r="R2117" s="6" t="str">
        <f>IF(AND(Table1[[#This Row],[Country_of_Residence]]&lt;&gt;Table1[[#This Row],[Country_of_Transaction]], OR(Table1[[#This Row],[Merchant_Category]]="Electronics", Table1[[#This Row],[Merchant_Category]]="Travel")), "unsafe merchant transaction", "safe merchant transaction")</f>
        <v>safe merchant transaction</v>
      </c>
    </row>
    <row r="2118" spans="1:18">
      <c r="A2118" t="s">
        <v>4754</v>
      </c>
      <c r="B2118" t="s">
        <v>306</v>
      </c>
      <c r="C2118">
        <v>1</v>
      </c>
      <c r="D2118" t="s">
        <v>9</v>
      </c>
      <c r="E2118" t="s">
        <v>6</v>
      </c>
      <c r="F2118" s="2">
        <v>46005</v>
      </c>
      <c r="G2118">
        <v>9003.93</v>
      </c>
      <c r="H2118" s="1">
        <f>AVERAGEIF(Table1[Customer_ID], Table1[[#This Row],[Customer_ID]], Table1[Transaction_Amount])</f>
        <v>4876.7728571428579</v>
      </c>
      <c r="I2118" t="s">
        <v>2188</v>
      </c>
      <c r="J2118" t="s">
        <v>36</v>
      </c>
      <c r="K2118" t="s">
        <v>10</v>
      </c>
      <c r="L2118">
        <v>0</v>
      </c>
      <c r="M2118" t="s">
        <v>51</v>
      </c>
      <c r="N2118" t="s">
        <v>42</v>
      </c>
      <c r="O2118" t="s">
        <v>393</v>
      </c>
      <c r="P2118" s="6" t="str">
        <f>IF(Table1[[#This Row],[Transaction_Amount]]&lt;=Table1[[#This Row],[avg_transaction_amount]], "usual transaction", "unusual transaction")</f>
        <v>unusual transaction</v>
      </c>
      <c r="Q2118" s="6" t="str">
        <f>IF(AND(Table1[[#This Row],[Country_of_Residence]]&lt;&gt;Table1[[#This Row],[Country_of_Transaction]], OR(Table1[[#This Row],[Authentication_Type]]="Biometric", Table1[[#This Row],[Authentication_Type]]="OTP")), "safe location transaction", "unsafe location transaction")</f>
        <v>safe location transaction</v>
      </c>
      <c r="R2118" s="6" t="str">
        <f>IF(AND(Table1[[#This Row],[Country_of_Residence]]&lt;&gt;Table1[[#This Row],[Country_of_Transaction]], OR(Table1[[#This Row],[Merchant_Category]]="Electronics", Table1[[#This Row],[Merchant_Category]]="Travel")), "unsafe merchant transaction", "safe merchant transaction")</f>
        <v>safe merchant transaction</v>
      </c>
    </row>
    <row r="2119" spans="1:18">
      <c r="A2119" t="s">
        <v>4786</v>
      </c>
      <c r="B2119" t="s">
        <v>306</v>
      </c>
      <c r="C2119">
        <v>1</v>
      </c>
      <c r="D2119" t="s">
        <v>15</v>
      </c>
      <c r="E2119" t="s">
        <v>6</v>
      </c>
      <c r="F2119" s="2">
        <v>45942</v>
      </c>
      <c r="G2119">
        <v>6002.43</v>
      </c>
      <c r="H2119" s="1">
        <f>AVERAGEIF(Table1[Customer_ID], Table1[[#This Row],[Customer_ID]], Table1[Transaction_Amount])</f>
        <v>4876.7728571428579</v>
      </c>
      <c r="I2119" t="s">
        <v>978</v>
      </c>
      <c r="J2119" t="s">
        <v>46</v>
      </c>
      <c r="K2119" t="s">
        <v>10</v>
      </c>
      <c r="L2119">
        <v>2</v>
      </c>
      <c r="M2119" t="s">
        <v>56</v>
      </c>
      <c r="N2119" t="s">
        <v>55</v>
      </c>
      <c r="O2119" t="s">
        <v>392</v>
      </c>
      <c r="P2119" s="6" t="str">
        <f>IF(Table1[[#This Row],[Transaction_Amount]]&lt;=Table1[[#This Row],[avg_transaction_amount]], "usual transaction", "unusual transaction")</f>
        <v>unusual transaction</v>
      </c>
      <c r="Q2119" s="6" t="str">
        <f>IF(AND(Table1[[#This Row],[Country_of_Residence]]&lt;&gt;Table1[[#This Row],[Country_of_Transaction]], OR(Table1[[#This Row],[Authentication_Type]]="Biometric", Table1[[#This Row],[Authentication_Type]]="OTP")), "safe location transaction", "unsafe location transaction")</f>
        <v>safe location transaction</v>
      </c>
      <c r="R2119" s="6" t="str">
        <f>IF(AND(Table1[[#This Row],[Country_of_Residence]]&lt;&gt;Table1[[#This Row],[Country_of_Transaction]], OR(Table1[[#This Row],[Merchant_Category]]="Electronics", Table1[[#This Row],[Merchant_Category]]="Travel")), "unsafe merchant transaction", "safe merchant transaction")</f>
        <v>safe merchant transaction</v>
      </c>
    </row>
    <row r="2120" spans="1:18">
      <c r="A2120" t="s">
        <v>4812</v>
      </c>
      <c r="B2120" t="s">
        <v>306</v>
      </c>
      <c r="C2120">
        <v>1</v>
      </c>
      <c r="D2120" t="s">
        <v>15</v>
      </c>
      <c r="E2120" t="s">
        <v>420</v>
      </c>
      <c r="F2120" s="2">
        <v>45758</v>
      </c>
      <c r="G2120">
        <v>2482.71</v>
      </c>
      <c r="H2120" s="1">
        <f>AVERAGEIF(Table1[Customer_ID], Table1[[#This Row],[Customer_ID]], Table1[Transaction_Amount])</f>
        <v>4876.7728571428579</v>
      </c>
      <c r="I2120" t="s">
        <v>2232</v>
      </c>
      <c r="J2120" t="s">
        <v>50</v>
      </c>
      <c r="K2120" t="s">
        <v>12</v>
      </c>
      <c r="L2120">
        <v>0</v>
      </c>
      <c r="M2120" t="s">
        <v>32</v>
      </c>
      <c r="N2120" t="s">
        <v>412</v>
      </c>
      <c r="O2120" t="s">
        <v>392</v>
      </c>
      <c r="P2120" s="6" t="str">
        <f>IF(Table1[[#This Row],[Transaction_Amount]]&lt;=Table1[[#This Row],[avg_transaction_amount]], "usual transaction", "unusual transaction")</f>
        <v>usual transaction</v>
      </c>
      <c r="Q2120" s="6" t="str">
        <f>IF(AND(Table1[[#This Row],[Country_of_Residence]]&lt;&gt;Table1[[#This Row],[Country_of_Transaction]], OR(Table1[[#This Row],[Authentication_Type]]="Biometric", Table1[[#This Row],[Authentication_Type]]="OTP")), "safe location transaction", "unsafe location transaction")</f>
        <v>unsafe location transaction</v>
      </c>
      <c r="R2120" s="6" t="str">
        <f>IF(AND(Table1[[#This Row],[Country_of_Residence]]&lt;&gt;Table1[[#This Row],[Country_of_Transaction]], OR(Table1[[#This Row],[Merchant_Category]]="Electronics", Table1[[#This Row],[Merchant_Category]]="Travel")), "unsafe merchant transaction", "safe merchant transaction")</f>
        <v>unsafe merchant transaction</v>
      </c>
    </row>
    <row r="2121" spans="1:18">
      <c r="A2121" t="s">
        <v>4910</v>
      </c>
      <c r="B2121" t="s">
        <v>306</v>
      </c>
      <c r="C2121">
        <v>1</v>
      </c>
      <c r="D2121" t="s">
        <v>9</v>
      </c>
      <c r="E2121" t="s">
        <v>420</v>
      </c>
      <c r="F2121" s="2">
        <v>45709</v>
      </c>
      <c r="G2121">
        <v>5802.98</v>
      </c>
      <c r="H2121" s="1">
        <f>AVERAGEIF(Table1[Customer_ID], Table1[[#This Row],[Customer_ID]], Table1[Transaction_Amount])</f>
        <v>4876.7728571428579</v>
      </c>
      <c r="I2121" t="s">
        <v>2306</v>
      </c>
      <c r="J2121" t="s">
        <v>31</v>
      </c>
      <c r="K2121" t="s">
        <v>8</v>
      </c>
      <c r="L2121">
        <v>5</v>
      </c>
      <c r="M2121" t="s">
        <v>412</v>
      </c>
      <c r="N2121" t="s">
        <v>55</v>
      </c>
      <c r="O2121" t="s">
        <v>392</v>
      </c>
      <c r="P2121" s="6" t="str">
        <f>IF(Table1[[#This Row],[Transaction_Amount]]&lt;=Table1[[#This Row],[avg_transaction_amount]], "usual transaction", "unusual transaction")</f>
        <v>unusual transaction</v>
      </c>
      <c r="Q2121" s="6" t="str">
        <f>IF(AND(Table1[[#This Row],[Country_of_Residence]]&lt;&gt;Table1[[#This Row],[Country_of_Transaction]], OR(Table1[[#This Row],[Authentication_Type]]="Biometric", Table1[[#This Row],[Authentication_Type]]="OTP")), "safe location transaction", "unsafe location transaction")</f>
        <v>safe location transaction</v>
      </c>
      <c r="R2121" s="6" t="str">
        <f>IF(AND(Table1[[#This Row],[Country_of_Residence]]&lt;&gt;Table1[[#This Row],[Country_of_Transaction]], OR(Table1[[#This Row],[Merchant_Category]]="Electronics", Table1[[#This Row],[Merchant_Category]]="Travel")), "unsafe merchant transaction", "safe merchant transaction")</f>
        <v>safe merchant transaction</v>
      </c>
    </row>
    <row r="2122" spans="1:18">
      <c r="A2122" t="s">
        <v>4930</v>
      </c>
      <c r="B2122" t="s">
        <v>306</v>
      </c>
      <c r="C2122">
        <v>1</v>
      </c>
      <c r="D2122" t="s">
        <v>9</v>
      </c>
      <c r="E2122" t="s">
        <v>6</v>
      </c>
      <c r="F2122" s="2">
        <v>46016</v>
      </c>
      <c r="G2122">
        <v>5268.61</v>
      </c>
      <c r="H2122" s="1">
        <f>AVERAGEIF(Table1[Customer_ID], Table1[[#This Row],[Customer_ID]], Table1[Transaction_Amount])</f>
        <v>4876.7728571428579</v>
      </c>
      <c r="I2122" t="s">
        <v>2324</v>
      </c>
      <c r="J2122" t="s">
        <v>46</v>
      </c>
      <c r="K2122" t="s">
        <v>14</v>
      </c>
      <c r="L2122">
        <v>4</v>
      </c>
      <c r="M2122" t="s">
        <v>51</v>
      </c>
      <c r="N2122" t="s">
        <v>56</v>
      </c>
      <c r="O2122" t="s">
        <v>392</v>
      </c>
      <c r="P2122" s="6" t="str">
        <f>IF(Table1[[#This Row],[Transaction_Amount]]&lt;=Table1[[#This Row],[avg_transaction_amount]], "usual transaction", "unusual transaction")</f>
        <v>unusual transaction</v>
      </c>
      <c r="Q2122" s="6" t="str">
        <f>IF(AND(Table1[[#This Row],[Country_of_Residence]]&lt;&gt;Table1[[#This Row],[Country_of_Transaction]], OR(Table1[[#This Row],[Authentication_Type]]="Biometric", Table1[[#This Row],[Authentication_Type]]="OTP")), "safe location transaction", "unsafe location transaction")</f>
        <v>unsafe location transaction</v>
      </c>
      <c r="R2122" s="6" t="str">
        <f>IF(AND(Table1[[#This Row],[Country_of_Residence]]&lt;&gt;Table1[[#This Row],[Country_of_Transaction]], OR(Table1[[#This Row],[Merchant_Category]]="Electronics", Table1[[#This Row],[Merchant_Category]]="Travel")), "unsafe merchant transaction", "safe merchant transaction")</f>
        <v>safe merchant transaction</v>
      </c>
    </row>
    <row r="2123" spans="1:18">
      <c r="A2123" t="s">
        <v>4931</v>
      </c>
      <c r="B2123" t="s">
        <v>306</v>
      </c>
      <c r="C2123">
        <v>1</v>
      </c>
      <c r="D2123" t="s">
        <v>9</v>
      </c>
      <c r="E2123" t="s">
        <v>5</v>
      </c>
      <c r="F2123" s="2">
        <v>45811</v>
      </c>
      <c r="G2123">
        <v>8183.47</v>
      </c>
      <c r="H2123" s="1">
        <f>AVERAGEIF(Table1[Customer_ID], Table1[[#This Row],[Customer_ID]], Table1[Transaction_Amount])</f>
        <v>4876.7728571428579</v>
      </c>
      <c r="I2123" t="s">
        <v>1605</v>
      </c>
      <c r="J2123" t="s">
        <v>31</v>
      </c>
      <c r="K2123" t="s">
        <v>12</v>
      </c>
      <c r="L2123">
        <v>1</v>
      </c>
      <c r="M2123" t="s">
        <v>42</v>
      </c>
      <c r="N2123" t="s">
        <v>33</v>
      </c>
      <c r="O2123" t="s">
        <v>392</v>
      </c>
      <c r="P2123" s="6" t="str">
        <f>IF(Table1[[#This Row],[Transaction_Amount]]&lt;=Table1[[#This Row],[avg_transaction_amount]], "usual transaction", "unusual transaction")</f>
        <v>unusual transaction</v>
      </c>
      <c r="Q2123" s="6" t="str">
        <f>IF(AND(Table1[[#This Row],[Country_of_Residence]]&lt;&gt;Table1[[#This Row],[Country_of_Transaction]], OR(Table1[[#This Row],[Authentication_Type]]="Biometric", Table1[[#This Row],[Authentication_Type]]="OTP")), "safe location transaction", "unsafe location transaction")</f>
        <v>unsafe location transaction</v>
      </c>
      <c r="R2123" s="6" t="str">
        <f>IF(AND(Table1[[#This Row],[Country_of_Residence]]&lt;&gt;Table1[[#This Row],[Country_of_Transaction]], OR(Table1[[#This Row],[Merchant_Category]]="Electronics", Table1[[#This Row],[Merchant_Category]]="Travel")), "unsafe merchant transaction", "safe merchant transaction")</f>
        <v>safe merchant transaction</v>
      </c>
    </row>
    <row r="2124" spans="1:18">
      <c r="A2124" t="s">
        <v>4954</v>
      </c>
      <c r="B2124" t="s">
        <v>306</v>
      </c>
      <c r="C2124">
        <v>1</v>
      </c>
      <c r="D2124" t="s">
        <v>15</v>
      </c>
      <c r="E2124" t="s">
        <v>420</v>
      </c>
      <c r="F2124" s="2">
        <v>45811</v>
      </c>
      <c r="G2124">
        <v>427.46</v>
      </c>
      <c r="H2124" s="1">
        <f>AVERAGEIF(Table1[Customer_ID], Table1[[#This Row],[Customer_ID]], Table1[Transaction_Amount])</f>
        <v>4876.7728571428579</v>
      </c>
      <c r="I2124" t="s">
        <v>2344</v>
      </c>
      <c r="J2124" t="s">
        <v>31</v>
      </c>
      <c r="K2124" t="s">
        <v>14</v>
      </c>
      <c r="L2124">
        <v>2</v>
      </c>
      <c r="M2124" t="s">
        <v>42</v>
      </c>
      <c r="N2124" t="s">
        <v>47</v>
      </c>
      <c r="O2124" t="s">
        <v>393</v>
      </c>
      <c r="P2124" s="6" t="str">
        <f>IF(Table1[[#This Row],[Transaction_Amount]]&lt;=Table1[[#This Row],[avg_transaction_amount]], "usual transaction", "unusual transaction")</f>
        <v>usual transaction</v>
      </c>
      <c r="Q2124" s="6" t="str">
        <f>IF(AND(Table1[[#This Row],[Country_of_Residence]]&lt;&gt;Table1[[#This Row],[Country_of_Transaction]], OR(Table1[[#This Row],[Authentication_Type]]="Biometric", Table1[[#This Row],[Authentication_Type]]="OTP")), "safe location transaction", "unsafe location transaction")</f>
        <v>unsafe location transaction</v>
      </c>
      <c r="R2124" s="6" t="str">
        <f>IF(AND(Table1[[#This Row],[Country_of_Residence]]&lt;&gt;Table1[[#This Row],[Country_of_Transaction]], OR(Table1[[#This Row],[Merchant_Category]]="Electronics", Table1[[#This Row],[Merchant_Category]]="Travel")), "unsafe merchant transaction", "safe merchant transaction")</f>
        <v>safe merchant transaction</v>
      </c>
    </row>
    <row r="2125" spans="1:18">
      <c r="A2125" t="s">
        <v>5088</v>
      </c>
      <c r="B2125" t="s">
        <v>306</v>
      </c>
      <c r="C2125">
        <v>1</v>
      </c>
      <c r="D2125" t="s">
        <v>15</v>
      </c>
      <c r="E2125" t="s">
        <v>6</v>
      </c>
      <c r="F2125" s="2">
        <v>45674</v>
      </c>
      <c r="G2125">
        <v>4761.88</v>
      </c>
      <c r="H2125" s="1">
        <f>AVERAGEIF(Table1[Customer_ID], Table1[[#This Row],[Customer_ID]], Table1[Transaction_Amount])</f>
        <v>4876.7728571428579</v>
      </c>
      <c r="I2125" t="s">
        <v>2440</v>
      </c>
      <c r="J2125" t="s">
        <v>46</v>
      </c>
      <c r="K2125" t="s">
        <v>8</v>
      </c>
      <c r="L2125">
        <v>2</v>
      </c>
      <c r="M2125" t="s">
        <v>47</v>
      </c>
      <c r="N2125" t="s">
        <v>37</v>
      </c>
      <c r="O2125" t="s">
        <v>393</v>
      </c>
      <c r="P2125" s="6" t="str">
        <f>IF(Table1[[#This Row],[Transaction_Amount]]&lt;=Table1[[#This Row],[avg_transaction_amount]], "usual transaction", "unusual transaction")</f>
        <v>usual transaction</v>
      </c>
      <c r="Q2125" s="6" t="str">
        <f>IF(AND(Table1[[#This Row],[Country_of_Residence]]&lt;&gt;Table1[[#This Row],[Country_of_Transaction]], OR(Table1[[#This Row],[Authentication_Type]]="Biometric", Table1[[#This Row],[Authentication_Type]]="OTP")), "safe location transaction", "unsafe location transaction")</f>
        <v>safe location transaction</v>
      </c>
      <c r="R2125" s="6" t="str">
        <f>IF(AND(Table1[[#This Row],[Country_of_Residence]]&lt;&gt;Table1[[#This Row],[Country_of_Transaction]], OR(Table1[[#This Row],[Merchant_Category]]="Electronics", Table1[[#This Row],[Merchant_Category]]="Travel")), "unsafe merchant transaction", "safe merchant transaction")</f>
        <v>safe merchant transaction</v>
      </c>
    </row>
    <row r="2126" spans="1:18">
      <c r="A2126" t="s">
        <v>5133</v>
      </c>
      <c r="B2126" t="s">
        <v>306</v>
      </c>
      <c r="C2126">
        <v>1</v>
      </c>
      <c r="D2126" t="s">
        <v>15</v>
      </c>
      <c r="E2126" t="s">
        <v>5</v>
      </c>
      <c r="F2126" s="2">
        <v>45902</v>
      </c>
      <c r="G2126">
        <v>3204</v>
      </c>
      <c r="H2126" s="1">
        <f>AVERAGEIF(Table1[Customer_ID], Table1[[#This Row],[Customer_ID]], Table1[Transaction_Amount])</f>
        <v>4876.7728571428579</v>
      </c>
      <c r="I2126" t="s">
        <v>2475</v>
      </c>
      <c r="J2126" t="s">
        <v>31</v>
      </c>
      <c r="K2126" t="s">
        <v>12</v>
      </c>
      <c r="L2126">
        <v>5</v>
      </c>
      <c r="M2126" t="s">
        <v>55</v>
      </c>
      <c r="N2126" t="s">
        <v>42</v>
      </c>
      <c r="O2126" t="s">
        <v>393</v>
      </c>
      <c r="P2126" s="6" t="str">
        <f>IF(Table1[[#This Row],[Transaction_Amount]]&lt;=Table1[[#This Row],[avg_transaction_amount]], "usual transaction", "unusual transaction")</f>
        <v>usual transaction</v>
      </c>
      <c r="Q2126" s="6" t="str">
        <f>IF(AND(Table1[[#This Row],[Country_of_Residence]]&lt;&gt;Table1[[#This Row],[Country_of_Transaction]], OR(Table1[[#This Row],[Authentication_Type]]="Biometric", Table1[[#This Row],[Authentication_Type]]="OTP")), "safe location transaction", "unsafe location transaction")</f>
        <v>unsafe location transaction</v>
      </c>
      <c r="R2126" s="6" t="str">
        <f>IF(AND(Table1[[#This Row],[Country_of_Residence]]&lt;&gt;Table1[[#This Row],[Country_of_Transaction]], OR(Table1[[#This Row],[Merchant_Category]]="Electronics", Table1[[#This Row],[Merchant_Category]]="Travel")), "unsafe merchant transaction", "safe merchant transaction")</f>
        <v>safe merchant transaction</v>
      </c>
    </row>
    <row r="2127" spans="1:18">
      <c r="A2127" t="s">
        <v>5150</v>
      </c>
      <c r="B2127" t="s">
        <v>306</v>
      </c>
      <c r="C2127">
        <v>1</v>
      </c>
      <c r="D2127" t="s">
        <v>15</v>
      </c>
      <c r="E2127" t="s">
        <v>3</v>
      </c>
      <c r="F2127" s="2">
        <v>45674</v>
      </c>
      <c r="G2127">
        <v>8419.82</v>
      </c>
      <c r="H2127" s="1">
        <f>AVERAGEIF(Table1[Customer_ID], Table1[[#This Row],[Customer_ID]], Table1[Transaction_Amount])</f>
        <v>4876.7728571428579</v>
      </c>
      <c r="I2127" t="s">
        <v>2488</v>
      </c>
      <c r="J2127" t="s">
        <v>36</v>
      </c>
      <c r="K2127" t="s">
        <v>14</v>
      </c>
      <c r="L2127">
        <v>3</v>
      </c>
      <c r="M2127" t="s">
        <v>51</v>
      </c>
      <c r="N2127" t="s">
        <v>33</v>
      </c>
      <c r="O2127" t="s">
        <v>393</v>
      </c>
      <c r="P2127" s="6" t="str">
        <f>IF(Table1[[#This Row],[Transaction_Amount]]&lt;=Table1[[#This Row],[avg_transaction_amount]], "usual transaction", "unusual transaction")</f>
        <v>unusual transaction</v>
      </c>
      <c r="Q2127" s="6" t="str">
        <f>IF(AND(Table1[[#This Row],[Country_of_Residence]]&lt;&gt;Table1[[#This Row],[Country_of_Transaction]], OR(Table1[[#This Row],[Authentication_Type]]="Biometric", Table1[[#This Row],[Authentication_Type]]="OTP")), "safe location transaction", "unsafe location transaction")</f>
        <v>unsafe location transaction</v>
      </c>
      <c r="R2127" s="6" t="str">
        <f>IF(AND(Table1[[#This Row],[Country_of_Residence]]&lt;&gt;Table1[[#This Row],[Country_of_Transaction]], OR(Table1[[#This Row],[Merchant_Category]]="Electronics", Table1[[#This Row],[Merchant_Category]]="Travel")), "unsafe merchant transaction", "safe merchant transaction")</f>
        <v>safe merchant transaction</v>
      </c>
    </row>
    <row r="2128" spans="1:18">
      <c r="A2128" t="s">
        <v>5197</v>
      </c>
      <c r="B2128" t="s">
        <v>306</v>
      </c>
      <c r="C2128">
        <v>1</v>
      </c>
      <c r="D2128" t="s">
        <v>9</v>
      </c>
      <c r="E2128" t="s">
        <v>5</v>
      </c>
      <c r="F2128" s="2">
        <v>45963</v>
      </c>
      <c r="G2128">
        <v>6782.81</v>
      </c>
      <c r="H2128" s="1">
        <f>AVERAGEIF(Table1[Customer_ID], Table1[[#This Row],[Customer_ID]], Table1[Transaction_Amount])</f>
        <v>4876.7728571428579</v>
      </c>
      <c r="I2128" t="s">
        <v>2527</v>
      </c>
      <c r="J2128" t="s">
        <v>46</v>
      </c>
      <c r="K2128" t="s">
        <v>14</v>
      </c>
      <c r="L2128">
        <v>2</v>
      </c>
      <c r="M2128" t="s">
        <v>37</v>
      </c>
      <c r="N2128" t="s">
        <v>56</v>
      </c>
      <c r="O2128" t="s">
        <v>393</v>
      </c>
      <c r="P2128" s="6" t="str">
        <f>IF(Table1[[#This Row],[Transaction_Amount]]&lt;=Table1[[#This Row],[avg_transaction_amount]], "usual transaction", "unusual transaction")</f>
        <v>unusual transaction</v>
      </c>
      <c r="Q2128" s="6" t="str">
        <f>IF(AND(Table1[[#This Row],[Country_of_Residence]]&lt;&gt;Table1[[#This Row],[Country_of_Transaction]], OR(Table1[[#This Row],[Authentication_Type]]="Biometric", Table1[[#This Row],[Authentication_Type]]="OTP")), "safe location transaction", "unsafe location transaction")</f>
        <v>unsafe location transaction</v>
      </c>
      <c r="R2128" s="6" t="str">
        <f>IF(AND(Table1[[#This Row],[Country_of_Residence]]&lt;&gt;Table1[[#This Row],[Country_of_Transaction]], OR(Table1[[#This Row],[Merchant_Category]]="Electronics", Table1[[#This Row],[Merchant_Category]]="Travel")), "unsafe merchant transaction", "safe merchant transaction")</f>
        <v>safe merchant transaction</v>
      </c>
    </row>
    <row r="2129" spans="1:18">
      <c r="A2129" t="s">
        <v>5262</v>
      </c>
      <c r="B2129" t="s">
        <v>306</v>
      </c>
      <c r="C2129">
        <v>1</v>
      </c>
      <c r="D2129" t="s">
        <v>15</v>
      </c>
      <c r="E2129" t="s">
        <v>420</v>
      </c>
      <c r="F2129" s="2">
        <v>45757</v>
      </c>
      <c r="G2129">
        <v>7559.32</v>
      </c>
      <c r="H2129" s="1">
        <f>AVERAGEIF(Table1[Customer_ID], Table1[[#This Row],[Customer_ID]], Table1[Transaction_Amount])</f>
        <v>4876.7728571428579</v>
      </c>
      <c r="I2129" t="s">
        <v>553</v>
      </c>
      <c r="J2129" t="s">
        <v>50</v>
      </c>
      <c r="K2129" t="s">
        <v>8</v>
      </c>
      <c r="L2129">
        <v>1</v>
      </c>
      <c r="M2129" t="s">
        <v>47</v>
      </c>
      <c r="N2129" t="s">
        <v>56</v>
      </c>
      <c r="O2129" t="s">
        <v>393</v>
      </c>
      <c r="P2129" s="6" t="str">
        <f>IF(Table1[[#This Row],[Transaction_Amount]]&lt;=Table1[[#This Row],[avg_transaction_amount]], "usual transaction", "unusual transaction")</f>
        <v>unusual transaction</v>
      </c>
      <c r="Q2129" s="6" t="str">
        <f>IF(AND(Table1[[#This Row],[Country_of_Residence]]&lt;&gt;Table1[[#This Row],[Country_of_Transaction]], OR(Table1[[#This Row],[Authentication_Type]]="Biometric", Table1[[#This Row],[Authentication_Type]]="OTP")), "safe location transaction", "unsafe location transaction")</f>
        <v>safe location transaction</v>
      </c>
      <c r="R2129" s="6" t="str">
        <f>IF(AND(Table1[[#This Row],[Country_of_Residence]]&lt;&gt;Table1[[#This Row],[Country_of_Transaction]], OR(Table1[[#This Row],[Merchant_Category]]="Electronics", Table1[[#This Row],[Merchant_Category]]="Travel")), "unsafe merchant transaction", "safe merchant transaction")</f>
        <v>unsafe merchant transaction</v>
      </c>
    </row>
    <row r="2130" spans="1:18">
      <c r="A2130" t="s">
        <v>5357</v>
      </c>
      <c r="B2130" t="s">
        <v>306</v>
      </c>
      <c r="C2130">
        <v>1</v>
      </c>
      <c r="D2130" t="s">
        <v>9</v>
      </c>
      <c r="E2130" t="s">
        <v>5</v>
      </c>
      <c r="F2130" s="2">
        <v>45880</v>
      </c>
      <c r="G2130">
        <v>3391.72</v>
      </c>
      <c r="H2130" s="1">
        <f>AVERAGEIF(Table1[Customer_ID], Table1[[#This Row],[Customer_ID]], Table1[Transaction_Amount])</f>
        <v>4876.7728571428579</v>
      </c>
      <c r="I2130" t="s">
        <v>2648</v>
      </c>
      <c r="J2130" t="s">
        <v>36</v>
      </c>
      <c r="K2130" t="s">
        <v>12</v>
      </c>
      <c r="L2130">
        <v>5</v>
      </c>
      <c r="M2130" t="s">
        <v>51</v>
      </c>
      <c r="N2130" t="s">
        <v>51</v>
      </c>
      <c r="O2130" t="s">
        <v>393</v>
      </c>
      <c r="P2130" s="6" t="str">
        <f>IF(Table1[[#This Row],[Transaction_Amount]]&lt;=Table1[[#This Row],[avg_transaction_amount]], "usual transaction", "unusual transaction")</f>
        <v>usual transaction</v>
      </c>
      <c r="Q2130" s="6" t="str">
        <f>IF(AND(Table1[[#This Row],[Country_of_Residence]]&lt;&gt;Table1[[#This Row],[Country_of_Transaction]], OR(Table1[[#This Row],[Authentication_Type]]="Biometric", Table1[[#This Row],[Authentication_Type]]="OTP")), "safe location transaction", "unsafe location transaction")</f>
        <v>unsafe location transaction</v>
      </c>
      <c r="R2130" s="6" t="str">
        <f>IF(AND(Table1[[#This Row],[Country_of_Residence]]&lt;&gt;Table1[[#This Row],[Country_of_Transaction]], OR(Table1[[#This Row],[Merchant_Category]]="Electronics", Table1[[#This Row],[Merchant_Category]]="Travel")), "unsafe merchant transaction", "safe merchant transaction")</f>
        <v>safe merchant transaction</v>
      </c>
    </row>
    <row r="2131" spans="1:18">
      <c r="A2131" t="s">
        <v>5385</v>
      </c>
      <c r="B2131" t="s">
        <v>306</v>
      </c>
      <c r="C2131">
        <v>1</v>
      </c>
      <c r="D2131" t="s">
        <v>9</v>
      </c>
      <c r="E2131" t="s">
        <v>6</v>
      </c>
      <c r="F2131" s="2">
        <v>45869</v>
      </c>
      <c r="G2131">
        <v>5831.75</v>
      </c>
      <c r="H2131" s="1">
        <f>AVERAGEIF(Table1[Customer_ID], Table1[[#This Row],[Customer_ID]], Table1[Transaction_Amount])</f>
        <v>4876.7728571428579</v>
      </c>
      <c r="I2131" t="s">
        <v>2352</v>
      </c>
      <c r="J2131" t="s">
        <v>31</v>
      </c>
      <c r="K2131" t="s">
        <v>10</v>
      </c>
      <c r="L2131">
        <v>1</v>
      </c>
      <c r="M2131" t="s">
        <v>412</v>
      </c>
      <c r="N2131" t="s">
        <v>32</v>
      </c>
      <c r="O2131" t="s">
        <v>393</v>
      </c>
      <c r="P2131" s="6" t="str">
        <f>IF(Table1[[#This Row],[Transaction_Amount]]&lt;=Table1[[#This Row],[avg_transaction_amount]], "usual transaction", "unusual transaction")</f>
        <v>unusual transaction</v>
      </c>
      <c r="Q2131" s="6" t="str">
        <f>IF(AND(Table1[[#This Row],[Country_of_Residence]]&lt;&gt;Table1[[#This Row],[Country_of_Transaction]], OR(Table1[[#This Row],[Authentication_Type]]="Biometric", Table1[[#This Row],[Authentication_Type]]="OTP")), "safe location transaction", "unsafe location transaction")</f>
        <v>safe location transaction</v>
      </c>
      <c r="R2131" s="6" t="str">
        <f>IF(AND(Table1[[#This Row],[Country_of_Residence]]&lt;&gt;Table1[[#This Row],[Country_of_Transaction]], OR(Table1[[#This Row],[Merchant_Category]]="Electronics", Table1[[#This Row],[Merchant_Category]]="Travel")), "unsafe merchant transaction", "safe merchant transaction")</f>
        <v>safe merchant transaction</v>
      </c>
    </row>
    <row r="2132" spans="1:18">
      <c r="A2132" t="s">
        <v>5426</v>
      </c>
      <c r="B2132" t="s">
        <v>306</v>
      </c>
      <c r="C2132">
        <v>1</v>
      </c>
      <c r="D2132" t="s">
        <v>15</v>
      </c>
      <c r="E2132" t="s">
        <v>3</v>
      </c>
      <c r="F2132" s="2">
        <v>45718</v>
      </c>
      <c r="G2132">
        <v>5508.71</v>
      </c>
      <c r="H2132" s="1">
        <f>AVERAGEIF(Table1[Customer_ID], Table1[[#This Row],[Customer_ID]], Table1[Transaction_Amount])</f>
        <v>4876.7728571428579</v>
      </c>
      <c r="I2132" t="s">
        <v>2697</v>
      </c>
      <c r="J2132" t="s">
        <v>36</v>
      </c>
      <c r="K2132" t="s">
        <v>10</v>
      </c>
      <c r="L2132">
        <v>1</v>
      </c>
      <c r="M2132" t="s">
        <v>55</v>
      </c>
      <c r="N2132" t="s">
        <v>42</v>
      </c>
      <c r="O2132" t="s">
        <v>393</v>
      </c>
      <c r="P2132" s="6" t="str">
        <f>IF(Table1[[#This Row],[Transaction_Amount]]&lt;=Table1[[#This Row],[avg_transaction_amount]], "usual transaction", "unusual transaction")</f>
        <v>unusual transaction</v>
      </c>
      <c r="Q2132" s="6" t="str">
        <f>IF(AND(Table1[[#This Row],[Country_of_Residence]]&lt;&gt;Table1[[#This Row],[Country_of_Transaction]], OR(Table1[[#This Row],[Authentication_Type]]="Biometric", Table1[[#This Row],[Authentication_Type]]="OTP")), "safe location transaction", "unsafe location transaction")</f>
        <v>safe location transaction</v>
      </c>
      <c r="R2132" s="6" t="str">
        <f>IF(AND(Table1[[#This Row],[Country_of_Residence]]&lt;&gt;Table1[[#This Row],[Country_of_Transaction]], OR(Table1[[#This Row],[Merchant_Category]]="Electronics", Table1[[#This Row],[Merchant_Category]]="Travel")), "unsafe merchant transaction", "safe merchant transaction")</f>
        <v>safe merchant transaction</v>
      </c>
    </row>
    <row r="2133" spans="1:18">
      <c r="A2133" t="s">
        <v>5455</v>
      </c>
      <c r="B2133" t="s">
        <v>306</v>
      </c>
      <c r="C2133">
        <v>1</v>
      </c>
      <c r="D2133" t="s">
        <v>9</v>
      </c>
      <c r="E2133" t="s">
        <v>6</v>
      </c>
      <c r="F2133" s="2">
        <v>45912</v>
      </c>
      <c r="G2133">
        <v>6681.51</v>
      </c>
      <c r="H2133" s="1">
        <f>AVERAGEIF(Table1[Customer_ID], Table1[[#This Row],[Customer_ID]], Table1[Transaction_Amount])</f>
        <v>4876.7728571428579</v>
      </c>
      <c r="I2133" t="s">
        <v>2720</v>
      </c>
      <c r="J2133" t="s">
        <v>50</v>
      </c>
      <c r="K2133" t="s">
        <v>8</v>
      </c>
      <c r="L2133">
        <v>1</v>
      </c>
      <c r="M2133" t="s">
        <v>32</v>
      </c>
      <c r="N2133" t="s">
        <v>412</v>
      </c>
      <c r="O2133" t="s">
        <v>393</v>
      </c>
      <c r="P2133" s="6" t="str">
        <f>IF(Table1[[#This Row],[Transaction_Amount]]&lt;=Table1[[#This Row],[avg_transaction_amount]], "usual transaction", "unusual transaction")</f>
        <v>unusual transaction</v>
      </c>
      <c r="Q2133" s="6" t="str">
        <f>IF(AND(Table1[[#This Row],[Country_of_Residence]]&lt;&gt;Table1[[#This Row],[Country_of_Transaction]], OR(Table1[[#This Row],[Authentication_Type]]="Biometric", Table1[[#This Row],[Authentication_Type]]="OTP")), "safe location transaction", "unsafe location transaction")</f>
        <v>safe location transaction</v>
      </c>
      <c r="R2133" s="6" t="str">
        <f>IF(AND(Table1[[#This Row],[Country_of_Residence]]&lt;&gt;Table1[[#This Row],[Country_of_Transaction]], OR(Table1[[#This Row],[Merchant_Category]]="Electronics", Table1[[#This Row],[Merchant_Category]]="Travel")), "unsafe merchant transaction", "safe merchant transaction")</f>
        <v>unsafe merchant transaction</v>
      </c>
    </row>
    <row r="2134" spans="1:18">
      <c r="A2134" t="s">
        <v>5460</v>
      </c>
      <c r="B2134" t="s">
        <v>306</v>
      </c>
      <c r="C2134">
        <v>1</v>
      </c>
      <c r="D2134" t="s">
        <v>15</v>
      </c>
      <c r="E2134" t="s">
        <v>6</v>
      </c>
      <c r="F2134" s="2">
        <v>45696</v>
      </c>
      <c r="G2134">
        <v>4164.59</v>
      </c>
      <c r="H2134" s="1">
        <f>AVERAGEIF(Table1[Customer_ID], Table1[[#This Row],[Customer_ID]], Table1[Transaction_Amount])</f>
        <v>4876.7728571428579</v>
      </c>
      <c r="I2134" t="s">
        <v>2723</v>
      </c>
      <c r="J2134" t="s">
        <v>36</v>
      </c>
      <c r="K2134" t="s">
        <v>14</v>
      </c>
      <c r="L2134">
        <v>0</v>
      </c>
      <c r="M2134" t="s">
        <v>47</v>
      </c>
      <c r="N2134" t="s">
        <v>51</v>
      </c>
      <c r="O2134" t="s">
        <v>393</v>
      </c>
      <c r="P2134" s="6" t="str">
        <f>IF(Table1[[#This Row],[Transaction_Amount]]&lt;=Table1[[#This Row],[avg_transaction_amount]], "usual transaction", "unusual transaction")</f>
        <v>usual transaction</v>
      </c>
      <c r="Q2134" s="6" t="str">
        <f>IF(AND(Table1[[#This Row],[Country_of_Residence]]&lt;&gt;Table1[[#This Row],[Country_of_Transaction]], OR(Table1[[#This Row],[Authentication_Type]]="Biometric", Table1[[#This Row],[Authentication_Type]]="OTP")), "safe location transaction", "unsafe location transaction")</f>
        <v>unsafe location transaction</v>
      </c>
      <c r="R2134" s="6" t="str">
        <f>IF(AND(Table1[[#This Row],[Country_of_Residence]]&lt;&gt;Table1[[#This Row],[Country_of_Transaction]], OR(Table1[[#This Row],[Merchant_Category]]="Electronics", Table1[[#This Row],[Merchant_Category]]="Travel")), "unsafe merchant transaction", "safe merchant transaction")</f>
        <v>safe merchant transaction</v>
      </c>
    </row>
    <row r="2135" spans="1:18">
      <c r="A2135" t="s">
        <v>5467</v>
      </c>
      <c r="B2135" t="s">
        <v>306</v>
      </c>
      <c r="C2135">
        <v>1</v>
      </c>
      <c r="D2135" t="s">
        <v>9</v>
      </c>
      <c r="E2135" t="s">
        <v>5</v>
      </c>
      <c r="F2135" s="2">
        <v>45886</v>
      </c>
      <c r="G2135">
        <v>5131.8900000000003</v>
      </c>
      <c r="H2135" s="1">
        <f>AVERAGEIF(Table1[Customer_ID], Table1[[#This Row],[Customer_ID]], Table1[Transaction_Amount])</f>
        <v>4876.7728571428579</v>
      </c>
      <c r="I2135" t="s">
        <v>2728</v>
      </c>
      <c r="J2135" t="s">
        <v>31</v>
      </c>
      <c r="K2135" t="s">
        <v>10</v>
      </c>
      <c r="L2135">
        <v>3</v>
      </c>
      <c r="M2135" t="s">
        <v>56</v>
      </c>
      <c r="N2135" t="s">
        <v>47</v>
      </c>
      <c r="O2135" t="s">
        <v>392</v>
      </c>
      <c r="P2135" s="6" t="str">
        <f>IF(Table1[[#This Row],[Transaction_Amount]]&lt;=Table1[[#This Row],[avg_transaction_amount]], "usual transaction", "unusual transaction")</f>
        <v>unusual transaction</v>
      </c>
      <c r="Q2135" s="6" t="str">
        <f>IF(AND(Table1[[#This Row],[Country_of_Residence]]&lt;&gt;Table1[[#This Row],[Country_of_Transaction]], OR(Table1[[#This Row],[Authentication_Type]]="Biometric", Table1[[#This Row],[Authentication_Type]]="OTP")), "safe location transaction", "unsafe location transaction")</f>
        <v>safe location transaction</v>
      </c>
      <c r="R2135" s="6" t="str">
        <f>IF(AND(Table1[[#This Row],[Country_of_Residence]]&lt;&gt;Table1[[#This Row],[Country_of_Transaction]], OR(Table1[[#This Row],[Merchant_Category]]="Electronics", Table1[[#This Row],[Merchant_Category]]="Travel")), "unsafe merchant transaction", "safe merchant transaction")</f>
        <v>safe merchant transaction</v>
      </c>
    </row>
    <row r="2136" spans="1:18">
      <c r="A2136" t="s">
        <v>5483</v>
      </c>
      <c r="B2136" t="s">
        <v>306</v>
      </c>
      <c r="C2136">
        <v>1</v>
      </c>
      <c r="D2136" t="s">
        <v>9</v>
      </c>
      <c r="E2136" t="s">
        <v>5</v>
      </c>
      <c r="F2136" s="2">
        <v>45883</v>
      </c>
      <c r="G2136">
        <v>890.96</v>
      </c>
      <c r="H2136" s="1">
        <f>AVERAGEIF(Table1[Customer_ID], Table1[[#This Row],[Customer_ID]], Table1[Transaction_Amount])</f>
        <v>4876.7728571428579</v>
      </c>
      <c r="I2136" t="s">
        <v>1977</v>
      </c>
      <c r="J2136" t="s">
        <v>36</v>
      </c>
      <c r="K2136" t="s">
        <v>8</v>
      </c>
      <c r="L2136">
        <v>3</v>
      </c>
      <c r="M2136" t="s">
        <v>51</v>
      </c>
      <c r="N2136" t="s">
        <v>47</v>
      </c>
      <c r="O2136" t="s">
        <v>393</v>
      </c>
      <c r="P2136" s="6" t="str">
        <f>IF(Table1[[#This Row],[Transaction_Amount]]&lt;=Table1[[#This Row],[avg_transaction_amount]], "usual transaction", "unusual transaction")</f>
        <v>usual transaction</v>
      </c>
      <c r="Q2136" s="6" t="str">
        <f>IF(AND(Table1[[#This Row],[Country_of_Residence]]&lt;&gt;Table1[[#This Row],[Country_of_Transaction]], OR(Table1[[#This Row],[Authentication_Type]]="Biometric", Table1[[#This Row],[Authentication_Type]]="OTP")), "safe location transaction", "unsafe location transaction")</f>
        <v>safe location transaction</v>
      </c>
      <c r="R2136" s="6" t="str">
        <f>IF(AND(Table1[[#This Row],[Country_of_Residence]]&lt;&gt;Table1[[#This Row],[Country_of_Transaction]], OR(Table1[[#This Row],[Merchant_Category]]="Electronics", Table1[[#This Row],[Merchant_Category]]="Travel")), "unsafe merchant transaction", "safe merchant transaction")</f>
        <v>safe merchant transaction</v>
      </c>
    </row>
    <row r="2137" spans="1:18">
      <c r="A2137" t="s">
        <v>5497</v>
      </c>
      <c r="B2137" t="s">
        <v>306</v>
      </c>
      <c r="C2137">
        <v>1</v>
      </c>
      <c r="D2137" t="s">
        <v>9</v>
      </c>
      <c r="E2137" t="s">
        <v>420</v>
      </c>
      <c r="F2137" s="2">
        <v>45745</v>
      </c>
      <c r="G2137">
        <v>462.58</v>
      </c>
      <c r="H2137" s="1">
        <f>AVERAGEIF(Table1[Customer_ID], Table1[[#This Row],[Customer_ID]], Table1[Transaction_Amount])</f>
        <v>4876.7728571428579</v>
      </c>
      <c r="I2137" t="s">
        <v>2753</v>
      </c>
      <c r="J2137" t="s">
        <v>36</v>
      </c>
      <c r="K2137" t="s">
        <v>12</v>
      </c>
      <c r="L2137">
        <v>1</v>
      </c>
      <c r="M2137" t="s">
        <v>412</v>
      </c>
      <c r="N2137" t="s">
        <v>32</v>
      </c>
      <c r="O2137" t="s">
        <v>393</v>
      </c>
      <c r="P2137" s="6" t="str">
        <f>IF(Table1[[#This Row],[Transaction_Amount]]&lt;=Table1[[#This Row],[avg_transaction_amount]], "usual transaction", "unusual transaction")</f>
        <v>usual transaction</v>
      </c>
      <c r="Q2137" s="6" t="str">
        <f>IF(AND(Table1[[#This Row],[Country_of_Residence]]&lt;&gt;Table1[[#This Row],[Country_of_Transaction]], OR(Table1[[#This Row],[Authentication_Type]]="Biometric", Table1[[#This Row],[Authentication_Type]]="OTP")), "safe location transaction", "unsafe location transaction")</f>
        <v>unsafe location transaction</v>
      </c>
      <c r="R2137" s="6" t="str">
        <f>IF(AND(Table1[[#This Row],[Country_of_Residence]]&lt;&gt;Table1[[#This Row],[Country_of_Transaction]], OR(Table1[[#This Row],[Merchant_Category]]="Electronics", Table1[[#This Row],[Merchant_Category]]="Travel")), "unsafe merchant transaction", "safe merchant transaction")</f>
        <v>safe merchant transaction</v>
      </c>
    </row>
    <row r="2138" spans="1:18">
      <c r="A2138" t="s">
        <v>315</v>
      </c>
      <c r="B2138" t="s">
        <v>316</v>
      </c>
      <c r="C2138">
        <v>1</v>
      </c>
      <c r="D2138" t="s">
        <v>15</v>
      </c>
      <c r="E2138" t="s">
        <v>5</v>
      </c>
      <c r="F2138" s="2">
        <v>45819.590972222199</v>
      </c>
      <c r="G2138">
        <v>8124.48</v>
      </c>
      <c r="H2138" s="1">
        <f>AVERAGEIF(Table1[Customer_ID], Table1[[#This Row],[Customer_ID]], Table1[Transaction_Amount])</f>
        <v>4554.9073584905645</v>
      </c>
      <c r="I2138" t="s">
        <v>317</v>
      </c>
      <c r="J2138" t="s">
        <v>59</v>
      </c>
      <c r="K2138" t="s">
        <v>14</v>
      </c>
      <c r="L2138">
        <v>0</v>
      </c>
      <c r="M2138" t="s">
        <v>318</v>
      </c>
      <c r="N2138" t="s">
        <v>319</v>
      </c>
      <c r="O2138" t="s">
        <v>392</v>
      </c>
      <c r="P2138" t="str">
        <f>IF(Table1[[#This Row],[Transaction_Amount]]&lt;=Table1[[#This Row],[avg_transaction_amount]], "usual transaction", "unusual transaction")</f>
        <v>unusual transaction</v>
      </c>
      <c r="Q2138" t="str">
        <f>IF(AND(Table1[[#This Row],[Country_of_Residence]]&lt;&gt;Table1[[#This Row],[Country_of_Transaction]], OR(Table1[[#This Row],[Authentication_Type]]="Biometric", Table1[[#This Row],[Authentication_Type]]="OTP")), "safe location transaction", "unsafe location transaction")</f>
        <v>unsafe location transaction</v>
      </c>
      <c r="R2138" t="str">
        <f>IF(AND(Table1[[#This Row],[Country_of_Residence]]&lt;&gt;Table1[[#This Row],[Country_of_Transaction]], OR(Table1[[#This Row],[Merchant_Category]]="Electronics", Table1[[#This Row],[Merchant_Category]]="Travel")), "unsafe merchant transaction", "safe merchant transaction")</f>
        <v>unsafe merchant transaction</v>
      </c>
    </row>
    <row r="2139" spans="1:18">
      <c r="A2139" t="s">
        <v>2845</v>
      </c>
      <c r="B2139" t="s">
        <v>316</v>
      </c>
      <c r="C2139">
        <v>1</v>
      </c>
      <c r="D2139" t="s">
        <v>9</v>
      </c>
      <c r="E2139" t="s">
        <v>3</v>
      </c>
      <c r="F2139" s="2">
        <v>45908</v>
      </c>
      <c r="G2139">
        <v>7435.58</v>
      </c>
      <c r="H2139" s="1">
        <f>AVERAGEIF(Table1[Customer_ID], Table1[[#This Row],[Customer_ID]], Table1[Transaction_Amount])</f>
        <v>4554.9073584905645</v>
      </c>
      <c r="I2139" t="s">
        <v>496</v>
      </c>
      <c r="J2139" t="s">
        <v>50</v>
      </c>
      <c r="K2139" t="s">
        <v>10</v>
      </c>
      <c r="L2139">
        <v>5</v>
      </c>
      <c r="M2139" t="s">
        <v>51</v>
      </c>
      <c r="N2139" t="s">
        <v>55</v>
      </c>
      <c r="O2139" t="s">
        <v>393</v>
      </c>
      <c r="P2139" s="6" t="str">
        <f>IF(Table1[[#This Row],[Transaction_Amount]]&lt;=Table1[[#This Row],[avg_transaction_amount]], "usual transaction", "unusual transaction")</f>
        <v>unusual transaction</v>
      </c>
      <c r="Q2139" s="6" t="str">
        <f>IF(AND(Table1[[#This Row],[Country_of_Residence]]&lt;&gt;Table1[[#This Row],[Country_of_Transaction]], OR(Table1[[#This Row],[Authentication_Type]]="Biometric", Table1[[#This Row],[Authentication_Type]]="OTP")), "safe location transaction", "unsafe location transaction")</f>
        <v>safe location transaction</v>
      </c>
      <c r="R2139" s="6" t="str">
        <f>IF(AND(Table1[[#This Row],[Country_of_Residence]]&lt;&gt;Table1[[#This Row],[Country_of_Transaction]], OR(Table1[[#This Row],[Merchant_Category]]="Electronics", Table1[[#This Row],[Merchant_Category]]="Travel")), "unsafe merchant transaction", "safe merchant transaction")</f>
        <v>unsafe merchant transaction</v>
      </c>
    </row>
    <row r="2140" spans="1:18">
      <c r="A2140" t="s">
        <v>2896</v>
      </c>
      <c r="B2140" t="s">
        <v>316</v>
      </c>
      <c r="C2140">
        <v>1</v>
      </c>
      <c r="D2140" t="s">
        <v>9</v>
      </c>
      <c r="E2140" t="s">
        <v>3</v>
      </c>
      <c r="F2140" s="2">
        <v>45672</v>
      </c>
      <c r="G2140">
        <v>9418.99</v>
      </c>
      <c r="H2140" s="1">
        <f>AVERAGEIF(Table1[Customer_ID], Table1[[#This Row],[Customer_ID]], Table1[Transaction_Amount])</f>
        <v>4554.9073584905645</v>
      </c>
      <c r="I2140" t="s">
        <v>546</v>
      </c>
      <c r="J2140" t="s">
        <v>41</v>
      </c>
      <c r="K2140" t="s">
        <v>14</v>
      </c>
      <c r="L2140">
        <v>5</v>
      </c>
      <c r="M2140" t="s">
        <v>55</v>
      </c>
      <c r="N2140" t="s">
        <v>56</v>
      </c>
      <c r="O2140" t="s">
        <v>392</v>
      </c>
      <c r="P2140" s="6" t="str">
        <f>IF(Table1[[#This Row],[Transaction_Amount]]&lt;=Table1[[#This Row],[avg_transaction_amount]], "usual transaction", "unusual transaction")</f>
        <v>unusual transaction</v>
      </c>
      <c r="Q2140" s="6" t="str">
        <f>IF(AND(Table1[[#This Row],[Country_of_Residence]]&lt;&gt;Table1[[#This Row],[Country_of_Transaction]], OR(Table1[[#This Row],[Authentication_Type]]="Biometric", Table1[[#This Row],[Authentication_Type]]="OTP")), "safe location transaction", "unsafe location transaction")</f>
        <v>unsafe location transaction</v>
      </c>
      <c r="R2140" s="6" t="str">
        <f>IF(AND(Table1[[#This Row],[Country_of_Residence]]&lt;&gt;Table1[[#This Row],[Country_of_Transaction]], OR(Table1[[#This Row],[Merchant_Category]]="Electronics", Table1[[#This Row],[Merchant_Category]]="Travel")), "unsafe merchant transaction", "safe merchant transaction")</f>
        <v>safe merchant transaction</v>
      </c>
    </row>
    <row r="2141" spans="1:18">
      <c r="A2141" t="s">
        <v>2943</v>
      </c>
      <c r="B2141" t="s">
        <v>316</v>
      </c>
      <c r="C2141">
        <v>1</v>
      </c>
      <c r="D2141" t="s">
        <v>9</v>
      </c>
      <c r="E2141" t="s">
        <v>3</v>
      </c>
      <c r="F2141" s="2">
        <v>45811</v>
      </c>
      <c r="G2141">
        <v>1484.71</v>
      </c>
      <c r="H2141" s="1">
        <f>AVERAGEIF(Table1[Customer_ID], Table1[[#This Row],[Customer_ID]], Table1[Transaction_Amount])</f>
        <v>4554.9073584905645</v>
      </c>
      <c r="I2141" t="s">
        <v>592</v>
      </c>
      <c r="J2141" t="s">
        <v>41</v>
      </c>
      <c r="K2141" t="s">
        <v>8</v>
      </c>
      <c r="L2141">
        <v>5</v>
      </c>
      <c r="M2141" t="s">
        <v>33</v>
      </c>
      <c r="N2141" t="s">
        <v>51</v>
      </c>
      <c r="O2141" t="s">
        <v>393</v>
      </c>
      <c r="P2141" s="6" t="str">
        <f>IF(Table1[[#This Row],[Transaction_Amount]]&lt;=Table1[[#This Row],[avg_transaction_amount]], "usual transaction", "unusual transaction")</f>
        <v>usual transaction</v>
      </c>
      <c r="Q2141" s="6" t="str">
        <f>IF(AND(Table1[[#This Row],[Country_of_Residence]]&lt;&gt;Table1[[#This Row],[Country_of_Transaction]], OR(Table1[[#This Row],[Authentication_Type]]="Biometric", Table1[[#This Row],[Authentication_Type]]="OTP")), "safe location transaction", "unsafe location transaction")</f>
        <v>safe location transaction</v>
      </c>
      <c r="R2141" s="6" t="str">
        <f>IF(AND(Table1[[#This Row],[Country_of_Residence]]&lt;&gt;Table1[[#This Row],[Country_of_Transaction]], OR(Table1[[#This Row],[Merchant_Category]]="Electronics", Table1[[#This Row],[Merchant_Category]]="Travel")), "unsafe merchant transaction", "safe merchant transaction")</f>
        <v>safe merchant transaction</v>
      </c>
    </row>
    <row r="2142" spans="1:18">
      <c r="A2142" t="s">
        <v>2960</v>
      </c>
      <c r="B2142" t="s">
        <v>316</v>
      </c>
      <c r="C2142">
        <v>1</v>
      </c>
      <c r="D2142" t="s">
        <v>15</v>
      </c>
      <c r="E2142" t="s">
        <v>6</v>
      </c>
      <c r="F2142" s="2">
        <v>45800</v>
      </c>
      <c r="G2142">
        <v>4324.05</v>
      </c>
      <c r="H2142" s="1">
        <f>AVERAGEIF(Table1[Customer_ID], Table1[[#This Row],[Customer_ID]], Table1[Transaction_Amount])</f>
        <v>4554.9073584905645</v>
      </c>
      <c r="I2142" t="s">
        <v>608</v>
      </c>
      <c r="J2142" t="s">
        <v>41</v>
      </c>
      <c r="K2142" t="s">
        <v>10</v>
      </c>
      <c r="L2142">
        <v>4</v>
      </c>
      <c r="M2142" t="s">
        <v>42</v>
      </c>
      <c r="N2142" t="s">
        <v>51</v>
      </c>
      <c r="O2142" t="s">
        <v>393</v>
      </c>
      <c r="P2142" s="6" t="str">
        <f>IF(Table1[[#This Row],[Transaction_Amount]]&lt;=Table1[[#This Row],[avg_transaction_amount]], "usual transaction", "unusual transaction")</f>
        <v>usual transaction</v>
      </c>
      <c r="Q2142" s="6" t="str">
        <f>IF(AND(Table1[[#This Row],[Country_of_Residence]]&lt;&gt;Table1[[#This Row],[Country_of_Transaction]], OR(Table1[[#This Row],[Authentication_Type]]="Biometric", Table1[[#This Row],[Authentication_Type]]="OTP")), "safe location transaction", "unsafe location transaction")</f>
        <v>safe location transaction</v>
      </c>
      <c r="R2142" s="6" t="str">
        <f>IF(AND(Table1[[#This Row],[Country_of_Residence]]&lt;&gt;Table1[[#This Row],[Country_of_Transaction]], OR(Table1[[#This Row],[Merchant_Category]]="Electronics", Table1[[#This Row],[Merchant_Category]]="Travel")), "unsafe merchant transaction", "safe merchant transaction")</f>
        <v>safe merchant transaction</v>
      </c>
    </row>
    <row r="2143" spans="1:18">
      <c r="A2143" t="s">
        <v>2992</v>
      </c>
      <c r="B2143" t="s">
        <v>316</v>
      </c>
      <c r="C2143">
        <v>1</v>
      </c>
      <c r="D2143" t="s">
        <v>9</v>
      </c>
      <c r="E2143" t="s">
        <v>3</v>
      </c>
      <c r="F2143" s="2">
        <v>45961</v>
      </c>
      <c r="G2143">
        <v>1000.99</v>
      </c>
      <c r="H2143" s="1">
        <f>AVERAGEIF(Table1[Customer_ID], Table1[[#This Row],[Customer_ID]], Table1[Transaction_Amount])</f>
        <v>4554.9073584905645</v>
      </c>
      <c r="I2143" t="s">
        <v>639</v>
      </c>
      <c r="J2143" t="s">
        <v>36</v>
      </c>
      <c r="K2143" t="s">
        <v>12</v>
      </c>
      <c r="L2143">
        <v>1</v>
      </c>
      <c r="M2143" t="s">
        <v>37</v>
      </c>
      <c r="N2143" t="s">
        <v>37</v>
      </c>
      <c r="O2143" t="s">
        <v>393</v>
      </c>
      <c r="P2143" s="6" t="str">
        <f>IF(Table1[[#This Row],[Transaction_Amount]]&lt;=Table1[[#This Row],[avg_transaction_amount]], "usual transaction", "unusual transaction")</f>
        <v>usual transaction</v>
      </c>
      <c r="Q2143" s="6" t="str">
        <f>IF(AND(Table1[[#This Row],[Country_of_Residence]]&lt;&gt;Table1[[#This Row],[Country_of_Transaction]], OR(Table1[[#This Row],[Authentication_Type]]="Biometric", Table1[[#This Row],[Authentication_Type]]="OTP")), "safe location transaction", "unsafe location transaction")</f>
        <v>unsafe location transaction</v>
      </c>
      <c r="R2143" s="6" t="str">
        <f>IF(AND(Table1[[#This Row],[Country_of_Residence]]&lt;&gt;Table1[[#This Row],[Country_of_Transaction]], OR(Table1[[#This Row],[Merchant_Category]]="Electronics", Table1[[#This Row],[Merchant_Category]]="Travel")), "unsafe merchant transaction", "safe merchant transaction")</f>
        <v>safe merchant transaction</v>
      </c>
    </row>
    <row r="2144" spans="1:18">
      <c r="A2144" t="s">
        <v>3005</v>
      </c>
      <c r="B2144" t="s">
        <v>316</v>
      </c>
      <c r="C2144">
        <v>1</v>
      </c>
      <c r="D2144" t="s">
        <v>15</v>
      </c>
      <c r="E2144" t="s">
        <v>5</v>
      </c>
      <c r="F2144" s="2">
        <v>45695</v>
      </c>
      <c r="G2144">
        <v>7061.73</v>
      </c>
      <c r="H2144" s="1">
        <f>AVERAGEIF(Table1[Customer_ID], Table1[[#This Row],[Customer_ID]], Table1[Transaction_Amount])</f>
        <v>4554.9073584905645</v>
      </c>
      <c r="I2144" t="s">
        <v>652</v>
      </c>
      <c r="J2144" t="s">
        <v>41</v>
      </c>
      <c r="K2144" t="s">
        <v>10</v>
      </c>
      <c r="L2144">
        <v>2</v>
      </c>
      <c r="M2144" t="s">
        <v>37</v>
      </c>
      <c r="N2144" t="s">
        <v>51</v>
      </c>
      <c r="O2144" t="s">
        <v>392</v>
      </c>
      <c r="P2144" s="6" t="str">
        <f>IF(Table1[[#This Row],[Transaction_Amount]]&lt;=Table1[[#This Row],[avg_transaction_amount]], "usual transaction", "unusual transaction")</f>
        <v>unusual transaction</v>
      </c>
      <c r="Q2144" s="6" t="str">
        <f>IF(AND(Table1[[#This Row],[Country_of_Residence]]&lt;&gt;Table1[[#This Row],[Country_of_Transaction]], OR(Table1[[#This Row],[Authentication_Type]]="Biometric", Table1[[#This Row],[Authentication_Type]]="OTP")), "safe location transaction", "unsafe location transaction")</f>
        <v>safe location transaction</v>
      </c>
      <c r="R2144" s="6" t="str">
        <f>IF(AND(Table1[[#This Row],[Country_of_Residence]]&lt;&gt;Table1[[#This Row],[Country_of_Transaction]], OR(Table1[[#This Row],[Merchant_Category]]="Electronics", Table1[[#This Row],[Merchant_Category]]="Travel")), "unsafe merchant transaction", "safe merchant transaction")</f>
        <v>safe merchant transaction</v>
      </c>
    </row>
    <row r="2145" spans="1:18">
      <c r="A2145" t="s">
        <v>3057</v>
      </c>
      <c r="B2145" t="s">
        <v>316</v>
      </c>
      <c r="C2145">
        <v>1</v>
      </c>
      <c r="D2145" t="s">
        <v>15</v>
      </c>
      <c r="E2145" t="s">
        <v>6</v>
      </c>
      <c r="F2145" s="2">
        <v>45723</v>
      </c>
      <c r="G2145">
        <v>4855.17</v>
      </c>
      <c r="H2145" s="1">
        <f>AVERAGEIF(Table1[Customer_ID], Table1[[#This Row],[Customer_ID]], Table1[Transaction_Amount])</f>
        <v>4554.9073584905645</v>
      </c>
      <c r="I2145" t="s">
        <v>702</v>
      </c>
      <c r="J2145" t="s">
        <v>41</v>
      </c>
      <c r="K2145" t="s">
        <v>14</v>
      </c>
      <c r="L2145">
        <v>4</v>
      </c>
      <c r="M2145" t="s">
        <v>56</v>
      </c>
      <c r="N2145" t="s">
        <v>56</v>
      </c>
      <c r="O2145" t="s">
        <v>392</v>
      </c>
      <c r="P2145" s="6" t="str">
        <f>IF(Table1[[#This Row],[Transaction_Amount]]&lt;=Table1[[#This Row],[avg_transaction_amount]], "usual transaction", "unusual transaction")</f>
        <v>unusual transaction</v>
      </c>
      <c r="Q2145" s="6" t="str">
        <f>IF(AND(Table1[[#This Row],[Country_of_Residence]]&lt;&gt;Table1[[#This Row],[Country_of_Transaction]], OR(Table1[[#This Row],[Authentication_Type]]="Biometric", Table1[[#This Row],[Authentication_Type]]="OTP")), "safe location transaction", "unsafe location transaction")</f>
        <v>unsafe location transaction</v>
      </c>
      <c r="R2145" s="6" t="str">
        <f>IF(AND(Table1[[#This Row],[Country_of_Residence]]&lt;&gt;Table1[[#This Row],[Country_of_Transaction]], OR(Table1[[#This Row],[Merchant_Category]]="Electronics", Table1[[#This Row],[Merchant_Category]]="Travel")), "unsafe merchant transaction", "safe merchant transaction")</f>
        <v>safe merchant transaction</v>
      </c>
    </row>
    <row r="2146" spans="1:18">
      <c r="A2146" t="s">
        <v>3060</v>
      </c>
      <c r="B2146" t="s">
        <v>316</v>
      </c>
      <c r="C2146">
        <v>1</v>
      </c>
      <c r="D2146" t="s">
        <v>9</v>
      </c>
      <c r="E2146" t="s">
        <v>5</v>
      </c>
      <c r="F2146" s="2">
        <v>45874</v>
      </c>
      <c r="G2146">
        <v>5727.85</v>
      </c>
      <c r="H2146" s="1">
        <f>AVERAGEIF(Table1[Customer_ID], Table1[[#This Row],[Customer_ID]], Table1[Transaction_Amount])</f>
        <v>4554.9073584905645</v>
      </c>
      <c r="I2146" t="s">
        <v>705</v>
      </c>
      <c r="J2146" t="s">
        <v>31</v>
      </c>
      <c r="K2146" t="s">
        <v>10</v>
      </c>
      <c r="L2146">
        <v>3</v>
      </c>
      <c r="M2146" t="s">
        <v>42</v>
      </c>
      <c r="N2146" t="s">
        <v>412</v>
      </c>
      <c r="O2146" t="s">
        <v>392</v>
      </c>
      <c r="P2146" s="6" t="str">
        <f>IF(Table1[[#This Row],[Transaction_Amount]]&lt;=Table1[[#This Row],[avg_transaction_amount]], "usual transaction", "unusual transaction")</f>
        <v>unusual transaction</v>
      </c>
      <c r="Q2146" s="6" t="str">
        <f>IF(AND(Table1[[#This Row],[Country_of_Residence]]&lt;&gt;Table1[[#This Row],[Country_of_Transaction]], OR(Table1[[#This Row],[Authentication_Type]]="Biometric", Table1[[#This Row],[Authentication_Type]]="OTP")), "safe location transaction", "unsafe location transaction")</f>
        <v>safe location transaction</v>
      </c>
      <c r="R2146" s="6" t="str">
        <f>IF(AND(Table1[[#This Row],[Country_of_Residence]]&lt;&gt;Table1[[#This Row],[Country_of_Transaction]], OR(Table1[[#This Row],[Merchant_Category]]="Electronics", Table1[[#This Row],[Merchant_Category]]="Travel")), "unsafe merchant transaction", "safe merchant transaction")</f>
        <v>safe merchant transaction</v>
      </c>
    </row>
    <row r="2147" spans="1:18">
      <c r="A2147" t="s">
        <v>3150</v>
      </c>
      <c r="B2147" t="s">
        <v>316</v>
      </c>
      <c r="C2147">
        <v>1</v>
      </c>
      <c r="D2147" t="s">
        <v>9</v>
      </c>
      <c r="E2147" t="s">
        <v>6</v>
      </c>
      <c r="F2147" s="2">
        <v>45688</v>
      </c>
      <c r="G2147">
        <v>9065.1</v>
      </c>
      <c r="H2147" s="1">
        <f>AVERAGEIF(Table1[Customer_ID], Table1[[#This Row],[Customer_ID]], Table1[Transaction_Amount])</f>
        <v>4554.9073584905645</v>
      </c>
      <c r="I2147" t="s">
        <v>788</v>
      </c>
      <c r="J2147" t="s">
        <v>41</v>
      </c>
      <c r="K2147" t="s">
        <v>14</v>
      </c>
      <c r="L2147">
        <v>0</v>
      </c>
      <c r="M2147" t="s">
        <v>47</v>
      </c>
      <c r="N2147" t="s">
        <v>412</v>
      </c>
      <c r="O2147" t="s">
        <v>392</v>
      </c>
      <c r="P2147" s="6" t="str">
        <f>IF(Table1[[#This Row],[Transaction_Amount]]&lt;=Table1[[#This Row],[avg_transaction_amount]], "usual transaction", "unusual transaction")</f>
        <v>unusual transaction</v>
      </c>
      <c r="Q2147" s="6" t="str">
        <f>IF(AND(Table1[[#This Row],[Country_of_Residence]]&lt;&gt;Table1[[#This Row],[Country_of_Transaction]], OR(Table1[[#This Row],[Authentication_Type]]="Biometric", Table1[[#This Row],[Authentication_Type]]="OTP")), "safe location transaction", "unsafe location transaction")</f>
        <v>unsafe location transaction</v>
      </c>
      <c r="R2147" s="6" t="str">
        <f>IF(AND(Table1[[#This Row],[Country_of_Residence]]&lt;&gt;Table1[[#This Row],[Country_of_Transaction]], OR(Table1[[#This Row],[Merchant_Category]]="Electronics", Table1[[#This Row],[Merchant_Category]]="Travel")), "unsafe merchant transaction", "safe merchant transaction")</f>
        <v>safe merchant transaction</v>
      </c>
    </row>
    <row r="2148" spans="1:18">
      <c r="A2148" t="s">
        <v>3189</v>
      </c>
      <c r="B2148" t="s">
        <v>316</v>
      </c>
      <c r="C2148">
        <v>1</v>
      </c>
      <c r="D2148" t="s">
        <v>15</v>
      </c>
      <c r="E2148" t="s">
        <v>420</v>
      </c>
      <c r="F2148" s="2">
        <v>45748</v>
      </c>
      <c r="G2148">
        <v>5980.95</v>
      </c>
      <c r="H2148" s="1">
        <f>AVERAGEIF(Table1[Customer_ID], Table1[[#This Row],[Customer_ID]], Table1[Transaction_Amount])</f>
        <v>4554.9073584905645</v>
      </c>
      <c r="I2148" t="s">
        <v>824</v>
      </c>
      <c r="J2148" t="s">
        <v>31</v>
      </c>
      <c r="K2148" t="s">
        <v>10</v>
      </c>
      <c r="L2148">
        <v>5</v>
      </c>
      <c r="M2148" t="s">
        <v>56</v>
      </c>
      <c r="N2148" t="s">
        <v>51</v>
      </c>
      <c r="O2148" t="s">
        <v>393</v>
      </c>
      <c r="P2148" s="6" t="str">
        <f>IF(Table1[[#This Row],[Transaction_Amount]]&lt;=Table1[[#This Row],[avg_transaction_amount]], "usual transaction", "unusual transaction")</f>
        <v>unusual transaction</v>
      </c>
      <c r="Q2148" s="6" t="str">
        <f>IF(AND(Table1[[#This Row],[Country_of_Residence]]&lt;&gt;Table1[[#This Row],[Country_of_Transaction]], OR(Table1[[#This Row],[Authentication_Type]]="Biometric", Table1[[#This Row],[Authentication_Type]]="OTP")), "safe location transaction", "unsafe location transaction")</f>
        <v>safe location transaction</v>
      </c>
      <c r="R2148" s="6" t="str">
        <f>IF(AND(Table1[[#This Row],[Country_of_Residence]]&lt;&gt;Table1[[#This Row],[Country_of_Transaction]], OR(Table1[[#This Row],[Merchant_Category]]="Electronics", Table1[[#This Row],[Merchant_Category]]="Travel")), "unsafe merchant transaction", "safe merchant transaction")</f>
        <v>safe merchant transaction</v>
      </c>
    </row>
    <row r="2149" spans="1:18">
      <c r="A2149" t="s">
        <v>3231</v>
      </c>
      <c r="B2149" t="s">
        <v>316</v>
      </c>
      <c r="C2149">
        <v>1</v>
      </c>
      <c r="D2149" t="s">
        <v>15</v>
      </c>
      <c r="E2149" t="s">
        <v>420</v>
      </c>
      <c r="F2149" s="2">
        <v>45680</v>
      </c>
      <c r="G2149">
        <v>9465.2099999999991</v>
      </c>
      <c r="H2149" s="1">
        <f>AVERAGEIF(Table1[Customer_ID], Table1[[#This Row],[Customer_ID]], Table1[Transaction_Amount])</f>
        <v>4554.9073584905645</v>
      </c>
      <c r="I2149" t="s">
        <v>864</v>
      </c>
      <c r="J2149" t="s">
        <v>41</v>
      </c>
      <c r="K2149" t="s">
        <v>10</v>
      </c>
      <c r="L2149">
        <v>3</v>
      </c>
      <c r="M2149" t="s">
        <v>33</v>
      </c>
      <c r="N2149" t="s">
        <v>56</v>
      </c>
      <c r="O2149" t="s">
        <v>393</v>
      </c>
      <c r="P2149" s="6" t="str">
        <f>IF(Table1[[#This Row],[Transaction_Amount]]&lt;=Table1[[#This Row],[avg_transaction_amount]], "usual transaction", "unusual transaction")</f>
        <v>unusual transaction</v>
      </c>
      <c r="Q2149" s="6" t="str">
        <f>IF(AND(Table1[[#This Row],[Country_of_Residence]]&lt;&gt;Table1[[#This Row],[Country_of_Transaction]], OR(Table1[[#This Row],[Authentication_Type]]="Biometric", Table1[[#This Row],[Authentication_Type]]="OTP")), "safe location transaction", "unsafe location transaction")</f>
        <v>safe location transaction</v>
      </c>
      <c r="R2149" s="6" t="str">
        <f>IF(AND(Table1[[#This Row],[Country_of_Residence]]&lt;&gt;Table1[[#This Row],[Country_of_Transaction]], OR(Table1[[#This Row],[Merchant_Category]]="Electronics", Table1[[#This Row],[Merchant_Category]]="Travel")), "unsafe merchant transaction", "safe merchant transaction")</f>
        <v>safe merchant transaction</v>
      </c>
    </row>
    <row r="2150" spans="1:18">
      <c r="A2150" t="s">
        <v>3241</v>
      </c>
      <c r="B2150" t="s">
        <v>316</v>
      </c>
      <c r="C2150">
        <v>1</v>
      </c>
      <c r="D2150" t="s">
        <v>9</v>
      </c>
      <c r="E2150" t="s">
        <v>420</v>
      </c>
      <c r="F2150" s="2">
        <v>45813</v>
      </c>
      <c r="G2150">
        <v>6675.26</v>
      </c>
      <c r="H2150" s="1">
        <f>AVERAGEIF(Table1[Customer_ID], Table1[[#This Row],[Customer_ID]], Table1[Transaction_Amount])</f>
        <v>4554.9073584905645</v>
      </c>
      <c r="I2150" t="s">
        <v>873</v>
      </c>
      <c r="J2150" t="s">
        <v>50</v>
      </c>
      <c r="K2150" t="s">
        <v>12</v>
      </c>
      <c r="L2150">
        <v>2</v>
      </c>
      <c r="M2150" t="s">
        <v>55</v>
      </c>
      <c r="N2150" t="s">
        <v>47</v>
      </c>
      <c r="O2150" t="s">
        <v>393</v>
      </c>
      <c r="P2150" s="6" t="str">
        <f>IF(Table1[[#This Row],[Transaction_Amount]]&lt;=Table1[[#This Row],[avg_transaction_amount]], "usual transaction", "unusual transaction")</f>
        <v>unusual transaction</v>
      </c>
      <c r="Q2150" s="6" t="str">
        <f>IF(AND(Table1[[#This Row],[Country_of_Residence]]&lt;&gt;Table1[[#This Row],[Country_of_Transaction]], OR(Table1[[#This Row],[Authentication_Type]]="Biometric", Table1[[#This Row],[Authentication_Type]]="OTP")), "safe location transaction", "unsafe location transaction")</f>
        <v>unsafe location transaction</v>
      </c>
      <c r="R2150" s="6" t="str">
        <f>IF(AND(Table1[[#This Row],[Country_of_Residence]]&lt;&gt;Table1[[#This Row],[Country_of_Transaction]], OR(Table1[[#This Row],[Merchant_Category]]="Electronics", Table1[[#This Row],[Merchant_Category]]="Travel")), "unsafe merchant transaction", "safe merchant transaction")</f>
        <v>unsafe merchant transaction</v>
      </c>
    </row>
    <row r="2151" spans="1:18">
      <c r="A2151" t="s">
        <v>3262</v>
      </c>
      <c r="B2151" t="s">
        <v>316</v>
      </c>
      <c r="C2151">
        <v>1</v>
      </c>
      <c r="D2151" t="s">
        <v>15</v>
      </c>
      <c r="E2151" t="s">
        <v>3</v>
      </c>
      <c r="F2151" s="2">
        <v>45708</v>
      </c>
      <c r="G2151">
        <v>3510.97</v>
      </c>
      <c r="H2151" s="1">
        <f>AVERAGEIF(Table1[Customer_ID], Table1[[#This Row],[Customer_ID]], Table1[Transaction_Amount])</f>
        <v>4554.9073584905645</v>
      </c>
      <c r="I2151" t="s">
        <v>892</v>
      </c>
      <c r="J2151" t="s">
        <v>41</v>
      </c>
      <c r="K2151" t="s">
        <v>12</v>
      </c>
      <c r="L2151">
        <v>5</v>
      </c>
      <c r="M2151" t="s">
        <v>55</v>
      </c>
      <c r="N2151" t="s">
        <v>37</v>
      </c>
      <c r="O2151" t="s">
        <v>392</v>
      </c>
      <c r="P2151" s="6" t="str">
        <f>IF(Table1[[#This Row],[Transaction_Amount]]&lt;=Table1[[#This Row],[avg_transaction_amount]], "usual transaction", "unusual transaction")</f>
        <v>usual transaction</v>
      </c>
      <c r="Q2151" s="6" t="str">
        <f>IF(AND(Table1[[#This Row],[Country_of_Residence]]&lt;&gt;Table1[[#This Row],[Country_of_Transaction]], OR(Table1[[#This Row],[Authentication_Type]]="Biometric", Table1[[#This Row],[Authentication_Type]]="OTP")), "safe location transaction", "unsafe location transaction")</f>
        <v>unsafe location transaction</v>
      </c>
      <c r="R2151" s="6" t="str">
        <f>IF(AND(Table1[[#This Row],[Country_of_Residence]]&lt;&gt;Table1[[#This Row],[Country_of_Transaction]], OR(Table1[[#This Row],[Merchant_Category]]="Electronics", Table1[[#This Row],[Merchant_Category]]="Travel")), "unsafe merchant transaction", "safe merchant transaction")</f>
        <v>safe merchant transaction</v>
      </c>
    </row>
    <row r="2152" spans="1:18">
      <c r="A2152" t="s">
        <v>3274</v>
      </c>
      <c r="B2152" t="s">
        <v>316</v>
      </c>
      <c r="C2152">
        <v>1</v>
      </c>
      <c r="D2152" t="s">
        <v>9</v>
      </c>
      <c r="E2152" t="s">
        <v>3</v>
      </c>
      <c r="F2152" s="2">
        <v>45978</v>
      </c>
      <c r="G2152">
        <v>498.93</v>
      </c>
      <c r="H2152" s="1">
        <f>AVERAGEIF(Table1[Customer_ID], Table1[[#This Row],[Customer_ID]], Table1[Transaction_Amount])</f>
        <v>4554.9073584905645</v>
      </c>
      <c r="I2152" t="s">
        <v>902</v>
      </c>
      <c r="J2152" t="s">
        <v>31</v>
      </c>
      <c r="K2152" t="s">
        <v>8</v>
      </c>
      <c r="L2152">
        <v>2</v>
      </c>
      <c r="M2152" t="s">
        <v>51</v>
      </c>
      <c r="N2152" t="s">
        <v>56</v>
      </c>
      <c r="O2152" t="s">
        <v>393</v>
      </c>
      <c r="P2152" s="6" t="str">
        <f>IF(Table1[[#This Row],[Transaction_Amount]]&lt;=Table1[[#This Row],[avg_transaction_amount]], "usual transaction", "unusual transaction")</f>
        <v>usual transaction</v>
      </c>
      <c r="Q2152" s="6" t="str">
        <f>IF(AND(Table1[[#This Row],[Country_of_Residence]]&lt;&gt;Table1[[#This Row],[Country_of_Transaction]], OR(Table1[[#This Row],[Authentication_Type]]="Biometric", Table1[[#This Row],[Authentication_Type]]="OTP")), "safe location transaction", "unsafe location transaction")</f>
        <v>safe location transaction</v>
      </c>
      <c r="R2152" s="6" t="str">
        <f>IF(AND(Table1[[#This Row],[Country_of_Residence]]&lt;&gt;Table1[[#This Row],[Country_of_Transaction]], OR(Table1[[#This Row],[Merchant_Category]]="Electronics", Table1[[#This Row],[Merchant_Category]]="Travel")), "unsafe merchant transaction", "safe merchant transaction")</f>
        <v>safe merchant transaction</v>
      </c>
    </row>
    <row r="2153" spans="1:18">
      <c r="A2153" t="s">
        <v>3381</v>
      </c>
      <c r="B2153" t="s">
        <v>316</v>
      </c>
      <c r="C2153">
        <v>1</v>
      </c>
      <c r="D2153" t="s">
        <v>9</v>
      </c>
      <c r="E2153" t="s">
        <v>420</v>
      </c>
      <c r="F2153" s="2">
        <v>45888</v>
      </c>
      <c r="G2153">
        <v>459.37</v>
      </c>
      <c r="H2153" s="1">
        <f>AVERAGEIF(Table1[Customer_ID], Table1[[#This Row],[Customer_ID]], Table1[Transaction_Amount])</f>
        <v>4554.9073584905645</v>
      </c>
      <c r="I2153" t="s">
        <v>1002</v>
      </c>
      <c r="J2153" t="s">
        <v>36</v>
      </c>
      <c r="K2153" t="s">
        <v>14</v>
      </c>
      <c r="L2153">
        <v>3</v>
      </c>
      <c r="M2153" t="s">
        <v>51</v>
      </c>
      <c r="N2153" t="s">
        <v>37</v>
      </c>
      <c r="O2153" t="s">
        <v>393</v>
      </c>
      <c r="P2153" s="6" t="str">
        <f>IF(Table1[[#This Row],[Transaction_Amount]]&lt;=Table1[[#This Row],[avg_transaction_amount]], "usual transaction", "unusual transaction")</f>
        <v>usual transaction</v>
      </c>
      <c r="Q2153" s="6" t="str">
        <f>IF(AND(Table1[[#This Row],[Country_of_Residence]]&lt;&gt;Table1[[#This Row],[Country_of_Transaction]], OR(Table1[[#This Row],[Authentication_Type]]="Biometric", Table1[[#This Row],[Authentication_Type]]="OTP")), "safe location transaction", "unsafe location transaction")</f>
        <v>unsafe location transaction</v>
      </c>
      <c r="R2153" s="6" t="str">
        <f>IF(AND(Table1[[#This Row],[Country_of_Residence]]&lt;&gt;Table1[[#This Row],[Country_of_Transaction]], OR(Table1[[#This Row],[Merchant_Category]]="Electronics", Table1[[#This Row],[Merchant_Category]]="Travel")), "unsafe merchant transaction", "safe merchant transaction")</f>
        <v>safe merchant transaction</v>
      </c>
    </row>
    <row r="2154" spans="1:18">
      <c r="A2154" t="s">
        <v>3447</v>
      </c>
      <c r="B2154" t="s">
        <v>316</v>
      </c>
      <c r="C2154">
        <v>1</v>
      </c>
      <c r="D2154" t="s">
        <v>9</v>
      </c>
      <c r="E2154" t="s">
        <v>3</v>
      </c>
      <c r="F2154" s="2">
        <v>45939</v>
      </c>
      <c r="G2154">
        <v>3622.7</v>
      </c>
      <c r="H2154" s="1">
        <f>AVERAGEIF(Table1[Customer_ID], Table1[[#This Row],[Customer_ID]], Table1[Transaction_Amount])</f>
        <v>4554.9073584905645</v>
      </c>
      <c r="I2154" t="s">
        <v>1066</v>
      </c>
      <c r="J2154" t="s">
        <v>36</v>
      </c>
      <c r="K2154" t="s">
        <v>12</v>
      </c>
      <c r="L2154">
        <v>3</v>
      </c>
      <c r="M2154" t="s">
        <v>47</v>
      </c>
      <c r="N2154" t="s">
        <v>32</v>
      </c>
      <c r="O2154" t="s">
        <v>393</v>
      </c>
      <c r="P2154" s="6" t="str">
        <f>IF(Table1[[#This Row],[Transaction_Amount]]&lt;=Table1[[#This Row],[avg_transaction_amount]], "usual transaction", "unusual transaction")</f>
        <v>usual transaction</v>
      </c>
      <c r="Q2154" s="6" t="str">
        <f>IF(AND(Table1[[#This Row],[Country_of_Residence]]&lt;&gt;Table1[[#This Row],[Country_of_Transaction]], OR(Table1[[#This Row],[Authentication_Type]]="Biometric", Table1[[#This Row],[Authentication_Type]]="OTP")), "safe location transaction", "unsafe location transaction")</f>
        <v>unsafe location transaction</v>
      </c>
      <c r="R2154" s="6" t="str">
        <f>IF(AND(Table1[[#This Row],[Country_of_Residence]]&lt;&gt;Table1[[#This Row],[Country_of_Transaction]], OR(Table1[[#This Row],[Merchant_Category]]="Electronics", Table1[[#This Row],[Merchant_Category]]="Travel")), "unsafe merchant transaction", "safe merchant transaction")</f>
        <v>safe merchant transaction</v>
      </c>
    </row>
    <row r="2155" spans="1:18">
      <c r="A2155" t="s">
        <v>3534</v>
      </c>
      <c r="B2155" t="s">
        <v>316</v>
      </c>
      <c r="C2155">
        <v>1</v>
      </c>
      <c r="D2155" t="s">
        <v>15</v>
      </c>
      <c r="E2155" t="s">
        <v>6</v>
      </c>
      <c r="F2155" s="2">
        <v>45907</v>
      </c>
      <c r="G2155">
        <v>7941.87</v>
      </c>
      <c r="H2155" s="1">
        <f>AVERAGEIF(Table1[Customer_ID], Table1[[#This Row],[Customer_ID]], Table1[Transaction_Amount])</f>
        <v>4554.9073584905645</v>
      </c>
      <c r="I2155" t="s">
        <v>1149</v>
      </c>
      <c r="J2155" t="s">
        <v>36</v>
      </c>
      <c r="K2155" t="s">
        <v>14</v>
      </c>
      <c r="L2155">
        <v>2</v>
      </c>
      <c r="M2155" t="s">
        <v>32</v>
      </c>
      <c r="N2155" t="s">
        <v>56</v>
      </c>
      <c r="O2155" t="s">
        <v>393</v>
      </c>
      <c r="P2155" s="6" t="str">
        <f>IF(Table1[[#This Row],[Transaction_Amount]]&lt;=Table1[[#This Row],[avg_transaction_amount]], "usual transaction", "unusual transaction")</f>
        <v>unusual transaction</v>
      </c>
      <c r="Q2155" s="6" t="str">
        <f>IF(AND(Table1[[#This Row],[Country_of_Residence]]&lt;&gt;Table1[[#This Row],[Country_of_Transaction]], OR(Table1[[#This Row],[Authentication_Type]]="Biometric", Table1[[#This Row],[Authentication_Type]]="OTP")), "safe location transaction", "unsafe location transaction")</f>
        <v>unsafe location transaction</v>
      </c>
      <c r="R2155" s="6" t="str">
        <f>IF(AND(Table1[[#This Row],[Country_of_Residence]]&lt;&gt;Table1[[#This Row],[Country_of_Transaction]], OR(Table1[[#This Row],[Merchant_Category]]="Electronics", Table1[[#This Row],[Merchant_Category]]="Travel")), "unsafe merchant transaction", "safe merchant transaction")</f>
        <v>safe merchant transaction</v>
      </c>
    </row>
    <row r="2156" spans="1:18">
      <c r="A2156" t="s">
        <v>3563</v>
      </c>
      <c r="B2156" t="s">
        <v>316</v>
      </c>
      <c r="C2156">
        <v>1</v>
      </c>
      <c r="D2156" t="s">
        <v>15</v>
      </c>
      <c r="E2156" t="s">
        <v>420</v>
      </c>
      <c r="F2156" s="2">
        <v>45838</v>
      </c>
      <c r="G2156">
        <v>1278.19</v>
      </c>
      <c r="H2156" s="1">
        <f>AVERAGEIF(Table1[Customer_ID], Table1[[#This Row],[Customer_ID]], Table1[Transaction_Amount])</f>
        <v>4554.9073584905645</v>
      </c>
      <c r="I2156" t="s">
        <v>1176</v>
      </c>
      <c r="J2156" t="s">
        <v>31</v>
      </c>
      <c r="K2156" t="s">
        <v>14</v>
      </c>
      <c r="L2156">
        <v>1</v>
      </c>
      <c r="M2156" t="s">
        <v>51</v>
      </c>
      <c r="N2156" t="s">
        <v>37</v>
      </c>
      <c r="O2156" t="s">
        <v>392</v>
      </c>
      <c r="P2156" s="6" t="str">
        <f>IF(Table1[[#This Row],[Transaction_Amount]]&lt;=Table1[[#This Row],[avg_transaction_amount]], "usual transaction", "unusual transaction")</f>
        <v>usual transaction</v>
      </c>
      <c r="Q2156" s="6" t="str">
        <f>IF(AND(Table1[[#This Row],[Country_of_Residence]]&lt;&gt;Table1[[#This Row],[Country_of_Transaction]], OR(Table1[[#This Row],[Authentication_Type]]="Biometric", Table1[[#This Row],[Authentication_Type]]="OTP")), "safe location transaction", "unsafe location transaction")</f>
        <v>unsafe location transaction</v>
      </c>
      <c r="R2156" s="6" t="str">
        <f>IF(AND(Table1[[#This Row],[Country_of_Residence]]&lt;&gt;Table1[[#This Row],[Country_of_Transaction]], OR(Table1[[#This Row],[Merchant_Category]]="Electronics", Table1[[#This Row],[Merchant_Category]]="Travel")), "unsafe merchant transaction", "safe merchant transaction")</f>
        <v>safe merchant transaction</v>
      </c>
    </row>
    <row r="2157" spans="1:18">
      <c r="A2157" t="s">
        <v>3645</v>
      </c>
      <c r="B2157" t="s">
        <v>316</v>
      </c>
      <c r="C2157">
        <v>1</v>
      </c>
      <c r="D2157" t="s">
        <v>9</v>
      </c>
      <c r="E2157" t="s">
        <v>5</v>
      </c>
      <c r="F2157" s="2">
        <v>45945</v>
      </c>
      <c r="G2157">
        <v>7306.76</v>
      </c>
      <c r="H2157" s="1">
        <f>AVERAGEIF(Table1[Customer_ID], Table1[[#This Row],[Customer_ID]], Table1[Transaction_Amount])</f>
        <v>4554.9073584905645</v>
      </c>
      <c r="I2157" t="s">
        <v>1250</v>
      </c>
      <c r="J2157" t="s">
        <v>31</v>
      </c>
      <c r="K2157" t="s">
        <v>12</v>
      </c>
      <c r="L2157">
        <v>0</v>
      </c>
      <c r="M2157" t="s">
        <v>55</v>
      </c>
      <c r="N2157" t="s">
        <v>37</v>
      </c>
      <c r="O2157" t="s">
        <v>392</v>
      </c>
      <c r="P2157" s="6" t="str">
        <f>IF(Table1[[#This Row],[Transaction_Amount]]&lt;=Table1[[#This Row],[avg_transaction_amount]], "usual transaction", "unusual transaction")</f>
        <v>unusual transaction</v>
      </c>
      <c r="Q2157" s="6" t="str">
        <f>IF(AND(Table1[[#This Row],[Country_of_Residence]]&lt;&gt;Table1[[#This Row],[Country_of_Transaction]], OR(Table1[[#This Row],[Authentication_Type]]="Biometric", Table1[[#This Row],[Authentication_Type]]="OTP")), "safe location transaction", "unsafe location transaction")</f>
        <v>unsafe location transaction</v>
      </c>
      <c r="R2157" s="6" t="str">
        <f>IF(AND(Table1[[#This Row],[Country_of_Residence]]&lt;&gt;Table1[[#This Row],[Country_of_Transaction]], OR(Table1[[#This Row],[Merchant_Category]]="Electronics", Table1[[#This Row],[Merchant_Category]]="Travel")), "unsafe merchant transaction", "safe merchant transaction")</f>
        <v>safe merchant transaction</v>
      </c>
    </row>
    <row r="2158" spans="1:18">
      <c r="A2158" t="s">
        <v>3717</v>
      </c>
      <c r="B2158" t="s">
        <v>316</v>
      </c>
      <c r="C2158">
        <v>1</v>
      </c>
      <c r="D2158" t="s">
        <v>15</v>
      </c>
      <c r="E2158" t="s">
        <v>420</v>
      </c>
      <c r="F2158" s="2">
        <v>45783</v>
      </c>
      <c r="G2158">
        <v>3023.61</v>
      </c>
      <c r="H2158" s="1">
        <f>AVERAGEIF(Table1[Customer_ID], Table1[[#This Row],[Customer_ID]], Table1[Transaction_Amount])</f>
        <v>4554.9073584905645</v>
      </c>
      <c r="I2158" t="s">
        <v>488</v>
      </c>
      <c r="J2158" t="s">
        <v>50</v>
      </c>
      <c r="K2158" t="s">
        <v>14</v>
      </c>
      <c r="L2158">
        <v>5</v>
      </c>
      <c r="M2158" t="s">
        <v>412</v>
      </c>
      <c r="N2158" t="s">
        <v>42</v>
      </c>
      <c r="O2158" t="s">
        <v>392</v>
      </c>
      <c r="P2158" s="6" t="str">
        <f>IF(Table1[[#This Row],[Transaction_Amount]]&lt;=Table1[[#This Row],[avg_transaction_amount]], "usual transaction", "unusual transaction")</f>
        <v>usual transaction</v>
      </c>
      <c r="Q2158" s="6" t="str">
        <f>IF(AND(Table1[[#This Row],[Country_of_Residence]]&lt;&gt;Table1[[#This Row],[Country_of_Transaction]], OR(Table1[[#This Row],[Authentication_Type]]="Biometric", Table1[[#This Row],[Authentication_Type]]="OTP")), "safe location transaction", "unsafe location transaction")</f>
        <v>unsafe location transaction</v>
      </c>
      <c r="R2158" s="6" t="str">
        <f>IF(AND(Table1[[#This Row],[Country_of_Residence]]&lt;&gt;Table1[[#This Row],[Country_of_Transaction]], OR(Table1[[#This Row],[Merchant_Category]]="Electronics", Table1[[#This Row],[Merchant_Category]]="Travel")), "unsafe merchant transaction", "safe merchant transaction")</f>
        <v>unsafe merchant transaction</v>
      </c>
    </row>
    <row r="2159" spans="1:18">
      <c r="A2159" t="s">
        <v>3836</v>
      </c>
      <c r="B2159" t="s">
        <v>316</v>
      </c>
      <c r="C2159">
        <v>1</v>
      </c>
      <c r="D2159" t="s">
        <v>9</v>
      </c>
      <c r="E2159" t="s">
        <v>3</v>
      </c>
      <c r="F2159" s="2">
        <v>45836</v>
      </c>
      <c r="G2159">
        <v>408.26</v>
      </c>
      <c r="H2159" s="1">
        <f>AVERAGEIF(Table1[Customer_ID], Table1[[#This Row],[Customer_ID]], Table1[Transaction_Amount])</f>
        <v>4554.9073584905645</v>
      </c>
      <c r="I2159" t="s">
        <v>1413</v>
      </c>
      <c r="J2159" t="s">
        <v>41</v>
      </c>
      <c r="K2159" t="s">
        <v>14</v>
      </c>
      <c r="L2159">
        <v>4</v>
      </c>
      <c r="M2159" t="s">
        <v>42</v>
      </c>
      <c r="N2159" t="s">
        <v>56</v>
      </c>
      <c r="O2159" t="s">
        <v>392</v>
      </c>
      <c r="P2159" s="6" t="str">
        <f>IF(Table1[[#This Row],[Transaction_Amount]]&lt;=Table1[[#This Row],[avg_transaction_amount]], "usual transaction", "unusual transaction")</f>
        <v>usual transaction</v>
      </c>
      <c r="Q2159" s="6" t="str">
        <f>IF(AND(Table1[[#This Row],[Country_of_Residence]]&lt;&gt;Table1[[#This Row],[Country_of_Transaction]], OR(Table1[[#This Row],[Authentication_Type]]="Biometric", Table1[[#This Row],[Authentication_Type]]="OTP")), "safe location transaction", "unsafe location transaction")</f>
        <v>unsafe location transaction</v>
      </c>
      <c r="R2159" s="6" t="str">
        <f>IF(AND(Table1[[#This Row],[Country_of_Residence]]&lt;&gt;Table1[[#This Row],[Country_of_Transaction]], OR(Table1[[#This Row],[Merchant_Category]]="Electronics", Table1[[#This Row],[Merchant_Category]]="Travel")), "unsafe merchant transaction", "safe merchant transaction")</f>
        <v>safe merchant transaction</v>
      </c>
    </row>
    <row r="2160" spans="1:18">
      <c r="A2160" t="s">
        <v>3849</v>
      </c>
      <c r="B2160" t="s">
        <v>316</v>
      </c>
      <c r="C2160">
        <v>1</v>
      </c>
      <c r="D2160" t="s">
        <v>9</v>
      </c>
      <c r="E2160" t="s">
        <v>5</v>
      </c>
      <c r="F2160" s="2">
        <v>45733</v>
      </c>
      <c r="G2160">
        <v>4047.7</v>
      </c>
      <c r="H2160" s="1">
        <f>AVERAGEIF(Table1[Customer_ID], Table1[[#This Row],[Customer_ID]], Table1[Transaction_Amount])</f>
        <v>4554.9073584905645</v>
      </c>
      <c r="I2160" t="s">
        <v>1424</v>
      </c>
      <c r="J2160" t="s">
        <v>41</v>
      </c>
      <c r="K2160" t="s">
        <v>8</v>
      </c>
      <c r="L2160">
        <v>2</v>
      </c>
      <c r="M2160" t="s">
        <v>56</v>
      </c>
      <c r="N2160" t="s">
        <v>32</v>
      </c>
      <c r="O2160" t="s">
        <v>393</v>
      </c>
      <c r="P2160" s="6" t="str">
        <f>IF(Table1[[#This Row],[Transaction_Amount]]&lt;=Table1[[#This Row],[avg_transaction_amount]], "usual transaction", "unusual transaction")</f>
        <v>usual transaction</v>
      </c>
      <c r="Q2160" s="6" t="str">
        <f>IF(AND(Table1[[#This Row],[Country_of_Residence]]&lt;&gt;Table1[[#This Row],[Country_of_Transaction]], OR(Table1[[#This Row],[Authentication_Type]]="Biometric", Table1[[#This Row],[Authentication_Type]]="OTP")), "safe location transaction", "unsafe location transaction")</f>
        <v>safe location transaction</v>
      </c>
      <c r="R2160" s="6" t="str">
        <f>IF(AND(Table1[[#This Row],[Country_of_Residence]]&lt;&gt;Table1[[#This Row],[Country_of_Transaction]], OR(Table1[[#This Row],[Merchant_Category]]="Electronics", Table1[[#This Row],[Merchant_Category]]="Travel")), "unsafe merchant transaction", "safe merchant transaction")</f>
        <v>safe merchant transaction</v>
      </c>
    </row>
    <row r="2161" spans="1:18">
      <c r="A2161" t="s">
        <v>3957</v>
      </c>
      <c r="B2161" t="s">
        <v>316</v>
      </c>
      <c r="C2161">
        <v>1</v>
      </c>
      <c r="D2161" t="s">
        <v>9</v>
      </c>
      <c r="E2161" t="s">
        <v>6</v>
      </c>
      <c r="F2161" s="2">
        <v>45705</v>
      </c>
      <c r="G2161">
        <v>4120.92</v>
      </c>
      <c r="H2161" s="1">
        <f>AVERAGEIF(Table1[Customer_ID], Table1[[#This Row],[Customer_ID]], Table1[Transaction_Amount])</f>
        <v>4554.9073584905645</v>
      </c>
      <c r="I2161" t="s">
        <v>988</v>
      </c>
      <c r="J2161" t="s">
        <v>41</v>
      </c>
      <c r="K2161" t="s">
        <v>10</v>
      </c>
      <c r="L2161">
        <v>0</v>
      </c>
      <c r="M2161" t="s">
        <v>37</v>
      </c>
      <c r="N2161" t="s">
        <v>33</v>
      </c>
      <c r="O2161" t="s">
        <v>392</v>
      </c>
      <c r="P2161" s="6" t="str">
        <f>IF(Table1[[#This Row],[Transaction_Amount]]&lt;=Table1[[#This Row],[avg_transaction_amount]], "usual transaction", "unusual transaction")</f>
        <v>usual transaction</v>
      </c>
      <c r="Q2161" s="6" t="str">
        <f>IF(AND(Table1[[#This Row],[Country_of_Residence]]&lt;&gt;Table1[[#This Row],[Country_of_Transaction]], OR(Table1[[#This Row],[Authentication_Type]]="Biometric", Table1[[#This Row],[Authentication_Type]]="OTP")), "safe location transaction", "unsafe location transaction")</f>
        <v>safe location transaction</v>
      </c>
      <c r="R2161" s="6" t="str">
        <f>IF(AND(Table1[[#This Row],[Country_of_Residence]]&lt;&gt;Table1[[#This Row],[Country_of_Transaction]], OR(Table1[[#This Row],[Merchant_Category]]="Electronics", Table1[[#This Row],[Merchant_Category]]="Travel")), "unsafe merchant transaction", "safe merchant transaction")</f>
        <v>safe merchant transaction</v>
      </c>
    </row>
    <row r="2162" spans="1:18">
      <c r="A2162" t="s">
        <v>4008</v>
      </c>
      <c r="B2162" t="s">
        <v>316</v>
      </c>
      <c r="C2162">
        <v>1</v>
      </c>
      <c r="D2162" t="s">
        <v>15</v>
      </c>
      <c r="E2162" t="s">
        <v>3</v>
      </c>
      <c r="F2162" s="2">
        <v>45846</v>
      </c>
      <c r="G2162">
        <v>9496.77</v>
      </c>
      <c r="H2162" s="1">
        <f>AVERAGEIF(Table1[Customer_ID], Table1[[#This Row],[Customer_ID]], Table1[Transaction_Amount])</f>
        <v>4554.9073584905645</v>
      </c>
      <c r="I2162" t="s">
        <v>1565</v>
      </c>
      <c r="J2162" t="s">
        <v>50</v>
      </c>
      <c r="K2162" t="s">
        <v>10</v>
      </c>
      <c r="L2162">
        <v>3</v>
      </c>
      <c r="M2162" t="s">
        <v>47</v>
      </c>
      <c r="N2162" t="s">
        <v>47</v>
      </c>
      <c r="O2162" t="s">
        <v>393</v>
      </c>
      <c r="P2162" s="6" t="str">
        <f>IF(Table1[[#This Row],[Transaction_Amount]]&lt;=Table1[[#This Row],[avg_transaction_amount]], "usual transaction", "unusual transaction")</f>
        <v>unusual transaction</v>
      </c>
      <c r="Q2162" s="6" t="str">
        <f>IF(AND(Table1[[#This Row],[Country_of_Residence]]&lt;&gt;Table1[[#This Row],[Country_of_Transaction]], OR(Table1[[#This Row],[Authentication_Type]]="Biometric", Table1[[#This Row],[Authentication_Type]]="OTP")), "safe location transaction", "unsafe location transaction")</f>
        <v>unsafe location transaction</v>
      </c>
      <c r="R2162" s="6" t="str">
        <f>IF(AND(Table1[[#This Row],[Country_of_Residence]]&lt;&gt;Table1[[#This Row],[Country_of_Transaction]], OR(Table1[[#This Row],[Merchant_Category]]="Electronics", Table1[[#This Row],[Merchant_Category]]="Travel")), "unsafe merchant transaction", "safe merchant transaction")</f>
        <v>safe merchant transaction</v>
      </c>
    </row>
    <row r="2163" spans="1:18">
      <c r="A2163" t="s">
        <v>4017</v>
      </c>
      <c r="B2163" t="s">
        <v>316</v>
      </c>
      <c r="C2163">
        <v>1</v>
      </c>
      <c r="D2163" t="s">
        <v>15</v>
      </c>
      <c r="E2163" t="s">
        <v>5</v>
      </c>
      <c r="F2163" s="2">
        <v>45923</v>
      </c>
      <c r="G2163">
        <v>5385.63</v>
      </c>
      <c r="H2163" s="1">
        <f>AVERAGEIF(Table1[Customer_ID], Table1[[#This Row],[Customer_ID]], Table1[Transaction_Amount])</f>
        <v>4554.9073584905645</v>
      </c>
      <c r="I2163" t="s">
        <v>1573</v>
      </c>
      <c r="J2163" t="s">
        <v>41</v>
      </c>
      <c r="K2163" t="s">
        <v>14</v>
      </c>
      <c r="L2163">
        <v>5</v>
      </c>
      <c r="M2163" t="s">
        <v>47</v>
      </c>
      <c r="N2163" t="s">
        <v>47</v>
      </c>
      <c r="O2163" t="s">
        <v>392</v>
      </c>
      <c r="P2163" s="6" t="str">
        <f>IF(Table1[[#This Row],[Transaction_Amount]]&lt;=Table1[[#This Row],[avg_transaction_amount]], "usual transaction", "unusual transaction")</f>
        <v>unusual transaction</v>
      </c>
      <c r="Q2163" s="6" t="str">
        <f>IF(AND(Table1[[#This Row],[Country_of_Residence]]&lt;&gt;Table1[[#This Row],[Country_of_Transaction]], OR(Table1[[#This Row],[Authentication_Type]]="Biometric", Table1[[#This Row],[Authentication_Type]]="OTP")), "safe location transaction", "unsafe location transaction")</f>
        <v>unsafe location transaction</v>
      </c>
      <c r="R2163" s="6" t="str">
        <f>IF(AND(Table1[[#This Row],[Country_of_Residence]]&lt;&gt;Table1[[#This Row],[Country_of_Transaction]], OR(Table1[[#This Row],[Merchant_Category]]="Electronics", Table1[[#This Row],[Merchant_Category]]="Travel")), "unsafe merchant transaction", "safe merchant transaction")</f>
        <v>safe merchant transaction</v>
      </c>
    </row>
    <row r="2164" spans="1:18">
      <c r="A2164" t="s">
        <v>4032</v>
      </c>
      <c r="B2164" t="s">
        <v>316</v>
      </c>
      <c r="C2164">
        <v>1</v>
      </c>
      <c r="D2164" t="s">
        <v>9</v>
      </c>
      <c r="E2164" t="s">
        <v>5</v>
      </c>
      <c r="F2164" s="2">
        <v>45710</v>
      </c>
      <c r="G2164">
        <v>2255.44</v>
      </c>
      <c r="H2164" s="1">
        <f>AVERAGEIF(Table1[Customer_ID], Table1[[#This Row],[Customer_ID]], Table1[Transaction_Amount])</f>
        <v>4554.9073584905645</v>
      </c>
      <c r="I2164" t="s">
        <v>1588</v>
      </c>
      <c r="J2164" t="s">
        <v>31</v>
      </c>
      <c r="K2164" t="s">
        <v>8</v>
      </c>
      <c r="L2164">
        <v>2</v>
      </c>
      <c r="M2164" t="s">
        <v>51</v>
      </c>
      <c r="N2164" t="s">
        <v>412</v>
      </c>
      <c r="O2164" t="s">
        <v>393</v>
      </c>
      <c r="P2164" s="6" t="str">
        <f>IF(Table1[[#This Row],[Transaction_Amount]]&lt;=Table1[[#This Row],[avg_transaction_amount]], "usual transaction", "unusual transaction")</f>
        <v>usual transaction</v>
      </c>
      <c r="Q2164" s="6" t="str">
        <f>IF(AND(Table1[[#This Row],[Country_of_Residence]]&lt;&gt;Table1[[#This Row],[Country_of_Transaction]], OR(Table1[[#This Row],[Authentication_Type]]="Biometric", Table1[[#This Row],[Authentication_Type]]="OTP")), "safe location transaction", "unsafe location transaction")</f>
        <v>safe location transaction</v>
      </c>
      <c r="R2164" s="6" t="str">
        <f>IF(AND(Table1[[#This Row],[Country_of_Residence]]&lt;&gt;Table1[[#This Row],[Country_of_Transaction]], OR(Table1[[#This Row],[Merchant_Category]]="Electronics", Table1[[#This Row],[Merchant_Category]]="Travel")), "unsafe merchant transaction", "safe merchant transaction")</f>
        <v>safe merchant transaction</v>
      </c>
    </row>
    <row r="2165" spans="1:18">
      <c r="A2165" t="s">
        <v>4044</v>
      </c>
      <c r="B2165" t="s">
        <v>316</v>
      </c>
      <c r="C2165">
        <v>1</v>
      </c>
      <c r="D2165" t="s">
        <v>15</v>
      </c>
      <c r="E2165" t="s">
        <v>420</v>
      </c>
      <c r="F2165" s="2">
        <v>46011</v>
      </c>
      <c r="G2165">
        <v>6218.62</v>
      </c>
      <c r="H2165" s="1">
        <f>AVERAGEIF(Table1[Customer_ID], Table1[[#This Row],[Customer_ID]], Table1[Transaction_Amount])</f>
        <v>4554.9073584905645</v>
      </c>
      <c r="I2165" t="s">
        <v>1598</v>
      </c>
      <c r="J2165" t="s">
        <v>36</v>
      </c>
      <c r="K2165" t="s">
        <v>8</v>
      </c>
      <c r="L2165">
        <v>5</v>
      </c>
      <c r="M2165" t="s">
        <v>37</v>
      </c>
      <c r="N2165" t="s">
        <v>56</v>
      </c>
      <c r="O2165" t="s">
        <v>392</v>
      </c>
      <c r="P2165" s="6" t="str">
        <f>IF(Table1[[#This Row],[Transaction_Amount]]&lt;=Table1[[#This Row],[avg_transaction_amount]], "usual transaction", "unusual transaction")</f>
        <v>unusual transaction</v>
      </c>
      <c r="Q2165" s="6" t="str">
        <f>IF(AND(Table1[[#This Row],[Country_of_Residence]]&lt;&gt;Table1[[#This Row],[Country_of_Transaction]], OR(Table1[[#This Row],[Authentication_Type]]="Biometric", Table1[[#This Row],[Authentication_Type]]="OTP")), "safe location transaction", "unsafe location transaction")</f>
        <v>safe location transaction</v>
      </c>
      <c r="R2165" s="6" t="str">
        <f>IF(AND(Table1[[#This Row],[Country_of_Residence]]&lt;&gt;Table1[[#This Row],[Country_of_Transaction]], OR(Table1[[#This Row],[Merchant_Category]]="Electronics", Table1[[#This Row],[Merchant_Category]]="Travel")), "unsafe merchant transaction", "safe merchant transaction")</f>
        <v>safe merchant transaction</v>
      </c>
    </row>
    <row r="2166" spans="1:18">
      <c r="A2166" t="s">
        <v>4072</v>
      </c>
      <c r="B2166" t="s">
        <v>316</v>
      </c>
      <c r="C2166">
        <v>1</v>
      </c>
      <c r="D2166" t="s">
        <v>9</v>
      </c>
      <c r="E2166" t="s">
        <v>5</v>
      </c>
      <c r="F2166" s="2">
        <v>45875</v>
      </c>
      <c r="G2166">
        <v>6786.83</v>
      </c>
      <c r="H2166" s="1">
        <f>AVERAGEIF(Table1[Customer_ID], Table1[[#This Row],[Customer_ID]], Table1[Transaction_Amount])</f>
        <v>4554.9073584905645</v>
      </c>
      <c r="I2166" t="s">
        <v>1619</v>
      </c>
      <c r="J2166" t="s">
        <v>50</v>
      </c>
      <c r="K2166" t="s">
        <v>8</v>
      </c>
      <c r="L2166">
        <v>0</v>
      </c>
      <c r="M2166" t="s">
        <v>42</v>
      </c>
      <c r="N2166" t="s">
        <v>37</v>
      </c>
      <c r="O2166" t="s">
        <v>393</v>
      </c>
      <c r="P2166" s="6" t="str">
        <f>IF(Table1[[#This Row],[Transaction_Amount]]&lt;=Table1[[#This Row],[avg_transaction_amount]], "usual transaction", "unusual transaction")</f>
        <v>unusual transaction</v>
      </c>
      <c r="Q2166" s="6" t="str">
        <f>IF(AND(Table1[[#This Row],[Country_of_Residence]]&lt;&gt;Table1[[#This Row],[Country_of_Transaction]], OR(Table1[[#This Row],[Authentication_Type]]="Biometric", Table1[[#This Row],[Authentication_Type]]="OTP")), "safe location transaction", "unsafe location transaction")</f>
        <v>safe location transaction</v>
      </c>
      <c r="R2166" s="6" t="str">
        <f>IF(AND(Table1[[#This Row],[Country_of_Residence]]&lt;&gt;Table1[[#This Row],[Country_of_Transaction]], OR(Table1[[#This Row],[Merchant_Category]]="Electronics", Table1[[#This Row],[Merchant_Category]]="Travel")), "unsafe merchant transaction", "safe merchant transaction")</f>
        <v>unsafe merchant transaction</v>
      </c>
    </row>
    <row r="2167" spans="1:18">
      <c r="A2167" t="s">
        <v>4085</v>
      </c>
      <c r="B2167" t="s">
        <v>316</v>
      </c>
      <c r="C2167">
        <v>1</v>
      </c>
      <c r="D2167" t="s">
        <v>9</v>
      </c>
      <c r="E2167" t="s">
        <v>3</v>
      </c>
      <c r="F2167" s="2">
        <v>45692</v>
      </c>
      <c r="G2167">
        <v>5706.2</v>
      </c>
      <c r="H2167" s="1">
        <f>AVERAGEIF(Table1[Customer_ID], Table1[[#This Row],[Customer_ID]], Table1[Transaction_Amount])</f>
        <v>4554.9073584905645</v>
      </c>
      <c r="I2167" t="s">
        <v>1629</v>
      </c>
      <c r="J2167" t="s">
        <v>46</v>
      </c>
      <c r="K2167" t="s">
        <v>8</v>
      </c>
      <c r="L2167">
        <v>5</v>
      </c>
      <c r="M2167" t="s">
        <v>42</v>
      </c>
      <c r="N2167" t="s">
        <v>412</v>
      </c>
      <c r="O2167" t="s">
        <v>392</v>
      </c>
      <c r="P2167" s="6" t="str">
        <f>IF(Table1[[#This Row],[Transaction_Amount]]&lt;=Table1[[#This Row],[avg_transaction_amount]], "usual transaction", "unusual transaction")</f>
        <v>unusual transaction</v>
      </c>
      <c r="Q2167" s="6" t="str">
        <f>IF(AND(Table1[[#This Row],[Country_of_Residence]]&lt;&gt;Table1[[#This Row],[Country_of_Transaction]], OR(Table1[[#This Row],[Authentication_Type]]="Biometric", Table1[[#This Row],[Authentication_Type]]="OTP")), "safe location transaction", "unsafe location transaction")</f>
        <v>safe location transaction</v>
      </c>
      <c r="R2167" s="6" t="str">
        <f>IF(AND(Table1[[#This Row],[Country_of_Residence]]&lt;&gt;Table1[[#This Row],[Country_of_Transaction]], OR(Table1[[#This Row],[Merchant_Category]]="Electronics", Table1[[#This Row],[Merchant_Category]]="Travel")), "unsafe merchant transaction", "safe merchant transaction")</f>
        <v>safe merchant transaction</v>
      </c>
    </row>
    <row r="2168" spans="1:18">
      <c r="A2168" t="s">
        <v>4172</v>
      </c>
      <c r="B2168" t="s">
        <v>316</v>
      </c>
      <c r="C2168">
        <v>1</v>
      </c>
      <c r="D2168" t="s">
        <v>9</v>
      </c>
      <c r="E2168" t="s">
        <v>6</v>
      </c>
      <c r="F2168" s="2">
        <v>45860</v>
      </c>
      <c r="G2168">
        <v>7382.62</v>
      </c>
      <c r="H2168" s="1">
        <f>AVERAGEIF(Table1[Customer_ID], Table1[[#This Row],[Customer_ID]], Table1[Transaction_Amount])</f>
        <v>4554.9073584905645</v>
      </c>
      <c r="I2168" t="s">
        <v>1694</v>
      </c>
      <c r="J2168" t="s">
        <v>46</v>
      </c>
      <c r="K2168" t="s">
        <v>8</v>
      </c>
      <c r="L2168">
        <v>5</v>
      </c>
      <c r="M2168" t="s">
        <v>42</v>
      </c>
      <c r="N2168" t="s">
        <v>412</v>
      </c>
      <c r="O2168" t="s">
        <v>392</v>
      </c>
      <c r="P2168" s="6" t="str">
        <f>IF(Table1[[#This Row],[Transaction_Amount]]&lt;=Table1[[#This Row],[avg_transaction_amount]], "usual transaction", "unusual transaction")</f>
        <v>unusual transaction</v>
      </c>
      <c r="Q2168" s="6" t="str">
        <f>IF(AND(Table1[[#This Row],[Country_of_Residence]]&lt;&gt;Table1[[#This Row],[Country_of_Transaction]], OR(Table1[[#This Row],[Authentication_Type]]="Biometric", Table1[[#This Row],[Authentication_Type]]="OTP")), "safe location transaction", "unsafe location transaction")</f>
        <v>safe location transaction</v>
      </c>
      <c r="R2168" s="6" t="str">
        <f>IF(AND(Table1[[#This Row],[Country_of_Residence]]&lt;&gt;Table1[[#This Row],[Country_of_Transaction]], OR(Table1[[#This Row],[Merchant_Category]]="Electronics", Table1[[#This Row],[Merchant_Category]]="Travel")), "unsafe merchant transaction", "safe merchant transaction")</f>
        <v>safe merchant transaction</v>
      </c>
    </row>
    <row r="2169" spans="1:18">
      <c r="A2169" t="s">
        <v>4262</v>
      </c>
      <c r="B2169" t="s">
        <v>316</v>
      </c>
      <c r="C2169">
        <v>1</v>
      </c>
      <c r="D2169" t="s">
        <v>9</v>
      </c>
      <c r="E2169" t="s">
        <v>6</v>
      </c>
      <c r="F2169" s="2">
        <v>45679</v>
      </c>
      <c r="G2169">
        <v>2894.08</v>
      </c>
      <c r="H2169" s="1">
        <f>AVERAGEIF(Table1[Customer_ID], Table1[[#This Row],[Customer_ID]], Table1[Transaction_Amount])</f>
        <v>4554.9073584905645</v>
      </c>
      <c r="I2169" t="s">
        <v>1776</v>
      </c>
      <c r="J2169" t="s">
        <v>50</v>
      </c>
      <c r="K2169" t="s">
        <v>8</v>
      </c>
      <c r="L2169">
        <v>1</v>
      </c>
      <c r="M2169" t="s">
        <v>56</v>
      </c>
      <c r="N2169" t="s">
        <v>55</v>
      </c>
      <c r="O2169" t="s">
        <v>393</v>
      </c>
      <c r="P2169" s="6" t="str">
        <f>IF(Table1[[#This Row],[Transaction_Amount]]&lt;=Table1[[#This Row],[avg_transaction_amount]], "usual transaction", "unusual transaction")</f>
        <v>usual transaction</v>
      </c>
      <c r="Q2169" s="6" t="str">
        <f>IF(AND(Table1[[#This Row],[Country_of_Residence]]&lt;&gt;Table1[[#This Row],[Country_of_Transaction]], OR(Table1[[#This Row],[Authentication_Type]]="Biometric", Table1[[#This Row],[Authentication_Type]]="OTP")), "safe location transaction", "unsafe location transaction")</f>
        <v>safe location transaction</v>
      </c>
      <c r="R2169" s="6" t="str">
        <f>IF(AND(Table1[[#This Row],[Country_of_Residence]]&lt;&gt;Table1[[#This Row],[Country_of_Transaction]], OR(Table1[[#This Row],[Merchant_Category]]="Electronics", Table1[[#This Row],[Merchant_Category]]="Travel")), "unsafe merchant transaction", "safe merchant transaction")</f>
        <v>unsafe merchant transaction</v>
      </c>
    </row>
    <row r="2170" spans="1:18">
      <c r="A2170" t="s">
        <v>4303</v>
      </c>
      <c r="B2170" t="s">
        <v>316</v>
      </c>
      <c r="C2170">
        <v>1</v>
      </c>
      <c r="D2170" t="s">
        <v>9</v>
      </c>
      <c r="E2170" t="s">
        <v>6</v>
      </c>
      <c r="F2170" s="2">
        <v>45791</v>
      </c>
      <c r="G2170">
        <v>3037.79</v>
      </c>
      <c r="H2170" s="1">
        <f>AVERAGEIF(Table1[Customer_ID], Table1[[#This Row],[Customer_ID]], Table1[Transaction_Amount])</f>
        <v>4554.9073584905645</v>
      </c>
      <c r="I2170" t="s">
        <v>1813</v>
      </c>
      <c r="J2170" t="s">
        <v>31</v>
      </c>
      <c r="K2170" t="s">
        <v>14</v>
      </c>
      <c r="L2170">
        <v>1</v>
      </c>
      <c r="M2170" t="s">
        <v>47</v>
      </c>
      <c r="N2170" t="s">
        <v>33</v>
      </c>
      <c r="O2170" t="s">
        <v>392</v>
      </c>
      <c r="P2170" s="6" t="str">
        <f>IF(Table1[[#This Row],[Transaction_Amount]]&lt;=Table1[[#This Row],[avg_transaction_amount]], "usual transaction", "unusual transaction")</f>
        <v>usual transaction</v>
      </c>
      <c r="Q2170" s="6" t="str">
        <f>IF(AND(Table1[[#This Row],[Country_of_Residence]]&lt;&gt;Table1[[#This Row],[Country_of_Transaction]], OR(Table1[[#This Row],[Authentication_Type]]="Biometric", Table1[[#This Row],[Authentication_Type]]="OTP")), "safe location transaction", "unsafe location transaction")</f>
        <v>unsafe location transaction</v>
      </c>
      <c r="R2170" s="6" t="str">
        <f>IF(AND(Table1[[#This Row],[Country_of_Residence]]&lt;&gt;Table1[[#This Row],[Country_of_Transaction]], OR(Table1[[#This Row],[Merchant_Category]]="Electronics", Table1[[#This Row],[Merchant_Category]]="Travel")), "unsafe merchant transaction", "safe merchant transaction")</f>
        <v>safe merchant transaction</v>
      </c>
    </row>
    <row r="2171" spans="1:18">
      <c r="A2171" t="s">
        <v>4356</v>
      </c>
      <c r="B2171" t="s">
        <v>316</v>
      </c>
      <c r="C2171">
        <v>1</v>
      </c>
      <c r="D2171" t="s">
        <v>15</v>
      </c>
      <c r="E2171" t="s">
        <v>3</v>
      </c>
      <c r="F2171" s="2">
        <v>45787</v>
      </c>
      <c r="G2171">
        <v>1156.74</v>
      </c>
      <c r="H2171" s="1">
        <f>AVERAGEIF(Table1[Customer_ID], Table1[[#This Row],[Customer_ID]], Table1[Transaction_Amount])</f>
        <v>4554.9073584905645</v>
      </c>
      <c r="I2171" t="s">
        <v>537</v>
      </c>
      <c r="J2171" t="s">
        <v>31</v>
      </c>
      <c r="K2171" t="s">
        <v>10</v>
      </c>
      <c r="L2171">
        <v>4</v>
      </c>
      <c r="M2171" t="s">
        <v>32</v>
      </c>
      <c r="N2171" t="s">
        <v>56</v>
      </c>
      <c r="O2171" t="s">
        <v>392</v>
      </c>
      <c r="P2171" s="6" t="str">
        <f>IF(Table1[[#This Row],[Transaction_Amount]]&lt;=Table1[[#This Row],[avg_transaction_amount]], "usual transaction", "unusual transaction")</f>
        <v>usual transaction</v>
      </c>
      <c r="Q2171" s="6" t="str">
        <f>IF(AND(Table1[[#This Row],[Country_of_Residence]]&lt;&gt;Table1[[#This Row],[Country_of_Transaction]], OR(Table1[[#This Row],[Authentication_Type]]="Biometric", Table1[[#This Row],[Authentication_Type]]="OTP")), "safe location transaction", "unsafe location transaction")</f>
        <v>safe location transaction</v>
      </c>
      <c r="R2171" s="6" t="str">
        <f>IF(AND(Table1[[#This Row],[Country_of_Residence]]&lt;&gt;Table1[[#This Row],[Country_of_Transaction]], OR(Table1[[#This Row],[Merchant_Category]]="Electronics", Table1[[#This Row],[Merchant_Category]]="Travel")), "unsafe merchant transaction", "safe merchant transaction")</f>
        <v>safe merchant transaction</v>
      </c>
    </row>
    <row r="2172" spans="1:18">
      <c r="A2172" t="s">
        <v>4374</v>
      </c>
      <c r="B2172" t="s">
        <v>316</v>
      </c>
      <c r="C2172">
        <v>1</v>
      </c>
      <c r="D2172" t="s">
        <v>15</v>
      </c>
      <c r="E2172" t="s">
        <v>3</v>
      </c>
      <c r="F2172" s="2">
        <v>45869</v>
      </c>
      <c r="G2172">
        <v>647.89</v>
      </c>
      <c r="H2172" s="1">
        <f>AVERAGEIF(Table1[Customer_ID], Table1[[#This Row],[Customer_ID]], Table1[Transaction_Amount])</f>
        <v>4554.9073584905645</v>
      </c>
      <c r="I2172" t="s">
        <v>1874</v>
      </c>
      <c r="J2172" t="s">
        <v>50</v>
      </c>
      <c r="K2172" t="s">
        <v>8</v>
      </c>
      <c r="L2172">
        <v>2</v>
      </c>
      <c r="M2172" t="s">
        <v>42</v>
      </c>
      <c r="N2172" t="s">
        <v>42</v>
      </c>
      <c r="O2172" t="s">
        <v>392</v>
      </c>
      <c r="P2172" s="6" t="str">
        <f>IF(Table1[[#This Row],[Transaction_Amount]]&lt;=Table1[[#This Row],[avg_transaction_amount]], "usual transaction", "unusual transaction")</f>
        <v>usual transaction</v>
      </c>
      <c r="Q2172" s="6" t="str">
        <f>IF(AND(Table1[[#This Row],[Country_of_Residence]]&lt;&gt;Table1[[#This Row],[Country_of_Transaction]], OR(Table1[[#This Row],[Authentication_Type]]="Biometric", Table1[[#This Row],[Authentication_Type]]="OTP")), "safe location transaction", "unsafe location transaction")</f>
        <v>unsafe location transaction</v>
      </c>
      <c r="R2172" s="6" t="str">
        <f>IF(AND(Table1[[#This Row],[Country_of_Residence]]&lt;&gt;Table1[[#This Row],[Country_of_Transaction]], OR(Table1[[#This Row],[Merchant_Category]]="Electronics", Table1[[#This Row],[Merchant_Category]]="Travel")), "unsafe merchant transaction", "safe merchant transaction")</f>
        <v>safe merchant transaction</v>
      </c>
    </row>
    <row r="2173" spans="1:18">
      <c r="A2173" t="s">
        <v>4397</v>
      </c>
      <c r="B2173" t="s">
        <v>316</v>
      </c>
      <c r="C2173">
        <v>1</v>
      </c>
      <c r="D2173" t="s">
        <v>15</v>
      </c>
      <c r="E2173" t="s">
        <v>5</v>
      </c>
      <c r="F2173" s="2">
        <v>45843</v>
      </c>
      <c r="G2173">
        <v>3752.55</v>
      </c>
      <c r="H2173" s="1">
        <f>AVERAGEIF(Table1[Customer_ID], Table1[[#This Row],[Customer_ID]], Table1[Transaction_Amount])</f>
        <v>4554.9073584905645</v>
      </c>
      <c r="I2173" t="s">
        <v>1897</v>
      </c>
      <c r="J2173" t="s">
        <v>36</v>
      </c>
      <c r="K2173" t="s">
        <v>10</v>
      </c>
      <c r="L2173">
        <v>5</v>
      </c>
      <c r="M2173" t="s">
        <v>47</v>
      </c>
      <c r="N2173" t="s">
        <v>42</v>
      </c>
      <c r="O2173" t="s">
        <v>392</v>
      </c>
      <c r="P2173" s="6" t="str">
        <f>IF(Table1[[#This Row],[Transaction_Amount]]&lt;=Table1[[#This Row],[avg_transaction_amount]], "usual transaction", "unusual transaction")</f>
        <v>usual transaction</v>
      </c>
      <c r="Q2173" s="6" t="str">
        <f>IF(AND(Table1[[#This Row],[Country_of_Residence]]&lt;&gt;Table1[[#This Row],[Country_of_Transaction]], OR(Table1[[#This Row],[Authentication_Type]]="Biometric", Table1[[#This Row],[Authentication_Type]]="OTP")), "safe location transaction", "unsafe location transaction")</f>
        <v>safe location transaction</v>
      </c>
      <c r="R2173" s="6" t="str">
        <f>IF(AND(Table1[[#This Row],[Country_of_Residence]]&lt;&gt;Table1[[#This Row],[Country_of_Transaction]], OR(Table1[[#This Row],[Merchant_Category]]="Electronics", Table1[[#This Row],[Merchant_Category]]="Travel")), "unsafe merchant transaction", "safe merchant transaction")</f>
        <v>safe merchant transaction</v>
      </c>
    </row>
    <row r="2174" spans="1:18">
      <c r="A2174" t="s">
        <v>4413</v>
      </c>
      <c r="B2174" t="s">
        <v>316</v>
      </c>
      <c r="C2174">
        <v>1</v>
      </c>
      <c r="D2174" t="s">
        <v>9</v>
      </c>
      <c r="E2174" t="s">
        <v>6</v>
      </c>
      <c r="F2174" s="2">
        <v>45787</v>
      </c>
      <c r="G2174">
        <v>2022.93</v>
      </c>
      <c r="H2174" s="1">
        <f>AVERAGEIF(Table1[Customer_ID], Table1[[#This Row],[Customer_ID]], Table1[Transaction_Amount])</f>
        <v>4554.9073584905645</v>
      </c>
      <c r="I2174" t="s">
        <v>1912</v>
      </c>
      <c r="J2174" t="s">
        <v>41</v>
      </c>
      <c r="K2174" t="s">
        <v>12</v>
      </c>
      <c r="L2174">
        <v>0</v>
      </c>
      <c r="M2174" t="s">
        <v>47</v>
      </c>
      <c r="N2174" t="s">
        <v>42</v>
      </c>
      <c r="O2174" t="s">
        <v>393</v>
      </c>
      <c r="P2174" s="6" t="str">
        <f>IF(Table1[[#This Row],[Transaction_Amount]]&lt;=Table1[[#This Row],[avg_transaction_amount]], "usual transaction", "unusual transaction")</f>
        <v>usual transaction</v>
      </c>
      <c r="Q2174" s="6" t="str">
        <f>IF(AND(Table1[[#This Row],[Country_of_Residence]]&lt;&gt;Table1[[#This Row],[Country_of_Transaction]], OR(Table1[[#This Row],[Authentication_Type]]="Biometric", Table1[[#This Row],[Authentication_Type]]="OTP")), "safe location transaction", "unsafe location transaction")</f>
        <v>unsafe location transaction</v>
      </c>
      <c r="R2174" s="6" t="str">
        <f>IF(AND(Table1[[#This Row],[Country_of_Residence]]&lt;&gt;Table1[[#This Row],[Country_of_Transaction]], OR(Table1[[#This Row],[Merchant_Category]]="Electronics", Table1[[#This Row],[Merchant_Category]]="Travel")), "unsafe merchant transaction", "safe merchant transaction")</f>
        <v>safe merchant transaction</v>
      </c>
    </row>
    <row r="2175" spans="1:18">
      <c r="A2175" t="s">
        <v>4441</v>
      </c>
      <c r="B2175" t="s">
        <v>316</v>
      </c>
      <c r="C2175">
        <v>1</v>
      </c>
      <c r="D2175" t="s">
        <v>15</v>
      </c>
      <c r="E2175" t="s">
        <v>420</v>
      </c>
      <c r="F2175" s="2">
        <v>45668</v>
      </c>
      <c r="G2175">
        <v>2260.8200000000002</v>
      </c>
      <c r="H2175" s="1">
        <f>AVERAGEIF(Table1[Customer_ID], Table1[[#This Row],[Customer_ID]], Table1[Transaction_Amount])</f>
        <v>4554.9073584905645</v>
      </c>
      <c r="I2175" t="s">
        <v>1935</v>
      </c>
      <c r="J2175" t="s">
        <v>36</v>
      </c>
      <c r="K2175" t="s">
        <v>8</v>
      </c>
      <c r="L2175">
        <v>5</v>
      </c>
      <c r="M2175" t="s">
        <v>412</v>
      </c>
      <c r="N2175" t="s">
        <v>51</v>
      </c>
      <c r="O2175" t="s">
        <v>393</v>
      </c>
      <c r="P2175" s="6" t="str">
        <f>IF(Table1[[#This Row],[Transaction_Amount]]&lt;=Table1[[#This Row],[avg_transaction_amount]], "usual transaction", "unusual transaction")</f>
        <v>usual transaction</v>
      </c>
      <c r="Q2175" s="6" t="str">
        <f>IF(AND(Table1[[#This Row],[Country_of_Residence]]&lt;&gt;Table1[[#This Row],[Country_of_Transaction]], OR(Table1[[#This Row],[Authentication_Type]]="Biometric", Table1[[#This Row],[Authentication_Type]]="OTP")), "safe location transaction", "unsafe location transaction")</f>
        <v>safe location transaction</v>
      </c>
      <c r="R2175" s="6" t="str">
        <f>IF(AND(Table1[[#This Row],[Country_of_Residence]]&lt;&gt;Table1[[#This Row],[Country_of_Transaction]], OR(Table1[[#This Row],[Merchant_Category]]="Electronics", Table1[[#This Row],[Merchant_Category]]="Travel")), "unsafe merchant transaction", "safe merchant transaction")</f>
        <v>safe merchant transaction</v>
      </c>
    </row>
    <row r="2176" spans="1:18">
      <c r="A2176" t="s">
        <v>4480</v>
      </c>
      <c r="B2176" t="s">
        <v>316</v>
      </c>
      <c r="C2176">
        <v>1</v>
      </c>
      <c r="D2176" t="s">
        <v>9</v>
      </c>
      <c r="E2176" t="s">
        <v>420</v>
      </c>
      <c r="F2176" s="2">
        <v>45999</v>
      </c>
      <c r="G2176">
        <v>783.22</v>
      </c>
      <c r="H2176" s="1">
        <f>AVERAGEIF(Table1[Customer_ID], Table1[[#This Row],[Customer_ID]], Table1[Transaction_Amount])</f>
        <v>4554.9073584905645</v>
      </c>
      <c r="I2176" t="s">
        <v>1969</v>
      </c>
      <c r="J2176" t="s">
        <v>31</v>
      </c>
      <c r="K2176" t="s">
        <v>14</v>
      </c>
      <c r="L2176">
        <v>1</v>
      </c>
      <c r="M2176" t="s">
        <v>33</v>
      </c>
      <c r="N2176" t="s">
        <v>56</v>
      </c>
      <c r="O2176" t="s">
        <v>392</v>
      </c>
      <c r="P2176" s="6" t="str">
        <f>IF(Table1[[#This Row],[Transaction_Amount]]&lt;=Table1[[#This Row],[avg_transaction_amount]], "usual transaction", "unusual transaction")</f>
        <v>usual transaction</v>
      </c>
      <c r="Q2176" s="6" t="str">
        <f>IF(AND(Table1[[#This Row],[Country_of_Residence]]&lt;&gt;Table1[[#This Row],[Country_of_Transaction]], OR(Table1[[#This Row],[Authentication_Type]]="Biometric", Table1[[#This Row],[Authentication_Type]]="OTP")), "safe location transaction", "unsafe location transaction")</f>
        <v>unsafe location transaction</v>
      </c>
      <c r="R2176" s="6" t="str">
        <f>IF(AND(Table1[[#This Row],[Country_of_Residence]]&lt;&gt;Table1[[#This Row],[Country_of_Transaction]], OR(Table1[[#This Row],[Merchant_Category]]="Electronics", Table1[[#This Row],[Merchant_Category]]="Travel")), "unsafe merchant transaction", "safe merchant transaction")</f>
        <v>safe merchant transaction</v>
      </c>
    </row>
    <row r="2177" spans="1:18">
      <c r="A2177" t="s">
        <v>4611</v>
      </c>
      <c r="B2177" t="s">
        <v>316</v>
      </c>
      <c r="C2177">
        <v>1</v>
      </c>
      <c r="D2177" t="s">
        <v>9</v>
      </c>
      <c r="E2177" t="s">
        <v>3</v>
      </c>
      <c r="F2177" s="2">
        <v>45738</v>
      </c>
      <c r="G2177">
        <v>1549.81</v>
      </c>
      <c r="H2177" s="1">
        <f>AVERAGEIF(Table1[Customer_ID], Table1[[#This Row],[Customer_ID]], Table1[Transaction_Amount])</f>
        <v>4554.9073584905645</v>
      </c>
      <c r="I2177" t="s">
        <v>2075</v>
      </c>
      <c r="J2177" t="s">
        <v>36</v>
      </c>
      <c r="K2177" t="s">
        <v>12</v>
      </c>
      <c r="L2177">
        <v>5</v>
      </c>
      <c r="M2177" t="s">
        <v>33</v>
      </c>
      <c r="N2177" t="s">
        <v>55</v>
      </c>
      <c r="O2177" t="s">
        <v>393</v>
      </c>
      <c r="P2177" s="6" t="str">
        <f>IF(Table1[[#This Row],[Transaction_Amount]]&lt;=Table1[[#This Row],[avg_transaction_amount]], "usual transaction", "unusual transaction")</f>
        <v>usual transaction</v>
      </c>
      <c r="Q2177" s="6" t="str">
        <f>IF(AND(Table1[[#This Row],[Country_of_Residence]]&lt;&gt;Table1[[#This Row],[Country_of_Transaction]], OR(Table1[[#This Row],[Authentication_Type]]="Biometric", Table1[[#This Row],[Authentication_Type]]="OTP")), "safe location transaction", "unsafe location transaction")</f>
        <v>unsafe location transaction</v>
      </c>
      <c r="R2177" s="6" t="str">
        <f>IF(AND(Table1[[#This Row],[Country_of_Residence]]&lt;&gt;Table1[[#This Row],[Country_of_Transaction]], OR(Table1[[#This Row],[Merchant_Category]]="Electronics", Table1[[#This Row],[Merchant_Category]]="Travel")), "unsafe merchant transaction", "safe merchant transaction")</f>
        <v>safe merchant transaction</v>
      </c>
    </row>
    <row r="2178" spans="1:18">
      <c r="A2178" t="s">
        <v>4788</v>
      </c>
      <c r="B2178" t="s">
        <v>316</v>
      </c>
      <c r="C2178">
        <v>1</v>
      </c>
      <c r="D2178" t="s">
        <v>9</v>
      </c>
      <c r="E2178" t="s">
        <v>3</v>
      </c>
      <c r="F2178" s="2">
        <v>45945</v>
      </c>
      <c r="G2178">
        <v>5406.87</v>
      </c>
      <c r="H2178" s="1">
        <f>AVERAGEIF(Table1[Customer_ID], Table1[[#This Row],[Customer_ID]], Table1[Transaction_Amount])</f>
        <v>4554.9073584905645</v>
      </c>
      <c r="I2178" t="s">
        <v>2211</v>
      </c>
      <c r="J2178" t="s">
        <v>31</v>
      </c>
      <c r="K2178" t="s">
        <v>8</v>
      </c>
      <c r="L2178">
        <v>3</v>
      </c>
      <c r="M2178" t="s">
        <v>55</v>
      </c>
      <c r="N2178" t="s">
        <v>51</v>
      </c>
      <c r="O2178" t="s">
        <v>392</v>
      </c>
      <c r="P2178" s="6" t="str">
        <f>IF(Table1[[#This Row],[Transaction_Amount]]&lt;=Table1[[#This Row],[avg_transaction_amount]], "usual transaction", "unusual transaction")</f>
        <v>unusual transaction</v>
      </c>
      <c r="Q2178" s="6" t="str">
        <f>IF(AND(Table1[[#This Row],[Country_of_Residence]]&lt;&gt;Table1[[#This Row],[Country_of_Transaction]], OR(Table1[[#This Row],[Authentication_Type]]="Biometric", Table1[[#This Row],[Authentication_Type]]="OTP")), "safe location transaction", "unsafe location transaction")</f>
        <v>safe location transaction</v>
      </c>
      <c r="R2178" s="6" t="str">
        <f>IF(AND(Table1[[#This Row],[Country_of_Residence]]&lt;&gt;Table1[[#This Row],[Country_of_Transaction]], OR(Table1[[#This Row],[Merchant_Category]]="Electronics", Table1[[#This Row],[Merchant_Category]]="Travel")), "unsafe merchant transaction", "safe merchant transaction")</f>
        <v>safe merchant transaction</v>
      </c>
    </row>
    <row r="2179" spans="1:18">
      <c r="A2179" t="s">
        <v>4838</v>
      </c>
      <c r="B2179" t="s">
        <v>316</v>
      </c>
      <c r="C2179">
        <v>1</v>
      </c>
      <c r="D2179" t="s">
        <v>15</v>
      </c>
      <c r="E2179" t="s">
        <v>5</v>
      </c>
      <c r="F2179" s="2">
        <v>45737</v>
      </c>
      <c r="G2179">
        <v>7368.28</v>
      </c>
      <c r="H2179" s="1">
        <f>AVERAGEIF(Table1[Customer_ID], Table1[[#This Row],[Customer_ID]], Table1[Transaction_Amount])</f>
        <v>4554.9073584905645</v>
      </c>
      <c r="I2179" t="s">
        <v>2253</v>
      </c>
      <c r="J2179" t="s">
        <v>50</v>
      </c>
      <c r="K2179" t="s">
        <v>10</v>
      </c>
      <c r="L2179">
        <v>0</v>
      </c>
      <c r="M2179" t="s">
        <v>37</v>
      </c>
      <c r="N2179" t="s">
        <v>56</v>
      </c>
      <c r="O2179" t="s">
        <v>392</v>
      </c>
      <c r="P2179" s="6" t="str">
        <f>IF(Table1[[#This Row],[Transaction_Amount]]&lt;=Table1[[#This Row],[avg_transaction_amount]], "usual transaction", "unusual transaction")</f>
        <v>unusual transaction</v>
      </c>
      <c r="Q2179" s="6" t="str">
        <f>IF(AND(Table1[[#This Row],[Country_of_Residence]]&lt;&gt;Table1[[#This Row],[Country_of_Transaction]], OR(Table1[[#This Row],[Authentication_Type]]="Biometric", Table1[[#This Row],[Authentication_Type]]="OTP")), "safe location transaction", "unsafe location transaction")</f>
        <v>safe location transaction</v>
      </c>
      <c r="R2179" s="6" t="str">
        <f>IF(AND(Table1[[#This Row],[Country_of_Residence]]&lt;&gt;Table1[[#This Row],[Country_of_Transaction]], OR(Table1[[#This Row],[Merchant_Category]]="Electronics", Table1[[#This Row],[Merchant_Category]]="Travel")), "unsafe merchant transaction", "safe merchant transaction")</f>
        <v>unsafe merchant transaction</v>
      </c>
    </row>
    <row r="2180" spans="1:18">
      <c r="A2180" t="s">
        <v>4941</v>
      </c>
      <c r="B2180" t="s">
        <v>316</v>
      </c>
      <c r="C2180">
        <v>1</v>
      </c>
      <c r="D2180" t="s">
        <v>15</v>
      </c>
      <c r="E2180" t="s">
        <v>5</v>
      </c>
      <c r="F2180" s="2">
        <v>45932</v>
      </c>
      <c r="G2180">
        <v>3437.64</v>
      </c>
      <c r="H2180" s="1">
        <f>AVERAGEIF(Table1[Customer_ID], Table1[[#This Row],[Customer_ID]], Table1[Transaction_Amount])</f>
        <v>4554.9073584905645</v>
      </c>
      <c r="I2180" t="s">
        <v>2334</v>
      </c>
      <c r="J2180" t="s">
        <v>50</v>
      </c>
      <c r="K2180" t="s">
        <v>10</v>
      </c>
      <c r="L2180">
        <v>0</v>
      </c>
      <c r="M2180" t="s">
        <v>56</v>
      </c>
      <c r="N2180" t="s">
        <v>55</v>
      </c>
      <c r="O2180" t="s">
        <v>393</v>
      </c>
      <c r="P2180" s="6" t="str">
        <f>IF(Table1[[#This Row],[Transaction_Amount]]&lt;=Table1[[#This Row],[avg_transaction_amount]], "usual transaction", "unusual transaction")</f>
        <v>usual transaction</v>
      </c>
      <c r="Q2180" s="6" t="str">
        <f>IF(AND(Table1[[#This Row],[Country_of_Residence]]&lt;&gt;Table1[[#This Row],[Country_of_Transaction]], OR(Table1[[#This Row],[Authentication_Type]]="Biometric", Table1[[#This Row],[Authentication_Type]]="OTP")), "safe location transaction", "unsafe location transaction")</f>
        <v>safe location transaction</v>
      </c>
      <c r="R2180" s="6" t="str">
        <f>IF(AND(Table1[[#This Row],[Country_of_Residence]]&lt;&gt;Table1[[#This Row],[Country_of_Transaction]], OR(Table1[[#This Row],[Merchant_Category]]="Electronics", Table1[[#This Row],[Merchant_Category]]="Travel")), "unsafe merchant transaction", "safe merchant transaction")</f>
        <v>unsafe merchant transaction</v>
      </c>
    </row>
    <row r="2181" spans="1:18">
      <c r="A2181" t="s">
        <v>4963</v>
      </c>
      <c r="B2181" t="s">
        <v>316</v>
      </c>
      <c r="C2181">
        <v>1</v>
      </c>
      <c r="D2181" t="s">
        <v>9</v>
      </c>
      <c r="E2181" t="s">
        <v>3</v>
      </c>
      <c r="F2181" s="2">
        <v>45836</v>
      </c>
      <c r="G2181">
        <v>956.77</v>
      </c>
      <c r="H2181" s="1">
        <f>AVERAGEIF(Table1[Customer_ID], Table1[[#This Row],[Customer_ID]], Table1[Transaction_Amount])</f>
        <v>4554.9073584905645</v>
      </c>
      <c r="I2181" t="s">
        <v>2349</v>
      </c>
      <c r="J2181" t="s">
        <v>50</v>
      </c>
      <c r="K2181" t="s">
        <v>14</v>
      </c>
      <c r="L2181">
        <v>0</v>
      </c>
      <c r="M2181" t="s">
        <v>47</v>
      </c>
      <c r="N2181" t="s">
        <v>32</v>
      </c>
      <c r="O2181" t="s">
        <v>393</v>
      </c>
      <c r="P2181" s="6" t="str">
        <f>IF(Table1[[#This Row],[Transaction_Amount]]&lt;=Table1[[#This Row],[avg_transaction_amount]], "usual transaction", "unusual transaction")</f>
        <v>usual transaction</v>
      </c>
      <c r="Q2181" s="6" t="str">
        <f>IF(AND(Table1[[#This Row],[Country_of_Residence]]&lt;&gt;Table1[[#This Row],[Country_of_Transaction]], OR(Table1[[#This Row],[Authentication_Type]]="Biometric", Table1[[#This Row],[Authentication_Type]]="OTP")), "safe location transaction", "unsafe location transaction")</f>
        <v>unsafe location transaction</v>
      </c>
      <c r="R2181" s="6" t="str">
        <f>IF(AND(Table1[[#This Row],[Country_of_Residence]]&lt;&gt;Table1[[#This Row],[Country_of_Transaction]], OR(Table1[[#This Row],[Merchant_Category]]="Electronics", Table1[[#This Row],[Merchant_Category]]="Travel")), "unsafe merchant transaction", "safe merchant transaction")</f>
        <v>unsafe merchant transaction</v>
      </c>
    </row>
    <row r="2182" spans="1:18">
      <c r="A2182" t="s">
        <v>4978</v>
      </c>
      <c r="B2182" t="s">
        <v>316</v>
      </c>
      <c r="C2182">
        <v>1</v>
      </c>
      <c r="D2182" t="s">
        <v>15</v>
      </c>
      <c r="E2182" t="s">
        <v>5</v>
      </c>
      <c r="F2182" s="2">
        <v>45802</v>
      </c>
      <c r="G2182">
        <v>7838.51</v>
      </c>
      <c r="H2182" s="1">
        <f>AVERAGEIF(Table1[Customer_ID], Table1[[#This Row],[Customer_ID]], Table1[Transaction_Amount])</f>
        <v>4554.9073584905645</v>
      </c>
      <c r="I2182" t="s">
        <v>2362</v>
      </c>
      <c r="J2182" t="s">
        <v>46</v>
      </c>
      <c r="K2182" t="s">
        <v>10</v>
      </c>
      <c r="L2182">
        <v>0</v>
      </c>
      <c r="M2182" t="s">
        <v>42</v>
      </c>
      <c r="N2182" t="s">
        <v>37</v>
      </c>
      <c r="O2182" t="s">
        <v>392</v>
      </c>
      <c r="P2182" s="6" t="str">
        <f>IF(Table1[[#This Row],[Transaction_Amount]]&lt;=Table1[[#This Row],[avg_transaction_amount]], "usual transaction", "unusual transaction")</f>
        <v>unusual transaction</v>
      </c>
      <c r="Q2182" s="6" t="str">
        <f>IF(AND(Table1[[#This Row],[Country_of_Residence]]&lt;&gt;Table1[[#This Row],[Country_of_Transaction]], OR(Table1[[#This Row],[Authentication_Type]]="Biometric", Table1[[#This Row],[Authentication_Type]]="OTP")), "safe location transaction", "unsafe location transaction")</f>
        <v>safe location transaction</v>
      </c>
      <c r="R2182" s="6" t="str">
        <f>IF(AND(Table1[[#This Row],[Country_of_Residence]]&lt;&gt;Table1[[#This Row],[Country_of_Transaction]], OR(Table1[[#This Row],[Merchant_Category]]="Electronics", Table1[[#This Row],[Merchant_Category]]="Travel")), "unsafe merchant transaction", "safe merchant transaction")</f>
        <v>safe merchant transaction</v>
      </c>
    </row>
    <row r="2183" spans="1:18">
      <c r="A2183" t="s">
        <v>5137</v>
      </c>
      <c r="B2183" t="s">
        <v>316</v>
      </c>
      <c r="C2183">
        <v>1</v>
      </c>
      <c r="D2183" t="s">
        <v>15</v>
      </c>
      <c r="E2183" t="s">
        <v>3</v>
      </c>
      <c r="F2183" s="2">
        <v>45942</v>
      </c>
      <c r="G2183">
        <v>8600.01</v>
      </c>
      <c r="H2183" s="1">
        <f>AVERAGEIF(Table1[Customer_ID], Table1[[#This Row],[Customer_ID]], Table1[Transaction_Amount])</f>
        <v>4554.9073584905645</v>
      </c>
      <c r="I2183" t="s">
        <v>946</v>
      </c>
      <c r="J2183" t="s">
        <v>31</v>
      </c>
      <c r="K2183" t="s">
        <v>8</v>
      </c>
      <c r="L2183">
        <v>5</v>
      </c>
      <c r="M2183" t="s">
        <v>56</v>
      </c>
      <c r="N2183" t="s">
        <v>37</v>
      </c>
      <c r="O2183" t="s">
        <v>393</v>
      </c>
      <c r="P2183" s="6" t="str">
        <f>IF(Table1[[#This Row],[Transaction_Amount]]&lt;=Table1[[#This Row],[avg_transaction_amount]], "usual transaction", "unusual transaction")</f>
        <v>unusual transaction</v>
      </c>
      <c r="Q2183" s="6" t="str">
        <f>IF(AND(Table1[[#This Row],[Country_of_Residence]]&lt;&gt;Table1[[#This Row],[Country_of_Transaction]], OR(Table1[[#This Row],[Authentication_Type]]="Biometric", Table1[[#This Row],[Authentication_Type]]="OTP")), "safe location transaction", "unsafe location transaction")</f>
        <v>safe location transaction</v>
      </c>
      <c r="R2183" s="6" t="str">
        <f>IF(AND(Table1[[#This Row],[Country_of_Residence]]&lt;&gt;Table1[[#This Row],[Country_of_Transaction]], OR(Table1[[#This Row],[Merchant_Category]]="Electronics", Table1[[#This Row],[Merchant_Category]]="Travel")), "unsafe merchant transaction", "safe merchant transaction")</f>
        <v>safe merchant transaction</v>
      </c>
    </row>
    <row r="2184" spans="1:18">
      <c r="A2184" t="s">
        <v>5256</v>
      </c>
      <c r="B2184" t="s">
        <v>316</v>
      </c>
      <c r="C2184">
        <v>1</v>
      </c>
      <c r="D2184" t="s">
        <v>9</v>
      </c>
      <c r="E2184" t="s">
        <v>6</v>
      </c>
      <c r="F2184" s="2">
        <v>45904</v>
      </c>
      <c r="G2184">
        <v>8298.49</v>
      </c>
      <c r="H2184" s="1">
        <f>AVERAGEIF(Table1[Customer_ID], Table1[[#This Row],[Customer_ID]], Table1[Transaction_Amount])</f>
        <v>4554.9073584905645</v>
      </c>
      <c r="I2184" t="s">
        <v>2575</v>
      </c>
      <c r="J2184" t="s">
        <v>36</v>
      </c>
      <c r="K2184" t="s">
        <v>12</v>
      </c>
      <c r="L2184">
        <v>3</v>
      </c>
      <c r="M2184" t="s">
        <v>37</v>
      </c>
      <c r="N2184" t="s">
        <v>55</v>
      </c>
      <c r="O2184" t="s">
        <v>392</v>
      </c>
      <c r="P2184" s="6" t="str">
        <f>IF(Table1[[#This Row],[Transaction_Amount]]&lt;=Table1[[#This Row],[avg_transaction_amount]], "usual transaction", "unusual transaction")</f>
        <v>unusual transaction</v>
      </c>
      <c r="Q2184" s="6" t="str">
        <f>IF(AND(Table1[[#This Row],[Country_of_Residence]]&lt;&gt;Table1[[#This Row],[Country_of_Transaction]], OR(Table1[[#This Row],[Authentication_Type]]="Biometric", Table1[[#This Row],[Authentication_Type]]="OTP")), "safe location transaction", "unsafe location transaction")</f>
        <v>unsafe location transaction</v>
      </c>
      <c r="R2184" s="6" t="str">
        <f>IF(AND(Table1[[#This Row],[Country_of_Residence]]&lt;&gt;Table1[[#This Row],[Country_of_Transaction]], OR(Table1[[#This Row],[Merchant_Category]]="Electronics", Table1[[#This Row],[Merchant_Category]]="Travel")), "unsafe merchant transaction", "safe merchant transaction")</f>
        <v>safe merchant transaction</v>
      </c>
    </row>
    <row r="2185" spans="1:18">
      <c r="A2185" t="s">
        <v>5272</v>
      </c>
      <c r="B2185" t="s">
        <v>316</v>
      </c>
      <c r="C2185">
        <v>1</v>
      </c>
      <c r="D2185" t="s">
        <v>9</v>
      </c>
      <c r="E2185" t="s">
        <v>3</v>
      </c>
      <c r="F2185" s="2">
        <v>45675</v>
      </c>
      <c r="G2185">
        <v>4268.8999999999996</v>
      </c>
      <c r="H2185" s="1">
        <f>AVERAGEIF(Table1[Customer_ID], Table1[[#This Row],[Customer_ID]], Table1[Transaction_Amount])</f>
        <v>4554.9073584905645</v>
      </c>
      <c r="I2185" t="s">
        <v>605</v>
      </c>
      <c r="J2185" t="s">
        <v>41</v>
      </c>
      <c r="K2185" t="s">
        <v>8</v>
      </c>
      <c r="L2185">
        <v>1</v>
      </c>
      <c r="M2185" t="s">
        <v>51</v>
      </c>
      <c r="N2185" t="s">
        <v>33</v>
      </c>
      <c r="O2185" t="s">
        <v>393</v>
      </c>
      <c r="P2185" s="6" t="str">
        <f>IF(Table1[[#This Row],[Transaction_Amount]]&lt;=Table1[[#This Row],[avg_transaction_amount]], "usual transaction", "unusual transaction")</f>
        <v>usual transaction</v>
      </c>
      <c r="Q2185" s="6" t="str">
        <f>IF(AND(Table1[[#This Row],[Country_of_Residence]]&lt;&gt;Table1[[#This Row],[Country_of_Transaction]], OR(Table1[[#This Row],[Authentication_Type]]="Biometric", Table1[[#This Row],[Authentication_Type]]="OTP")), "safe location transaction", "unsafe location transaction")</f>
        <v>safe location transaction</v>
      </c>
      <c r="R2185" s="6" t="str">
        <f>IF(AND(Table1[[#This Row],[Country_of_Residence]]&lt;&gt;Table1[[#This Row],[Country_of_Transaction]], OR(Table1[[#This Row],[Merchant_Category]]="Electronics", Table1[[#This Row],[Merchant_Category]]="Travel")), "unsafe merchant transaction", "safe merchant transaction")</f>
        <v>safe merchant transaction</v>
      </c>
    </row>
    <row r="2186" spans="1:18">
      <c r="A2186" t="s">
        <v>5317</v>
      </c>
      <c r="B2186" t="s">
        <v>316</v>
      </c>
      <c r="C2186">
        <v>1</v>
      </c>
      <c r="D2186" t="s">
        <v>15</v>
      </c>
      <c r="E2186" t="s">
        <v>420</v>
      </c>
      <c r="F2186" s="2">
        <v>45923</v>
      </c>
      <c r="G2186">
        <v>473.52</v>
      </c>
      <c r="H2186" s="1">
        <f>AVERAGEIF(Table1[Customer_ID], Table1[[#This Row],[Customer_ID]], Table1[Transaction_Amount])</f>
        <v>4554.9073584905645</v>
      </c>
      <c r="I2186" t="s">
        <v>1396</v>
      </c>
      <c r="J2186" t="s">
        <v>41</v>
      </c>
      <c r="K2186" t="s">
        <v>12</v>
      </c>
      <c r="L2186">
        <v>4</v>
      </c>
      <c r="M2186" t="s">
        <v>37</v>
      </c>
      <c r="N2186" t="s">
        <v>37</v>
      </c>
      <c r="O2186" t="s">
        <v>393</v>
      </c>
      <c r="P2186" s="6" t="str">
        <f>IF(Table1[[#This Row],[Transaction_Amount]]&lt;=Table1[[#This Row],[avg_transaction_amount]], "usual transaction", "unusual transaction")</f>
        <v>usual transaction</v>
      </c>
      <c r="Q2186" s="6" t="str">
        <f>IF(AND(Table1[[#This Row],[Country_of_Residence]]&lt;&gt;Table1[[#This Row],[Country_of_Transaction]], OR(Table1[[#This Row],[Authentication_Type]]="Biometric", Table1[[#This Row],[Authentication_Type]]="OTP")), "safe location transaction", "unsafe location transaction")</f>
        <v>unsafe location transaction</v>
      </c>
      <c r="R2186" s="6" t="str">
        <f>IF(AND(Table1[[#This Row],[Country_of_Residence]]&lt;&gt;Table1[[#This Row],[Country_of_Transaction]], OR(Table1[[#This Row],[Merchant_Category]]="Electronics", Table1[[#This Row],[Merchant_Category]]="Travel")), "unsafe merchant transaction", "safe merchant transaction")</f>
        <v>safe merchant transaction</v>
      </c>
    </row>
    <row r="2187" spans="1:18">
      <c r="A2187" t="s">
        <v>5366</v>
      </c>
      <c r="B2187" t="s">
        <v>316</v>
      </c>
      <c r="C2187">
        <v>1</v>
      </c>
      <c r="D2187" t="s">
        <v>9</v>
      </c>
      <c r="E2187" t="s">
        <v>5</v>
      </c>
      <c r="F2187" s="2">
        <v>45720</v>
      </c>
      <c r="G2187">
        <v>8552.2099999999991</v>
      </c>
      <c r="H2187" s="1">
        <f>AVERAGEIF(Table1[Customer_ID], Table1[[#This Row],[Customer_ID]], Table1[Transaction_Amount])</f>
        <v>4554.9073584905645</v>
      </c>
      <c r="I2187" t="s">
        <v>2655</v>
      </c>
      <c r="J2187" t="s">
        <v>41</v>
      </c>
      <c r="K2187" t="s">
        <v>12</v>
      </c>
      <c r="L2187">
        <v>1</v>
      </c>
      <c r="M2187" t="s">
        <v>42</v>
      </c>
      <c r="N2187" t="s">
        <v>55</v>
      </c>
      <c r="O2187" t="s">
        <v>392</v>
      </c>
      <c r="P2187" s="6" t="str">
        <f>IF(Table1[[#This Row],[Transaction_Amount]]&lt;=Table1[[#This Row],[avg_transaction_amount]], "usual transaction", "unusual transaction")</f>
        <v>unusual transaction</v>
      </c>
      <c r="Q2187" s="6" t="str">
        <f>IF(AND(Table1[[#This Row],[Country_of_Residence]]&lt;&gt;Table1[[#This Row],[Country_of_Transaction]], OR(Table1[[#This Row],[Authentication_Type]]="Biometric", Table1[[#This Row],[Authentication_Type]]="OTP")), "safe location transaction", "unsafe location transaction")</f>
        <v>unsafe location transaction</v>
      </c>
      <c r="R2187" s="6" t="str">
        <f>IF(AND(Table1[[#This Row],[Country_of_Residence]]&lt;&gt;Table1[[#This Row],[Country_of_Transaction]], OR(Table1[[#This Row],[Merchant_Category]]="Electronics", Table1[[#This Row],[Merchant_Category]]="Travel")), "unsafe merchant transaction", "safe merchant transaction")</f>
        <v>safe merchant transaction</v>
      </c>
    </row>
    <row r="2188" spans="1:18">
      <c r="A2188" t="s">
        <v>5417</v>
      </c>
      <c r="B2188" t="s">
        <v>316</v>
      </c>
      <c r="C2188">
        <v>1</v>
      </c>
      <c r="D2188" t="s">
        <v>9</v>
      </c>
      <c r="E2188" t="s">
        <v>3</v>
      </c>
      <c r="F2188" s="2">
        <v>45988</v>
      </c>
      <c r="G2188">
        <v>2566.48</v>
      </c>
      <c r="H2188" s="1">
        <f>AVERAGEIF(Table1[Customer_ID], Table1[[#This Row],[Customer_ID]], Table1[Transaction_Amount])</f>
        <v>4554.9073584905645</v>
      </c>
      <c r="I2188" t="s">
        <v>2294</v>
      </c>
      <c r="J2188" t="s">
        <v>46</v>
      </c>
      <c r="K2188" t="s">
        <v>14</v>
      </c>
      <c r="L2188">
        <v>0</v>
      </c>
      <c r="M2188" t="s">
        <v>33</v>
      </c>
      <c r="N2188" t="s">
        <v>33</v>
      </c>
      <c r="O2188" t="s">
        <v>392</v>
      </c>
      <c r="P2188" s="6" t="str">
        <f>IF(Table1[[#This Row],[Transaction_Amount]]&lt;=Table1[[#This Row],[avg_transaction_amount]], "usual transaction", "unusual transaction")</f>
        <v>usual transaction</v>
      </c>
      <c r="Q2188" s="6" t="str">
        <f>IF(AND(Table1[[#This Row],[Country_of_Residence]]&lt;&gt;Table1[[#This Row],[Country_of_Transaction]], OR(Table1[[#This Row],[Authentication_Type]]="Biometric", Table1[[#This Row],[Authentication_Type]]="OTP")), "safe location transaction", "unsafe location transaction")</f>
        <v>unsafe location transaction</v>
      </c>
      <c r="R2188" s="6" t="str">
        <f>IF(AND(Table1[[#This Row],[Country_of_Residence]]&lt;&gt;Table1[[#This Row],[Country_of_Transaction]], OR(Table1[[#This Row],[Merchant_Category]]="Electronics", Table1[[#This Row],[Merchant_Category]]="Travel")), "unsafe merchant transaction", "safe merchant transaction")</f>
        <v>safe merchant transaction</v>
      </c>
    </row>
    <row r="2189" spans="1:18">
      <c r="A2189" t="s">
        <v>5420</v>
      </c>
      <c r="B2189" t="s">
        <v>316</v>
      </c>
      <c r="C2189">
        <v>1</v>
      </c>
      <c r="D2189" t="s">
        <v>9</v>
      </c>
      <c r="E2189" t="s">
        <v>5</v>
      </c>
      <c r="F2189" s="2">
        <v>45673</v>
      </c>
      <c r="G2189">
        <v>1867.87</v>
      </c>
      <c r="H2189" s="1">
        <f>AVERAGEIF(Table1[Customer_ID], Table1[[#This Row],[Customer_ID]], Table1[Transaction_Amount])</f>
        <v>4554.9073584905645</v>
      </c>
      <c r="I2189" t="s">
        <v>2693</v>
      </c>
      <c r="J2189" t="s">
        <v>41</v>
      </c>
      <c r="K2189" t="s">
        <v>14</v>
      </c>
      <c r="L2189">
        <v>3</v>
      </c>
      <c r="M2189" t="s">
        <v>47</v>
      </c>
      <c r="N2189" t="s">
        <v>412</v>
      </c>
      <c r="O2189" t="s">
        <v>392</v>
      </c>
      <c r="P2189" s="6" t="str">
        <f>IF(Table1[[#This Row],[Transaction_Amount]]&lt;=Table1[[#This Row],[avg_transaction_amount]], "usual transaction", "unusual transaction")</f>
        <v>usual transaction</v>
      </c>
      <c r="Q2189" s="6" t="str">
        <f>IF(AND(Table1[[#This Row],[Country_of_Residence]]&lt;&gt;Table1[[#This Row],[Country_of_Transaction]], OR(Table1[[#This Row],[Authentication_Type]]="Biometric", Table1[[#This Row],[Authentication_Type]]="OTP")), "safe location transaction", "unsafe location transaction")</f>
        <v>unsafe location transaction</v>
      </c>
      <c r="R2189" s="6" t="str">
        <f>IF(AND(Table1[[#This Row],[Country_of_Residence]]&lt;&gt;Table1[[#This Row],[Country_of_Transaction]], OR(Table1[[#This Row],[Merchant_Category]]="Electronics", Table1[[#This Row],[Merchant_Category]]="Travel")), "unsafe merchant transaction", "safe merchant transaction")</f>
        <v>safe merchant transaction</v>
      </c>
    </row>
    <row r="2190" spans="1:18">
      <c r="A2190" t="s">
        <v>5452</v>
      </c>
      <c r="B2190" t="s">
        <v>316</v>
      </c>
      <c r="C2190">
        <v>1</v>
      </c>
      <c r="D2190" t="s">
        <v>15</v>
      </c>
      <c r="E2190" t="s">
        <v>420</v>
      </c>
      <c r="F2190" s="2">
        <v>45873</v>
      </c>
      <c r="G2190">
        <v>3597.25</v>
      </c>
      <c r="H2190" s="1">
        <f>AVERAGEIF(Table1[Customer_ID], Table1[[#This Row],[Customer_ID]], Table1[Transaction_Amount])</f>
        <v>4554.9073584905645</v>
      </c>
      <c r="I2190" t="s">
        <v>2718</v>
      </c>
      <c r="J2190" t="s">
        <v>50</v>
      </c>
      <c r="K2190" t="s">
        <v>12</v>
      </c>
      <c r="L2190">
        <v>1</v>
      </c>
      <c r="M2190" t="s">
        <v>55</v>
      </c>
      <c r="N2190" t="s">
        <v>51</v>
      </c>
      <c r="O2190" t="s">
        <v>393</v>
      </c>
      <c r="P2190" s="6" t="str">
        <f>IF(Table1[[#This Row],[Transaction_Amount]]&lt;=Table1[[#This Row],[avg_transaction_amount]], "usual transaction", "unusual transaction")</f>
        <v>usual transaction</v>
      </c>
      <c r="Q2190" s="6" t="str">
        <f>IF(AND(Table1[[#This Row],[Country_of_Residence]]&lt;&gt;Table1[[#This Row],[Country_of_Transaction]], OR(Table1[[#This Row],[Authentication_Type]]="Biometric", Table1[[#This Row],[Authentication_Type]]="OTP")), "safe location transaction", "unsafe location transaction")</f>
        <v>unsafe location transaction</v>
      </c>
      <c r="R2190" s="6" t="str">
        <f>IF(AND(Table1[[#This Row],[Country_of_Residence]]&lt;&gt;Table1[[#This Row],[Country_of_Transaction]], OR(Table1[[#This Row],[Merchant_Category]]="Electronics", Table1[[#This Row],[Merchant_Category]]="Travel")), "unsafe merchant transaction", "safe merchant transaction")</f>
        <v>unsafe merchant transaction</v>
      </c>
    </row>
    <row r="2191" spans="1:18">
      <c r="A2191" t="s">
        <v>324</v>
      </c>
      <c r="B2191" t="s">
        <v>321</v>
      </c>
      <c r="C2191">
        <v>1</v>
      </c>
      <c r="D2191" t="s">
        <v>11</v>
      </c>
      <c r="E2191" t="s">
        <v>3</v>
      </c>
      <c r="F2191" s="2">
        <v>45891.862500000003</v>
      </c>
      <c r="G2191">
        <v>5163.93</v>
      </c>
      <c r="H2191" s="1">
        <f>AVERAGEIF(Table1[Customer_ID], Table1[[#This Row],[Customer_ID]], Table1[Transaction_Amount])</f>
        <v>5094.7099999999991</v>
      </c>
      <c r="I2191" t="s">
        <v>325</v>
      </c>
      <c r="J2191" t="s">
        <v>36</v>
      </c>
      <c r="K2191" t="s">
        <v>10</v>
      </c>
      <c r="L2191">
        <v>5</v>
      </c>
      <c r="M2191" t="s">
        <v>323</v>
      </c>
      <c r="N2191" t="s">
        <v>326</v>
      </c>
      <c r="O2191" t="s">
        <v>392</v>
      </c>
      <c r="P2191" t="str">
        <f>IF(Table1[[#This Row],[Transaction_Amount]]&lt;=Table1[[#This Row],[avg_transaction_amount]], "usual transaction", "unusual transaction")</f>
        <v>unusual transaction</v>
      </c>
      <c r="Q2191" t="str">
        <f>IF(AND(Table1[[#This Row],[Country_of_Residence]]&lt;&gt;Table1[[#This Row],[Country_of_Transaction]], OR(Table1[[#This Row],[Authentication_Type]]="Biometric", Table1[[#This Row],[Authentication_Type]]="OTP")), "safe location transaction", "unsafe location transaction")</f>
        <v>safe location transaction</v>
      </c>
      <c r="R2191" t="str">
        <f>IF(AND(Table1[[#This Row],[Country_of_Residence]]&lt;&gt;Table1[[#This Row],[Country_of_Transaction]], OR(Table1[[#This Row],[Merchant_Category]]="Electronics", Table1[[#This Row],[Merchant_Category]]="Travel")), "unsafe merchant transaction", "safe merchant transaction")</f>
        <v>safe merchant transaction</v>
      </c>
    </row>
    <row r="2192" spans="1:18">
      <c r="A2192" t="s">
        <v>320</v>
      </c>
      <c r="B2192" t="s">
        <v>321</v>
      </c>
      <c r="C2192">
        <v>1</v>
      </c>
      <c r="D2192" t="s">
        <v>11</v>
      </c>
      <c r="E2192" t="s">
        <v>3</v>
      </c>
      <c r="F2192" s="2">
        <v>45728.882638888899</v>
      </c>
      <c r="G2192">
        <v>6698.21</v>
      </c>
      <c r="H2192" s="1">
        <f>AVERAGEIF(Table1[Customer_ID], Table1[[#This Row],[Customer_ID]], Table1[Transaction_Amount])</f>
        <v>5094.7099999999991</v>
      </c>
      <c r="I2192" t="s">
        <v>322</v>
      </c>
      <c r="J2192" t="s">
        <v>31</v>
      </c>
      <c r="K2192" t="s">
        <v>14</v>
      </c>
      <c r="L2192">
        <v>4</v>
      </c>
      <c r="M2192" t="s">
        <v>323</v>
      </c>
      <c r="N2192" t="s">
        <v>283</v>
      </c>
      <c r="O2192" t="s">
        <v>393</v>
      </c>
      <c r="P2192" t="str">
        <f>IF(Table1[[#This Row],[Transaction_Amount]]&lt;=Table1[[#This Row],[avg_transaction_amount]], "usual transaction", "unusual transaction")</f>
        <v>unusual transaction</v>
      </c>
      <c r="Q2192" t="str">
        <f>IF(AND(Table1[[#This Row],[Country_of_Residence]]&lt;&gt;Table1[[#This Row],[Country_of_Transaction]], OR(Table1[[#This Row],[Authentication_Type]]="Biometric", Table1[[#This Row],[Authentication_Type]]="OTP")), "safe location transaction", "unsafe location transaction")</f>
        <v>unsafe location transaction</v>
      </c>
      <c r="R2192" t="str">
        <f>IF(AND(Table1[[#This Row],[Country_of_Residence]]&lt;&gt;Table1[[#This Row],[Country_of_Transaction]], OR(Table1[[#This Row],[Merchant_Category]]="Electronics", Table1[[#This Row],[Merchant_Category]]="Travel")), "unsafe merchant transaction", "safe merchant transaction")</f>
        <v>safe merchant transaction</v>
      </c>
    </row>
    <row r="2193" spans="1:18">
      <c r="A2193" t="s">
        <v>2852</v>
      </c>
      <c r="B2193" t="s">
        <v>321</v>
      </c>
      <c r="C2193">
        <v>1</v>
      </c>
      <c r="D2193" t="s">
        <v>9</v>
      </c>
      <c r="E2193" t="s">
        <v>3</v>
      </c>
      <c r="F2193" s="2">
        <v>46017</v>
      </c>
      <c r="G2193">
        <v>5329.04</v>
      </c>
      <c r="H2193" s="1">
        <f>AVERAGEIF(Table1[Customer_ID], Table1[[#This Row],[Customer_ID]], Table1[Transaction_Amount])</f>
        <v>5094.7099999999991</v>
      </c>
      <c r="I2193" t="s">
        <v>504</v>
      </c>
      <c r="J2193" t="s">
        <v>36</v>
      </c>
      <c r="K2193" t="s">
        <v>8</v>
      </c>
      <c r="L2193">
        <v>1</v>
      </c>
      <c r="M2193" t="s">
        <v>56</v>
      </c>
      <c r="N2193" t="s">
        <v>51</v>
      </c>
      <c r="O2193" t="s">
        <v>393</v>
      </c>
      <c r="P2193" s="6" t="str">
        <f>IF(Table1[[#This Row],[Transaction_Amount]]&lt;=Table1[[#This Row],[avg_transaction_amount]], "usual transaction", "unusual transaction")</f>
        <v>unusual transaction</v>
      </c>
      <c r="Q2193" s="6" t="str">
        <f>IF(AND(Table1[[#This Row],[Country_of_Residence]]&lt;&gt;Table1[[#This Row],[Country_of_Transaction]], OR(Table1[[#This Row],[Authentication_Type]]="Biometric", Table1[[#This Row],[Authentication_Type]]="OTP")), "safe location transaction", "unsafe location transaction")</f>
        <v>safe location transaction</v>
      </c>
      <c r="R2193" s="6" t="str">
        <f>IF(AND(Table1[[#This Row],[Country_of_Residence]]&lt;&gt;Table1[[#This Row],[Country_of_Transaction]], OR(Table1[[#This Row],[Merchant_Category]]="Electronics", Table1[[#This Row],[Merchant_Category]]="Travel")), "unsafe merchant transaction", "safe merchant transaction")</f>
        <v>safe merchant transaction</v>
      </c>
    </row>
    <row r="2194" spans="1:18">
      <c r="A2194" t="s">
        <v>2855</v>
      </c>
      <c r="B2194" t="s">
        <v>321</v>
      </c>
      <c r="C2194">
        <v>1</v>
      </c>
      <c r="D2194" t="s">
        <v>15</v>
      </c>
      <c r="E2194" t="s">
        <v>6</v>
      </c>
      <c r="F2194" s="2">
        <v>45994</v>
      </c>
      <c r="G2194">
        <v>3158.87</v>
      </c>
      <c r="H2194" s="1">
        <f>AVERAGEIF(Table1[Customer_ID], Table1[[#This Row],[Customer_ID]], Table1[Transaction_Amount])</f>
        <v>5094.7099999999991</v>
      </c>
      <c r="I2194" t="s">
        <v>507</v>
      </c>
      <c r="J2194" t="s">
        <v>31</v>
      </c>
      <c r="K2194" t="s">
        <v>14</v>
      </c>
      <c r="L2194">
        <v>4</v>
      </c>
      <c r="M2194" t="s">
        <v>51</v>
      </c>
      <c r="N2194" t="s">
        <v>32</v>
      </c>
      <c r="O2194" t="s">
        <v>393</v>
      </c>
      <c r="P2194" s="6" t="str">
        <f>IF(Table1[[#This Row],[Transaction_Amount]]&lt;=Table1[[#This Row],[avg_transaction_amount]], "usual transaction", "unusual transaction")</f>
        <v>usual transaction</v>
      </c>
      <c r="Q2194" s="6" t="str">
        <f>IF(AND(Table1[[#This Row],[Country_of_Residence]]&lt;&gt;Table1[[#This Row],[Country_of_Transaction]], OR(Table1[[#This Row],[Authentication_Type]]="Biometric", Table1[[#This Row],[Authentication_Type]]="OTP")), "safe location transaction", "unsafe location transaction")</f>
        <v>unsafe location transaction</v>
      </c>
      <c r="R2194" s="6" t="str">
        <f>IF(AND(Table1[[#This Row],[Country_of_Residence]]&lt;&gt;Table1[[#This Row],[Country_of_Transaction]], OR(Table1[[#This Row],[Merchant_Category]]="Electronics", Table1[[#This Row],[Merchant_Category]]="Travel")), "unsafe merchant transaction", "safe merchant transaction")</f>
        <v>safe merchant transaction</v>
      </c>
    </row>
    <row r="2195" spans="1:18">
      <c r="A2195" t="s">
        <v>2904</v>
      </c>
      <c r="B2195" t="s">
        <v>321</v>
      </c>
      <c r="C2195">
        <v>1</v>
      </c>
      <c r="D2195" t="s">
        <v>15</v>
      </c>
      <c r="E2195" t="s">
        <v>3</v>
      </c>
      <c r="F2195" s="2">
        <v>45728</v>
      </c>
      <c r="G2195">
        <v>5115.7700000000004</v>
      </c>
      <c r="H2195" s="1">
        <f>AVERAGEIF(Table1[Customer_ID], Table1[[#This Row],[Customer_ID]], Table1[Transaction_Amount])</f>
        <v>5094.7099999999991</v>
      </c>
      <c r="I2195" t="s">
        <v>554</v>
      </c>
      <c r="J2195" t="s">
        <v>36</v>
      </c>
      <c r="K2195" t="s">
        <v>8</v>
      </c>
      <c r="L2195">
        <v>1</v>
      </c>
      <c r="M2195" t="s">
        <v>33</v>
      </c>
      <c r="N2195" t="s">
        <v>42</v>
      </c>
      <c r="O2195" t="s">
        <v>393</v>
      </c>
      <c r="P2195" s="6" t="str">
        <f>IF(Table1[[#This Row],[Transaction_Amount]]&lt;=Table1[[#This Row],[avg_transaction_amount]], "usual transaction", "unusual transaction")</f>
        <v>unusual transaction</v>
      </c>
      <c r="Q2195" s="6" t="str">
        <f>IF(AND(Table1[[#This Row],[Country_of_Residence]]&lt;&gt;Table1[[#This Row],[Country_of_Transaction]], OR(Table1[[#This Row],[Authentication_Type]]="Biometric", Table1[[#This Row],[Authentication_Type]]="OTP")), "safe location transaction", "unsafe location transaction")</f>
        <v>safe location transaction</v>
      </c>
      <c r="R2195" s="6" t="str">
        <f>IF(AND(Table1[[#This Row],[Country_of_Residence]]&lt;&gt;Table1[[#This Row],[Country_of_Transaction]], OR(Table1[[#This Row],[Merchant_Category]]="Electronics", Table1[[#This Row],[Merchant_Category]]="Travel")), "unsafe merchant transaction", "safe merchant transaction")</f>
        <v>safe merchant transaction</v>
      </c>
    </row>
    <row r="2196" spans="1:18">
      <c r="A2196" t="s">
        <v>2927</v>
      </c>
      <c r="B2196" t="s">
        <v>321</v>
      </c>
      <c r="C2196">
        <v>1</v>
      </c>
      <c r="D2196" t="s">
        <v>15</v>
      </c>
      <c r="E2196" t="s">
        <v>3</v>
      </c>
      <c r="F2196" s="2">
        <v>45863</v>
      </c>
      <c r="G2196">
        <v>6736.64</v>
      </c>
      <c r="H2196" s="1">
        <f>AVERAGEIF(Table1[Customer_ID], Table1[[#This Row],[Customer_ID]], Table1[Transaction_Amount])</f>
        <v>5094.7099999999991</v>
      </c>
      <c r="I2196" t="s">
        <v>576</v>
      </c>
      <c r="J2196" t="s">
        <v>41</v>
      </c>
      <c r="K2196" t="s">
        <v>12</v>
      </c>
      <c r="L2196">
        <v>0</v>
      </c>
      <c r="M2196" t="s">
        <v>42</v>
      </c>
      <c r="N2196" t="s">
        <v>33</v>
      </c>
      <c r="O2196" t="s">
        <v>393</v>
      </c>
      <c r="P2196" s="6" t="str">
        <f>IF(Table1[[#This Row],[Transaction_Amount]]&lt;=Table1[[#This Row],[avg_transaction_amount]], "usual transaction", "unusual transaction")</f>
        <v>unusual transaction</v>
      </c>
      <c r="Q2196" s="6" t="str">
        <f>IF(AND(Table1[[#This Row],[Country_of_Residence]]&lt;&gt;Table1[[#This Row],[Country_of_Transaction]], OR(Table1[[#This Row],[Authentication_Type]]="Biometric", Table1[[#This Row],[Authentication_Type]]="OTP")), "safe location transaction", "unsafe location transaction")</f>
        <v>unsafe location transaction</v>
      </c>
      <c r="R2196" s="6" t="str">
        <f>IF(AND(Table1[[#This Row],[Country_of_Residence]]&lt;&gt;Table1[[#This Row],[Country_of_Transaction]], OR(Table1[[#This Row],[Merchant_Category]]="Electronics", Table1[[#This Row],[Merchant_Category]]="Travel")), "unsafe merchant transaction", "safe merchant transaction")</f>
        <v>safe merchant transaction</v>
      </c>
    </row>
    <row r="2197" spans="1:18">
      <c r="A2197" t="s">
        <v>3004</v>
      </c>
      <c r="B2197" t="s">
        <v>321</v>
      </c>
      <c r="C2197">
        <v>1</v>
      </c>
      <c r="D2197" t="s">
        <v>15</v>
      </c>
      <c r="E2197" t="s">
        <v>5</v>
      </c>
      <c r="F2197" s="2">
        <v>45972</v>
      </c>
      <c r="G2197">
        <v>2227.15</v>
      </c>
      <c r="H2197" s="1">
        <f>AVERAGEIF(Table1[Customer_ID], Table1[[#This Row],[Customer_ID]], Table1[Transaction_Amount])</f>
        <v>5094.7099999999991</v>
      </c>
      <c r="I2197" t="s">
        <v>651</v>
      </c>
      <c r="J2197" t="s">
        <v>50</v>
      </c>
      <c r="K2197" t="s">
        <v>12</v>
      </c>
      <c r="L2197">
        <v>2</v>
      </c>
      <c r="M2197" t="s">
        <v>412</v>
      </c>
      <c r="N2197" t="s">
        <v>412</v>
      </c>
      <c r="O2197" t="s">
        <v>392</v>
      </c>
      <c r="P2197" s="6" t="str">
        <f>IF(Table1[[#This Row],[Transaction_Amount]]&lt;=Table1[[#This Row],[avg_transaction_amount]], "usual transaction", "unusual transaction")</f>
        <v>usual transaction</v>
      </c>
      <c r="Q2197" s="6" t="str">
        <f>IF(AND(Table1[[#This Row],[Country_of_Residence]]&lt;&gt;Table1[[#This Row],[Country_of_Transaction]], OR(Table1[[#This Row],[Authentication_Type]]="Biometric", Table1[[#This Row],[Authentication_Type]]="OTP")), "safe location transaction", "unsafe location transaction")</f>
        <v>unsafe location transaction</v>
      </c>
      <c r="R2197" s="6" t="str">
        <f>IF(AND(Table1[[#This Row],[Country_of_Residence]]&lt;&gt;Table1[[#This Row],[Country_of_Transaction]], OR(Table1[[#This Row],[Merchant_Category]]="Electronics", Table1[[#This Row],[Merchant_Category]]="Travel")), "unsafe merchant transaction", "safe merchant transaction")</f>
        <v>safe merchant transaction</v>
      </c>
    </row>
    <row r="2198" spans="1:18">
      <c r="A2198" t="s">
        <v>3152</v>
      </c>
      <c r="B2198" t="s">
        <v>321</v>
      </c>
      <c r="C2198">
        <v>1</v>
      </c>
      <c r="D2198" t="s">
        <v>9</v>
      </c>
      <c r="E2198" t="s">
        <v>3</v>
      </c>
      <c r="F2198" s="2">
        <v>45678</v>
      </c>
      <c r="G2198">
        <v>5339.03</v>
      </c>
      <c r="H2198" s="1">
        <f>AVERAGEIF(Table1[Customer_ID], Table1[[#This Row],[Customer_ID]], Table1[Transaction_Amount])</f>
        <v>5094.7099999999991</v>
      </c>
      <c r="I2198" t="s">
        <v>790</v>
      </c>
      <c r="J2198" t="s">
        <v>50</v>
      </c>
      <c r="K2198" t="s">
        <v>14</v>
      </c>
      <c r="L2198">
        <v>3</v>
      </c>
      <c r="M2198" t="s">
        <v>56</v>
      </c>
      <c r="N2198" t="s">
        <v>42</v>
      </c>
      <c r="O2198" t="s">
        <v>392</v>
      </c>
      <c r="P2198" s="6" t="str">
        <f>IF(Table1[[#This Row],[Transaction_Amount]]&lt;=Table1[[#This Row],[avg_transaction_amount]], "usual transaction", "unusual transaction")</f>
        <v>unusual transaction</v>
      </c>
      <c r="Q2198" s="6" t="str">
        <f>IF(AND(Table1[[#This Row],[Country_of_Residence]]&lt;&gt;Table1[[#This Row],[Country_of_Transaction]], OR(Table1[[#This Row],[Authentication_Type]]="Biometric", Table1[[#This Row],[Authentication_Type]]="OTP")), "safe location transaction", "unsafe location transaction")</f>
        <v>unsafe location transaction</v>
      </c>
      <c r="R2198" s="6" t="str">
        <f>IF(AND(Table1[[#This Row],[Country_of_Residence]]&lt;&gt;Table1[[#This Row],[Country_of_Transaction]], OR(Table1[[#This Row],[Merchant_Category]]="Electronics", Table1[[#This Row],[Merchant_Category]]="Travel")), "unsafe merchant transaction", "safe merchant transaction")</f>
        <v>unsafe merchant transaction</v>
      </c>
    </row>
    <row r="2199" spans="1:18">
      <c r="A2199" t="s">
        <v>3155</v>
      </c>
      <c r="B2199" t="s">
        <v>321</v>
      </c>
      <c r="C2199">
        <v>1</v>
      </c>
      <c r="D2199" t="s">
        <v>15</v>
      </c>
      <c r="E2199" t="s">
        <v>6</v>
      </c>
      <c r="F2199" s="2">
        <v>45955</v>
      </c>
      <c r="G2199">
        <v>3326.38</v>
      </c>
      <c r="H2199" s="1">
        <f>AVERAGEIF(Table1[Customer_ID], Table1[[#This Row],[Customer_ID]], Table1[Transaction_Amount])</f>
        <v>5094.7099999999991</v>
      </c>
      <c r="I2199" t="s">
        <v>793</v>
      </c>
      <c r="J2199" t="s">
        <v>46</v>
      </c>
      <c r="K2199" t="s">
        <v>14</v>
      </c>
      <c r="L2199">
        <v>5</v>
      </c>
      <c r="M2199" t="s">
        <v>33</v>
      </c>
      <c r="N2199" t="s">
        <v>42</v>
      </c>
      <c r="O2199" t="s">
        <v>393</v>
      </c>
      <c r="P2199" s="6" t="str">
        <f>IF(Table1[[#This Row],[Transaction_Amount]]&lt;=Table1[[#This Row],[avg_transaction_amount]], "usual transaction", "unusual transaction")</f>
        <v>usual transaction</v>
      </c>
      <c r="Q2199" s="6" t="str">
        <f>IF(AND(Table1[[#This Row],[Country_of_Residence]]&lt;&gt;Table1[[#This Row],[Country_of_Transaction]], OR(Table1[[#This Row],[Authentication_Type]]="Biometric", Table1[[#This Row],[Authentication_Type]]="OTP")), "safe location transaction", "unsafe location transaction")</f>
        <v>unsafe location transaction</v>
      </c>
      <c r="R2199" s="6" t="str">
        <f>IF(AND(Table1[[#This Row],[Country_of_Residence]]&lt;&gt;Table1[[#This Row],[Country_of_Transaction]], OR(Table1[[#This Row],[Merchant_Category]]="Electronics", Table1[[#This Row],[Merchant_Category]]="Travel")), "unsafe merchant transaction", "safe merchant transaction")</f>
        <v>safe merchant transaction</v>
      </c>
    </row>
    <row r="2200" spans="1:18">
      <c r="A2200" t="s">
        <v>3207</v>
      </c>
      <c r="B2200" t="s">
        <v>321</v>
      </c>
      <c r="C2200">
        <v>1</v>
      </c>
      <c r="D2200" t="s">
        <v>15</v>
      </c>
      <c r="E2200" t="s">
        <v>3</v>
      </c>
      <c r="F2200" s="2">
        <v>45702</v>
      </c>
      <c r="G2200">
        <v>6583.22</v>
      </c>
      <c r="H2200" s="1">
        <f>AVERAGEIF(Table1[Customer_ID], Table1[[#This Row],[Customer_ID]], Table1[Transaction_Amount])</f>
        <v>5094.7099999999991</v>
      </c>
      <c r="I2200" t="s">
        <v>841</v>
      </c>
      <c r="J2200" t="s">
        <v>36</v>
      </c>
      <c r="K2200" t="s">
        <v>12</v>
      </c>
      <c r="L2200">
        <v>0</v>
      </c>
      <c r="M2200" t="s">
        <v>42</v>
      </c>
      <c r="N2200" t="s">
        <v>37</v>
      </c>
      <c r="O2200" t="s">
        <v>393</v>
      </c>
      <c r="P2200" s="6" t="str">
        <f>IF(Table1[[#This Row],[Transaction_Amount]]&lt;=Table1[[#This Row],[avg_transaction_amount]], "usual transaction", "unusual transaction")</f>
        <v>unusual transaction</v>
      </c>
      <c r="Q2200" s="6" t="str">
        <f>IF(AND(Table1[[#This Row],[Country_of_Residence]]&lt;&gt;Table1[[#This Row],[Country_of_Transaction]], OR(Table1[[#This Row],[Authentication_Type]]="Biometric", Table1[[#This Row],[Authentication_Type]]="OTP")), "safe location transaction", "unsafe location transaction")</f>
        <v>unsafe location transaction</v>
      </c>
      <c r="R2200" s="6" t="str">
        <f>IF(AND(Table1[[#This Row],[Country_of_Residence]]&lt;&gt;Table1[[#This Row],[Country_of_Transaction]], OR(Table1[[#This Row],[Merchant_Category]]="Electronics", Table1[[#This Row],[Merchant_Category]]="Travel")), "unsafe merchant transaction", "safe merchant transaction")</f>
        <v>safe merchant transaction</v>
      </c>
    </row>
    <row r="2201" spans="1:18">
      <c r="A2201" t="s">
        <v>3270</v>
      </c>
      <c r="B2201" t="s">
        <v>321</v>
      </c>
      <c r="C2201">
        <v>1</v>
      </c>
      <c r="D2201" t="s">
        <v>15</v>
      </c>
      <c r="E2201" t="s">
        <v>3</v>
      </c>
      <c r="F2201" s="2">
        <v>45996</v>
      </c>
      <c r="G2201">
        <v>6808.08</v>
      </c>
      <c r="H2201" s="1">
        <f>AVERAGEIF(Table1[Customer_ID], Table1[[#This Row],[Customer_ID]], Table1[Transaction_Amount])</f>
        <v>5094.7099999999991</v>
      </c>
      <c r="I2201" t="s">
        <v>898</v>
      </c>
      <c r="J2201" t="s">
        <v>36</v>
      </c>
      <c r="K2201" t="s">
        <v>12</v>
      </c>
      <c r="L2201">
        <v>2</v>
      </c>
      <c r="M2201" t="s">
        <v>47</v>
      </c>
      <c r="N2201" t="s">
        <v>47</v>
      </c>
      <c r="O2201" t="s">
        <v>393</v>
      </c>
      <c r="P2201" s="6" t="str">
        <f>IF(Table1[[#This Row],[Transaction_Amount]]&lt;=Table1[[#This Row],[avg_transaction_amount]], "usual transaction", "unusual transaction")</f>
        <v>unusual transaction</v>
      </c>
      <c r="Q2201" s="6" t="str">
        <f>IF(AND(Table1[[#This Row],[Country_of_Residence]]&lt;&gt;Table1[[#This Row],[Country_of_Transaction]], OR(Table1[[#This Row],[Authentication_Type]]="Biometric", Table1[[#This Row],[Authentication_Type]]="OTP")), "safe location transaction", "unsafe location transaction")</f>
        <v>unsafe location transaction</v>
      </c>
      <c r="R2201" s="6" t="str">
        <f>IF(AND(Table1[[#This Row],[Country_of_Residence]]&lt;&gt;Table1[[#This Row],[Country_of_Transaction]], OR(Table1[[#This Row],[Merchant_Category]]="Electronics", Table1[[#This Row],[Merchant_Category]]="Travel")), "unsafe merchant transaction", "safe merchant transaction")</f>
        <v>safe merchant transaction</v>
      </c>
    </row>
    <row r="2202" spans="1:18">
      <c r="A2202" t="s">
        <v>3371</v>
      </c>
      <c r="B2202" t="s">
        <v>321</v>
      </c>
      <c r="C2202">
        <v>1</v>
      </c>
      <c r="D2202" t="s">
        <v>9</v>
      </c>
      <c r="E2202" t="s">
        <v>5</v>
      </c>
      <c r="F2202" s="2">
        <v>45872</v>
      </c>
      <c r="G2202">
        <v>6939.52</v>
      </c>
      <c r="H2202" s="1">
        <f>AVERAGEIF(Table1[Customer_ID], Table1[[#This Row],[Customer_ID]], Table1[Transaction_Amount])</f>
        <v>5094.7099999999991</v>
      </c>
      <c r="I2202" t="s">
        <v>995</v>
      </c>
      <c r="J2202" t="s">
        <v>31</v>
      </c>
      <c r="K2202" t="s">
        <v>8</v>
      </c>
      <c r="L2202">
        <v>0</v>
      </c>
      <c r="M2202" t="s">
        <v>47</v>
      </c>
      <c r="N2202" t="s">
        <v>55</v>
      </c>
      <c r="O2202" t="s">
        <v>392</v>
      </c>
      <c r="P2202" s="6" t="str">
        <f>IF(Table1[[#This Row],[Transaction_Amount]]&lt;=Table1[[#This Row],[avg_transaction_amount]], "usual transaction", "unusual transaction")</f>
        <v>unusual transaction</v>
      </c>
      <c r="Q2202" s="6" t="str">
        <f>IF(AND(Table1[[#This Row],[Country_of_Residence]]&lt;&gt;Table1[[#This Row],[Country_of_Transaction]], OR(Table1[[#This Row],[Authentication_Type]]="Biometric", Table1[[#This Row],[Authentication_Type]]="OTP")), "safe location transaction", "unsafe location transaction")</f>
        <v>safe location transaction</v>
      </c>
      <c r="R2202" s="6" t="str">
        <f>IF(AND(Table1[[#This Row],[Country_of_Residence]]&lt;&gt;Table1[[#This Row],[Country_of_Transaction]], OR(Table1[[#This Row],[Merchant_Category]]="Electronics", Table1[[#This Row],[Merchant_Category]]="Travel")), "unsafe merchant transaction", "safe merchant transaction")</f>
        <v>safe merchant transaction</v>
      </c>
    </row>
    <row r="2203" spans="1:18">
      <c r="A2203" t="s">
        <v>3446</v>
      </c>
      <c r="B2203" t="s">
        <v>321</v>
      </c>
      <c r="C2203">
        <v>1</v>
      </c>
      <c r="D2203" t="s">
        <v>15</v>
      </c>
      <c r="E2203" t="s">
        <v>3</v>
      </c>
      <c r="F2203" s="2">
        <v>45779</v>
      </c>
      <c r="G2203">
        <v>5405.18</v>
      </c>
      <c r="H2203" s="1">
        <f>AVERAGEIF(Table1[Customer_ID], Table1[[#This Row],[Customer_ID]], Table1[Transaction_Amount])</f>
        <v>5094.7099999999991</v>
      </c>
      <c r="I2203" t="s">
        <v>1065</v>
      </c>
      <c r="J2203" t="s">
        <v>46</v>
      </c>
      <c r="K2203" t="s">
        <v>14</v>
      </c>
      <c r="L2203">
        <v>1</v>
      </c>
      <c r="M2203" t="s">
        <v>42</v>
      </c>
      <c r="N2203" t="s">
        <v>33</v>
      </c>
      <c r="O2203" t="s">
        <v>392</v>
      </c>
      <c r="P2203" s="6" t="str">
        <f>IF(Table1[[#This Row],[Transaction_Amount]]&lt;=Table1[[#This Row],[avg_transaction_amount]], "usual transaction", "unusual transaction")</f>
        <v>unusual transaction</v>
      </c>
      <c r="Q2203" s="6" t="str">
        <f>IF(AND(Table1[[#This Row],[Country_of_Residence]]&lt;&gt;Table1[[#This Row],[Country_of_Transaction]], OR(Table1[[#This Row],[Authentication_Type]]="Biometric", Table1[[#This Row],[Authentication_Type]]="OTP")), "safe location transaction", "unsafe location transaction")</f>
        <v>unsafe location transaction</v>
      </c>
      <c r="R2203" s="6" t="str">
        <f>IF(AND(Table1[[#This Row],[Country_of_Residence]]&lt;&gt;Table1[[#This Row],[Country_of_Transaction]], OR(Table1[[#This Row],[Merchant_Category]]="Electronics", Table1[[#This Row],[Merchant_Category]]="Travel")), "unsafe merchant transaction", "safe merchant transaction")</f>
        <v>safe merchant transaction</v>
      </c>
    </row>
    <row r="2204" spans="1:18">
      <c r="A2204" t="s">
        <v>3518</v>
      </c>
      <c r="B2204" t="s">
        <v>321</v>
      </c>
      <c r="C2204">
        <v>1</v>
      </c>
      <c r="D2204" t="s">
        <v>15</v>
      </c>
      <c r="E2204" t="s">
        <v>3</v>
      </c>
      <c r="F2204" s="2">
        <v>45847</v>
      </c>
      <c r="G2204">
        <v>3806.69</v>
      </c>
      <c r="H2204" s="1">
        <f>AVERAGEIF(Table1[Customer_ID], Table1[[#This Row],[Customer_ID]], Table1[Transaction_Amount])</f>
        <v>5094.7099999999991</v>
      </c>
      <c r="I2204" t="s">
        <v>1133</v>
      </c>
      <c r="J2204" t="s">
        <v>50</v>
      </c>
      <c r="K2204" t="s">
        <v>14</v>
      </c>
      <c r="L2204">
        <v>4</v>
      </c>
      <c r="M2204" t="s">
        <v>32</v>
      </c>
      <c r="N2204" t="s">
        <v>47</v>
      </c>
      <c r="O2204" t="s">
        <v>393</v>
      </c>
      <c r="P2204" s="6" t="str">
        <f>IF(Table1[[#This Row],[Transaction_Amount]]&lt;=Table1[[#This Row],[avg_transaction_amount]], "usual transaction", "unusual transaction")</f>
        <v>usual transaction</v>
      </c>
      <c r="Q2204" s="6" t="str">
        <f>IF(AND(Table1[[#This Row],[Country_of_Residence]]&lt;&gt;Table1[[#This Row],[Country_of_Transaction]], OR(Table1[[#This Row],[Authentication_Type]]="Biometric", Table1[[#This Row],[Authentication_Type]]="OTP")), "safe location transaction", "unsafe location transaction")</f>
        <v>unsafe location transaction</v>
      </c>
      <c r="R2204" s="6" t="str">
        <f>IF(AND(Table1[[#This Row],[Country_of_Residence]]&lt;&gt;Table1[[#This Row],[Country_of_Transaction]], OR(Table1[[#This Row],[Merchant_Category]]="Electronics", Table1[[#This Row],[Merchant_Category]]="Travel")), "unsafe merchant transaction", "safe merchant transaction")</f>
        <v>unsafe merchant transaction</v>
      </c>
    </row>
    <row r="2205" spans="1:18">
      <c r="A2205" t="s">
        <v>3552</v>
      </c>
      <c r="B2205" t="s">
        <v>321</v>
      </c>
      <c r="C2205">
        <v>1</v>
      </c>
      <c r="D2205" t="s">
        <v>9</v>
      </c>
      <c r="E2205" t="s">
        <v>3</v>
      </c>
      <c r="F2205" s="2">
        <v>46006</v>
      </c>
      <c r="G2205">
        <v>2795.46</v>
      </c>
      <c r="H2205" s="1">
        <f>AVERAGEIF(Table1[Customer_ID], Table1[[#This Row],[Customer_ID]], Table1[Transaction_Amount])</f>
        <v>5094.7099999999991</v>
      </c>
      <c r="I2205" t="s">
        <v>1165</v>
      </c>
      <c r="J2205" t="s">
        <v>31</v>
      </c>
      <c r="K2205" t="s">
        <v>12</v>
      </c>
      <c r="L2205">
        <v>0</v>
      </c>
      <c r="M2205" t="s">
        <v>412</v>
      </c>
      <c r="N2205" t="s">
        <v>412</v>
      </c>
      <c r="O2205" t="s">
        <v>393</v>
      </c>
      <c r="P2205" s="6" t="str">
        <f>IF(Table1[[#This Row],[Transaction_Amount]]&lt;=Table1[[#This Row],[avg_transaction_amount]], "usual transaction", "unusual transaction")</f>
        <v>usual transaction</v>
      </c>
      <c r="Q2205" s="6" t="str">
        <f>IF(AND(Table1[[#This Row],[Country_of_Residence]]&lt;&gt;Table1[[#This Row],[Country_of_Transaction]], OR(Table1[[#This Row],[Authentication_Type]]="Biometric", Table1[[#This Row],[Authentication_Type]]="OTP")), "safe location transaction", "unsafe location transaction")</f>
        <v>unsafe location transaction</v>
      </c>
      <c r="R2205" s="6" t="str">
        <f>IF(AND(Table1[[#This Row],[Country_of_Residence]]&lt;&gt;Table1[[#This Row],[Country_of_Transaction]], OR(Table1[[#This Row],[Merchant_Category]]="Electronics", Table1[[#This Row],[Merchant_Category]]="Travel")), "unsafe merchant transaction", "safe merchant transaction")</f>
        <v>safe merchant transaction</v>
      </c>
    </row>
    <row r="2206" spans="1:18">
      <c r="A2206" t="s">
        <v>3578</v>
      </c>
      <c r="B2206" t="s">
        <v>321</v>
      </c>
      <c r="C2206">
        <v>1</v>
      </c>
      <c r="D2206" t="s">
        <v>9</v>
      </c>
      <c r="E2206" t="s">
        <v>6</v>
      </c>
      <c r="F2206" s="2">
        <v>46015</v>
      </c>
      <c r="G2206">
        <v>6606.77</v>
      </c>
      <c r="H2206" s="1">
        <f>AVERAGEIF(Table1[Customer_ID], Table1[[#This Row],[Customer_ID]], Table1[Transaction_Amount])</f>
        <v>5094.7099999999991</v>
      </c>
      <c r="I2206" t="s">
        <v>743</v>
      </c>
      <c r="J2206" t="s">
        <v>41</v>
      </c>
      <c r="K2206" t="s">
        <v>8</v>
      </c>
      <c r="L2206">
        <v>0</v>
      </c>
      <c r="M2206" t="s">
        <v>412</v>
      </c>
      <c r="N2206" t="s">
        <v>412</v>
      </c>
      <c r="O2206" t="s">
        <v>392</v>
      </c>
      <c r="P2206" s="6" t="str">
        <f>IF(Table1[[#This Row],[Transaction_Amount]]&lt;=Table1[[#This Row],[avg_transaction_amount]], "usual transaction", "unusual transaction")</f>
        <v>unusual transaction</v>
      </c>
      <c r="Q2206" s="6" t="str">
        <f>IF(AND(Table1[[#This Row],[Country_of_Residence]]&lt;&gt;Table1[[#This Row],[Country_of_Transaction]], OR(Table1[[#This Row],[Authentication_Type]]="Biometric", Table1[[#This Row],[Authentication_Type]]="OTP")), "safe location transaction", "unsafe location transaction")</f>
        <v>unsafe location transaction</v>
      </c>
      <c r="R2206" s="6" t="str">
        <f>IF(AND(Table1[[#This Row],[Country_of_Residence]]&lt;&gt;Table1[[#This Row],[Country_of_Transaction]], OR(Table1[[#This Row],[Merchant_Category]]="Electronics", Table1[[#This Row],[Merchant_Category]]="Travel")), "unsafe merchant transaction", "safe merchant transaction")</f>
        <v>safe merchant transaction</v>
      </c>
    </row>
    <row r="2207" spans="1:18">
      <c r="A2207" t="s">
        <v>3604</v>
      </c>
      <c r="B2207" t="s">
        <v>321</v>
      </c>
      <c r="C2207">
        <v>1</v>
      </c>
      <c r="D2207" t="s">
        <v>9</v>
      </c>
      <c r="E2207" t="s">
        <v>3</v>
      </c>
      <c r="F2207" s="2">
        <v>45919</v>
      </c>
      <c r="G2207">
        <v>2385.23</v>
      </c>
      <c r="H2207" s="1">
        <f>AVERAGEIF(Table1[Customer_ID], Table1[[#This Row],[Customer_ID]], Table1[Transaction_Amount])</f>
        <v>5094.7099999999991</v>
      </c>
      <c r="I2207" t="s">
        <v>1213</v>
      </c>
      <c r="J2207" t="s">
        <v>46</v>
      </c>
      <c r="K2207" t="s">
        <v>14</v>
      </c>
      <c r="L2207">
        <v>4</v>
      </c>
      <c r="M2207" t="s">
        <v>51</v>
      </c>
      <c r="N2207" t="s">
        <v>56</v>
      </c>
      <c r="O2207" t="s">
        <v>392</v>
      </c>
      <c r="P2207" s="6" t="str">
        <f>IF(Table1[[#This Row],[Transaction_Amount]]&lt;=Table1[[#This Row],[avg_transaction_amount]], "usual transaction", "unusual transaction")</f>
        <v>usual transaction</v>
      </c>
      <c r="Q2207" s="6" t="str">
        <f>IF(AND(Table1[[#This Row],[Country_of_Residence]]&lt;&gt;Table1[[#This Row],[Country_of_Transaction]], OR(Table1[[#This Row],[Authentication_Type]]="Biometric", Table1[[#This Row],[Authentication_Type]]="OTP")), "safe location transaction", "unsafe location transaction")</f>
        <v>unsafe location transaction</v>
      </c>
      <c r="R2207" s="6" t="str">
        <f>IF(AND(Table1[[#This Row],[Country_of_Residence]]&lt;&gt;Table1[[#This Row],[Country_of_Transaction]], OR(Table1[[#This Row],[Merchant_Category]]="Electronics", Table1[[#This Row],[Merchant_Category]]="Travel")), "unsafe merchant transaction", "safe merchant transaction")</f>
        <v>safe merchant transaction</v>
      </c>
    </row>
    <row r="2208" spans="1:18">
      <c r="A2208" t="s">
        <v>3625</v>
      </c>
      <c r="B2208" t="s">
        <v>321</v>
      </c>
      <c r="C2208">
        <v>1</v>
      </c>
      <c r="D2208" t="s">
        <v>15</v>
      </c>
      <c r="E2208" t="s">
        <v>6</v>
      </c>
      <c r="F2208" s="2">
        <v>45715</v>
      </c>
      <c r="G2208">
        <v>3603.42</v>
      </c>
      <c r="H2208" s="1">
        <f>AVERAGEIF(Table1[Customer_ID], Table1[[#This Row],[Customer_ID]], Table1[Transaction_Amount])</f>
        <v>5094.7099999999991</v>
      </c>
      <c r="I2208" t="s">
        <v>1231</v>
      </c>
      <c r="J2208" t="s">
        <v>36</v>
      </c>
      <c r="K2208" t="s">
        <v>14</v>
      </c>
      <c r="L2208">
        <v>1</v>
      </c>
      <c r="M2208" t="s">
        <v>56</v>
      </c>
      <c r="N2208" t="s">
        <v>32</v>
      </c>
      <c r="O2208" t="s">
        <v>392</v>
      </c>
      <c r="P2208" s="6" t="str">
        <f>IF(Table1[[#This Row],[Transaction_Amount]]&lt;=Table1[[#This Row],[avg_transaction_amount]], "usual transaction", "unusual transaction")</f>
        <v>usual transaction</v>
      </c>
      <c r="Q2208" s="6" t="str">
        <f>IF(AND(Table1[[#This Row],[Country_of_Residence]]&lt;&gt;Table1[[#This Row],[Country_of_Transaction]], OR(Table1[[#This Row],[Authentication_Type]]="Biometric", Table1[[#This Row],[Authentication_Type]]="OTP")), "safe location transaction", "unsafe location transaction")</f>
        <v>unsafe location transaction</v>
      </c>
      <c r="R2208" s="6" t="str">
        <f>IF(AND(Table1[[#This Row],[Country_of_Residence]]&lt;&gt;Table1[[#This Row],[Country_of_Transaction]], OR(Table1[[#This Row],[Merchant_Category]]="Electronics", Table1[[#This Row],[Merchant_Category]]="Travel")), "unsafe merchant transaction", "safe merchant transaction")</f>
        <v>safe merchant transaction</v>
      </c>
    </row>
    <row r="2209" spans="1:18">
      <c r="A2209" t="s">
        <v>3676</v>
      </c>
      <c r="B2209" t="s">
        <v>321</v>
      </c>
      <c r="C2209">
        <v>1</v>
      </c>
      <c r="D2209" t="s">
        <v>9</v>
      </c>
      <c r="E2209" t="s">
        <v>5</v>
      </c>
      <c r="F2209" s="2">
        <v>45670</v>
      </c>
      <c r="G2209">
        <v>6879.56</v>
      </c>
      <c r="H2209" s="1">
        <f>AVERAGEIF(Table1[Customer_ID], Table1[[#This Row],[Customer_ID]], Table1[Transaction_Amount])</f>
        <v>5094.7099999999991</v>
      </c>
      <c r="I2209" t="s">
        <v>1277</v>
      </c>
      <c r="J2209" t="s">
        <v>46</v>
      </c>
      <c r="K2209" t="s">
        <v>14</v>
      </c>
      <c r="L2209">
        <v>2</v>
      </c>
      <c r="M2209" t="s">
        <v>56</v>
      </c>
      <c r="N2209" t="s">
        <v>412</v>
      </c>
      <c r="O2209" t="s">
        <v>393</v>
      </c>
      <c r="P2209" s="6" t="str">
        <f>IF(Table1[[#This Row],[Transaction_Amount]]&lt;=Table1[[#This Row],[avg_transaction_amount]], "usual transaction", "unusual transaction")</f>
        <v>unusual transaction</v>
      </c>
      <c r="Q2209" s="6" t="str">
        <f>IF(AND(Table1[[#This Row],[Country_of_Residence]]&lt;&gt;Table1[[#This Row],[Country_of_Transaction]], OR(Table1[[#This Row],[Authentication_Type]]="Biometric", Table1[[#This Row],[Authentication_Type]]="OTP")), "safe location transaction", "unsafe location transaction")</f>
        <v>unsafe location transaction</v>
      </c>
      <c r="R2209" s="6" t="str">
        <f>IF(AND(Table1[[#This Row],[Country_of_Residence]]&lt;&gt;Table1[[#This Row],[Country_of_Transaction]], OR(Table1[[#This Row],[Merchant_Category]]="Electronics", Table1[[#This Row],[Merchant_Category]]="Travel")), "unsafe merchant transaction", "safe merchant transaction")</f>
        <v>safe merchant transaction</v>
      </c>
    </row>
    <row r="2210" spans="1:18">
      <c r="A2210" t="s">
        <v>3876</v>
      </c>
      <c r="B2210" t="s">
        <v>321</v>
      </c>
      <c r="C2210">
        <v>1</v>
      </c>
      <c r="D2210" t="s">
        <v>15</v>
      </c>
      <c r="E2210" t="s">
        <v>420</v>
      </c>
      <c r="F2210" s="2">
        <v>45849</v>
      </c>
      <c r="G2210">
        <v>7909.95</v>
      </c>
      <c r="H2210" s="1">
        <f>AVERAGEIF(Table1[Customer_ID], Table1[[#This Row],[Customer_ID]], Table1[Transaction_Amount])</f>
        <v>5094.7099999999991</v>
      </c>
      <c r="I2210" t="s">
        <v>1448</v>
      </c>
      <c r="J2210" t="s">
        <v>36</v>
      </c>
      <c r="K2210" t="s">
        <v>14</v>
      </c>
      <c r="L2210">
        <v>4</v>
      </c>
      <c r="M2210" t="s">
        <v>47</v>
      </c>
      <c r="N2210" t="s">
        <v>33</v>
      </c>
      <c r="O2210" t="s">
        <v>393</v>
      </c>
      <c r="P2210" s="6" t="str">
        <f>IF(Table1[[#This Row],[Transaction_Amount]]&lt;=Table1[[#This Row],[avg_transaction_amount]], "usual transaction", "unusual transaction")</f>
        <v>unusual transaction</v>
      </c>
      <c r="Q2210" s="6" t="str">
        <f>IF(AND(Table1[[#This Row],[Country_of_Residence]]&lt;&gt;Table1[[#This Row],[Country_of_Transaction]], OR(Table1[[#This Row],[Authentication_Type]]="Biometric", Table1[[#This Row],[Authentication_Type]]="OTP")), "safe location transaction", "unsafe location transaction")</f>
        <v>unsafe location transaction</v>
      </c>
      <c r="R2210" s="6" t="str">
        <f>IF(AND(Table1[[#This Row],[Country_of_Residence]]&lt;&gt;Table1[[#This Row],[Country_of_Transaction]], OR(Table1[[#This Row],[Merchant_Category]]="Electronics", Table1[[#This Row],[Merchant_Category]]="Travel")), "unsafe merchant transaction", "safe merchant transaction")</f>
        <v>safe merchant transaction</v>
      </c>
    </row>
    <row r="2211" spans="1:18">
      <c r="A2211" t="s">
        <v>3971</v>
      </c>
      <c r="B2211" t="s">
        <v>321</v>
      </c>
      <c r="C2211">
        <v>1</v>
      </c>
      <c r="D2211" t="s">
        <v>9</v>
      </c>
      <c r="E2211" t="s">
        <v>420</v>
      </c>
      <c r="F2211" s="2">
        <v>45925</v>
      </c>
      <c r="G2211">
        <v>6698.03</v>
      </c>
      <c r="H2211" s="1">
        <f>AVERAGEIF(Table1[Customer_ID], Table1[[#This Row],[Customer_ID]], Table1[Transaction_Amount])</f>
        <v>5094.7099999999991</v>
      </c>
      <c r="I2211" t="s">
        <v>1532</v>
      </c>
      <c r="J2211" t="s">
        <v>46</v>
      </c>
      <c r="K2211" t="s">
        <v>14</v>
      </c>
      <c r="L2211">
        <v>4</v>
      </c>
      <c r="M2211" t="s">
        <v>412</v>
      </c>
      <c r="N2211" t="s">
        <v>51</v>
      </c>
      <c r="O2211" t="s">
        <v>393</v>
      </c>
      <c r="P2211" s="6" t="str">
        <f>IF(Table1[[#This Row],[Transaction_Amount]]&lt;=Table1[[#This Row],[avg_transaction_amount]], "usual transaction", "unusual transaction")</f>
        <v>unusual transaction</v>
      </c>
      <c r="Q2211" s="6" t="str">
        <f>IF(AND(Table1[[#This Row],[Country_of_Residence]]&lt;&gt;Table1[[#This Row],[Country_of_Transaction]], OR(Table1[[#This Row],[Authentication_Type]]="Biometric", Table1[[#This Row],[Authentication_Type]]="OTP")), "safe location transaction", "unsafe location transaction")</f>
        <v>unsafe location transaction</v>
      </c>
      <c r="R2211" s="6" t="str">
        <f>IF(AND(Table1[[#This Row],[Country_of_Residence]]&lt;&gt;Table1[[#This Row],[Country_of_Transaction]], OR(Table1[[#This Row],[Merchant_Category]]="Electronics", Table1[[#This Row],[Merchant_Category]]="Travel")), "unsafe merchant transaction", "safe merchant transaction")</f>
        <v>safe merchant transaction</v>
      </c>
    </row>
    <row r="2212" spans="1:18">
      <c r="A2212" t="s">
        <v>3987</v>
      </c>
      <c r="B2212" t="s">
        <v>321</v>
      </c>
      <c r="C2212">
        <v>1</v>
      </c>
      <c r="D2212" t="s">
        <v>9</v>
      </c>
      <c r="E2212" t="s">
        <v>5</v>
      </c>
      <c r="F2212" s="2">
        <v>45899</v>
      </c>
      <c r="G2212">
        <v>5262.5</v>
      </c>
      <c r="H2212" s="1">
        <f>AVERAGEIF(Table1[Customer_ID], Table1[[#This Row],[Customer_ID]], Table1[Transaction_Amount])</f>
        <v>5094.7099999999991</v>
      </c>
      <c r="I2212" t="s">
        <v>1546</v>
      </c>
      <c r="J2212" t="s">
        <v>50</v>
      </c>
      <c r="K2212" t="s">
        <v>14</v>
      </c>
      <c r="L2212">
        <v>4</v>
      </c>
      <c r="M2212" t="s">
        <v>32</v>
      </c>
      <c r="N2212" t="s">
        <v>56</v>
      </c>
      <c r="O2212" t="s">
        <v>392</v>
      </c>
      <c r="P2212" s="6" t="str">
        <f>IF(Table1[[#This Row],[Transaction_Amount]]&lt;=Table1[[#This Row],[avg_transaction_amount]], "usual transaction", "unusual transaction")</f>
        <v>unusual transaction</v>
      </c>
      <c r="Q2212" s="6" t="str">
        <f>IF(AND(Table1[[#This Row],[Country_of_Residence]]&lt;&gt;Table1[[#This Row],[Country_of_Transaction]], OR(Table1[[#This Row],[Authentication_Type]]="Biometric", Table1[[#This Row],[Authentication_Type]]="OTP")), "safe location transaction", "unsafe location transaction")</f>
        <v>unsafe location transaction</v>
      </c>
      <c r="R2212" s="6" t="str">
        <f>IF(AND(Table1[[#This Row],[Country_of_Residence]]&lt;&gt;Table1[[#This Row],[Country_of_Transaction]], OR(Table1[[#This Row],[Merchant_Category]]="Electronics", Table1[[#This Row],[Merchant_Category]]="Travel")), "unsafe merchant transaction", "safe merchant transaction")</f>
        <v>unsafe merchant transaction</v>
      </c>
    </row>
    <row r="2213" spans="1:18">
      <c r="A2213" t="s">
        <v>4124</v>
      </c>
      <c r="B2213" t="s">
        <v>321</v>
      </c>
      <c r="C2213">
        <v>1</v>
      </c>
      <c r="D2213" t="s">
        <v>15</v>
      </c>
      <c r="E2213" t="s">
        <v>3</v>
      </c>
      <c r="F2213" s="2">
        <v>45986</v>
      </c>
      <c r="G2213">
        <v>6214.43</v>
      </c>
      <c r="H2213" s="1">
        <f>AVERAGEIF(Table1[Customer_ID], Table1[[#This Row],[Customer_ID]], Table1[Transaction_Amount])</f>
        <v>5094.7099999999991</v>
      </c>
      <c r="I2213" t="s">
        <v>1364</v>
      </c>
      <c r="J2213" t="s">
        <v>46</v>
      </c>
      <c r="K2213" t="s">
        <v>10</v>
      </c>
      <c r="L2213">
        <v>1</v>
      </c>
      <c r="M2213" t="s">
        <v>33</v>
      </c>
      <c r="N2213" t="s">
        <v>47</v>
      </c>
      <c r="O2213" t="s">
        <v>393</v>
      </c>
      <c r="P2213" s="6" t="str">
        <f>IF(Table1[[#This Row],[Transaction_Amount]]&lt;=Table1[[#This Row],[avg_transaction_amount]], "usual transaction", "unusual transaction")</f>
        <v>unusual transaction</v>
      </c>
      <c r="Q2213" s="6" t="str">
        <f>IF(AND(Table1[[#This Row],[Country_of_Residence]]&lt;&gt;Table1[[#This Row],[Country_of_Transaction]], OR(Table1[[#This Row],[Authentication_Type]]="Biometric", Table1[[#This Row],[Authentication_Type]]="OTP")), "safe location transaction", "unsafe location transaction")</f>
        <v>safe location transaction</v>
      </c>
      <c r="R2213" s="6" t="str">
        <f>IF(AND(Table1[[#This Row],[Country_of_Residence]]&lt;&gt;Table1[[#This Row],[Country_of_Transaction]], OR(Table1[[#This Row],[Merchant_Category]]="Electronics", Table1[[#This Row],[Merchant_Category]]="Travel")), "unsafe merchant transaction", "safe merchant transaction")</f>
        <v>safe merchant transaction</v>
      </c>
    </row>
    <row r="2214" spans="1:18">
      <c r="A2214" t="s">
        <v>4207</v>
      </c>
      <c r="B2214" t="s">
        <v>321</v>
      </c>
      <c r="C2214">
        <v>1</v>
      </c>
      <c r="D2214" t="s">
        <v>9</v>
      </c>
      <c r="E2214" t="s">
        <v>6</v>
      </c>
      <c r="F2214" s="2">
        <v>45834</v>
      </c>
      <c r="G2214">
        <v>6466.51</v>
      </c>
      <c r="H2214" s="1">
        <f>AVERAGEIF(Table1[Customer_ID], Table1[[#This Row],[Customer_ID]], Table1[Transaction_Amount])</f>
        <v>5094.7099999999991</v>
      </c>
      <c r="I2214" t="s">
        <v>1727</v>
      </c>
      <c r="J2214" t="s">
        <v>41</v>
      </c>
      <c r="K2214" t="s">
        <v>14</v>
      </c>
      <c r="L2214">
        <v>5</v>
      </c>
      <c r="M2214" t="s">
        <v>55</v>
      </c>
      <c r="N2214" t="s">
        <v>55</v>
      </c>
      <c r="O2214" t="s">
        <v>392</v>
      </c>
      <c r="P2214" s="6" t="str">
        <f>IF(Table1[[#This Row],[Transaction_Amount]]&lt;=Table1[[#This Row],[avg_transaction_amount]], "usual transaction", "unusual transaction")</f>
        <v>unusual transaction</v>
      </c>
      <c r="Q2214" s="6" t="str">
        <f>IF(AND(Table1[[#This Row],[Country_of_Residence]]&lt;&gt;Table1[[#This Row],[Country_of_Transaction]], OR(Table1[[#This Row],[Authentication_Type]]="Biometric", Table1[[#This Row],[Authentication_Type]]="OTP")), "safe location transaction", "unsafe location transaction")</f>
        <v>unsafe location transaction</v>
      </c>
      <c r="R2214" s="6" t="str">
        <f>IF(AND(Table1[[#This Row],[Country_of_Residence]]&lt;&gt;Table1[[#This Row],[Country_of_Transaction]], OR(Table1[[#This Row],[Merchant_Category]]="Electronics", Table1[[#This Row],[Merchant_Category]]="Travel")), "unsafe merchant transaction", "safe merchant transaction")</f>
        <v>safe merchant transaction</v>
      </c>
    </row>
    <row r="2215" spans="1:18">
      <c r="A2215" t="s">
        <v>4280</v>
      </c>
      <c r="B2215" t="s">
        <v>321</v>
      </c>
      <c r="C2215">
        <v>1</v>
      </c>
      <c r="D2215" t="s">
        <v>9</v>
      </c>
      <c r="E2215" t="s">
        <v>3</v>
      </c>
      <c r="F2215" s="2">
        <v>45838</v>
      </c>
      <c r="G2215">
        <v>4473.72</v>
      </c>
      <c r="H2215" s="1">
        <f>AVERAGEIF(Table1[Customer_ID], Table1[[#This Row],[Customer_ID]], Table1[Transaction_Amount])</f>
        <v>5094.7099999999991</v>
      </c>
      <c r="I2215" t="s">
        <v>286</v>
      </c>
      <c r="J2215" t="s">
        <v>41</v>
      </c>
      <c r="K2215" t="s">
        <v>12</v>
      </c>
      <c r="L2215">
        <v>4</v>
      </c>
      <c r="M2215" t="s">
        <v>37</v>
      </c>
      <c r="N2215" t="s">
        <v>51</v>
      </c>
      <c r="O2215" t="s">
        <v>393</v>
      </c>
      <c r="P2215" s="6" t="str">
        <f>IF(Table1[[#This Row],[Transaction_Amount]]&lt;=Table1[[#This Row],[avg_transaction_amount]], "usual transaction", "unusual transaction")</f>
        <v>usual transaction</v>
      </c>
      <c r="Q2215" s="6" t="str">
        <f>IF(AND(Table1[[#This Row],[Country_of_Residence]]&lt;&gt;Table1[[#This Row],[Country_of_Transaction]], OR(Table1[[#This Row],[Authentication_Type]]="Biometric", Table1[[#This Row],[Authentication_Type]]="OTP")), "safe location transaction", "unsafe location transaction")</f>
        <v>unsafe location transaction</v>
      </c>
      <c r="R2215" s="6" t="str">
        <f>IF(AND(Table1[[#This Row],[Country_of_Residence]]&lt;&gt;Table1[[#This Row],[Country_of_Transaction]], OR(Table1[[#This Row],[Merchant_Category]]="Electronics", Table1[[#This Row],[Merchant_Category]]="Travel")), "unsafe merchant transaction", "safe merchant transaction")</f>
        <v>safe merchant transaction</v>
      </c>
    </row>
    <row r="2216" spans="1:18">
      <c r="A2216" t="s">
        <v>4404</v>
      </c>
      <c r="B2216" t="s">
        <v>321</v>
      </c>
      <c r="C2216">
        <v>1</v>
      </c>
      <c r="D2216" t="s">
        <v>15</v>
      </c>
      <c r="E2216" t="s">
        <v>5</v>
      </c>
      <c r="F2216" s="2">
        <v>45922</v>
      </c>
      <c r="G2216">
        <v>568.58000000000004</v>
      </c>
      <c r="H2216" s="1">
        <f>AVERAGEIF(Table1[Customer_ID], Table1[[#This Row],[Customer_ID]], Table1[Transaction_Amount])</f>
        <v>5094.7099999999991</v>
      </c>
      <c r="I2216" t="s">
        <v>1904</v>
      </c>
      <c r="J2216" t="s">
        <v>41</v>
      </c>
      <c r="K2216" t="s">
        <v>12</v>
      </c>
      <c r="L2216">
        <v>1</v>
      </c>
      <c r="M2216" t="s">
        <v>412</v>
      </c>
      <c r="N2216" t="s">
        <v>51</v>
      </c>
      <c r="O2216" t="s">
        <v>393</v>
      </c>
      <c r="P2216" s="6" t="str">
        <f>IF(Table1[[#This Row],[Transaction_Amount]]&lt;=Table1[[#This Row],[avg_transaction_amount]], "usual transaction", "unusual transaction")</f>
        <v>usual transaction</v>
      </c>
      <c r="Q2216" s="6" t="str">
        <f>IF(AND(Table1[[#This Row],[Country_of_Residence]]&lt;&gt;Table1[[#This Row],[Country_of_Transaction]], OR(Table1[[#This Row],[Authentication_Type]]="Biometric", Table1[[#This Row],[Authentication_Type]]="OTP")), "safe location transaction", "unsafe location transaction")</f>
        <v>unsafe location transaction</v>
      </c>
      <c r="R2216" s="6" t="str">
        <f>IF(AND(Table1[[#This Row],[Country_of_Residence]]&lt;&gt;Table1[[#This Row],[Country_of_Transaction]], OR(Table1[[#This Row],[Merchant_Category]]="Electronics", Table1[[#This Row],[Merchant_Category]]="Travel")), "unsafe merchant transaction", "safe merchant transaction")</f>
        <v>safe merchant transaction</v>
      </c>
    </row>
    <row r="2217" spans="1:18">
      <c r="A2217" t="s">
        <v>4501</v>
      </c>
      <c r="B2217" t="s">
        <v>321</v>
      </c>
      <c r="C2217">
        <v>1</v>
      </c>
      <c r="D2217" t="s">
        <v>9</v>
      </c>
      <c r="E2217" t="s">
        <v>5</v>
      </c>
      <c r="F2217" s="2">
        <v>46012</v>
      </c>
      <c r="G2217">
        <v>6993.25</v>
      </c>
      <c r="H2217" s="1">
        <f>AVERAGEIF(Table1[Customer_ID], Table1[[#This Row],[Customer_ID]], Table1[Transaction_Amount])</f>
        <v>5094.7099999999991</v>
      </c>
      <c r="I2217" t="s">
        <v>1988</v>
      </c>
      <c r="J2217" t="s">
        <v>46</v>
      </c>
      <c r="K2217" t="s">
        <v>12</v>
      </c>
      <c r="L2217">
        <v>2</v>
      </c>
      <c r="M2217" t="s">
        <v>56</v>
      </c>
      <c r="N2217" t="s">
        <v>42</v>
      </c>
      <c r="O2217" t="s">
        <v>392</v>
      </c>
      <c r="P2217" s="6" t="str">
        <f>IF(Table1[[#This Row],[Transaction_Amount]]&lt;=Table1[[#This Row],[avg_transaction_amount]], "usual transaction", "unusual transaction")</f>
        <v>unusual transaction</v>
      </c>
      <c r="Q2217" s="6" t="str">
        <f>IF(AND(Table1[[#This Row],[Country_of_Residence]]&lt;&gt;Table1[[#This Row],[Country_of_Transaction]], OR(Table1[[#This Row],[Authentication_Type]]="Biometric", Table1[[#This Row],[Authentication_Type]]="OTP")), "safe location transaction", "unsafe location transaction")</f>
        <v>unsafe location transaction</v>
      </c>
      <c r="R2217" s="6" t="str">
        <f>IF(AND(Table1[[#This Row],[Country_of_Residence]]&lt;&gt;Table1[[#This Row],[Country_of_Transaction]], OR(Table1[[#This Row],[Merchant_Category]]="Electronics", Table1[[#This Row],[Merchant_Category]]="Travel")), "unsafe merchant transaction", "safe merchant transaction")</f>
        <v>safe merchant transaction</v>
      </c>
    </row>
    <row r="2218" spans="1:18">
      <c r="A2218" t="s">
        <v>4505</v>
      </c>
      <c r="B2218" t="s">
        <v>321</v>
      </c>
      <c r="C2218">
        <v>1</v>
      </c>
      <c r="D2218" t="s">
        <v>9</v>
      </c>
      <c r="E2218" t="s">
        <v>6</v>
      </c>
      <c r="F2218" s="2">
        <v>45733</v>
      </c>
      <c r="G2218">
        <v>6579.17</v>
      </c>
      <c r="H2218" s="1">
        <f>AVERAGEIF(Table1[Customer_ID], Table1[[#This Row],[Customer_ID]], Table1[Transaction_Amount])</f>
        <v>5094.7099999999991</v>
      </c>
      <c r="I2218" t="s">
        <v>1991</v>
      </c>
      <c r="J2218" t="s">
        <v>46</v>
      </c>
      <c r="K2218" t="s">
        <v>8</v>
      </c>
      <c r="L2218">
        <v>5</v>
      </c>
      <c r="M2218" t="s">
        <v>412</v>
      </c>
      <c r="N2218" t="s">
        <v>47</v>
      </c>
      <c r="O2218" t="s">
        <v>393</v>
      </c>
      <c r="P2218" s="6" t="str">
        <f>IF(Table1[[#This Row],[Transaction_Amount]]&lt;=Table1[[#This Row],[avg_transaction_amount]], "usual transaction", "unusual transaction")</f>
        <v>unusual transaction</v>
      </c>
      <c r="Q2218" s="6" t="str">
        <f>IF(AND(Table1[[#This Row],[Country_of_Residence]]&lt;&gt;Table1[[#This Row],[Country_of_Transaction]], OR(Table1[[#This Row],[Authentication_Type]]="Biometric", Table1[[#This Row],[Authentication_Type]]="OTP")), "safe location transaction", "unsafe location transaction")</f>
        <v>safe location transaction</v>
      </c>
      <c r="R2218" s="6" t="str">
        <f>IF(AND(Table1[[#This Row],[Country_of_Residence]]&lt;&gt;Table1[[#This Row],[Country_of_Transaction]], OR(Table1[[#This Row],[Merchant_Category]]="Electronics", Table1[[#This Row],[Merchant_Category]]="Travel")), "unsafe merchant transaction", "safe merchant transaction")</f>
        <v>safe merchant transaction</v>
      </c>
    </row>
    <row r="2219" spans="1:18">
      <c r="A2219" t="s">
        <v>4524</v>
      </c>
      <c r="B2219" t="s">
        <v>321</v>
      </c>
      <c r="C2219">
        <v>1</v>
      </c>
      <c r="D2219" t="s">
        <v>15</v>
      </c>
      <c r="E2219" t="s">
        <v>6</v>
      </c>
      <c r="F2219" s="2">
        <v>45731</v>
      </c>
      <c r="G2219">
        <v>3630.81</v>
      </c>
      <c r="H2219" s="1">
        <f>AVERAGEIF(Table1[Customer_ID], Table1[[#This Row],[Customer_ID]], Table1[Transaction_Amount])</f>
        <v>5094.7099999999991</v>
      </c>
      <c r="I2219" t="s">
        <v>646</v>
      </c>
      <c r="J2219" t="s">
        <v>46</v>
      </c>
      <c r="K2219" t="s">
        <v>12</v>
      </c>
      <c r="L2219">
        <v>1</v>
      </c>
      <c r="M2219" t="s">
        <v>56</v>
      </c>
      <c r="N2219" t="s">
        <v>37</v>
      </c>
      <c r="O2219" t="s">
        <v>393</v>
      </c>
      <c r="P2219" s="6" t="str">
        <f>IF(Table1[[#This Row],[Transaction_Amount]]&lt;=Table1[[#This Row],[avg_transaction_amount]], "usual transaction", "unusual transaction")</f>
        <v>usual transaction</v>
      </c>
      <c r="Q2219" s="6" t="str">
        <f>IF(AND(Table1[[#This Row],[Country_of_Residence]]&lt;&gt;Table1[[#This Row],[Country_of_Transaction]], OR(Table1[[#This Row],[Authentication_Type]]="Biometric", Table1[[#This Row],[Authentication_Type]]="OTP")), "safe location transaction", "unsafe location transaction")</f>
        <v>unsafe location transaction</v>
      </c>
      <c r="R2219" s="6" t="str">
        <f>IF(AND(Table1[[#This Row],[Country_of_Residence]]&lt;&gt;Table1[[#This Row],[Country_of_Transaction]], OR(Table1[[#This Row],[Merchant_Category]]="Electronics", Table1[[#This Row],[Merchant_Category]]="Travel")), "unsafe merchant transaction", "safe merchant transaction")</f>
        <v>safe merchant transaction</v>
      </c>
    </row>
    <row r="2220" spans="1:18">
      <c r="A2220" t="s">
        <v>4551</v>
      </c>
      <c r="B2220" t="s">
        <v>321</v>
      </c>
      <c r="C2220">
        <v>1</v>
      </c>
      <c r="D2220" t="s">
        <v>9</v>
      </c>
      <c r="E2220" t="s">
        <v>6</v>
      </c>
      <c r="F2220" s="2">
        <v>45797</v>
      </c>
      <c r="G2220">
        <v>4873.67</v>
      </c>
      <c r="H2220" s="1">
        <f>AVERAGEIF(Table1[Customer_ID], Table1[[#This Row],[Customer_ID]], Table1[Transaction_Amount])</f>
        <v>5094.7099999999991</v>
      </c>
      <c r="I2220" t="s">
        <v>2029</v>
      </c>
      <c r="J2220" t="s">
        <v>41</v>
      </c>
      <c r="K2220" t="s">
        <v>14</v>
      </c>
      <c r="L2220">
        <v>0</v>
      </c>
      <c r="M2220" t="s">
        <v>55</v>
      </c>
      <c r="N2220" t="s">
        <v>51</v>
      </c>
      <c r="O2220" t="s">
        <v>393</v>
      </c>
      <c r="P2220" s="6" t="str">
        <f>IF(Table1[[#This Row],[Transaction_Amount]]&lt;=Table1[[#This Row],[avg_transaction_amount]], "usual transaction", "unusual transaction")</f>
        <v>usual transaction</v>
      </c>
      <c r="Q2220" s="6" t="str">
        <f>IF(AND(Table1[[#This Row],[Country_of_Residence]]&lt;&gt;Table1[[#This Row],[Country_of_Transaction]], OR(Table1[[#This Row],[Authentication_Type]]="Biometric", Table1[[#This Row],[Authentication_Type]]="OTP")), "safe location transaction", "unsafe location transaction")</f>
        <v>unsafe location transaction</v>
      </c>
      <c r="R2220" s="6" t="str">
        <f>IF(AND(Table1[[#This Row],[Country_of_Residence]]&lt;&gt;Table1[[#This Row],[Country_of_Transaction]], OR(Table1[[#This Row],[Merchant_Category]]="Electronics", Table1[[#This Row],[Merchant_Category]]="Travel")), "unsafe merchant transaction", "safe merchant transaction")</f>
        <v>safe merchant transaction</v>
      </c>
    </row>
    <row r="2221" spans="1:18">
      <c r="A2221" t="s">
        <v>4557</v>
      </c>
      <c r="B2221" t="s">
        <v>321</v>
      </c>
      <c r="C2221">
        <v>1</v>
      </c>
      <c r="D2221" t="s">
        <v>9</v>
      </c>
      <c r="E2221" t="s">
        <v>5</v>
      </c>
      <c r="F2221" s="2">
        <v>45712</v>
      </c>
      <c r="G2221">
        <v>3234</v>
      </c>
      <c r="H2221" s="1">
        <f>AVERAGEIF(Table1[Customer_ID], Table1[[#This Row],[Customer_ID]], Table1[Transaction_Amount])</f>
        <v>5094.7099999999991</v>
      </c>
      <c r="I2221" t="s">
        <v>764</v>
      </c>
      <c r="J2221" t="s">
        <v>46</v>
      </c>
      <c r="K2221" t="s">
        <v>12</v>
      </c>
      <c r="L2221">
        <v>5</v>
      </c>
      <c r="M2221" t="s">
        <v>55</v>
      </c>
      <c r="N2221" t="s">
        <v>42</v>
      </c>
      <c r="O2221" t="s">
        <v>393</v>
      </c>
      <c r="P2221" s="6" t="str">
        <f>IF(Table1[[#This Row],[Transaction_Amount]]&lt;=Table1[[#This Row],[avg_transaction_amount]], "usual transaction", "unusual transaction")</f>
        <v>usual transaction</v>
      </c>
      <c r="Q2221" s="6" t="str">
        <f>IF(AND(Table1[[#This Row],[Country_of_Residence]]&lt;&gt;Table1[[#This Row],[Country_of_Transaction]], OR(Table1[[#This Row],[Authentication_Type]]="Biometric", Table1[[#This Row],[Authentication_Type]]="OTP")), "safe location transaction", "unsafe location transaction")</f>
        <v>unsafe location transaction</v>
      </c>
      <c r="R2221" s="6" t="str">
        <f>IF(AND(Table1[[#This Row],[Country_of_Residence]]&lt;&gt;Table1[[#This Row],[Country_of_Transaction]], OR(Table1[[#This Row],[Merchant_Category]]="Electronics", Table1[[#This Row],[Merchant_Category]]="Travel")), "unsafe merchant transaction", "safe merchant transaction")</f>
        <v>safe merchant transaction</v>
      </c>
    </row>
    <row r="2222" spans="1:18">
      <c r="A2222" t="s">
        <v>4591</v>
      </c>
      <c r="B2222" t="s">
        <v>321</v>
      </c>
      <c r="C2222">
        <v>1</v>
      </c>
      <c r="D2222" t="s">
        <v>9</v>
      </c>
      <c r="E2222" t="s">
        <v>3</v>
      </c>
      <c r="F2222" s="2">
        <v>45749</v>
      </c>
      <c r="G2222">
        <v>497.56</v>
      </c>
      <c r="H2222" s="1">
        <f>AVERAGEIF(Table1[Customer_ID], Table1[[#This Row],[Customer_ID]], Table1[Transaction_Amount])</f>
        <v>5094.7099999999991</v>
      </c>
      <c r="I2222" t="s">
        <v>2059</v>
      </c>
      <c r="J2222" t="s">
        <v>50</v>
      </c>
      <c r="K2222" t="s">
        <v>10</v>
      </c>
      <c r="L2222">
        <v>5</v>
      </c>
      <c r="M2222" t="s">
        <v>55</v>
      </c>
      <c r="N2222" t="s">
        <v>37</v>
      </c>
      <c r="O2222" t="s">
        <v>393</v>
      </c>
      <c r="P2222" s="6" t="str">
        <f>IF(Table1[[#This Row],[Transaction_Amount]]&lt;=Table1[[#This Row],[avg_transaction_amount]], "usual transaction", "unusual transaction")</f>
        <v>usual transaction</v>
      </c>
      <c r="Q2222" s="6" t="str">
        <f>IF(AND(Table1[[#This Row],[Country_of_Residence]]&lt;&gt;Table1[[#This Row],[Country_of_Transaction]], OR(Table1[[#This Row],[Authentication_Type]]="Biometric", Table1[[#This Row],[Authentication_Type]]="OTP")), "safe location transaction", "unsafe location transaction")</f>
        <v>safe location transaction</v>
      </c>
      <c r="R2222" s="6" t="str">
        <f>IF(AND(Table1[[#This Row],[Country_of_Residence]]&lt;&gt;Table1[[#This Row],[Country_of_Transaction]], OR(Table1[[#This Row],[Merchant_Category]]="Electronics", Table1[[#This Row],[Merchant_Category]]="Travel")), "unsafe merchant transaction", "safe merchant transaction")</f>
        <v>unsafe merchant transaction</v>
      </c>
    </row>
    <row r="2223" spans="1:18">
      <c r="A2223" t="s">
        <v>4639</v>
      </c>
      <c r="B2223" t="s">
        <v>321</v>
      </c>
      <c r="C2223">
        <v>1</v>
      </c>
      <c r="D2223" t="s">
        <v>15</v>
      </c>
      <c r="E2223" t="s">
        <v>5</v>
      </c>
      <c r="F2223" s="2">
        <v>45705</v>
      </c>
      <c r="G2223">
        <v>5931</v>
      </c>
      <c r="H2223" s="1">
        <f>AVERAGEIF(Table1[Customer_ID], Table1[[#This Row],[Customer_ID]], Table1[Transaction_Amount])</f>
        <v>5094.7099999999991</v>
      </c>
      <c r="I2223" t="s">
        <v>2100</v>
      </c>
      <c r="J2223" t="s">
        <v>36</v>
      </c>
      <c r="K2223" t="s">
        <v>10</v>
      </c>
      <c r="L2223">
        <v>1</v>
      </c>
      <c r="M2223" t="s">
        <v>51</v>
      </c>
      <c r="N2223" t="s">
        <v>32</v>
      </c>
      <c r="O2223" t="s">
        <v>392</v>
      </c>
      <c r="P2223" s="6" t="str">
        <f>IF(Table1[[#This Row],[Transaction_Amount]]&lt;=Table1[[#This Row],[avg_transaction_amount]], "usual transaction", "unusual transaction")</f>
        <v>unusual transaction</v>
      </c>
      <c r="Q2223" s="6" t="str">
        <f>IF(AND(Table1[[#This Row],[Country_of_Residence]]&lt;&gt;Table1[[#This Row],[Country_of_Transaction]], OR(Table1[[#This Row],[Authentication_Type]]="Biometric", Table1[[#This Row],[Authentication_Type]]="OTP")), "safe location transaction", "unsafe location transaction")</f>
        <v>safe location transaction</v>
      </c>
      <c r="R2223" s="6" t="str">
        <f>IF(AND(Table1[[#This Row],[Country_of_Residence]]&lt;&gt;Table1[[#This Row],[Country_of_Transaction]], OR(Table1[[#This Row],[Merchant_Category]]="Electronics", Table1[[#This Row],[Merchant_Category]]="Travel")), "unsafe merchant transaction", "safe merchant transaction")</f>
        <v>safe merchant transaction</v>
      </c>
    </row>
    <row r="2224" spans="1:18">
      <c r="A2224" t="s">
        <v>4693</v>
      </c>
      <c r="B2224" t="s">
        <v>321</v>
      </c>
      <c r="C2224">
        <v>1</v>
      </c>
      <c r="D2224" t="s">
        <v>15</v>
      </c>
      <c r="E2224" t="s">
        <v>3</v>
      </c>
      <c r="F2224" s="2">
        <v>45735</v>
      </c>
      <c r="G2224">
        <v>8696.6200000000008</v>
      </c>
      <c r="H2224" s="1">
        <f>AVERAGEIF(Table1[Customer_ID], Table1[[#This Row],[Customer_ID]], Table1[Transaction_Amount])</f>
        <v>5094.7099999999991</v>
      </c>
      <c r="I2224" t="s">
        <v>2143</v>
      </c>
      <c r="J2224" t="s">
        <v>46</v>
      </c>
      <c r="K2224" t="s">
        <v>12</v>
      </c>
      <c r="L2224">
        <v>3</v>
      </c>
      <c r="M2224" t="s">
        <v>42</v>
      </c>
      <c r="N2224" t="s">
        <v>47</v>
      </c>
      <c r="O2224" t="s">
        <v>393</v>
      </c>
      <c r="P2224" s="6" t="str">
        <f>IF(Table1[[#This Row],[Transaction_Amount]]&lt;=Table1[[#This Row],[avg_transaction_amount]], "usual transaction", "unusual transaction")</f>
        <v>unusual transaction</v>
      </c>
      <c r="Q2224" s="6" t="str">
        <f>IF(AND(Table1[[#This Row],[Country_of_Residence]]&lt;&gt;Table1[[#This Row],[Country_of_Transaction]], OR(Table1[[#This Row],[Authentication_Type]]="Biometric", Table1[[#This Row],[Authentication_Type]]="OTP")), "safe location transaction", "unsafe location transaction")</f>
        <v>unsafe location transaction</v>
      </c>
      <c r="R2224" s="6" t="str">
        <f>IF(AND(Table1[[#This Row],[Country_of_Residence]]&lt;&gt;Table1[[#This Row],[Country_of_Transaction]], OR(Table1[[#This Row],[Merchant_Category]]="Electronics", Table1[[#This Row],[Merchant_Category]]="Travel")), "unsafe merchant transaction", "safe merchant transaction")</f>
        <v>safe merchant transaction</v>
      </c>
    </row>
    <row r="2225" spans="1:18">
      <c r="A2225" t="s">
        <v>4715</v>
      </c>
      <c r="B2225" t="s">
        <v>321</v>
      </c>
      <c r="C2225">
        <v>1</v>
      </c>
      <c r="D2225" t="s">
        <v>15</v>
      </c>
      <c r="E2225" t="s">
        <v>3</v>
      </c>
      <c r="F2225" s="2">
        <v>45943</v>
      </c>
      <c r="G2225">
        <v>4506.25</v>
      </c>
      <c r="H2225" s="1">
        <f>AVERAGEIF(Table1[Customer_ID], Table1[[#This Row],[Customer_ID]], Table1[Transaction_Amount])</f>
        <v>5094.7099999999991</v>
      </c>
      <c r="I2225" t="s">
        <v>2158</v>
      </c>
      <c r="J2225" t="s">
        <v>50</v>
      </c>
      <c r="K2225" t="s">
        <v>12</v>
      </c>
      <c r="L2225">
        <v>5</v>
      </c>
      <c r="M2225" t="s">
        <v>56</v>
      </c>
      <c r="N2225" t="s">
        <v>55</v>
      </c>
      <c r="O2225" t="s">
        <v>393</v>
      </c>
      <c r="P2225" s="6" t="str">
        <f>IF(Table1[[#This Row],[Transaction_Amount]]&lt;=Table1[[#This Row],[avg_transaction_amount]], "usual transaction", "unusual transaction")</f>
        <v>usual transaction</v>
      </c>
      <c r="Q2225" s="6" t="str">
        <f>IF(AND(Table1[[#This Row],[Country_of_Residence]]&lt;&gt;Table1[[#This Row],[Country_of_Transaction]], OR(Table1[[#This Row],[Authentication_Type]]="Biometric", Table1[[#This Row],[Authentication_Type]]="OTP")), "safe location transaction", "unsafe location transaction")</f>
        <v>unsafe location transaction</v>
      </c>
      <c r="R2225" s="6" t="str">
        <f>IF(AND(Table1[[#This Row],[Country_of_Residence]]&lt;&gt;Table1[[#This Row],[Country_of_Transaction]], OR(Table1[[#This Row],[Merchant_Category]]="Electronics", Table1[[#This Row],[Merchant_Category]]="Travel")), "unsafe merchant transaction", "safe merchant transaction")</f>
        <v>unsafe merchant transaction</v>
      </c>
    </row>
    <row r="2226" spans="1:18">
      <c r="A2226" t="s">
        <v>4724</v>
      </c>
      <c r="B2226" t="s">
        <v>321</v>
      </c>
      <c r="C2226">
        <v>1</v>
      </c>
      <c r="D2226" t="s">
        <v>9</v>
      </c>
      <c r="E2226" t="s">
        <v>420</v>
      </c>
      <c r="F2226" s="2">
        <v>45836</v>
      </c>
      <c r="G2226">
        <v>7054.86</v>
      </c>
      <c r="H2226" s="1">
        <f>AVERAGEIF(Table1[Customer_ID], Table1[[#This Row],[Customer_ID]], Table1[Transaction_Amount])</f>
        <v>5094.7099999999991</v>
      </c>
      <c r="I2226" t="s">
        <v>604</v>
      </c>
      <c r="J2226" t="s">
        <v>31</v>
      </c>
      <c r="K2226" t="s">
        <v>12</v>
      </c>
      <c r="L2226">
        <v>5</v>
      </c>
      <c r="M2226" t="s">
        <v>412</v>
      </c>
      <c r="N2226" t="s">
        <v>42</v>
      </c>
      <c r="O2226" t="s">
        <v>392</v>
      </c>
      <c r="P2226" s="6" t="str">
        <f>IF(Table1[[#This Row],[Transaction_Amount]]&lt;=Table1[[#This Row],[avg_transaction_amount]], "usual transaction", "unusual transaction")</f>
        <v>unusual transaction</v>
      </c>
      <c r="Q2226" s="6" t="str">
        <f>IF(AND(Table1[[#This Row],[Country_of_Residence]]&lt;&gt;Table1[[#This Row],[Country_of_Transaction]], OR(Table1[[#This Row],[Authentication_Type]]="Biometric", Table1[[#This Row],[Authentication_Type]]="OTP")), "safe location transaction", "unsafe location transaction")</f>
        <v>unsafe location transaction</v>
      </c>
      <c r="R2226" s="6" t="str">
        <f>IF(AND(Table1[[#This Row],[Country_of_Residence]]&lt;&gt;Table1[[#This Row],[Country_of_Transaction]], OR(Table1[[#This Row],[Merchant_Category]]="Electronics", Table1[[#This Row],[Merchant_Category]]="Travel")), "unsafe merchant transaction", "safe merchant transaction")</f>
        <v>safe merchant transaction</v>
      </c>
    </row>
    <row r="2227" spans="1:18">
      <c r="A2227" t="s">
        <v>4757</v>
      </c>
      <c r="B2227" t="s">
        <v>321</v>
      </c>
      <c r="C2227">
        <v>1</v>
      </c>
      <c r="D2227" t="s">
        <v>9</v>
      </c>
      <c r="E2227" t="s">
        <v>3</v>
      </c>
      <c r="F2227" s="2">
        <v>45779</v>
      </c>
      <c r="G2227">
        <v>3196.27</v>
      </c>
      <c r="H2227" s="1">
        <f>AVERAGEIF(Table1[Customer_ID], Table1[[#This Row],[Customer_ID]], Table1[Transaction_Amount])</f>
        <v>5094.7099999999991</v>
      </c>
      <c r="I2227" t="s">
        <v>2191</v>
      </c>
      <c r="J2227" t="s">
        <v>50</v>
      </c>
      <c r="K2227" t="s">
        <v>10</v>
      </c>
      <c r="L2227">
        <v>4</v>
      </c>
      <c r="M2227" t="s">
        <v>55</v>
      </c>
      <c r="N2227" t="s">
        <v>37</v>
      </c>
      <c r="O2227" t="s">
        <v>393</v>
      </c>
      <c r="P2227" s="6" t="str">
        <f>IF(Table1[[#This Row],[Transaction_Amount]]&lt;=Table1[[#This Row],[avg_transaction_amount]], "usual transaction", "unusual transaction")</f>
        <v>usual transaction</v>
      </c>
      <c r="Q2227" s="6" t="str">
        <f>IF(AND(Table1[[#This Row],[Country_of_Residence]]&lt;&gt;Table1[[#This Row],[Country_of_Transaction]], OR(Table1[[#This Row],[Authentication_Type]]="Biometric", Table1[[#This Row],[Authentication_Type]]="OTP")), "safe location transaction", "unsafe location transaction")</f>
        <v>safe location transaction</v>
      </c>
      <c r="R2227" s="6" t="str">
        <f>IF(AND(Table1[[#This Row],[Country_of_Residence]]&lt;&gt;Table1[[#This Row],[Country_of_Transaction]], OR(Table1[[#This Row],[Merchant_Category]]="Electronics", Table1[[#This Row],[Merchant_Category]]="Travel")), "unsafe merchant transaction", "safe merchant transaction")</f>
        <v>unsafe merchant transaction</v>
      </c>
    </row>
    <row r="2228" spans="1:18">
      <c r="A2228" t="s">
        <v>4784</v>
      </c>
      <c r="B2228" t="s">
        <v>321</v>
      </c>
      <c r="C2228">
        <v>1</v>
      </c>
      <c r="D2228" t="s">
        <v>9</v>
      </c>
      <c r="E2228" t="s">
        <v>5</v>
      </c>
      <c r="F2228" s="2">
        <v>45712</v>
      </c>
      <c r="G2228">
        <v>6339.57</v>
      </c>
      <c r="H2228" s="1">
        <f>AVERAGEIF(Table1[Customer_ID], Table1[[#This Row],[Customer_ID]], Table1[Transaction_Amount])</f>
        <v>5094.7099999999991</v>
      </c>
      <c r="I2228" t="s">
        <v>2209</v>
      </c>
      <c r="J2228" t="s">
        <v>31</v>
      </c>
      <c r="K2228" t="s">
        <v>12</v>
      </c>
      <c r="L2228">
        <v>2</v>
      </c>
      <c r="M2228" t="s">
        <v>33</v>
      </c>
      <c r="N2228" t="s">
        <v>32</v>
      </c>
      <c r="O2228" t="s">
        <v>393</v>
      </c>
      <c r="P2228" s="6" t="str">
        <f>IF(Table1[[#This Row],[Transaction_Amount]]&lt;=Table1[[#This Row],[avg_transaction_amount]], "usual transaction", "unusual transaction")</f>
        <v>unusual transaction</v>
      </c>
      <c r="Q2228" s="6" t="str">
        <f>IF(AND(Table1[[#This Row],[Country_of_Residence]]&lt;&gt;Table1[[#This Row],[Country_of_Transaction]], OR(Table1[[#This Row],[Authentication_Type]]="Biometric", Table1[[#This Row],[Authentication_Type]]="OTP")), "safe location transaction", "unsafe location transaction")</f>
        <v>unsafe location transaction</v>
      </c>
      <c r="R2228" s="6" t="str">
        <f>IF(AND(Table1[[#This Row],[Country_of_Residence]]&lt;&gt;Table1[[#This Row],[Country_of_Transaction]], OR(Table1[[#This Row],[Merchant_Category]]="Electronics", Table1[[#This Row],[Merchant_Category]]="Travel")), "unsafe merchant transaction", "safe merchant transaction")</f>
        <v>safe merchant transaction</v>
      </c>
    </row>
    <row r="2229" spans="1:18">
      <c r="A2229" t="s">
        <v>4787</v>
      </c>
      <c r="B2229" t="s">
        <v>321</v>
      </c>
      <c r="C2229">
        <v>1</v>
      </c>
      <c r="D2229" t="s">
        <v>9</v>
      </c>
      <c r="E2229" t="s">
        <v>420</v>
      </c>
      <c r="F2229" s="2">
        <v>45924</v>
      </c>
      <c r="G2229">
        <v>2461.5</v>
      </c>
      <c r="H2229" s="1">
        <f>AVERAGEIF(Table1[Customer_ID], Table1[[#This Row],[Customer_ID]], Table1[Transaction_Amount])</f>
        <v>5094.7099999999991</v>
      </c>
      <c r="I2229" t="s">
        <v>2210</v>
      </c>
      <c r="J2229" t="s">
        <v>41</v>
      </c>
      <c r="K2229" t="s">
        <v>10</v>
      </c>
      <c r="L2229">
        <v>5</v>
      </c>
      <c r="M2229" t="s">
        <v>56</v>
      </c>
      <c r="N2229" t="s">
        <v>37</v>
      </c>
      <c r="O2229" t="s">
        <v>393</v>
      </c>
      <c r="P2229" s="6" t="str">
        <f>IF(Table1[[#This Row],[Transaction_Amount]]&lt;=Table1[[#This Row],[avg_transaction_amount]], "usual transaction", "unusual transaction")</f>
        <v>usual transaction</v>
      </c>
      <c r="Q2229" s="6" t="str">
        <f>IF(AND(Table1[[#This Row],[Country_of_Residence]]&lt;&gt;Table1[[#This Row],[Country_of_Transaction]], OR(Table1[[#This Row],[Authentication_Type]]="Biometric", Table1[[#This Row],[Authentication_Type]]="OTP")), "safe location transaction", "unsafe location transaction")</f>
        <v>safe location transaction</v>
      </c>
      <c r="R2229" s="6" t="str">
        <f>IF(AND(Table1[[#This Row],[Country_of_Residence]]&lt;&gt;Table1[[#This Row],[Country_of_Transaction]], OR(Table1[[#This Row],[Merchant_Category]]="Electronics", Table1[[#This Row],[Merchant_Category]]="Travel")), "unsafe merchant transaction", "safe merchant transaction")</f>
        <v>safe merchant transaction</v>
      </c>
    </row>
    <row r="2230" spans="1:18">
      <c r="A2230" t="s">
        <v>4869</v>
      </c>
      <c r="B2230" t="s">
        <v>321</v>
      </c>
      <c r="C2230">
        <v>1</v>
      </c>
      <c r="D2230" t="s">
        <v>9</v>
      </c>
      <c r="E2230" t="s">
        <v>420</v>
      </c>
      <c r="F2230" s="2">
        <v>45885</v>
      </c>
      <c r="G2230">
        <v>6924.2</v>
      </c>
      <c r="H2230" s="1">
        <f>AVERAGEIF(Table1[Customer_ID], Table1[[#This Row],[Customer_ID]], Table1[Transaction_Amount])</f>
        <v>5094.7099999999991</v>
      </c>
      <c r="I2230" t="s">
        <v>2274</v>
      </c>
      <c r="J2230" t="s">
        <v>41</v>
      </c>
      <c r="K2230" t="s">
        <v>14</v>
      </c>
      <c r="L2230">
        <v>5</v>
      </c>
      <c r="M2230" t="s">
        <v>412</v>
      </c>
      <c r="N2230" t="s">
        <v>42</v>
      </c>
      <c r="O2230" t="s">
        <v>392</v>
      </c>
      <c r="P2230" s="6" t="str">
        <f>IF(Table1[[#This Row],[Transaction_Amount]]&lt;=Table1[[#This Row],[avg_transaction_amount]], "usual transaction", "unusual transaction")</f>
        <v>unusual transaction</v>
      </c>
      <c r="Q2230" s="6" t="str">
        <f>IF(AND(Table1[[#This Row],[Country_of_Residence]]&lt;&gt;Table1[[#This Row],[Country_of_Transaction]], OR(Table1[[#This Row],[Authentication_Type]]="Biometric", Table1[[#This Row],[Authentication_Type]]="OTP")), "safe location transaction", "unsafe location transaction")</f>
        <v>unsafe location transaction</v>
      </c>
      <c r="R2230" s="6" t="str">
        <f>IF(AND(Table1[[#This Row],[Country_of_Residence]]&lt;&gt;Table1[[#This Row],[Country_of_Transaction]], OR(Table1[[#This Row],[Merchant_Category]]="Electronics", Table1[[#This Row],[Merchant_Category]]="Travel")), "unsafe merchant transaction", "safe merchant transaction")</f>
        <v>safe merchant transaction</v>
      </c>
    </row>
    <row r="2231" spans="1:18">
      <c r="A2231" t="s">
        <v>4919</v>
      </c>
      <c r="B2231" t="s">
        <v>321</v>
      </c>
      <c r="C2231">
        <v>1</v>
      </c>
      <c r="D2231" t="s">
        <v>9</v>
      </c>
      <c r="E2231" t="s">
        <v>5</v>
      </c>
      <c r="F2231" s="2">
        <v>45871</v>
      </c>
      <c r="G2231">
        <v>5099.33</v>
      </c>
      <c r="H2231" s="1">
        <f>AVERAGEIF(Table1[Customer_ID], Table1[[#This Row],[Customer_ID]], Table1[Transaction_Amount])</f>
        <v>5094.7099999999991</v>
      </c>
      <c r="I2231" t="s">
        <v>2314</v>
      </c>
      <c r="J2231" t="s">
        <v>36</v>
      </c>
      <c r="K2231" t="s">
        <v>12</v>
      </c>
      <c r="L2231">
        <v>5</v>
      </c>
      <c r="M2231" t="s">
        <v>56</v>
      </c>
      <c r="N2231" t="s">
        <v>32</v>
      </c>
      <c r="O2231" t="s">
        <v>392</v>
      </c>
      <c r="P2231" s="6" t="str">
        <f>IF(Table1[[#This Row],[Transaction_Amount]]&lt;=Table1[[#This Row],[avg_transaction_amount]], "usual transaction", "unusual transaction")</f>
        <v>unusual transaction</v>
      </c>
      <c r="Q2231" s="6" t="str">
        <f>IF(AND(Table1[[#This Row],[Country_of_Residence]]&lt;&gt;Table1[[#This Row],[Country_of_Transaction]], OR(Table1[[#This Row],[Authentication_Type]]="Biometric", Table1[[#This Row],[Authentication_Type]]="OTP")), "safe location transaction", "unsafe location transaction")</f>
        <v>unsafe location transaction</v>
      </c>
      <c r="R2231" s="6" t="str">
        <f>IF(AND(Table1[[#This Row],[Country_of_Residence]]&lt;&gt;Table1[[#This Row],[Country_of_Transaction]], OR(Table1[[#This Row],[Merchant_Category]]="Electronics", Table1[[#This Row],[Merchant_Category]]="Travel")), "unsafe merchant transaction", "safe merchant transaction")</f>
        <v>safe merchant transaction</v>
      </c>
    </row>
    <row r="2232" spans="1:18">
      <c r="A2232" t="s">
        <v>5135</v>
      </c>
      <c r="B2232" t="s">
        <v>321</v>
      </c>
      <c r="C2232">
        <v>1</v>
      </c>
      <c r="D2232" t="s">
        <v>15</v>
      </c>
      <c r="E2232" t="s">
        <v>420</v>
      </c>
      <c r="F2232" s="2">
        <v>45876</v>
      </c>
      <c r="G2232">
        <v>7683.01</v>
      </c>
      <c r="H2232" s="1">
        <f>AVERAGEIF(Table1[Customer_ID], Table1[[#This Row],[Customer_ID]], Table1[Transaction_Amount])</f>
        <v>5094.7099999999991</v>
      </c>
      <c r="I2232" t="s">
        <v>2477</v>
      </c>
      <c r="J2232" t="s">
        <v>31</v>
      </c>
      <c r="K2232" t="s">
        <v>12</v>
      </c>
      <c r="L2232">
        <v>3</v>
      </c>
      <c r="M2232" t="s">
        <v>55</v>
      </c>
      <c r="N2232" t="s">
        <v>37</v>
      </c>
      <c r="O2232" t="s">
        <v>392</v>
      </c>
      <c r="P2232" s="6" t="str">
        <f>IF(Table1[[#This Row],[Transaction_Amount]]&lt;=Table1[[#This Row],[avg_transaction_amount]], "usual transaction", "unusual transaction")</f>
        <v>unusual transaction</v>
      </c>
      <c r="Q2232" s="6" t="str">
        <f>IF(AND(Table1[[#This Row],[Country_of_Residence]]&lt;&gt;Table1[[#This Row],[Country_of_Transaction]], OR(Table1[[#This Row],[Authentication_Type]]="Biometric", Table1[[#This Row],[Authentication_Type]]="OTP")), "safe location transaction", "unsafe location transaction")</f>
        <v>unsafe location transaction</v>
      </c>
      <c r="R2232" s="6" t="str">
        <f>IF(AND(Table1[[#This Row],[Country_of_Residence]]&lt;&gt;Table1[[#This Row],[Country_of_Transaction]], OR(Table1[[#This Row],[Merchant_Category]]="Electronics", Table1[[#This Row],[Merchant_Category]]="Travel")), "unsafe merchant transaction", "safe merchant transaction")</f>
        <v>safe merchant transaction</v>
      </c>
    </row>
    <row r="2233" spans="1:18">
      <c r="A2233" t="s">
        <v>5264</v>
      </c>
      <c r="B2233" t="s">
        <v>321</v>
      </c>
      <c r="C2233">
        <v>1</v>
      </c>
      <c r="D2233" t="s">
        <v>15</v>
      </c>
      <c r="E2233" t="s">
        <v>5</v>
      </c>
      <c r="F2233" s="2">
        <v>45749</v>
      </c>
      <c r="G2233">
        <v>776.09</v>
      </c>
      <c r="H2233" s="1">
        <f>AVERAGEIF(Table1[Customer_ID], Table1[[#This Row],[Customer_ID]], Table1[Transaction_Amount])</f>
        <v>5094.7099999999991</v>
      </c>
      <c r="I2233" t="s">
        <v>2341</v>
      </c>
      <c r="J2233" t="s">
        <v>46</v>
      </c>
      <c r="K2233" t="s">
        <v>12</v>
      </c>
      <c r="L2233">
        <v>1</v>
      </c>
      <c r="M2233" t="s">
        <v>412</v>
      </c>
      <c r="N2233" t="s">
        <v>47</v>
      </c>
      <c r="O2233" t="s">
        <v>393</v>
      </c>
      <c r="P2233" s="6" t="str">
        <f>IF(Table1[[#This Row],[Transaction_Amount]]&lt;=Table1[[#This Row],[avg_transaction_amount]], "usual transaction", "unusual transaction")</f>
        <v>usual transaction</v>
      </c>
      <c r="Q2233" s="6" t="str">
        <f>IF(AND(Table1[[#This Row],[Country_of_Residence]]&lt;&gt;Table1[[#This Row],[Country_of_Transaction]], OR(Table1[[#This Row],[Authentication_Type]]="Biometric", Table1[[#This Row],[Authentication_Type]]="OTP")), "safe location transaction", "unsafe location transaction")</f>
        <v>unsafe location transaction</v>
      </c>
      <c r="R2233" s="6" t="str">
        <f>IF(AND(Table1[[#This Row],[Country_of_Residence]]&lt;&gt;Table1[[#This Row],[Country_of_Transaction]], OR(Table1[[#This Row],[Merchant_Category]]="Electronics", Table1[[#This Row],[Merchant_Category]]="Travel")), "unsafe merchant transaction", "safe merchant transaction")</f>
        <v>safe merchant transaction</v>
      </c>
    </row>
    <row r="2234" spans="1:18">
      <c r="A2234" t="s">
        <v>5294</v>
      </c>
      <c r="B2234" t="s">
        <v>321</v>
      </c>
      <c r="C2234">
        <v>1</v>
      </c>
      <c r="D2234" t="s">
        <v>9</v>
      </c>
      <c r="E2234" t="s">
        <v>420</v>
      </c>
      <c r="F2234" s="2">
        <v>45758</v>
      </c>
      <c r="G2234">
        <v>9478.43</v>
      </c>
      <c r="H2234" s="1">
        <f>AVERAGEIF(Table1[Customer_ID], Table1[[#This Row],[Customer_ID]], Table1[Transaction_Amount])</f>
        <v>5094.7099999999991</v>
      </c>
      <c r="I2234" t="s">
        <v>2599</v>
      </c>
      <c r="J2234" t="s">
        <v>41</v>
      </c>
      <c r="K2234" t="s">
        <v>12</v>
      </c>
      <c r="L2234">
        <v>1</v>
      </c>
      <c r="M2234" t="s">
        <v>51</v>
      </c>
      <c r="N2234" t="s">
        <v>56</v>
      </c>
      <c r="O2234" t="s">
        <v>393</v>
      </c>
      <c r="P2234" s="6" t="str">
        <f>IF(Table1[[#This Row],[Transaction_Amount]]&lt;=Table1[[#This Row],[avg_transaction_amount]], "usual transaction", "unusual transaction")</f>
        <v>unusual transaction</v>
      </c>
      <c r="Q2234" s="6" t="str">
        <f>IF(AND(Table1[[#This Row],[Country_of_Residence]]&lt;&gt;Table1[[#This Row],[Country_of_Transaction]], OR(Table1[[#This Row],[Authentication_Type]]="Biometric", Table1[[#This Row],[Authentication_Type]]="OTP")), "safe location transaction", "unsafe location transaction")</f>
        <v>unsafe location transaction</v>
      </c>
      <c r="R2234" s="6" t="str">
        <f>IF(AND(Table1[[#This Row],[Country_of_Residence]]&lt;&gt;Table1[[#This Row],[Country_of_Transaction]], OR(Table1[[#This Row],[Merchant_Category]]="Electronics", Table1[[#This Row],[Merchant_Category]]="Travel")), "unsafe merchant transaction", "safe merchant transaction")</f>
        <v>safe merchant transaction</v>
      </c>
    </row>
    <row r="2235" spans="1:18">
      <c r="A2235" t="s">
        <v>5304</v>
      </c>
      <c r="B2235" t="s">
        <v>321</v>
      </c>
      <c r="C2235">
        <v>1</v>
      </c>
      <c r="D2235" t="s">
        <v>15</v>
      </c>
      <c r="E2235" t="s">
        <v>5</v>
      </c>
      <c r="F2235" s="2">
        <v>45828</v>
      </c>
      <c r="G2235">
        <v>6992.8</v>
      </c>
      <c r="H2235" s="1">
        <f>AVERAGEIF(Table1[Customer_ID], Table1[[#This Row],[Customer_ID]], Table1[Transaction_Amount])</f>
        <v>5094.7099999999991</v>
      </c>
      <c r="I2235" t="s">
        <v>2607</v>
      </c>
      <c r="J2235" t="s">
        <v>31</v>
      </c>
      <c r="K2235" t="s">
        <v>10</v>
      </c>
      <c r="L2235">
        <v>4</v>
      </c>
      <c r="M2235" t="s">
        <v>42</v>
      </c>
      <c r="N2235" t="s">
        <v>42</v>
      </c>
      <c r="O2235" t="s">
        <v>393</v>
      </c>
      <c r="P2235" s="6" t="str">
        <f>IF(Table1[[#This Row],[Transaction_Amount]]&lt;=Table1[[#This Row],[avg_transaction_amount]], "usual transaction", "unusual transaction")</f>
        <v>unusual transaction</v>
      </c>
      <c r="Q2235" s="6" t="str">
        <f>IF(AND(Table1[[#This Row],[Country_of_Residence]]&lt;&gt;Table1[[#This Row],[Country_of_Transaction]], OR(Table1[[#This Row],[Authentication_Type]]="Biometric", Table1[[#This Row],[Authentication_Type]]="OTP")), "safe location transaction", "unsafe location transaction")</f>
        <v>unsafe location transaction</v>
      </c>
      <c r="R2235" s="6" t="str">
        <f>IF(AND(Table1[[#This Row],[Country_of_Residence]]&lt;&gt;Table1[[#This Row],[Country_of_Transaction]], OR(Table1[[#This Row],[Merchant_Category]]="Electronics", Table1[[#This Row],[Merchant_Category]]="Travel")), "unsafe merchant transaction", "safe merchant transaction")</f>
        <v>safe merchant transaction</v>
      </c>
    </row>
    <row r="2236" spans="1:18">
      <c r="A2236" t="s">
        <v>5328</v>
      </c>
      <c r="B2236" t="s">
        <v>321</v>
      </c>
      <c r="C2236">
        <v>1</v>
      </c>
      <c r="D2236" t="s">
        <v>15</v>
      </c>
      <c r="E2236" t="s">
        <v>6</v>
      </c>
      <c r="F2236" s="2">
        <v>45897</v>
      </c>
      <c r="G2236">
        <v>2676.48</v>
      </c>
      <c r="H2236" s="1">
        <f>AVERAGEIF(Table1[Customer_ID], Table1[[#This Row],[Customer_ID]], Table1[Transaction_Amount])</f>
        <v>5094.7099999999991</v>
      </c>
      <c r="I2236" t="s">
        <v>2624</v>
      </c>
      <c r="J2236" t="s">
        <v>36</v>
      </c>
      <c r="K2236" t="s">
        <v>10</v>
      </c>
      <c r="L2236">
        <v>2</v>
      </c>
      <c r="M2236" t="s">
        <v>56</v>
      </c>
      <c r="N2236" t="s">
        <v>51</v>
      </c>
      <c r="O2236" t="s">
        <v>392</v>
      </c>
      <c r="P2236" s="6" t="str">
        <f>IF(Table1[[#This Row],[Transaction_Amount]]&lt;=Table1[[#This Row],[avg_transaction_amount]], "usual transaction", "unusual transaction")</f>
        <v>usual transaction</v>
      </c>
      <c r="Q2236" s="6" t="str">
        <f>IF(AND(Table1[[#This Row],[Country_of_Residence]]&lt;&gt;Table1[[#This Row],[Country_of_Transaction]], OR(Table1[[#This Row],[Authentication_Type]]="Biometric", Table1[[#This Row],[Authentication_Type]]="OTP")), "safe location transaction", "unsafe location transaction")</f>
        <v>safe location transaction</v>
      </c>
      <c r="R2236" s="6" t="str">
        <f>IF(AND(Table1[[#This Row],[Country_of_Residence]]&lt;&gt;Table1[[#This Row],[Country_of_Transaction]], OR(Table1[[#This Row],[Merchant_Category]]="Electronics", Table1[[#This Row],[Merchant_Category]]="Travel")), "unsafe merchant transaction", "safe merchant transaction")</f>
        <v>safe merchant transaction</v>
      </c>
    </row>
    <row r="2237" spans="1:18">
      <c r="A2237" t="s">
        <v>5459</v>
      </c>
      <c r="B2237" t="s">
        <v>321</v>
      </c>
      <c r="C2237">
        <v>1</v>
      </c>
      <c r="D2237" t="s">
        <v>15</v>
      </c>
      <c r="E2237" t="s">
        <v>420</v>
      </c>
      <c r="F2237" s="2">
        <v>45701</v>
      </c>
      <c r="G2237">
        <v>634.98</v>
      </c>
      <c r="H2237" s="1">
        <f>AVERAGEIF(Table1[Customer_ID], Table1[[#This Row],[Customer_ID]], Table1[Transaction_Amount])</f>
        <v>5094.7099999999991</v>
      </c>
      <c r="I2237" t="s">
        <v>753</v>
      </c>
      <c r="J2237" t="s">
        <v>41</v>
      </c>
      <c r="K2237" t="s">
        <v>14</v>
      </c>
      <c r="L2237">
        <v>2</v>
      </c>
      <c r="M2237" t="s">
        <v>42</v>
      </c>
      <c r="N2237" t="s">
        <v>55</v>
      </c>
      <c r="O2237" t="s">
        <v>393</v>
      </c>
      <c r="P2237" s="6" t="str">
        <f>IF(Table1[[#This Row],[Transaction_Amount]]&lt;=Table1[[#This Row],[avg_transaction_amount]], "usual transaction", "unusual transaction")</f>
        <v>usual transaction</v>
      </c>
      <c r="Q2237" s="6" t="str">
        <f>IF(AND(Table1[[#This Row],[Country_of_Residence]]&lt;&gt;Table1[[#This Row],[Country_of_Transaction]], OR(Table1[[#This Row],[Authentication_Type]]="Biometric", Table1[[#This Row],[Authentication_Type]]="OTP")), "safe location transaction", "unsafe location transaction")</f>
        <v>unsafe location transaction</v>
      </c>
      <c r="R2237" s="6" t="str">
        <f>IF(AND(Table1[[#This Row],[Country_of_Residence]]&lt;&gt;Table1[[#This Row],[Country_of_Transaction]], OR(Table1[[#This Row],[Merchant_Category]]="Electronics", Table1[[#This Row],[Merchant_Category]]="Travel")), "unsafe merchant transaction", "safe merchant transaction")</f>
        <v>safe merchant transaction</v>
      </c>
    </row>
    <row r="2238" spans="1:18">
      <c r="A2238" t="s">
        <v>5487</v>
      </c>
      <c r="B2238" t="s">
        <v>321</v>
      </c>
      <c r="C2238">
        <v>1</v>
      </c>
      <c r="D2238" t="s">
        <v>15</v>
      </c>
      <c r="E2238" t="s">
        <v>420</v>
      </c>
      <c r="F2238" s="2">
        <v>46009</v>
      </c>
      <c r="G2238">
        <v>8277.35</v>
      </c>
      <c r="H2238" s="1">
        <f>AVERAGEIF(Table1[Customer_ID], Table1[[#This Row],[Customer_ID]], Table1[Transaction_Amount])</f>
        <v>5094.7099999999991</v>
      </c>
      <c r="I2238" t="s">
        <v>2744</v>
      </c>
      <c r="J2238" t="s">
        <v>31</v>
      </c>
      <c r="K2238" t="s">
        <v>8</v>
      </c>
      <c r="L2238">
        <v>3</v>
      </c>
      <c r="M2238" t="s">
        <v>42</v>
      </c>
      <c r="N2238" t="s">
        <v>37</v>
      </c>
      <c r="O2238" t="s">
        <v>393</v>
      </c>
      <c r="P2238" s="6" t="str">
        <f>IF(Table1[[#This Row],[Transaction_Amount]]&lt;=Table1[[#This Row],[avg_transaction_amount]], "usual transaction", "unusual transaction")</f>
        <v>unusual transaction</v>
      </c>
      <c r="Q2238" s="6" t="str">
        <f>IF(AND(Table1[[#This Row],[Country_of_Residence]]&lt;&gt;Table1[[#This Row],[Country_of_Transaction]], OR(Table1[[#This Row],[Authentication_Type]]="Biometric", Table1[[#This Row],[Authentication_Type]]="OTP")), "safe location transaction", "unsafe location transaction")</f>
        <v>safe location transaction</v>
      </c>
      <c r="R2238" s="6" t="str">
        <f>IF(AND(Table1[[#This Row],[Country_of_Residence]]&lt;&gt;Table1[[#This Row],[Country_of_Transaction]], OR(Table1[[#This Row],[Merchant_Category]]="Electronics", Table1[[#This Row],[Merchant_Category]]="Travel")), "unsafe merchant transaction", "safe merchant transaction")</f>
        <v>safe merchant transaction</v>
      </c>
    </row>
    <row r="2239" spans="1:18">
      <c r="A2239" t="s">
        <v>5491</v>
      </c>
      <c r="B2239" t="s">
        <v>321</v>
      </c>
      <c r="C2239">
        <v>1</v>
      </c>
      <c r="D2239" t="s">
        <v>9</v>
      </c>
      <c r="E2239" t="s">
        <v>6</v>
      </c>
      <c r="F2239" s="2">
        <v>45820</v>
      </c>
      <c r="G2239">
        <v>4601.72</v>
      </c>
      <c r="H2239" s="1">
        <f>AVERAGEIF(Table1[Customer_ID], Table1[[#This Row],[Customer_ID]], Table1[Transaction_Amount])</f>
        <v>5094.7099999999991</v>
      </c>
      <c r="I2239" t="s">
        <v>2748</v>
      </c>
      <c r="J2239" t="s">
        <v>41</v>
      </c>
      <c r="K2239" t="s">
        <v>12</v>
      </c>
      <c r="L2239">
        <v>5</v>
      </c>
      <c r="M2239" t="s">
        <v>33</v>
      </c>
      <c r="N2239" t="s">
        <v>47</v>
      </c>
      <c r="O2239" t="s">
        <v>392</v>
      </c>
      <c r="P2239" s="6" t="str">
        <f>IF(Table1[[#This Row],[Transaction_Amount]]&lt;=Table1[[#This Row],[avg_transaction_amount]], "usual transaction", "unusual transaction")</f>
        <v>usual transaction</v>
      </c>
      <c r="Q2239" s="6" t="str">
        <f>IF(AND(Table1[[#This Row],[Country_of_Residence]]&lt;&gt;Table1[[#This Row],[Country_of_Transaction]], OR(Table1[[#This Row],[Authentication_Type]]="Biometric", Table1[[#This Row],[Authentication_Type]]="OTP")), "safe location transaction", "unsafe location transaction")</f>
        <v>unsafe location transaction</v>
      </c>
      <c r="R2239" s="6" t="str">
        <f>IF(AND(Table1[[#This Row],[Country_of_Residence]]&lt;&gt;Table1[[#This Row],[Country_of_Transaction]], OR(Table1[[#This Row],[Merchant_Category]]="Electronics", Table1[[#This Row],[Merchant_Category]]="Travel")), "unsafe merchant transaction", "safe merchant transaction")</f>
        <v>safe merchant transaction</v>
      </c>
    </row>
    <row r="2240" spans="1:18">
      <c r="A2240" t="s">
        <v>327</v>
      </c>
      <c r="B2240" t="s">
        <v>328</v>
      </c>
      <c r="C2240">
        <v>1</v>
      </c>
      <c r="D2240" t="s">
        <v>9</v>
      </c>
      <c r="E2240" t="s">
        <v>6</v>
      </c>
      <c r="F2240" s="2">
        <v>45761.464583333298</v>
      </c>
      <c r="G2240">
        <v>8904.02</v>
      </c>
      <c r="H2240" s="1">
        <f>AVERAGEIF(Table1[Customer_ID], Table1[[#This Row],[Customer_ID]], Table1[Transaction_Amount])</f>
        <v>4681.1953999999978</v>
      </c>
      <c r="I2240" t="s">
        <v>329</v>
      </c>
      <c r="J2240" t="s">
        <v>46</v>
      </c>
      <c r="K2240" t="s">
        <v>8</v>
      </c>
      <c r="L2240">
        <v>2</v>
      </c>
      <c r="M2240" t="s">
        <v>330</v>
      </c>
      <c r="N2240" t="s">
        <v>331</v>
      </c>
      <c r="O2240" t="s">
        <v>392</v>
      </c>
      <c r="P2240" t="str">
        <f>IF(Table1[[#This Row],[Transaction_Amount]]&lt;=Table1[[#This Row],[avg_transaction_amount]], "usual transaction", "unusual transaction")</f>
        <v>unusual transaction</v>
      </c>
      <c r="Q2240" t="str">
        <f>IF(AND(Table1[[#This Row],[Country_of_Residence]]&lt;&gt;Table1[[#This Row],[Country_of_Transaction]], OR(Table1[[#This Row],[Authentication_Type]]="Biometric", Table1[[#This Row],[Authentication_Type]]="OTP")), "safe location transaction", "unsafe location transaction")</f>
        <v>safe location transaction</v>
      </c>
      <c r="R2240" t="str">
        <f>IF(AND(Table1[[#This Row],[Country_of_Residence]]&lt;&gt;Table1[[#This Row],[Country_of_Transaction]], OR(Table1[[#This Row],[Merchant_Category]]="Electronics", Table1[[#This Row],[Merchant_Category]]="Travel")), "unsafe merchant transaction", "safe merchant transaction")</f>
        <v>safe merchant transaction</v>
      </c>
    </row>
    <row r="2241" spans="1:18">
      <c r="A2241" t="s">
        <v>2799</v>
      </c>
      <c r="B2241" t="s">
        <v>328</v>
      </c>
      <c r="C2241">
        <v>1</v>
      </c>
      <c r="D2241" t="s">
        <v>9</v>
      </c>
      <c r="E2241" t="s">
        <v>6</v>
      </c>
      <c r="F2241" s="2">
        <v>46014</v>
      </c>
      <c r="G2241">
        <v>8504.89</v>
      </c>
      <c r="H2241" s="1">
        <f>AVERAGEIF(Table1[Customer_ID], Table1[[#This Row],[Customer_ID]], Table1[Transaction_Amount])</f>
        <v>4681.1953999999978</v>
      </c>
      <c r="I2241" t="s">
        <v>449</v>
      </c>
      <c r="J2241" t="s">
        <v>36</v>
      </c>
      <c r="K2241" t="s">
        <v>12</v>
      </c>
      <c r="L2241">
        <v>1</v>
      </c>
      <c r="M2241" t="s">
        <v>412</v>
      </c>
      <c r="N2241" t="s">
        <v>32</v>
      </c>
      <c r="O2241" t="s">
        <v>393</v>
      </c>
      <c r="P2241" s="6" t="str">
        <f>IF(Table1[[#This Row],[Transaction_Amount]]&lt;=Table1[[#This Row],[avg_transaction_amount]], "usual transaction", "unusual transaction")</f>
        <v>unusual transaction</v>
      </c>
      <c r="Q2241" s="6" t="str">
        <f>IF(AND(Table1[[#This Row],[Country_of_Residence]]&lt;&gt;Table1[[#This Row],[Country_of_Transaction]], OR(Table1[[#This Row],[Authentication_Type]]="Biometric", Table1[[#This Row],[Authentication_Type]]="OTP")), "safe location transaction", "unsafe location transaction")</f>
        <v>unsafe location transaction</v>
      </c>
      <c r="R2241" s="6" t="str">
        <f>IF(AND(Table1[[#This Row],[Country_of_Residence]]&lt;&gt;Table1[[#This Row],[Country_of_Transaction]], OR(Table1[[#This Row],[Merchant_Category]]="Electronics", Table1[[#This Row],[Merchant_Category]]="Travel")), "unsafe merchant transaction", "safe merchant transaction")</f>
        <v>safe merchant transaction</v>
      </c>
    </row>
    <row r="2242" spans="1:18">
      <c r="A2242" t="s">
        <v>2827</v>
      </c>
      <c r="B2242" t="s">
        <v>328</v>
      </c>
      <c r="C2242">
        <v>1</v>
      </c>
      <c r="D2242" t="s">
        <v>15</v>
      </c>
      <c r="E2242" t="s">
        <v>6</v>
      </c>
      <c r="F2242" s="2">
        <v>45794</v>
      </c>
      <c r="G2242">
        <v>7576.61</v>
      </c>
      <c r="H2242" s="1">
        <f>AVERAGEIF(Table1[Customer_ID], Table1[[#This Row],[Customer_ID]], Table1[Transaction_Amount])</f>
        <v>4681.1953999999978</v>
      </c>
      <c r="I2242" t="s">
        <v>478</v>
      </c>
      <c r="J2242" t="s">
        <v>50</v>
      </c>
      <c r="K2242" t="s">
        <v>8</v>
      </c>
      <c r="L2242">
        <v>5</v>
      </c>
      <c r="M2242" t="s">
        <v>47</v>
      </c>
      <c r="N2242" t="s">
        <v>32</v>
      </c>
      <c r="O2242" t="s">
        <v>392</v>
      </c>
      <c r="P2242" s="6" t="str">
        <f>IF(Table1[[#This Row],[Transaction_Amount]]&lt;=Table1[[#This Row],[avg_transaction_amount]], "usual transaction", "unusual transaction")</f>
        <v>unusual transaction</v>
      </c>
      <c r="Q2242" s="6" t="str">
        <f>IF(AND(Table1[[#This Row],[Country_of_Residence]]&lt;&gt;Table1[[#This Row],[Country_of_Transaction]], OR(Table1[[#This Row],[Authentication_Type]]="Biometric", Table1[[#This Row],[Authentication_Type]]="OTP")), "safe location transaction", "unsafe location transaction")</f>
        <v>safe location transaction</v>
      </c>
      <c r="R2242" s="6" t="str">
        <f>IF(AND(Table1[[#This Row],[Country_of_Residence]]&lt;&gt;Table1[[#This Row],[Country_of_Transaction]], OR(Table1[[#This Row],[Merchant_Category]]="Electronics", Table1[[#This Row],[Merchant_Category]]="Travel")), "unsafe merchant transaction", "safe merchant transaction")</f>
        <v>unsafe merchant transaction</v>
      </c>
    </row>
    <row r="2243" spans="1:18">
      <c r="A2243" t="s">
        <v>2887</v>
      </c>
      <c r="B2243" t="s">
        <v>328</v>
      </c>
      <c r="C2243">
        <v>1</v>
      </c>
      <c r="D2243" t="s">
        <v>15</v>
      </c>
      <c r="E2243" t="s">
        <v>3</v>
      </c>
      <c r="F2243" s="2">
        <v>46001</v>
      </c>
      <c r="G2243">
        <v>9981.6</v>
      </c>
      <c r="H2243" s="1">
        <f>AVERAGEIF(Table1[Customer_ID], Table1[[#This Row],[Customer_ID]], Table1[Transaction_Amount])</f>
        <v>4681.1953999999978</v>
      </c>
      <c r="I2243" t="s">
        <v>537</v>
      </c>
      <c r="J2243" t="s">
        <v>50</v>
      </c>
      <c r="K2243" t="s">
        <v>12</v>
      </c>
      <c r="L2243">
        <v>0</v>
      </c>
      <c r="M2243" t="s">
        <v>42</v>
      </c>
      <c r="N2243" t="s">
        <v>47</v>
      </c>
      <c r="O2243" t="s">
        <v>392</v>
      </c>
      <c r="P2243" s="6" t="str">
        <f>IF(Table1[[#This Row],[Transaction_Amount]]&lt;=Table1[[#This Row],[avg_transaction_amount]], "usual transaction", "unusual transaction")</f>
        <v>unusual transaction</v>
      </c>
      <c r="Q2243" s="6" t="str">
        <f>IF(AND(Table1[[#This Row],[Country_of_Residence]]&lt;&gt;Table1[[#This Row],[Country_of_Transaction]], OR(Table1[[#This Row],[Authentication_Type]]="Biometric", Table1[[#This Row],[Authentication_Type]]="OTP")), "safe location transaction", "unsafe location transaction")</f>
        <v>unsafe location transaction</v>
      </c>
      <c r="R2243" s="6" t="str">
        <f>IF(AND(Table1[[#This Row],[Country_of_Residence]]&lt;&gt;Table1[[#This Row],[Country_of_Transaction]], OR(Table1[[#This Row],[Merchant_Category]]="Electronics", Table1[[#This Row],[Merchant_Category]]="Travel")), "unsafe merchant transaction", "safe merchant transaction")</f>
        <v>unsafe merchant transaction</v>
      </c>
    </row>
    <row r="2244" spans="1:18">
      <c r="A2244" t="s">
        <v>2905</v>
      </c>
      <c r="B2244" t="s">
        <v>328</v>
      </c>
      <c r="C2244">
        <v>1</v>
      </c>
      <c r="D2244" t="s">
        <v>9</v>
      </c>
      <c r="E2244" t="s">
        <v>5</v>
      </c>
      <c r="F2244" s="2">
        <v>45917</v>
      </c>
      <c r="G2244">
        <v>3219.37</v>
      </c>
      <c r="H2244" s="1">
        <f>AVERAGEIF(Table1[Customer_ID], Table1[[#This Row],[Customer_ID]], Table1[Transaction_Amount])</f>
        <v>4681.1953999999978</v>
      </c>
      <c r="I2244" t="s">
        <v>555</v>
      </c>
      <c r="J2244" t="s">
        <v>36</v>
      </c>
      <c r="K2244" t="s">
        <v>14</v>
      </c>
      <c r="L2244">
        <v>3</v>
      </c>
      <c r="M2244" t="s">
        <v>412</v>
      </c>
      <c r="N2244" t="s">
        <v>51</v>
      </c>
      <c r="O2244" t="s">
        <v>393</v>
      </c>
      <c r="P2244" s="6" t="str">
        <f>IF(Table1[[#This Row],[Transaction_Amount]]&lt;=Table1[[#This Row],[avg_transaction_amount]], "usual transaction", "unusual transaction")</f>
        <v>usual transaction</v>
      </c>
      <c r="Q2244" s="6" t="str">
        <f>IF(AND(Table1[[#This Row],[Country_of_Residence]]&lt;&gt;Table1[[#This Row],[Country_of_Transaction]], OR(Table1[[#This Row],[Authentication_Type]]="Biometric", Table1[[#This Row],[Authentication_Type]]="OTP")), "safe location transaction", "unsafe location transaction")</f>
        <v>unsafe location transaction</v>
      </c>
      <c r="R2244" s="6" t="str">
        <f>IF(AND(Table1[[#This Row],[Country_of_Residence]]&lt;&gt;Table1[[#This Row],[Country_of_Transaction]], OR(Table1[[#This Row],[Merchant_Category]]="Electronics", Table1[[#This Row],[Merchant_Category]]="Travel")), "unsafe merchant transaction", "safe merchant transaction")</f>
        <v>safe merchant transaction</v>
      </c>
    </row>
    <row r="2245" spans="1:18">
      <c r="A2245" t="s">
        <v>2977</v>
      </c>
      <c r="B2245" t="s">
        <v>328</v>
      </c>
      <c r="C2245">
        <v>1</v>
      </c>
      <c r="D2245" t="s">
        <v>15</v>
      </c>
      <c r="E2245" t="s">
        <v>6</v>
      </c>
      <c r="F2245" s="2">
        <v>45868</v>
      </c>
      <c r="G2245">
        <v>6517.7</v>
      </c>
      <c r="H2245" s="1">
        <f>AVERAGEIF(Table1[Customer_ID], Table1[[#This Row],[Customer_ID]], Table1[Transaction_Amount])</f>
        <v>4681.1953999999978</v>
      </c>
      <c r="I2245" t="s">
        <v>625</v>
      </c>
      <c r="J2245" t="s">
        <v>46</v>
      </c>
      <c r="K2245" t="s">
        <v>10</v>
      </c>
      <c r="L2245">
        <v>0</v>
      </c>
      <c r="M2245" t="s">
        <v>42</v>
      </c>
      <c r="N2245" t="s">
        <v>32</v>
      </c>
      <c r="O2245" t="s">
        <v>393</v>
      </c>
      <c r="P2245" s="6" t="str">
        <f>IF(Table1[[#This Row],[Transaction_Amount]]&lt;=Table1[[#This Row],[avg_transaction_amount]], "usual transaction", "unusual transaction")</f>
        <v>unusual transaction</v>
      </c>
      <c r="Q2245" s="6" t="str">
        <f>IF(AND(Table1[[#This Row],[Country_of_Residence]]&lt;&gt;Table1[[#This Row],[Country_of_Transaction]], OR(Table1[[#This Row],[Authentication_Type]]="Biometric", Table1[[#This Row],[Authentication_Type]]="OTP")), "safe location transaction", "unsafe location transaction")</f>
        <v>safe location transaction</v>
      </c>
      <c r="R2245" s="6" t="str">
        <f>IF(AND(Table1[[#This Row],[Country_of_Residence]]&lt;&gt;Table1[[#This Row],[Country_of_Transaction]], OR(Table1[[#This Row],[Merchant_Category]]="Electronics", Table1[[#This Row],[Merchant_Category]]="Travel")), "unsafe merchant transaction", "safe merchant transaction")</f>
        <v>safe merchant transaction</v>
      </c>
    </row>
    <row r="2246" spans="1:18">
      <c r="A2246" t="s">
        <v>3042</v>
      </c>
      <c r="B2246" t="s">
        <v>328</v>
      </c>
      <c r="C2246">
        <v>1</v>
      </c>
      <c r="D2246" t="s">
        <v>15</v>
      </c>
      <c r="E2246" t="s">
        <v>3</v>
      </c>
      <c r="F2246" s="2">
        <v>45802</v>
      </c>
      <c r="G2246">
        <v>6076.06</v>
      </c>
      <c r="H2246" s="1">
        <f>AVERAGEIF(Table1[Customer_ID], Table1[[#This Row],[Customer_ID]], Table1[Transaction_Amount])</f>
        <v>4681.1953999999978</v>
      </c>
      <c r="I2246" t="s">
        <v>687</v>
      </c>
      <c r="J2246" t="s">
        <v>36</v>
      </c>
      <c r="K2246" t="s">
        <v>12</v>
      </c>
      <c r="L2246">
        <v>4</v>
      </c>
      <c r="M2246" t="s">
        <v>55</v>
      </c>
      <c r="N2246" t="s">
        <v>37</v>
      </c>
      <c r="O2246" t="s">
        <v>392</v>
      </c>
      <c r="P2246" s="6" t="str">
        <f>IF(Table1[[#This Row],[Transaction_Amount]]&lt;=Table1[[#This Row],[avg_transaction_amount]], "usual transaction", "unusual transaction")</f>
        <v>unusual transaction</v>
      </c>
      <c r="Q2246" s="6" t="str">
        <f>IF(AND(Table1[[#This Row],[Country_of_Residence]]&lt;&gt;Table1[[#This Row],[Country_of_Transaction]], OR(Table1[[#This Row],[Authentication_Type]]="Biometric", Table1[[#This Row],[Authentication_Type]]="OTP")), "safe location transaction", "unsafe location transaction")</f>
        <v>unsafe location transaction</v>
      </c>
      <c r="R2246" s="6" t="str">
        <f>IF(AND(Table1[[#This Row],[Country_of_Residence]]&lt;&gt;Table1[[#This Row],[Country_of_Transaction]], OR(Table1[[#This Row],[Merchant_Category]]="Electronics", Table1[[#This Row],[Merchant_Category]]="Travel")), "unsafe merchant transaction", "safe merchant transaction")</f>
        <v>safe merchant transaction</v>
      </c>
    </row>
    <row r="2247" spans="1:18">
      <c r="A2247" t="s">
        <v>3048</v>
      </c>
      <c r="B2247" t="s">
        <v>328</v>
      </c>
      <c r="C2247">
        <v>1</v>
      </c>
      <c r="D2247" t="s">
        <v>15</v>
      </c>
      <c r="E2247" t="s">
        <v>6</v>
      </c>
      <c r="F2247" s="2">
        <v>45905</v>
      </c>
      <c r="G2247">
        <v>3828.52</v>
      </c>
      <c r="H2247" s="1">
        <f>AVERAGEIF(Table1[Customer_ID], Table1[[#This Row],[Customer_ID]], Table1[Transaction_Amount])</f>
        <v>4681.1953999999978</v>
      </c>
      <c r="I2247" t="s">
        <v>693</v>
      </c>
      <c r="J2247" t="s">
        <v>36</v>
      </c>
      <c r="K2247" t="s">
        <v>8</v>
      </c>
      <c r="L2247">
        <v>0</v>
      </c>
      <c r="M2247" t="s">
        <v>32</v>
      </c>
      <c r="N2247" t="s">
        <v>37</v>
      </c>
      <c r="O2247" t="s">
        <v>393</v>
      </c>
      <c r="P2247" s="6" t="str">
        <f>IF(Table1[[#This Row],[Transaction_Amount]]&lt;=Table1[[#This Row],[avg_transaction_amount]], "usual transaction", "unusual transaction")</f>
        <v>usual transaction</v>
      </c>
      <c r="Q2247" s="6" t="str">
        <f>IF(AND(Table1[[#This Row],[Country_of_Residence]]&lt;&gt;Table1[[#This Row],[Country_of_Transaction]], OR(Table1[[#This Row],[Authentication_Type]]="Biometric", Table1[[#This Row],[Authentication_Type]]="OTP")), "safe location transaction", "unsafe location transaction")</f>
        <v>safe location transaction</v>
      </c>
      <c r="R2247" s="6" t="str">
        <f>IF(AND(Table1[[#This Row],[Country_of_Residence]]&lt;&gt;Table1[[#This Row],[Country_of_Transaction]], OR(Table1[[#This Row],[Merchant_Category]]="Electronics", Table1[[#This Row],[Merchant_Category]]="Travel")), "unsafe merchant transaction", "safe merchant transaction")</f>
        <v>safe merchant transaction</v>
      </c>
    </row>
    <row r="2248" spans="1:18">
      <c r="A2248" t="s">
        <v>3098</v>
      </c>
      <c r="B2248" t="s">
        <v>328</v>
      </c>
      <c r="C2248">
        <v>1</v>
      </c>
      <c r="D2248" t="s">
        <v>15</v>
      </c>
      <c r="E2248" t="s">
        <v>3</v>
      </c>
      <c r="F2248" s="2">
        <v>45738</v>
      </c>
      <c r="G2248">
        <v>1736.35</v>
      </c>
      <c r="H2248" s="1">
        <f>AVERAGEIF(Table1[Customer_ID], Table1[[#This Row],[Customer_ID]], Table1[Transaction_Amount])</f>
        <v>4681.1953999999978</v>
      </c>
      <c r="I2248" t="s">
        <v>742</v>
      </c>
      <c r="J2248" t="s">
        <v>36</v>
      </c>
      <c r="K2248" t="s">
        <v>14</v>
      </c>
      <c r="L2248">
        <v>5</v>
      </c>
      <c r="M2248" t="s">
        <v>56</v>
      </c>
      <c r="N2248" t="s">
        <v>56</v>
      </c>
      <c r="O2248" t="s">
        <v>392</v>
      </c>
      <c r="P2248" s="6" t="str">
        <f>IF(Table1[[#This Row],[Transaction_Amount]]&lt;=Table1[[#This Row],[avg_transaction_amount]], "usual transaction", "unusual transaction")</f>
        <v>usual transaction</v>
      </c>
      <c r="Q2248" s="6" t="str">
        <f>IF(AND(Table1[[#This Row],[Country_of_Residence]]&lt;&gt;Table1[[#This Row],[Country_of_Transaction]], OR(Table1[[#This Row],[Authentication_Type]]="Biometric", Table1[[#This Row],[Authentication_Type]]="OTP")), "safe location transaction", "unsafe location transaction")</f>
        <v>unsafe location transaction</v>
      </c>
      <c r="R2248" s="6" t="str">
        <f>IF(AND(Table1[[#This Row],[Country_of_Residence]]&lt;&gt;Table1[[#This Row],[Country_of_Transaction]], OR(Table1[[#This Row],[Merchant_Category]]="Electronics", Table1[[#This Row],[Merchant_Category]]="Travel")), "unsafe merchant transaction", "safe merchant transaction")</f>
        <v>safe merchant transaction</v>
      </c>
    </row>
    <row r="2249" spans="1:18">
      <c r="A2249" t="s">
        <v>3172</v>
      </c>
      <c r="B2249" t="s">
        <v>328</v>
      </c>
      <c r="C2249">
        <v>1</v>
      </c>
      <c r="D2249" t="s">
        <v>9</v>
      </c>
      <c r="E2249" t="s">
        <v>420</v>
      </c>
      <c r="F2249" s="2">
        <v>45750</v>
      </c>
      <c r="G2249">
        <v>5648.21</v>
      </c>
      <c r="H2249" s="1">
        <f>AVERAGEIF(Table1[Customer_ID], Table1[[#This Row],[Customer_ID]], Table1[Transaction_Amount])</f>
        <v>4681.1953999999978</v>
      </c>
      <c r="I2249" t="s">
        <v>807</v>
      </c>
      <c r="J2249" t="s">
        <v>50</v>
      </c>
      <c r="K2249" t="s">
        <v>12</v>
      </c>
      <c r="L2249">
        <v>0</v>
      </c>
      <c r="M2249" t="s">
        <v>32</v>
      </c>
      <c r="N2249" t="s">
        <v>412</v>
      </c>
      <c r="O2249" t="s">
        <v>393</v>
      </c>
      <c r="P2249" s="6" t="str">
        <f>IF(Table1[[#This Row],[Transaction_Amount]]&lt;=Table1[[#This Row],[avg_transaction_amount]], "usual transaction", "unusual transaction")</f>
        <v>unusual transaction</v>
      </c>
      <c r="Q2249" s="6" t="str">
        <f>IF(AND(Table1[[#This Row],[Country_of_Residence]]&lt;&gt;Table1[[#This Row],[Country_of_Transaction]], OR(Table1[[#This Row],[Authentication_Type]]="Biometric", Table1[[#This Row],[Authentication_Type]]="OTP")), "safe location transaction", "unsafe location transaction")</f>
        <v>unsafe location transaction</v>
      </c>
      <c r="R2249" s="6" t="str">
        <f>IF(AND(Table1[[#This Row],[Country_of_Residence]]&lt;&gt;Table1[[#This Row],[Country_of_Transaction]], OR(Table1[[#This Row],[Merchant_Category]]="Electronics", Table1[[#This Row],[Merchant_Category]]="Travel")), "unsafe merchant transaction", "safe merchant transaction")</f>
        <v>unsafe merchant transaction</v>
      </c>
    </row>
    <row r="2250" spans="1:18">
      <c r="A2250" t="s">
        <v>3531</v>
      </c>
      <c r="B2250" t="s">
        <v>328</v>
      </c>
      <c r="C2250">
        <v>1</v>
      </c>
      <c r="D2250" t="s">
        <v>9</v>
      </c>
      <c r="E2250" t="s">
        <v>3</v>
      </c>
      <c r="F2250" s="2">
        <v>45756</v>
      </c>
      <c r="G2250">
        <v>6019.93</v>
      </c>
      <c r="H2250" s="1">
        <f>AVERAGEIF(Table1[Customer_ID], Table1[[#This Row],[Customer_ID]], Table1[Transaction_Amount])</f>
        <v>4681.1953999999978</v>
      </c>
      <c r="I2250" t="s">
        <v>1146</v>
      </c>
      <c r="J2250" t="s">
        <v>41</v>
      </c>
      <c r="K2250" t="s">
        <v>10</v>
      </c>
      <c r="L2250">
        <v>4</v>
      </c>
      <c r="M2250" t="s">
        <v>33</v>
      </c>
      <c r="N2250" t="s">
        <v>42</v>
      </c>
      <c r="O2250" t="s">
        <v>392</v>
      </c>
      <c r="P2250" s="6" t="str">
        <f>IF(Table1[[#This Row],[Transaction_Amount]]&lt;=Table1[[#This Row],[avg_transaction_amount]], "usual transaction", "unusual transaction")</f>
        <v>unusual transaction</v>
      </c>
      <c r="Q2250" s="6" t="str">
        <f>IF(AND(Table1[[#This Row],[Country_of_Residence]]&lt;&gt;Table1[[#This Row],[Country_of_Transaction]], OR(Table1[[#This Row],[Authentication_Type]]="Biometric", Table1[[#This Row],[Authentication_Type]]="OTP")), "safe location transaction", "unsafe location transaction")</f>
        <v>safe location transaction</v>
      </c>
      <c r="R2250" s="6" t="str">
        <f>IF(AND(Table1[[#This Row],[Country_of_Residence]]&lt;&gt;Table1[[#This Row],[Country_of_Transaction]], OR(Table1[[#This Row],[Merchant_Category]]="Electronics", Table1[[#This Row],[Merchant_Category]]="Travel")), "unsafe merchant transaction", "safe merchant transaction")</f>
        <v>safe merchant transaction</v>
      </c>
    </row>
    <row r="2251" spans="1:18">
      <c r="A2251" t="s">
        <v>3573</v>
      </c>
      <c r="B2251" t="s">
        <v>328</v>
      </c>
      <c r="C2251">
        <v>1</v>
      </c>
      <c r="D2251" t="s">
        <v>15</v>
      </c>
      <c r="E2251" t="s">
        <v>420</v>
      </c>
      <c r="F2251" s="2">
        <v>45732</v>
      </c>
      <c r="G2251">
        <v>6829.14</v>
      </c>
      <c r="H2251" s="1">
        <f>AVERAGEIF(Table1[Customer_ID], Table1[[#This Row],[Customer_ID]], Table1[Transaction_Amount])</f>
        <v>4681.1953999999978</v>
      </c>
      <c r="I2251" t="s">
        <v>1184</v>
      </c>
      <c r="J2251" t="s">
        <v>46</v>
      </c>
      <c r="K2251" t="s">
        <v>12</v>
      </c>
      <c r="L2251">
        <v>5</v>
      </c>
      <c r="M2251" t="s">
        <v>55</v>
      </c>
      <c r="N2251" t="s">
        <v>42</v>
      </c>
      <c r="O2251" t="s">
        <v>392</v>
      </c>
      <c r="P2251" s="6" t="str">
        <f>IF(Table1[[#This Row],[Transaction_Amount]]&lt;=Table1[[#This Row],[avg_transaction_amount]], "usual transaction", "unusual transaction")</f>
        <v>unusual transaction</v>
      </c>
      <c r="Q2251" s="6" t="str">
        <f>IF(AND(Table1[[#This Row],[Country_of_Residence]]&lt;&gt;Table1[[#This Row],[Country_of_Transaction]], OR(Table1[[#This Row],[Authentication_Type]]="Biometric", Table1[[#This Row],[Authentication_Type]]="OTP")), "safe location transaction", "unsafe location transaction")</f>
        <v>unsafe location transaction</v>
      </c>
      <c r="R2251" s="6" t="str">
        <f>IF(AND(Table1[[#This Row],[Country_of_Residence]]&lt;&gt;Table1[[#This Row],[Country_of_Transaction]], OR(Table1[[#This Row],[Merchant_Category]]="Electronics", Table1[[#This Row],[Merchant_Category]]="Travel")), "unsafe merchant transaction", "safe merchant transaction")</f>
        <v>safe merchant transaction</v>
      </c>
    </row>
    <row r="2252" spans="1:18">
      <c r="A2252" t="s">
        <v>3686</v>
      </c>
      <c r="B2252" t="s">
        <v>328</v>
      </c>
      <c r="C2252">
        <v>1</v>
      </c>
      <c r="D2252" t="s">
        <v>9</v>
      </c>
      <c r="E2252" t="s">
        <v>420</v>
      </c>
      <c r="F2252" s="2">
        <v>45669</v>
      </c>
      <c r="G2252">
        <v>5870.12</v>
      </c>
      <c r="H2252" s="1">
        <f>AVERAGEIF(Table1[Customer_ID], Table1[[#This Row],[Customer_ID]], Table1[Transaction_Amount])</f>
        <v>4681.1953999999978</v>
      </c>
      <c r="I2252" t="s">
        <v>1286</v>
      </c>
      <c r="J2252" t="s">
        <v>46</v>
      </c>
      <c r="K2252" t="s">
        <v>8</v>
      </c>
      <c r="L2252">
        <v>4</v>
      </c>
      <c r="M2252" t="s">
        <v>42</v>
      </c>
      <c r="N2252" t="s">
        <v>56</v>
      </c>
      <c r="O2252" t="s">
        <v>392</v>
      </c>
      <c r="P2252" s="6" t="str">
        <f>IF(Table1[[#This Row],[Transaction_Amount]]&lt;=Table1[[#This Row],[avg_transaction_amount]], "usual transaction", "unusual transaction")</f>
        <v>unusual transaction</v>
      </c>
      <c r="Q2252" s="6" t="str">
        <f>IF(AND(Table1[[#This Row],[Country_of_Residence]]&lt;&gt;Table1[[#This Row],[Country_of_Transaction]], OR(Table1[[#This Row],[Authentication_Type]]="Biometric", Table1[[#This Row],[Authentication_Type]]="OTP")), "safe location transaction", "unsafe location transaction")</f>
        <v>safe location transaction</v>
      </c>
      <c r="R2252" s="6" t="str">
        <f>IF(AND(Table1[[#This Row],[Country_of_Residence]]&lt;&gt;Table1[[#This Row],[Country_of_Transaction]], OR(Table1[[#This Row],[Merchant_Category]]="Electronics", Table1[[#This Row],[Merchant_Category]]="Travel")), "unsafe merchant transaction", "safe merchant transaction")</f>
        <v>safe merchant transaction</v>
      </c>
    </row>
    <row r="2253" spans="1:18">
      <c r="A2253" t="s">
        <v>3690</v>
      </c>
      <c r="B2253" t="s">
        <v>328</v>
      </c>
      <c r="C2253">
        <v>1</v>
      </c>
      <c r="D2253" t="s">
        <v>15</v>
      </c>
      <c r="E2253" t="s">
        <v>420</v>
      </c>
      <c r="F2253" s="2">
        <v>45669</v>
      </c>
      <c r="G2253">
        <v>2280.7199999999998</v>
      </c>
      <c r="H2253" s="1">
        <f>AVERAGEIF(Table1[Customer_ID], Table1[[#This Row],[Customer_ID]], Table1[Transaction_Amount])</f>
        <v>4681.1953999999978</v>
      </c>
      <c r="I2253" t="s">
        <v>1242</v>
      </c>
      <c r="J2253" t="s">
        <v>46</v>
      </c>
      <c r="K2253" t="s">
        <v>8</v>
      </c>
      <c r="L2253">
        <v>5</v>
      </c>
      <c r="M2253" t="s">
        <v>32</v>
      </c>
      <c r="N2253" t="s">
        <v>51</v>
      </c>
      <c r="O2253" t="s">
        <v>392</v>
      </c>
      <c r="P2253" s="6" t="str">
        <f>IF(Table1[[#This Row],[Transaction_Amount]]&lt;=Table1[[#This Row],[avg_transaction_amount]], "usual transaction", "unusual transaction")</f>
        <v>usual transaction</v>
      </c>
      <c r="Q2253" s="6" t="str">
        <f>IF(AND(Table1[[#This Row],[Country_of_Residence]]&lt;&gt;Table1[[#This Row],[Country_of_Transaction]], OR(Table1[[#This Row],[Authentication_Type]]="Biometric", Table1[[#This Row],[Authentication_Type]]="OTP")), "safe location transaction", "unsafe location transaction")</f>
        <v>safe location transaction</v>
      </c>
      <c r="R2253" s="6" t="str">
        <f>IF(AND(Table1[[#This Row],[Country_of_Residence]]&lt;&gt;Table1[[#This Row],[Country_of_Transaction]], OR(Table1[[#This Row],[Merchant_Category]]="Electronics", Table1[[#This Row],[Merchant_Category]]="Travel")), "unsafe merchant transaction", "safe merchant transaction")</f>
        <v>safe merchant transaction</v>
      </c>
    </row>
    <row r="2254" spans="1:18">
      <c r="A2254" t="s">
        <v>3731</v>
      </c>
      <c r="B2254" t="s">
        <v>328</v>
      </c>
      <c r="C2254">
        <v>1</v>
      </c>
      <c r="D2254" t="s">
        <v>15</v>
      </c>
      <c r="E2254" t="s">
        <v>6</v>
      </c>
      <c r="F2254" s="2">
        <v>45923</v>
      </c>
      <c r="G2254">
        <v>4178.0200000000004</v>
      </c>
      <c r="H2254" s="1">
        <f>AVERAGEIF(Table1[Customer_ID], Table1[[#This Row],[Customer_ID]], Table1[Transaction_Amount])</f>
        <v>4681.1953999999978</v>
      </c>
      <c r="I2254" t="s">
        <v>1326</v>
      </c>
      <c r="J2254" t="s">
        <v>50</v>
      </c>
      <c r="K2254" t="s">
        <v>10</v>
      </c>
      <c r="L2254">
        <v>1</v>
      </c>
      <c r="M2254" t="s">
        <v>412</v>
      </c>
      <c r="N2254" t="s">
        <v>47</v>
      </c>
      <c r="O2254" t="s">
        <v>392</v>
      </c>
      <c r="P2254" s="6" t="str">
        <f>IF(Table1[[#This Row],[Transaction_Amount]]&lt;=Table1[[#This Row],[avg_transaction_amount]], "usual transaction", "unusual transaction")</f>
        <v>usual transaction</v>
      </c>
      <c r="Q2254" s="6" t="str">
        <f>IF(AND(Table1[[#This Row],[Country_of_Residence]]&lt;&gt;Table1[[#This Row],[Country_of_Transaction]], OR(Table1[[#This Row],[Authentication_Type]]="Biometric", Table1[[#This Row],[Authentication_Type]]="OTP")), "safe location transaction", "unsafe location transaction")</f>
        <v>safe location transaction</v>
      </c>
      <c r="R2254" s="6" t="str">
        <f>IF(AND(Table1[[#This Row],[Country_of_Residence]]&lt;&gt;Table1[[#This Row],[Country_of_Transaction]], OR(Table1[[#This Row],[Merchant_Category]]="Electronics", Table1[[#This Row],[Merchant_Category]]="Travel")), "unsafe merchant transaction", "safe merchant transaction")</f>
        <v>unsafe merchant transaction</v>
      </c>
    </row>
    <row r="2255" spans="1:18">
      <c r="A2255" t="s">
        <v>3764</v>
      </c>
      <c r="B2255" t="s">
        <v>328</v>
      </c>
      <c r="C2255">
        <v>1</v>
      </c>
      <c r="D2255" t="s">
        <v>15</v>
      </c>
      <c r="E2255" t="s">
        <v>6</v>
      </c>
      <c r="F2255" s="2">
        <v>45669</v>
      </c>
      <c r="G2255">
        <v>4406.82</v>
      </c>
      <c r="H2255" s="1">
        <f>AVERAGEIF(Table1[Customer_ID], Table1[[#This Row],[Customer_ID]], Table1[Transaction_Amount])</f>
        <v>4681.1953999999978</v>
      </c>
      <c r="I2255" t="s">
        <v>1355</v>
      </c>
      <c r="J2255" t="s">
        <v>41</v>
      </c>
      <c r="K2255" t="s">
        <v>10</v>
      </c>
      <c r="L2255">
        <v>2</v>
      </c>
      <c r="M2255" t="s">
        <v>47</v>
      </c>
      <c r="N2255" t="s">
        <v>42</v>
      </c>
      <c r="O2255" t="s">
        <v>392</v>
      </c>
      <c r="P2255" s="6" t="str">
        <f>IF(Table1[[#This Row],[Transaction_Amount]]&lt;=Table1[[#This Row],[avg_transaction_amount]], "usual transaction", "unusual transaction")</f>
        <v>usual transaction</v>
      </c>
      <c r="Q2255" s="6" t="str">
        <f>IF(AND(Table1[[#This Row],[Country_of_Residence]]&lt;&gt;Table1[[#This Row],[Country_of_Transaction]], OR(Table1[[#This Row],[Authentication_Type]]="Biometric", Table1[[#This Row],[Authentication_Type]]="OTP")), "safe location transaction", "unsafe location transaction")</f>
        <v>safe location transaction</v>
      </c>
      <c r="R2255" s="6" t="str">
        <f>IF(AND(Table1[[#This Row],[Country_of_Residence]]&lt;&gt;Table1[[#This Row],[Country_of_Transaction]], OR(Table1[[#This Row],[Merchant_Category]]="Electronics", Table1[[#This Row],[Merchant_Category]]="Travel")), "unsafe merchant transaction", "safe merchant transaction")</f>
        <v>safe merchant transaction</v>
      </c>
    </row>
    <row r="2256" spans="1:18">
      <c r="A2256" t="s">
        <v>3767</v>
      </c>
      <c r="B2256" t="s">
        <v>328</v>
      </c>
      <c r="C2256">
        <v>1</v>
      </c>
      <c r="D2256" t="s">
        <v>15</v>
      </c>
      <c r="E2256" t="s">
        <v>6</v>
      </c>
      <c r="F2256" s="2">
        <v>45785</v>
      </c>
      <c r="G2256">
        <v>683.11</v>
      </c>
      <c r="H2256" s="1">
        <f>AVERAGEIF(Table1[Customer_ID], Table1[[#This Row],[Customer_ID]], Table1[Transaction_Amount])</f>
        <v>4681.1953999999978</v>
      </c>
      <c r="I2256" t="s">
        <v>1357</v>
      </c>
      <c r="J2256" t="s">
        <v>46</v>
      </c>
      <c r="K2256" t="s">
        <v>10</v>
      </c>
      <c r="L2256">
        <v>5</v>
      </c>
      <c r="M2256" t="s">
        <v>47</v>
      </c>
      <c r="N2256" t="s">
        <v>32</v>
      </c>
      <c r="O2256" t="s">
        <v>393</v>
      </c>
      <c r="P2256" s="6" t="str">
        <f>IF(Table1[[#This Row],[Transaction_Amount]]&lt;=Table1[[#This Row],[avg_transaction_amount]], "usual transaction", "unusual transaction")</f>
        <v>usual transaction</v>
      </c>
      <c r="Q2256" s="6" t="str">
        <f>IF(AND(Table1[[#This Row],[Country_of_Residence]]&lt;&gt;Table1[[#This Row],[Country_of_Transaction]], OR(Table1[[#This Row],[Authentication_Type]]="Biometric", Table1[[#This Row],[Authentication_Type]]="OTP")), "safe location transaction", "unsafe location transaction")</f>
        <v>safe location transaction</v>
      </c>
      <c r="R2256" s="6" t="str">
        <f>IF(AND(Table1[[#This Row],[Country_of_Residence]]&lt;&gt;Table1[[#This Row],[Country_of_Transaction]], OR(Table1[[#This Row],[Merchant_Category]]="Electronics", Table1[[#This Row],[Merchant_Category]]="Travel")), "unsafe merchant transaction", "safe merchant transaction")</f>
        <v>safe merchant transaction</v>
      </c>
    </row>
    <row r="2257" spans="1:18">
      <c r="A2257" t="s">
        <v>3777</v>
      </c>
      <c r="B2257" t="s">
        <v>328</v>
      </c>
      <c r="C2257">
        <v>1</v>
      </c>
      <c r="D2257" t="s">
        <v>9</v>
      </c>
      <c r="E2257" t="s">
        <v>3</v>
      </c>
      <c r="F2257" s="2">
        <v>45928</v>
      </c>
      <c r="G2257">
        <v>3918.65</v>
      </c>
      <c r="H2257" s="1">
        <f>AVERAGEIF(Table1[Customer_ID], Table1[[#This Row],[Customer_ID]], Table1[Transaction_Amount])</f>
        <v>4681.1953999999978</v>
      </c>
      <c r="I2257" t="s">
        <v>1065</v>
      </c>
      <c r="J2257" t="s">
        <v>31</v>
      </c>
      <c r="K2257" t="s">
        <v>14</v>
      </c>
      <c r="L2257">
        <v>4</v>
      </c>
      <c r="M2257" t="s">
        <v>33</v>
      </c>
      <c r="N2257" t="s">
        <v>42</v>
      </c>
      <c r="O2257" t="s">
        <v>393</v>
      </c>
      <c r="P2257" s="6" t="str">
        <f>IF(Table1[[#This Row],[Transaction_Amount]]&lt;=Table1[[#This Row],[avg_transaction_amount]], "usual transaction", "unusual transaction")</f>
        <v>usual transaction</v>
      </c>
      <c r="Q2257" s="6" t="str">
        <f>IF(AND(Table1[[#This Row],[Country_of_Residence]]&lt;&gt;Table1[[#This Row],[Country_of_Transaction]], OR(Table1[[#This Row],[Authentication_Type]]="Biometric", Table1[[#This Row],[Authentication_Type]]="OTP")), "safe location transaction", "unsafe location transaction")</f>
        <v>unsafe location transaction</v>
      </c>
      <c r="R2257" s="6" t="str">
        <f>IF(AND(Table1[[#This Row],[Country_of_Residence]]&lt;&gt;Table1[[#This Row],[Country_of_Transaction]], OR(Table1[[#This Row],[Merchant_Category]]="Electronics", Table1[[#This Row],[Merchant_Category]]="Travel")), "unsafe merchant transaction", "safe merchant transaction")</f>
        <v>safe merchant transaction</v>
      </c>
    </row>
    <row r="2258" spans="1:18">
      <c r="A2258" t="s">
        <v>3806</v>
      </c>
      <c r="B2258" t="s">
        <v>328</v>
      </c>
      <c r="C2258">
        <v>1</v>
      </c>
      <c r="D2258" t="s">
        <v>9</v>
      </c>
      <c r="E2258" t="s">
        <v>420</v>
      </c>
      <c r="F2258" s="2">
        <v>45760</v>
      </c>
      <c r="G2258">
        <v>156.24</v>
      </c>
      <c r="H2258" s="1">
        <f>AVERAGEIF(Table1[Customer_ID], Table1[[#This Row],[Customer_ID]], Table1[Transaction_Amount])</f>
        <v>4681.1953999999978</v>
      </c>
      <c r="I2258" t="s">
        <v>1389</v>
      </c>
      <c r="J2258" t="s">
        <v>36</v>
      </c>
      <c r="K2258" t="s">
        <v>10</v>
      </c>
      <c r="L2258">
        <v>5</v>
      </c>
      <c r="M2258" t="s">
        <v>37</v>
      </c>
      <c r="N2258" t="s">
        <v>56</v>
      </c>
      <c r="O2258" t="s">
        <v>393</v>
      </c>
      <c r="P2258" s="6" t="str">
        <f>IF(Table1[[#This Row],[Transaction_Amount]]&lt;=Table1[[#This Row],[avg_transaction_amount]], "usual transaction", "unusual transaction")</f>
        <v>usual transaction</v>
      </c>
      <c r="Q2258" s="6" t="str">
        <f>IF(AND(Table1[[#This Row],[Country_of_Residence]]&lt;&gt;Table1[[#This Row],[Country_of_Transaction]], OR(Table1[[#This Row],[Authentication_Type]]="Biometric", Table1[[#This Row],[Authentication_Type]]="OTP")), "safe location transaction", "unsafe location transaction")</f>
        <v>safe location transaction</v>
      </c>
      <c r="R2258" s="6" t="str">
        <f>IF(AND(Table1[[#This Row],[Country_of_Residence]]&lt;&gt;Table1[[#This Row],[Country_of_Transaction]], OR(Table1[[#This Row],[Merchant_Category]]="Electronics", Table1[[#This Row],[Merchant_Category]]="Travel")), "unsafe merchant transaction", "safe merchant transaction")</f>
        <v>safe merchant transaction</v>
      </c>
    </row>
    <row r="2259" spans="1:18">
      <c r="A2259" t="s">
        <v>3810</v>
      </c>
      <c r="B2259" t="s">
        <v>328</v>
      </c>
      <c r="C2259">
        <v>1</v>
      </c>
      <c r="D2259" t="s">
        <v>15</v>
      </c>
      <c r="E2259" t="s">
        <v>3</v>
      </c>
      <c r="F2259" s="2">
        <v>45753</v>
      </c>
      <c r="G2259">
        <v>1263.69</v>
      </c>
      <c r="H2259" s="1">
        <f>AVERAGEIF(Table1[Customer_ID], Table1[[#This Row],[Customer_ID]], Table1[Transaction_Amount])</f>
        <v>4681.1953999999978</v>
      </c>
      <c r="I2259" t="s">
        <v>1393</v>
      </c>
      <c r="J2259" t="s">
        <v>31</v>
      </c>
      <c r="K2259" t="s">
        <v>8</v>
      </c>
      <c r="L2259">
        <v>5</v>
      </c>
      <c r="M2259" t="s">
        <v>55</v>
      </c>
      <c r="N2259" t="s">
        <v>55</v>
      </c>
      <c r="O2259" t="s">
        <v>392</v>
      </c>
      <c r="P2259" s="6" t="str">
        <f>IF(Table1[[#This Row],[Transaction_Amount]]&lt;=Table1[[#This Row],[avg_transaction_amount]], "usual transaction", "unusual transaction")</f>
        <v>usual transaction</v>
      </c>
      <c r="Q2259" s="6" t="str">
        <f>IF(AND(Table1[[#This Row],[Country_of_Residence]]&lt;&gt;Table1[[#This Row],[Country_of_Transaction]], OR(Table1[[#This Row],[Authentication_Type]]="Biometric", Table1[[#This Row],[Authentication_Type]]="OTP")), "safe location transaction", "unsafe location transaction")</f>
        <v>unsafe location transaction</v>
      </c>
      <c r="R2259" s="6" t="str">
        <f>IF(AND(Table1[[#This Row],[Country_of_Residence]]&lt;&gt;Table1[[#This Row],[Country_of_Transaction]], OR(Table1[[#This Row],[Merchant_Category]]="Electronics", Table1[[#This Row],[Merchant_Category]]="Travel")), "unsafe merchant transaction", "safe merchant transaction")</f>
        <v>safe merchant transaction</v>
      </c>
    </row>
    <row r="2260" spans="1:18">
      <c r="A2260" t="s">
        <v>3825</v>
      </c>
      <c r="B2260" t="s">
        <v>328</v>
      </c>
      <c r="C2260">
        <v>1</v>
      </c>
      <c r="D2260" t="s">
        <v>9</v>
      </c>
      <c r="E2260" t="s">
        <v>5</v>
      </c>
      <c r="F2260" s="2">
        <v>45692</v>
      </c>
      <c r="G2260">
        <v>3250.47</v>
      </c>
      <c r="H2260" s="1">
        <f>AVERAGEIF(Table1[Customer_ID], Table1[[#This Row],[Customer_ID]], Table1[Transaction_Amount])</f>
        <v>4681.1953999999978</v>
      </c>
      <c r="I2260" t="s">
        <v>812</v>
      </c>
      <c r="J2260" t="s">
        <v>46</v>
      </c>
      <c r="K2260" t="s">
        <v>14</v>
      </c>
      <c r="L2260">
        <v>5</v>
      </c>
      <c r="M2260" t="s">
        <v>42</v>
      </c>
      <c r="N2260" t="s">
        <v>51</v>
      </c>
      <c r="O2260" t="s">
        <v>392</v>
      </c>
      <c r="P2260" s="6" t="str">
        <f>IF(Table1[[#This Row],[Transaction_Amount]]&lt;=Table1[[#This Row],[avg_transaction_amount]], "usual transaction", "unusual transaction")</f>
        <v>usual transaction</v>
      </c>
      <c r="Q2260" s="6" t="str">
        <f>IF(AND(Table1[[#This Row],[Country_of_Residence]]&lt;&gt;Table1[[#This Row],[Country_of_Transaction]], OR(Table1[[#This Row],[Authentication_Type]]="Biometric", Table1[[#This Row],[Authentication_Type]]="OTP")), "safe location transaction", "unsafe location transaction")</f>
        <v>unsafe location transaction</v>
      </c>
      <c r="R2260" s="6" t="str">
        <f>IF(AND(Table1[[#This Row],[Country_of_Residence]]&lt;&gt;Table1[[#This Row],[Country_of_Transaction]], OR(Table1[[#This Row],[Merchant_Category]]="Electronics", Table1[[#This Row],[Merchant_Category]]="Travel")), "unsafe merchant transaction", "safe merchant transaction")</f>
        <v>safe merchant transaction</v>
      </c>
    </row>
    <row r="2261" spans="1:18">
      <c r="A2261" t="s">
        <v>3842</v>
      </c>
      <c r="B2261" t="s">
        <v>328</v>
      </c>
      <c r="C2261">
        <v>1</v>
      </c>
      <c r="D2261" t="s">
        <v>9</v>
      </c>
      <c r="E2261" t="s">
        <v>3</v>
      </c>
      <c r="F2261" s="2">
        <v>45813</v>
      </c>
      <c r="G2261">
        <v>547.78</v>
      </c>
      <c r="H2261" s="1">
        <f>AVERAGEIF(Table1[Customer_ID], Table1[[#This Row],[Customer_ID]], Table1[Transaction_Amount])</f>
        <v>4681.1953999999978</v>
      </c>
      <c r="I2261" t="s">
        <v>716</v>
      </c>
      <c r="J2261" t="s">
        <v>41</v>
      </c>
      <c r="K2261" t="s">
        <v>12</v>
      </c>
      <c r="L2261">
        <v>0</v>
      </c>
      <c r="M2261" t="s">
        <v>412</v>
      </c>
      <c r="N2261" t="s">
        <v>51</v>
      </c>
      <c r="O2261" t="s">
        <v>392</v>
      </c>
      <c r="P2261" s="6" t="str">
        <f>IF(Table1[[#This Row],[Transaction_Amount]]&lt;=Table1[[#This Row],[avg_transaction_amount]], "usual transaction", "unusual transaction")</f>
        <v>usual transaction</v>
      </c>
      <c r="Q2261" s="6" t="str">
        <f>IF(AND(Table1[[#This Row],[Country_of_Residence]]&lt;&gt;Table1[[#This Row],[Country_of_Transaction]], OR(Table1[[#This Row],[Authentication_Type]]="Biometric", Table1[[#This Row],[Authentication_Type]]="OTP")), "safe location transaction", "unsafe location transaction")</f>
        <v>unsafe location transaction</v>
      </c>
      <c r="R2261" s="6" t="str">
        <f>IF(AND(Table1[[#This Row],[Country_of_Residence]]&lt;&gt;Table1[[#This Row],[Country_of_Transaction]], OR(Table1[[#This Row],[Merchant_Category]]="Electronics", Table1[[#This Row],[Merchant_Category]]="Travel")), "unsafe merchant transaction", "safe merchant transaction")</f>
        <v>safe merchant transaction</v>
      </c>
    </row>
    <row r="2262" spans="1:18">
      <c r="A2262" t="s">
        <v>3909</v>
      </c>
      <c r="B2262" t="s">
        <v>328</v>
      </c>
      <c r="C2262">
        <v>1</v>
      </c>
      <c r="D2262" t="s">
        <v>15</v>
      </c>
      <c r="E2262" t="s">
        <v>5</v>
      </c>
      <c r="F2262" s="2">
        <v>45687</v>
      </c>
      <c r="G2262">
        <v>4837.68</v>
      </c>
      <c r="H2262" s="1">
        <f>AVERAGEIF(Table1[Customer_ID], Table1[[#This Row],[Customer_ID]], Table1[Transaction_Amount])</f>
        <v>4681.1953999999978</v>
      </c>
      <c r="I2262" t="s">
        <v>1474</v>
      </c>
      <c r="J2262" t="s">
        <v>36</v>
      </c>
      <c r="K2262" t="s">
        <v>12</v>
      </c>
      <c r="L2262">
        <v>3</v>
      </c>
      <c r="M2262" t="s">
        <v>47</v>
      </c>
      <c r="N2262" t="s">
        <v>412</v>
      </c>
      <c r="O2262" t="s">
        <v>393</v>
      </c>
      <c r="P2262" s="6" t="str">
        <f>IF(Table1[[#This Row],[Transaction_Amount]]&lt;=Table1[[#This Row],[avg_transaction_amount]], "usual transaction", "unusual transaction")</f>
        <v>unusual transaction</v>
      </c>
      <c r="Q2262" s="6" t="str">
        <f>IF(AND(Table1[[#This Row],[Country_of_Residence]]&lt;&gt;Table1[[#This Row],[Country_of_Transaction]], OR(Table1[[#This Row],[Authentication_Type]]="Biometric", Table1[[#This Row],[Authentication_Type]]="OTP")), "safe location transaction", "unsafe location transaction")</f>
        <v>unsafe location transaction</v>
      </c>
      <c r="R2262" s="6" t="str">
        <f>IF(AND(Table1[[#This Row],[Country_of_Residence]]&lt;&gt;Table1[[#This Row],[Country_of_Transaction]], OR(Table1[[#This Row],[Merchant_Category]]="Electronics", Table1[[#This Row],[Merchant_Category]]="Travel")), "unsafe merchant transaction", "safe merchant transaction")</f>
        <v>safe merchant transaction</v>
      </c>
    </row>
    <row r="2263" spans="1:18">
      <c r="A2263" t="s">
        <v>3914</v>
      </c>
      <c r="B2263" t="s">
        <v>328</v>
      </c>
      <c r="C2263">
        <v>1</v>
      </c>
      <c r="D2263" t="s">
        <v>9</v>
      </c>
      <c r="E2263" t="s">
        <v>6</v>
      </c>
      <c r="F2263" s="2">
        <v>45987</v>
      </c>
      <c r="G2263">
        <v>2880.23</v>
      </c>
      <c r="H2263" s="1">
        <f>AVERAGEIF(Table1[Customer_ID], Table1[[#This Row],[Customer_ID]], Table1[Transaction_Amount])</f>
        <v>4681.1953999999978</v>
      </c>
      <c r="I2263" t="s">
        <v>1479</v>
      </c>
      <c r="J2263" t="s">
        <v>31</v>
      </c>
      <c r="K2263" t="s">
        <v>8</v>
      </c>
      <c r="L2263">
        <v>4</v>
      </c>
      <c r="M2263" t="s">
        <v>55</v>
      </c>
      <c r="N2263" t="s">
        <v>37</v>
      </c>
      <c r="O2263" t="s">
        <v>392</v>
      </c>
      <c r="P2263" s="6" t="str">
        <f>IF(Table1[[#This Row],[Transaction_Amount]]&lt;=Table1[[#This Row],[avg_transaction_amount]], "usual transaction", "unusual transaction")</f>
        <v>usual transaction</v>
      </c>
      <c r="Q2263" s="6" t="str">
        <f>IF(AND(Table1[[#This Row],[Country_of_Residence]]&lt;&gt;Table1[[#This Row],[Country_of_Transaction]], OR(Table1[[#This Row],[Authentication_Type]]="Biometric", Table1[[#This Row],[Authentication_Type]]="OTP")), "safe location transaction", "unsafe location transaction")</f>
        <v>safe location transaction</v>
      </c>
      <c r="R2263" s="6" t="str">
        <f>IF(AND(Table1[[#This Row],[Country_of_Residence]]&lt;&gt;Table1[[#This Row],[Country_of_Transaction]], OR(Table1[[#This Row],[Merchant_Category]]="Electronics", Table1[[#This Row],[Merchant_Category]]="Travel")), "unsafe merchant transaction", "safe merchant transaction")</f>
        <v>safe merchant transaction</v>
      </c>
    </row>
    <row r="2264" spans="1:18">
      <c r="A2264" t="s">
        <v>3930</v>
      </c>
      <c r="B2264" t="s">
        <v>328</v>
      </c>
      <c r="C2264">
        <v>1</v>
      </c>
      <c r="D2264" t="s">
        <v>15</v>
      </c>
      <c r="E2264" t="s">
        <v>3</v>
      </c>
      <c r="F2264" s="2">
        <v>45741</v>
      </c>
      <c r="G2264">
        <v>8053.53</v>
      </c>
      <c r="H2264" s="1">
        <f>AVERAGEIF(Table1[Customer_ID], Table1[[#This Row],[Customer_ID]], Table1[Transaction_Amount])</f>
        <v>4681.1953999999978</v>
      </c>
      <c r="I2264" t="s">
        <v>1494</v>
      </c>
      <c r="J2264" t="s">
        <v>46</v>
      </c>
      <c r="K2264" t="s">
        <v>12</v>
      </c>
      <c r="L2264">
        <v>3</v>
      </c>
      <c r="M2264" t="s">
        <v>51</v>
      </c>
      <c r="N2264" t="s">
        <v>412</v>
      </c>
      <c r="O2264" t="s">
        <v>393</v>
      </c>
      <c r="P2264" s="6" t="str">
        <f>IF(Table1[[#This Row],[Transaction_Amount]]&lt;=Table1[[#This Row],[avg_transaction_amount]], "usual transaction", "unusual transaction")</f>
        <v>unusual transaction</v>
      </c>
      <c r="Q2264" s="6" t="str">
        <f>IF(AND(Table1[[#This Row],[Country_of_Residence]]&lt;&gt;Table1[[#This Row],[Country_of_Transaction]], OR(Table1[[#This Row],[Authentication_Type]]="Biometric", Table1[[#This Row],[Authentication_Type]]="OTP")), "safe location transaction", "unsafe location transaction")</f>
        <v>unsafe location transaction</v>
      </c>
      <c r="R2264" s="6" t="str">
        <f>IF(AND(Table1[[#This Row],[Country_of_Residence]]&lt;&gt;Table1[[#This Row],[Country_of_Transaction]], OR(Table1[[#This Row],[Merchant_Category]]="Electronics", Table1[[#This Row],[Merchant_Category]]="Travel")), "unsafe merchant transaction", "safe merchant transaction")</f>
        <v>safe merchant transaction</v>
      </c>
    </row>
    <row r="2265" spans="1:18">
      <c r="A2265" t="s">
        <v>3943</v>
      </c>
      <c r="B2265" t="s">
        <v>328</v>
      </c>
      <c r="C2265">
        <v>1</v>
      </c>
      <c r="D2265" t="s">
        <v>9</v>
      </c>
      <c r="E2265" t="s">
        <v>5</v>
      </c>
      <c r="F2265" s="2">
        <v>45989</v>
      </c>
      <c r="G2265">
        <v>8568.59</v>
      </c>
      <c r="H2265" s="1">
        <f>AVERAGEIF(Table1[Customer_ID], Table1[[#This Row],[Customer_ID]], Table1[Transaction_Amount])</f>
        <v>4681.1953999999978</v>
      </c>
      <c r="I2265" t="s">
        <v>1507</v>
      </c>
      <c r="J2265" t="s">
        <v>31</v>
      </c>
      <c r="K2265" t="s">
        <v>10</v>
      </c>
      <c r="L2265">
        <v>3</v>
      </c>
      <c r="M2265" t="s">
        <v>55</v>
      </c>
      <c r="N2265" t="s">
        <v>37</v>
      </c>
      <c r="O2265" t="s">
        <v>392</v>
      </c>
      <c r="P2265" s="6" t="str">
        <f>IF(Table1[[#This Row],[Transaction_Amount]]&lt;=Table1[[#This Row],[avg_transaction_amount]], "usual transaction", "unusual transaction")</f>
        <v>unusual transaction</v>
      </c>
      <c r="Q2265" s="6" t="str">
        <f>IF(AND(Table1[[#This Row],[Country_of_Residence]]&lt;&gt;Table1[[#This Row],[Country_of_Transaction]], OR(Table1[[#This Row],[Authentication_Type]]="Biometric", Table1[[#This Row],[Authentication_Type]]="OTP")), "safe location transaction", "unsafe location transaction")</f>
        <v>safe location transaction</v>
      </c>
      <c r="R2265" s="6" t="str">
        <f>IF(AND(Table1[[#This Row],[Country_of_Residence]]&lt;&gt;Table1[[#This Row],[Country_of_Transaction]], OR(Table1[[#This Row],[Merchant_Category]]="Electronics", Table1[[#This Row],[Merchant_Category]]="Travel")), "unsafe merchant transaction", "safe merchant transaction")</f>
        <v>safe merchant transaction</v>
      </c>
    </row>
    <row r="2266" spans="1:18">
      <c r="A2266" t="s">
        <v>3961</v>
      </c>
      <c r="B2266" t="s">
        <v>328</v>
      </c>
      <c r="C2266">
        <v>1</v>
      </c>
      <c r="D2266" t="s">
        <v>15</v>
      </c>
      <c r="E2266" t="s">
        <v>5</v>
      </c>
      <c r="F2266" s="2">
        <v>45979</v>
      </c>
      <c r="G2266">
        <v>1388.42</v>
      </c>
      <c r="H2266" s="1">
        <f>AVERAGEIF(Table1[Customer_ID], Table1[[#This Row],[Customer_ID]], Table1[Transaction_Amount])</f>
        <v>4681.1953999999978</v>
      </c>
      <c r="I2266" t="s">
        <v>1522</v>
      </c>
      <c r="J2266" t="s">
        <v>46</v>
      </c>
      <c r="K2266" t="s">
        <v>10</v>
      </c>
      <c r="L2266">
        <v>1</v>
      </c>
      <c r="M2266" t="s">
        <v>47</v>
      </c>
      <c r="N2266" t="s">
        <v>56</v>
      </c>
      <c r="O2266" t="s">
        <v>392</v>
      </c>
      <c r="P2266" s="6" t="str">
        <f>IF(Table1[[#This Row],[Transaction_Amount]]&lt;=Table1[[#This Row],[avg_transaction_amount]], "usual transaction", "unusual transaction")</f>
        <v>usual transaction</v>
      </c>
      <c r="Q2266" s="6" t="str">
        <f>IF(AND(Table1[[#This Row],[Country_of_Residence]]&lt;&gt;Table1[[#This Row],[Country_of_Transaction]], OR(Table1[[#This Row],[Authentication_Type]]="Biometric", Table1[[#This Row],[Authentication_Type]]="OTP")), "safe location transaction", "unsafe location transaction")</f>
        <v>safe location transaction</v>
      </c>
      <c r="R2266" s="6" t="str">
        <f>IF(AND(Table1[[#This Row],[Country_of_Residence]]&lt;&gt;Table1[[#This Row],[Country_of_Transaction]], OR(Table1[[#This Row],[Merchant_Category]]="Electronics", Table1[[#This Row],[Merchant_Category]]="Travel")), "unsafe merchant transaction", "safe merchant transaction")</f>
        <v>safe merchant transaction</v>
      </c>
    </row>
    <row r="2267" spans="1:18">
      <c r="A2267" t="s">
        <v>3988</v>
      </c>
      <c r="B2267" t="s">
        <v>328</v>
      </c>
      <c r="C2267">
        <v>1</v>
      </c>
      <c r="D2267" t="s">
        <v>9</v>
      </c>
      <c r="E2267" t="s">
        <v>6</v>
      </c>
      <c r="F2267" s="2">
        <v>45687</v>
      </c>
      <c r="G2267">
        <v>6817.2</v>
      </c>
      <c r="H2267" s="1">
        <f>AVERAGEIF(Table1[Customer_ID], Table1[[#This Row],[Customer_ID]], Table1[Transaction_Amount])</f>
        <v>4681.1953999999978</v>
      </c>
      <c r="I2267" t="s">
        <v>1547</v>
      </c>
      <c r="J2267" t="s">
        <v>41</v>
      </c>
      <c r="K2267" t="s">
        <v>10</v>
      </c>
      <c r="L2267">
        <v>0</v>
      </c>
      <c r="M2267" t="s">
        <v>33</v>
      </c>
      <c r="N2267" t="s">
        <v>37</v>
      </c>
      <c r="O2267" t="s">
        <v>392</v>
      </c>
      <c r="P2267" s="6" t="str">
        <f>IF(Table1[[#This Row],[Transaction_Amount]]&lt;=Table1[[#This Row],[avg_transaction_amount]], "usual transaction", "unusual transaction")</f>
        <v>unusual transaction</v>
      </c>
      <c r="Q2267" s="6" t="str">
        <f>IF(AND(Table1[[#This Row],[Country_of_Residence]]&lt;&gt;Table1[[#This Row],[Country_of_Transaction]], OR(Table1[[#This Row],[Authentication_Type]]="Biometric", Table1[[#This Row],[Authentication_Type]]="OTP")), "safe location transaction", "unsafe location transaction")</f>
        <v>safe location transaction</v>
      </c>
      <c r="R2267" s="6" t="str">
        <f>IF(AND(Table1[[#This Row],[Country_of_Residence]]&lt;&gt;Table1[[#This Row],[Country_of_Transaction]], OR(Table1[[#This Row],[Merchant_Category]]="Electronics", Table1[[#This Row],[Merchant_Category]]="Travel")), "unsafe merchant transaction", "safe merchant transaction")</f>
        <v>safe merchant transaction</v>
      </c>
    </row>
    <row r="2268" spans="1:18">
      <c r="A2268" t="s">
        <v>4063</v>
      </c>
      <c r="B2268" t="s">
        <v>328</v>
      </c>
      <c r="C2268">
        <v>1</v>
      </c>
      <c r="D2268" t="s">
        <v>9</v>
      </c>
      <c r="E2268" t="s">
        <v>420</v>
      </c>
      <c r="F2268" s="2">
        <v>45785</v>
      </c>
      <c r="G2268">
        <v>7230.62</v>
      </c>
      <c r="H2268" s="1">
        <f>AVERAGEIF(Table1[Customer_ID], Table1[[#This Row],[Customer_ID]], Table1[Transaction_Amount])</f>
        <v>4681.1953999999978</v>
      </c>
      <c r="I2268" t="s">
        <v>1613</v>
      </c>
      <c r="J2268" t="s">
        <v>31</v>
      </c>
      <c r="K2268" t="s">
        <v>14</v>
      </c>
      <c r="L2268">
        <v>4</v>
      </c>
      <c r="M2268" t="s">
        <v>55</v>
      </c>
      <c r="N2268" t="s">
        <v>56</v>
      </c>
      <c r="O2268" t="s">
        <v>393</v>
      </c>
      <c r="P2268" s="6" t="str">
        <f>IF(Table1[[#This Row],[Transaction_Amount]]&lt;=Table1[[#This Row],[avg_transaction_amount]], "usual transaction", "unusual transaction")</f>
        <v>unusual transaction</v>
      </c>
      <c r="Q2268" s="6" t="str">
        <f>IF(AND(Table1[[#This Row],[Country_of_Residence]]&lt;&gt;Table1[[#This Row],[Country_of_Transaction]], OR(Table1[[#This Row],[Authentication_Type]]="Biometric", Table1[[#This Row],[Authentication_Type]]="OTP")), "safe location transaction", "unsafe location transaction")</f>
        <v>unsafe location transaction</v>
      </c>
      <c r="R2268" s="6" t="str">
        <f>IF(AND(Table1[[#This Row],[Country_of_Residence]]&lt;&gt;Table1[[#This Row],[Country_of_Transaction]], OR(Table1[[#This Row],[Merchant_Category]]="Electronics", Table1[[#This Row],[Merchant_Category]]="Travel")), "unsafe merchant transaction", "safe merchant transaction")</f>
        <v>safe merchant transaction</v>
      </c>
    </row>
    <row r="2269" spans="1:18">
      <c r="A2269" t="s">
        <v>4112</v>
      </c>
      <c r="B2269" t="s">
        <v>328</v>
      </c>
      <c r="C2269">
        <v>1</v>
      </c>
      <c r="D2269" t="s">
        <v>15</v>
      </c>
      <c r="E2269" t="s">
        <v>6</v>
      </c>
      <c r="F2269" s="2">
        <v>45801</v>
      </c>
      <c r="G2269">
        <v>719.96</v>
      </c>
      <c r="H2269" s="1">
        <f>AVERAGEIF(Table1[Customer_ID], Table1[[#This Row],[Customer_ID]], Table1[Transaction_Amount])</f>
        <v>4681.1953999999978</v>
      </c>
      <c r="I2269" t="s">
        <v>1650</v>
      </c>
      <c r="J2269" t="s">
        <v>31</v>
      </c>
      <c r="K2269" t="s">
        <v>14</v>
      </c>
      <c r="L2269">
        <v>4</v>
      </c>
      <c r="M2269" t="s">
        <v>37</v>
      </c>
      <c r="N2269" t="s">
        <v>33</v>
      </c>
      <c r="O2269" t="s">
        <v>393</v>
      </c>
      <c r="P2269" s="6" t="str">
        <f>IF(Table1[[#This Row],[Transaction_Amount]]&lt;=Table1[[#This Row],[avg_transaction_amount]], "usual transaction", "unusual transaction")</f>
        <v>usual transaction</v>
      </c>
      <c r="Q2269" s="6" t="str">
        <f>IF(AND(Table1[[#This Row],[Country_of_Residence]]&lt;&gt;Table1[[#This Row],[Country_of_Transaction]], OR(Table1[[#This Row],[Authentication_Type]]="Biometric", Table1[[#This Row],[Authentication_Type]]="OTP")), "safe location transaction", "unsafe location transaction")</f>
        <v>unsafe location transaction</v>
      </c>
      <c r="R2269" s="6" t="str">
        <f>IF(AND(Table1[[#This Row],[Country_of_Residence]]&lt;&gt;Table1[[#This Row],[Country_of_Transaction]], OR(Table1[[#This Row],[Merchant_Category]]="Electronics", Table1[[#This Row],[Merchant_Category]]="Travel")), "unsafe merchant transaction", "safe merchant transaction")</f>
        <v>safe merchant transaction</v>
      </c>
    </row>
    <row r="2270" spans="1:18">
      <c r="A2270" t="s">
        <v>4271</v>
      </c>
      <c r="B2270" t="s">
        <v>328</v>
      </c>
      <c r="C2270">
        <v>1</v>
      </c>
      <c r="D2270" t="s">
        <v>9</v>
      </c>
      <c r="E2270" t="s">
        <v>5</v>
      </c>
      <c r="F2270" s="2">
        <v>45952</v>
      </c>
      <c r="G2270">
        <v>4492.8100000000004</v>
      </c>
      <c r="H2270" s="1">
        <f>AVERAGEIF(Table1[Customer_ID], Table1[[#This Row],[Customer_ID]], Table1[Transaction_Amount])</f>
        <v>4681.1953999999978</v>
      </c>
      <c r="I2270" t="s">
        <v>1784</v>
      </c>
      <c r="J2270" t="s">
        <v>31</v>
      </c>
      <c r="K2270" t="s">
        <v>12</v>
      </c>
      <c r="L2270">
        <v>4</v>
      </c>
      <c r="M2270" t="s">
        <v>55</v>
      </c>
      <c r="N2270" t="s">
        <v>32</v>
      </c>
      <c r="O2270" t="s">
        <v>392</v>
      </c>
      <c r="P2270" s="6" t="str">
        <f>IF(Table1[[#This Row],[Transaction_Amount]]&lt;=Table1[[#This Row],[avg_transaction_amount]], "usual transaction", "unusual transaction")</f>
        <v>usual transaction</v>
      </c>
      <c r="Q2270" s="6" t="str">
        <f>IF(AND(Table1[[#This Row],[Country_of_Residence]]&lt;&gt;Table1[[#This Row],[Country_of_Transaction]], OR(Table1[[#This Row],[Authentication_Type]]="Biometric", Table1[[#This Row],[Authentication_Type]]="OTP")), "safe location transaction", "unsafe location transaction")</f>
        <v>unsafe location transaction</v>
      </c>
      <c r="R2270" s="6" t="str">
        <f>IF(AND(Table1[[#This Row],[Country_of_Residence]]&lt;&gt;Table1[[#This Row],[Country_of_Transaction]], OR(Table1[[#This Row],[Merchant_Category]]="Electronics", Table1[[#This Row],[Merchant_Category]]="Travel")), "unsafe merchant transaction", "safe merchant transaction")</f>
        <v>safe merchant transaction</v>
      </c>
    </row>
    <row r="2271" spans="1:18">
      <c r="A2271" t="s">
        <v>4316</v>
      </c>
      <c r="B2271" t="s">
        <v>328</v>
      </c>
      <c r="C2271">
        <v>1</v>
      </c>
      <c r="D2271" t="s">
        <v>15</v>
      </c>
      <c r="E2271" t="s">
        <v>5</v>
      </c>
      <c r="F2271" s="2">
        <v>45830</v>
      </c>
      <c r="G2271">
        <v>9861.41</v>
      </c>
      <c r="H2271" s="1">
        <f>AVERAGEIF(Table1[Customer_ID], Table1[[#This Row],[Customer_ID]], Table1[Transaction_Amount])</f>
        <v>4681.1953999999978</v>
      </c>
      <c r="I2271" t="s">
        <v>1824</v>
      </c>
      <c r="J2271" t="s">
        <v>31</v>
      </c>
      <c r="K2271" t="s">
        <v>12</v>
      </c>
      <c r="L2271">
        <v>0</v>
      </c>
      <c r="M2271" t="s">
        <v>47</v>
      </c>
      <c r="N2271" t="s">
        <v>47</v>
      </c>
      <c r="O2271" t="s">
        <v>392</v>
      </c>
      <c r="P2271" s="6" t="str">
        <f>IF(Table1[[#This Row],[Transaction_Amount]]&lt;=Table1[[#This Row],[avg_transaction_amount]], "usual transaction", "unusual transaction")</f>
        <v>unusual transaction</v>
      </c>
      <c r="Q2271" s="6" t="str">
        <f>IF(AND(Table1[[#This Row],[Country_of_Residence]]&lt;&gt;Table1[[#This Row],[Country_of_Transaction]], OR(Table1[[#This Row],[Authentication_Type]]="Biometric", Table1[[#This Row],[Authentication_Type]]="OTP")), "safe location transaction", "unsafe location transaction")</f>
        <v>unsafe location transaction</v>
      </c>
      <c r="R2271" s="6" t="str">
        <f>IF(AND(Table1[[#This Row],[Country_of_Residence]]&lt;&gt;Table1[[#This Row],[Country_of_Transaction]], OR(Table1[[#This Row],[Merchant_Category]]="Electronics", Table1[[#This Row],[Merchant_Category]]="Travel")), "unsafe merchant transaction", "safe merchant transaction")</f>
        <v>safe merchant transaction</v>
      </c>
    </row>
    <row r="2272" spans="1:18">
      <c r="A2272" t="s">
        <v>4330</v>
      </c>
      <c r="B2272" t="s">
        <v>328</v>
      </c>
      <c r="C2272">
        <v>1</v>
      </c>
      <c r="D2272" t="s">
        <v>9</v>
      </c>
      <c r="E2272" t="s">
        <v>5</v>
      </c>
      <c r="F2272" s="2">
        <v>45715</v>
      </c>
      <c r="G2272">
        <v>5116.0200000000004</v>
      </c>
      <c r="H2272" s="1">
        <f>AVERAGEIF(Table1[Customer_ID], Table1[[#This Row],[Customer_ID]], Table1[Transaction_Amount])</f>
        <v>4681.1953999999978</v>
      </c>
      <c r="I2272" t="s">
        <v>750</v>
      </c>
      <c r="J2272" t="s">
        <v>50</v>
      </c>
      <c r="K2272" t="s">
        <v>8</v>
      </c>
      <c r="L2272">
        <v>1</v>
      </c>
      <c r="M2272" t="s">
        <v>47</v>
      </c>
      <c r="N2272" t="s">
        <v>32</v>
      </c>
      <c r="O2272" t="s">
        <v>393</v>
      </c>
      <c r="P2272" s="6" t="str">
        <f>IF(Table1[[#This Row],[Transaction_Amount]]&lt;=Table1[[#This Row],[avg_transaction_amount]], "usual transaction", "unusual transaction")</f>
        <v>unusual transaction</v>
      </c>
      <c r="Q2272" s="6" t="str">
        <f>IF(AND(Table1[[#This Row],[Country_of_Residence]]&lt;&gt;Table1[[#This Row],[Country_of_Transaction]], OR(Table1[[#This Row],[Authentication_Type]]="Biometric", Table1[[#This Row],[Authentication_Type]]="OTP")), "safe location transaction", "unsafe location transaction")</f>
        <v>safe location transaction</v>
      </c>
      <c r="R2272" s="6" t="str">
        <f>IF(AND(Table1[[#This Row],[Country_of_Residence]]&lt;&gt;Table1[[#This Row],[Country_of_Transaction]], OR(Table1[[#This Row],[Merchant_Category]]="Electronics", Table1[[#This Row],[Merchant_Category]]="Travel")), "unsafe merchant transaction", "safe merchant transaction")</f>
        <v>unsafe merchant transaction</v>
      </c>
    </row>
    <row r="2273" spans="1:18">
      <c r="A2273" t="s">
        <v>4352</v>
      </c>
      <c r="B2273" t="s">
        <v>328</v>
      </c>
      <c r="C2273">
        <v>1</v>
      </c>
      <c r="D2273" t="s">
        <v>9</v>
      </c>
      <c r="E2273" t="s">
        <v>5</v>
      </c>
      <c r="F2273" s="2">
        <v>45680</v>
      </c>
      <c r="G2273">
        <v>8471.39</v>
      </c>
      <c r="H2273" s="1">
        <f>AVERAGEIF(Table1[Customer_ID], Table1[[#This Row],[Customer_ID]], Table1[Transaction_Amount])</f>
        <v>4681.1953999999978</v>
      </c>
      <c r="I2273" t="s">
        <v>343</v>
      </c>
      <c r="J2273" t="s">
        <v>41</v>
      </c>
      <c r="K2273" t="s">
        <v>12</v>
      </c>
      <c r="L2273">
        <v>3</v>
      </c>
      <c r="M2273" t="s">
        <v>42</v>
      </c>
      <c r="N2273" t="s">
        <v>55</v>
      </c>
      <c r="O2273" t="s">
        <v>393</v>
      </c>
      <c r="P2273" s="6" t="str">
        <f>IF(Table1[[#This Row],[Transaction_Amount]]&lt;=Table1[[#This Row],[avg_transaction_amount]], "usual transaction", "unusual transaction")</f>
        <v>unusual transaction</v>
      </c>
      <c r="Q2273" s="6" t="str">
        <f>IF(AND(Table1[[#This Row],[Country_of_Residence]]&lt;&gt;Table1[[#This Row],[Country_of_Transaction]], OR(Table1[[#This Row],[Authentication_Type]]="Biometric", Table1[[#This Row],[Authentication_Type]]="OTP")), "safe location transaction", "unsafe location transaction")</f>
        <v>unsafe location transaction</v>
      </c>
      <c r="R2273" s="6" t="str">
        <f>IF(AND(Table1[[#This Row],[Country_of_Residence]]&lt;&gt;Table1[[#This Row],[Country_of_Transaction]], OR(Table1[[#This Row],[Merchant_Category]]="Electronics", Table1[[#This Row],[Merchant_Category]]="Travel")), "unsafe merchant transaction", "safe merchant transaction")</f>
        <v>safe merchant transaction</v>
      </c>
    </row>
    <row r="2274" spans="1:18">
      <c r="A2274" t="s">
        <v>4552</v>
      </c>
      <c r="B2274" t="s">
        <v>328</v>
      </c>
      <c r="C2274">
        <v>1</v>
      </c>
      <c r="D2274" t="s">
        <v>9</v>
      </c>
      <c r="E2274" t="s">
        <v>3</v>
      </c>
      <c r="F2274" s="2">
        <v>45895</v>
      </c>
      <c r="G2274">
        <v>2739.5</v>
      </c>
      <c r="H2274" s="1">
        <f>AVERAGEIF(Table1[Customer_ID], Table1[[#This Row],[Customer_ID]], Table1[Transaction_Amount])</f>
        <v>4681.1953999999978</v>
      </c>
      <c r="I2274" t="s">
        <v>2030</v>
      </c>
      <c r="J2274" t="s">
        <v>36</v>
      </c>
      <c r="K2274" t="s">
        <v>8</v>
      </c>
      <c r="L2274">
        <v>2</v>
      </c>
      <c r="M2274" t="s">
        <v>33</v>
      </c>
      <c r="N2274" t="s">
        <v>412</v>
      </c>
      <c r="O2274" t="s">
        <v>393</v>
      </c>
      <c r="P2274" s="6" t="str">
        <f>IF(Table1[[#This Row],[Transaction_Amount]]&lt;=Table1[[#This Row],[avg_transaction_amount]], "usual transaction", "unusual transaction")</f>
        <v>usual transaction</v>
      </c>
      <c r="Q2274" s="6" t="str">
        <f>IF(AND(Table1[[#This Row],[Country_of_Residence]]&lt;&gt;Table1[[#This Row],[Country_of_Transaction]], OR(Table1[[#This Row],[Authentication_Type]]="Biometric", Table1[[#This Row],[Authentication_Type]]="OTP")), "safe location transaction", "unsafe location transaction")</f>
        <v>safe location transaction</v>
      </c>
      <c r="R2274" s="6" t="str">
        <f>IF(AND(Table1[[#This Row],[Country_of_Residence]]&lt;&gt;Table1[[#This Row],[Country_of_Transaction]], OR(Table1[[#This Row],[Merchant_Category]]="Electronics", Table1[[#This Row],[Merchant_Category]]="Travel")), "unsafe merchant transaction", "safe merchant transaction")</f>
        <v>safe merchant transaction</v>
      </c>
    </row>
    <row r="2275" spans="1:18">
      <c r="A2275" t="s">
        <v>4701</v>
      </c>
      <c r="B2275" t="s">
        <v>328</v>
      </c>
      <c r="C2275">
        <v>1</v>
      </c>
      <c r="D2275" t="s">
        <v>15</v>
      </c>
      <c r="E2275" t="s">
        <v>3</v>
      </c>
      <c r="F2275" s="2">
        <v>45954</v>
      </c>
      <c r="G2275">
        <v>2042.89</v>
      </c>
      <c r="H2275" s="1">
        <f>AVERAGEIF(Table1[Customer_ID], Table1[[#This Row],[Customer_ID]], Table1[Transaction_Amount])</f>
        <v>4681.1953999999978</v>
      </c>
      <c r="I2275" t="s">
        <v>2149</v>
      </c>
      <c r="J2275" t="s">
        <v>46</v>
      </c>
      <c r="K2275" t="s">
        <v>10</v>
      </c>
      <c r="L2275">
        <v>3</v>
      </c>
      <c r="M2275" t="s">
        <v>412</v>
      </c>
      <c r="N2275" t="s">
        <v>51</v>
      </c>
      <c r="O2275" t="s">
        <v>393</v>
      </c>
      <c r="P2275" s="6" t="str">
        <f>IF(Table1[[#This Row],[Transaction_Amount]]&lt;=Table1[[#This Row],[avg_transaction_amount]], "usual transaction", "unusual transaction")</f>
        <v>usual transaction</v>
      </c>
      <c r="Q2275" s="6" t="str">
        <f>IF(AND(Table1[[#This Row],[Country_of_Residence]]&lt;&gt;Table1[[#This Row],[Country_of_Transaction]], OR(Table1[[#This Row],[Authentication_Type]]="Biometric", Table1[[#This Row],[Authentication_Type]]="OTP")), "safe location transaction", "unsafe location transaction")</f>
        <v>safe location transaction</v>
      </c>
      <c r="R2275" s="6" t="str">
        <f>IF(AND(Table1[[#This Row],[Country_of_Residence]]&lt;&gt;Table1[[#This Row],[Country_of_Transaction]], OR(Table1[[#This Row],[Merchant_Category]]="Electronics", Table1[[#This Row],[Merchant_Category]]="Travel")), "unsafe merchant transaction", "safe merchant transaction")</f>
        <v>safe merchant transaction</v>
      </c>
    </row>
    <row r="2276" spans="1:18">
      <c r="A2276" t="s">
        <v>4794</v>
      </c>
      <c r="B2276" t="s">
        <v>328</v>
      </c>
      <c r="C2276">
        <v>1</v>
      </c>
      <c r="D2276" t="s">
        <v>9</v>
      </c>
      <c r="E2276" t="s">
        <v>420</v>
      </c>
      <c r="F2276" s="2">
        <v>45837</v>
      </c>
      <c r="G2276">
        <v>8036.93</v>
      </c>
      <c r="H2276" s="1">
        <f>AVERAGEIF(Table1[Customer_ID], Table1[[#This Row],[Customer_ID]], Table1[Transaction_Amount])</f>
        <v>4681.1953999999978</v>
      </c>
      <c r="I2276" t="s">
        <v>2217</v>
      </c>
      <c r="J2276" t="s">
        <v>41</v>
      </c>
      <c r="K2276" t="s">
        <v>10</v>
      </c>
      <c r="L2276">
        <v>1</v>
      </c>
      <c r="M2276" t="s">
        <v>47</v>
      </c>
      <c r="N2276" t="s">
        <v>412</v>
      </c>
      <c r="O2276" t="s">
        <v>393</v>
      </c>
      <c r="P2276" s="6" t="str">
        <f>IF(Table1[[#This Row],[Transaction_Amount]]&lt;=Table1[[#This Row],[avg_transaction_amount]], "usual transaction", "unusual transaction")</f>
        <v>unusual transaction</v>
      </c>
      <c r="Q2276" s="6" t="str">
        <f>IF(AND(Table1[[#This Row],[Country_of_Residence]]&lt;&gt;Table1[[#This Row],[Country_of_Transaction]], OR(Table1[[#This Row],[Authentication_Type]]="Biometric", Table1[[#This Row],[Authentication_Type]]="OTP")), "safe location transaction", "unsafe location transaction")</f>
        <v>safe location transaction</v>
      </c>
      <c r="R2276" s="6" t="str">
        <f>IF(AND(Table1[[#This Row],[Country_of_Residence]]&lt;&gt;Table1[[#This Row],[Country_of_Transaction]], OR(Table1[[#This Row],[Merchant_Category]]="Electronics", Table1[[#This Row],[Merchant_Category]]="Travel")), "unsafe merchant transaction", "safe merchant transaction")</f>
        <v>safe merchant transaction</v>
      </c>
    </row>
    <row r="2277" spans="1:18">
      <c r="A2277" t="s">
        <v>4806</v>
      </c>
      <c r="B2277" t="s">
        <v>328</v>
      </c>
      <c r="C2277">
        <v>1</v>
      </c>
      <c r="D2277" t="s">
        <v>15</v>
      </c>
      <c r="E2277" t="s">
        <v>6</v>
      </c>
      <c r="F2277" s="2">
        <v>45926</v>
      </c>
      <c r="G2277">
        <v>4431.13</v>
      </c>
      <c r="H2277" s="1">
        <f>AVERAGEIF(Table1[Customer_ID], Table1[[#This Row],[Customer_ID]], Table1[Transaction_Amount])</f>
        <v>4681.1953999999978</v>
      </c>
      <c r="I2277" t="s">
        <v>2227</v>
      </c>
      <c r="J2277" t="s">
        <v>31</v>
      </c>
      <c r="K2277" t="s">
        <v>14</v>
      </c>
      <c r="L2277">
        <v>3</v>
      </c>
      <c r="M2277" t="s">
        <v>47</v>
      </c>
      <c r="N2277" t="s">
        <v>51</v>
      </c>
      <c r="O2277" t="s">
        <v>393</v>
      </c>
      <c r="P2277" s="6" t="str">
        <f>IF(Table1[[#This Row],[Transaction_Amount]]&lt;=Table1[[#This Row],[avg_transaction_amount]], "usual transaction", "unusual transaction")</f>
        <v>usual transaction</v>
      </c>
      <c r="Q2277" s="6" t="str">
        <f>IF(AND(Table1[[#This Row],[Country_of_Residence]]&lt;&gt;Table1[[#This Row],[Country_of_Transaction]], OR(Table1[[#This Row],[Authentication_Type]]="Biometric", Table1[[#This Row],[Authentication_Type]]="OTP")), "safe location transaction", "unsafe location transaction")</f>
        <v>unsafe location transaction</v>
      </c>
      <c r="R2277" s="6" t="str">
        <f>IF(AND(Table1[[#This Row],[Country_of_Residence]]&lt;&gt;Table1[[#This Row],[Country_of_Transaction]], OR(Table1[[#This Row],[Merchant_Category]]="Electronics", Table1[[#This Row],[Merchant_Category]]="Travel")), "unsafe merchant transaction", "safe merchant transaction")</f>
        <v>safe merchant transaction</v>
      </c>
    </row>
    <row r="2278" spans="1:18">
      <c r="A2278" t="s">
        <v>4842</v>
      </c>
      <c r="B2278" t="s">
        <v>328</v>
      </c>
      <c r="C2278">
        <v>1</v>
      </c>
      <c r="D2278" t="s">
        <v>9</v>
      </c>
      <c r="E2278" t="s">
        <v>6</v>
      </c>
      <c r="F2278" s="2">
        <v>45686</v>
      </c>
      <c r="G2278">
        <v>8583.99</v>
      </c>
      <c r="H2278" s="1">
        <f>AVERAGEIF(Table1[Customer_ID], Table1[[#This Row],[Customer_ID]], Table1[Transaction_Amount])</f>
        <v>4681.1953999999978</v>
      </c>
      <c r="I2278" t="s">
        <v>2256</v>
      </c>
      <c r="J2278" t="s">
        <v>31</v>
      </c>
      <c r="K2278" t="s">
        <v>10</v>
      </c>
      <c r="L2278">
        <v>0</v>
      </c>
      <c r="M2278" t="s">
        <v>56</v>
      </c>
      <c r="N2278" t="s">
        <v>32</v>
      </c>
      <c r="O2278" t="s">
        <v>393</v>
      </c>
      <c r="P2278" s="6" t="str">
        <f>IF(Table1[[#This Row],[Transaction_Amount]]&lt;=Table1[[#This Row],[avg_transaction_amount]], "usual transaction", "unusual transaction")</f>
        <v>unusual transaction</v>
      </c>
      <c r="Q2278" s="6" t="str">
        <f>IF(AND(Table1[[#This Row],[Country_of_Residence]]&lt;&gt;Table1[[#This Row],[Country_of_Transaction]], OR(Table1[[#This Row],[Authentication_Type]]="Biometric", Table1[[#This Row],[Authentication_Type]]="OTP")), "safe location transaction", "unsafe location transaction")</f>
        <v>safe location transaction</v>
      </c>
      <c r="R2278" s="6" t="str">
        <f>IF(AND(Table1[[#This Row],[Country_of_Residence]]&lt;&gt;Table1[[#This Row],[Country_of_Transaction]], OR(Table1[[#This Row],[Merchant_Category]]="Electronics", Table1[[#This Row],[Merchant_Category]]="Travel")), "unsafe merchant transaction", "safe merchant transaction")</f>
        <v>safe merchant transaction</v>
      </c>
    </row>
    <row r="2279" spans="1:18">
      <c r="A2279" t="s">
        <v>4874</v>
      </c>
      <c r="B2279" t="s">
        <v>328</v>
      </c>
      <c r="C2279">
        <v>1</v>
      </c>
      <c r="D2279" t="s">
        <v>15</v>
      </c>
      <c r="E2279" t="s">
        <v>5</v>
      </c>
      <c r="F2279" s="2">
        <v>45997</v>
      </c>
      <c r="G2279">
        <v>5437.9</v>
      </c>
      <c r="H2279" s="1">
        <f>AVERAGEIF(Table1[Customer_ID], Table1[[#This Row],[Customer_ID]], Table1[Transaction_Amount])</f>
        <v>4681.1953999999978</v>
      </c>
      <c r="I2279" t="s">
        <v>2279</v>
      </c>
      <c r="J2279" t="s">
        <v>50</v>
      </c>
      <c r="K2279" t="s">
        <v>8</v>
      </c>
      <c r="L2279">
        <v>3</v>
      </c>
      <c r="M2279" t="s">
        <v>56</v>
      </c>
      <c r="N2279" t="s">
        <v>51</v>
      </c>
      <c r="O2279" t="s">
        <v>393</v>
      </c>
      <c r="P2279" s="6" t="str">
        <f>IF(Table1[[#This Row],[Transaction_Amount]]&lt;=Table1[[#This Row],[avg_transaction_amount]], "usual transaction", "unusual transaction")</f>
        <v>unusual transaction</v>
      </c>
      <c r="Q2279" s="6" t="str">
        <f>IF(AND(Table1[[#This Row],[Country_of_Residence]]&lt;&gt;Table1[[#This Row],[Country_of_Transaction]], OR(Table1[[#This Row],[Authentication_Type]]="Biometric", Table1[[#This Row],[Authentication_Type]]="OTP")), "safe location transaction", "unsafe location transaction")</f>
        <v>safe location transaction</v>
      </c>
      <c r="R2279" s="6" t="str">
        <f>IF(AND(Table1[[#This Row],[Country_of_Residence]]&lt;&gt;Table1[[#This Row],[Country_of_Transaction]], OR(Table1[[#This Row],[Merchant_Category]]="Electronics", Table1[[#This Row],[Merchant_Category]]="Travel")), "unsafe merchant transaction", "safe merchant transaction")</f>
        <v>unsafe merchant transaction</v>
      </c>
    </row>
    <row r="2280" spans="1:18">
      <c r="A2280" t="s">
        <v>4934</v>
      </c>
      <c r="B2280" t="s">
        <v>328</v>
      </c>
      <c r="C2280">
        <v>1</v>
      </c>
      <c r="D2280" t="s">
        <v>15</v>
      </c>
      <c r="E2280" t="s">
        <v>3</v>
      </c>
      <c r="F2280" s="2">
        <v>45795</v>
      </c>
      <c r="G2280">
        <v>1418.02</v>
      </c>
      <c r="H2280" s="1">
        <f>AVERAGEIF(Table1[Customer_ID], Table1[[#This Row],[Customer_ID]], Table1[Transaction_Amount])</f>
        <v>4681.1953999999978</v>
      </c>
      <c r="I2280" t="s">
        <v>2327</v>
      </c>
      <c r="J2280" t="s">
        <v>46</v>
      </c>
      <c r="K2280" t="s">
        <v>8</v>
      </c>
      <c r="L2280">
        <v>2</v>
      </c>
      <c r="M2280" t="s">
        <v>412</v>
      </c>
      <c r="N2280" t="s">
        <v>32</v>
      </c>
      <c r="O2280" t="s">
        <v>393</v>
      </c>
      <c r="P2280" s="6" t="str">
        <f>IF(Table1[[#This Row],[Transaction_Amount]]&lt;=Table1[[#This Row],[avg_transaction_amount]], "usual transaction", "unusual transaction")</f>
        <v>usual transaction</v>
      </c>
      <c r="Q2280" s="6" t="str">
        <f>IF(AND(Table1[[#This Row],[Country_of_Residence]]&lt;&gt;Table1[[#This Row],[Country_of_Transaction]], OR(Table1[[#This Row],[Authentication_Type]]="Biometric", Table1[[#This Row],[Authentication_Type]]="OTP")), "safe location transaction", "unsafe location transaction")</f>
        <v>safe location transaction</v>
      </c>
      <c r="R2280" s="6" t="str">
        <f>IF(AND(Table1[[#This Row],[Country_of_Residence]]&lt;&gt;Table1[[#This Row],[Country_of_Transaction]], OR(Table1[[#This Row],[Merchant_Category]]="Electronics", Table1[[#This Row],[Merchant_Category]]="Travel")), "unsafe merchant transaction", "safe merchant transaction")</f>
        <v>safe merchant transaction</v>
      </c>
    </row>
    <row r="2281" spans="1:18">
      <c r="A2281" t="s">
        <v>5027</v>
      </c>
      <c r="B2281" t="s">
        <v>328</v>
      </c>
      <c r="C2281">
        <v>1</v>
      </c>
      <c r="D2281" t="s">
        <v>9</v>
      </c>
      <c r="E2281" t="s">
        <v>420</v>
      </c>
      <c r="F2281" s="2">
        <v>45774</v>
      </c>
      <c r="G2281">
        <v>3228.78</v>
      </c>
      <c r="H2281" s="1">
        <f>AVERAGEIF(Table1[Customer_ID], Table1[[#This Row],[Customer_ID]], Table1[Transaction_Amount])</f>
        <v>4681.1953999999978</v>
      </c>
      <c r="I2281" t="s">
        <v>2401</v>
      </c>
      <c r="J2281" t="s">
        <v>41</v>
      </c>
      <c r="K2281" t="s">
        <v>12</v>
      </c>
      <c r="L2281">
        <v>4</v>
      </c>
      <c r="M2281" t="s">
        <v>51</v>
      </c>
      <c r="N2281" t="s">
        <v>47</v>
      </c>
      <c r="O2281" t="s">
        <v>393</v>
      </c>
      <c r="P2281" s="6" t="str">
        <f>IF(Table1[[#This Row],[Transaction_Amount]]&lt;=Table1[[#This Row],[avg_transaction_amount]], "usual transaction", "unusual transaction")</f>
        <v>usual transaction</v>
      </c>
      <c r="Q2281" s="6" t="str">
        <f>IF(AND(Table1[[#This Row],[Country_of_Residence]]&lt;&gt;Table1[[#This Row],[Country_of_Transaction]], OR(Table1[[#This Row],[Authentication_Type]]="Biometric", Table1[[#This Row],[Authentication_Type]]="OTP")), "safe location transaction", "unsafe location transaction")</f>
        <v>unsafe location transaction</v>
      </c>
      <c r="R2281" s="6" t="str">
        <f>IF(AND(Table1[[#This Row],[Country_of_Residence]]&lt;&gt;Table1[[#This Row],[Country_of_Transaction]], OR(Table1[[#This Row],[Merchant_Category]]="Electronics", Table1[[#This Row],[Merchant_Category]]="Travel")), "unsafe merchant transaction", "safe merchant transaction")</f>
        <v>safe merchant transaction</v>
      </c>
    </row>
    <row r="2282" spans="1:18">
      <c r="A2282" t="s">
        <v>5128</v>
      </c>
      <c r="B2282" t="s">
        <v>328</v>
      </c>
      <c r="C2282">
        <v>1</v>
      </c>
      <c r="D2282" t="s">
        <v>9</v>
      </c>
      <c r="E2282" t="s">
        <v>6</v>
      </c>
      <c r="F2282" s="2">
        <v>45997</v>
      </c>
      <c r="G2282">
        <v>3482.49</v>
      </c>
      <c r="H2282" s="1">
        <f>AVERAGEIF(Table1[Customer_ID], Table1[[#This Row],[Customer_ID]], Table1[Transaction_Amount])</f>
        <v>4681.1953999999978</v>
      </c>
      <c r="I2282" t="s">
        <v>2472</v>
      </c>
      <c r="J2282" t="s">
        <v>31</v>
      </c>
      <c r="K2282" t="s">
        <v>8</v>
      </c>
      <c r="L2282">
        <v>5</v>
      </c>
      <c r="M2282" t="s">
        <v>33</v>
      </c>
      <c r="N2282" t="s">
        <v>33</v>
      </c>
      <c r="O2282" t="s">
        <v>392</v>
      </c>
      <c r="P2282" s="6" t="str">
        <f>IF(Table1[[#This Row],[Transaction_Amount]]&lt;=Table1[[#This Row],[avg_transaction_amount]], "usual transaction", "unusual transaction")</f>
        <v>usual transaction</v>
      </c>
      <c r="Q2282" s="6" t="str">
        <f>IF(AND(Table1[[#This Row],[Country_of_Residence]]&lt;&gt;Table1[[#This Row],[Country_of_Transaction]], OR(Table1[[#This Row],[Authentication_Type]]="Biometric", Table1[[#This Row],[Authentication_Type]]="OTP")), "safe location transaction", "unsafe location transaction")</f>
        <v>unsafe location transaction</v>
      </c>
      <c r="R2282" s="6" t="str">
        <f>IF(AND(Table1[[#This Row],[Country_of_Residence]]&lt;&gt;Table1[[#This Row],[Country_of_Transaction]], OR(Table1[[#This Row],[Merchant_Category]]="Electronics", Table1[[#This Row],[Merchant_Category]]="Travel")), "unsafe merchant transaction", "safe merchant transaction")</f>
        <v>safe merchant transaction</v>
      </c>
    </row>
    <row r="2283" spans="1:18">
      <c r="A2283" t="s">
        <v>5140</v>
      </c>
      <c r="B2283" t="s">
        <v>328</v>
      </c>
      <c r="C2283">
        <v>1</v>
      </c>
      <c r="D2283" t="s">
        <v>9</v>
      </c>
      <c r="E2283" t="s">
        <v>5</v>
      </c>
      <c r="F2283" s="2">
        <v>45676</v>
      </c>
      <c r="G2283">
        <v>1195.76</v>
      </c>
      <c r="H2283" s="1">
        <f>AVERAGEIF(Table1[Customer_ID], Table1[[#This Row],[Customer_ID]], Table1[Transaction_Amount])</f>
        <v>4681.1953999999978</v>
      </c>
      <c r="I2283" t="s">
        <v>1111</v>
      </c>
      <c r="J2283" t="s">
        <v>31</v>
      </c>
      <c r="K2283" t="s">
        <v>12</v>
      </c>
      <c r="L2283">
        <v>5</v>
      </c>
      <c r="M2283" t="s">
        <v>55</v>
      </c>
      <c r="N2283" t="s">
        <v>42</v>
      </c>
      <c r="O2283" t="s">
        <v>392</v>
      </c>
      <c r="P2283" s="6" t="str">
        <f>IF(Table1[[#This Row],[Transaction_Amount]]&lt;=Table1[[#This Row],[avg_transaction_amount]], "usual transaction", "unusual transaction")</f>
        <v>usual transaction</v>
      </c>
      <c r="Q2283" s="6" t="str">
        <f>IF(AND(Table1[[#This Row],[Country_of_Residence]]&lt;&gt;Table1[[#This Row],[Country_of_Transaction]], OR(Table1[[#This Row],[Authentication_Type]]="Biometric", Table1[[#This Row],[Authentication_Type]]="OTP")), "safe location transaction", "unsafe location transaction")</f>
        <v>unsafe location transaction</v>
      </c>
      <c r="R2283" s="6" t="str">
        <f>IF(AND(Table1[[#This Row],[Country_of_Residence]]&lt;&gt;Table1[[#This Row],[Country_of_Transaction]], OR(Table1[[#This Row],[Merchant_Category]]="Electronics", Table1[[#This Row],[Merchant_Category]]="Travel")), "unsafe merchant transaction", "safe merchant transaction")</f>
        <v>safe merchant transaction</v>
      </c>
    </row>
    <row r="2284" spans="1:18">
      <c r="A2284" t="s">
        <v>5237</v>
      </c>
      <c r="B2284" t="s">
        <v>328</v>
      </c>
      <c r="C2284">
        <v>1</v>
      </c>
      <c r="D2284" t="s">
        <v>9</v>
      </c>
      <c r="E2284" t="s">
        <v>6</v>
      </c>
      <c r="F2284" s="2">
        <v>45782</v>
      </c>
      <c r="G2284">
        <v>9608.77</v>
      </c>
      <c r="H2284" s="1">
        <f>AVERAGEIF(Table1[Customer_ID], Table1[[#This Row],[Customer_ID]], Table1[Transaction_Amount])</f>
        <v>4681.1953999999978</v>
      </c>
      <c r="I2284" t="s">
        <v>2559</v>
      </c>
      <c r="J2284" t="s">
        <v>31</v>
      </c>
      <c r="K2284" t="s">
        <v>10</v>
      </c>
      <c r="L2284">
        <v>4</v>
      </c>
      <c r="M2284" t="s">
        <v>32</v>
      </c>
      <c r="N2284" t="s">
        <v>42</v>
      </c>
      <c r="O2284" t="s">
        <v>393</v>
      </c>
      <c r="P2284" s="6" t="str">
        <f>IF(Table1[[#This Row],[Transaction_Amount]]&lt;=Table1[[#This Row],[avg_transaction_amount]], "usual transaction", "unusual transaction")</f>
        <v>unusual transaction</v>
      </c>
      <c r="Q2284" s="6" t="str">
        <f>IF(AND(Table1[[#This Row],[Country_of_Residence]]&lt;&gt;Table1[[#This Row],[Country_of_Transaction]], OR(Table1[[#This Row],[Authentication_Type]]="Biometric", Table1[[#This Row],[Authentication_Type]]="OTP")), "safe location transaction", "unsafe location transaction")</f>
        <v>safe location transaction</v>
      </c>
      <c r="R2284" s="6" t="str">
        <f>IF(AND(Table1[[#This Row],[Country_of_Residence]]&lt;&gt;Table1[[#This Row],[Country_of_Transaction]], OR(Table1[[#This Row],[Merchant_Category]]="Electronics", Table1[[#This Row],[Merchant_Category]]="Travel")), "unsafe merchant transaction", "safe merchant transaction")</f>
        <v>safe merchant transaction</v>
      </c>
    </row>
    <row r="2285" spans="1:18">
      <c r="A2285" t="s">
        <v>5275</v>
      </c>
      <c r="B2285" t="s">
        <v>328</v>
      </c>
      <c r="C2285">
        <v>1</v>
      </c>
      <c r="D2285" t="s">
        <v>9</v>
      </c>
      <c r="E2285" t="s">
        <v>420</v>
      </c>
      <c r="F2285" s="2">
        <v>45698</v>
      </c>
      <c r="G2285">
        <v>2629.87</v>
      </c>
      <c r="H2285" s="1">
        <f>AVERAGEIF(Table1[Customer_ID], Table1[[#This Row],[Customer_ID]], Table1[Transaction_Amount])</f>
        <v>4681.1953999999978</v>
      </c>
      <c r="I2285" t="s">
        <v>2586</v>
      </c>
      <c r="J2285" t="s">
        <v>46</v>
      </c>
      <c r="K2285" t="s">
        <v>14</v>
      </c>
      <c r="L2285">
        <v>3</v>
      </c>
      <c r="M2285" t="s">
        <v>37</v>
      </c>
      <c r="N2285" t="s">
        <v>51</v>
      </c>
      <c r="O2285" t="s">
        <v>392</v>
      </c>
      <c r="P2285" s="6" t="str">
        <f>IF(Table1[[#This Row],[Transaction_Amount]]&lt;=Table1[[#This Row],[avg_transaction_amount]], "usual transaction", "unusual transaction")</f>
        <v>usual transaction</v>
      </c>
      <c r="Q2285" s="6" t="str">
        <f>IF(AND(Table1[[#This Row],[Country_of_Residence]]&lt;&gt;Table1[[#This Row],[Country_of_Transaction]], OR(Table1[[#This Row],[Authentication_Type]]="Biometric", Table1[[#This Row],[Authentication_Type]]="OTP")), "safe location transaction", "unsafe location transaction")</f>
        <v>unsafe location transaction</v>
      </c>
      <c r="R2285" s="6" t="str">
        <f>IF(AND(Table1[[#This Row],[Country_of_Residence]]&lt;&gt;Table1[[#This Row],[Country_of_Transaction]], OR(Table1[[#This Row],[Merchant_Category]]="Electronics", Table1[[#This Row],[Merchant_Category]]="Travel")), "unsafe merchant transaction", "safe merchant transaction")</f>
        <v>safe merchant transaction</v>
      </c>
    </row>
    <row r="2286" spans="1:18">
      <c r="A2286" t="s">
        <v>5373</v>
      </c>
      <c r="B2286" t="s">
        <v>328</v>
      </c>
      <c r="C2286">
        <v>1</v>
      </c>
      <c r="D2286" t="s">
        <v>15</v>
      </c>
      <c r="E2286" t="s">
        <v>3</v>
      </c>
      <c r="F2286" s="2">
        <v>45658</v>
      </c>
      <c r="G2286">
        <v>1969.87</v>
      </c>
      <c r="H2286" s="1">
        <f>AVERAGEIF(Table1[Customer_ID], Table1[[#This Row],[Customer_ID]], Table1[Transaction_Amount])</f>
        <v>4681.1953999999978</v>
      </c>
      <c r="I2286" t="s">
        <v>2660</v>
      </c>
      <c r="J2286" t="s">
        <v>31</v>
      </c>
      <c r="K2286" t="s">
        <v>8</v>
      </c>
      <c r="L2286">
        <v>4</v>
      </c>
      <c r="M2286" t="s">
        <v>32</v>
      </c>
      <c r="N2286" t="s">
        <v>55</v>
      </c>
      <c r="O2286" t="s">
        <v>392</v>
      </c>
      <c r="P2286" s="6" t="str">
        <f>IF(Table1[[#This Row],[Transaction_Amount]]&lt;=Table1[[#This Row],[avg_transaction_amount]], "usual transaction", "unusual transaction")</f>
        <v>usual transaction</v>
      </c>
      <c r="Q2286" s="6" t="str">
        <f>IF(AND(Table1[[#This Row],[Country_of_Residence]]&lt;&gt;Table1[[#This Row],[Country_of_Transaction]], OR(Table1[[#This Row],[Authentication_Type]]="Biometric", Table1[[#This Row],[Authentication_Type]]="OTP")), "safe location transaction", "unsafe location transaction")</f>
        <v>safe location transaction</v>
      </c>
      <c r="R2286" s="6" t="str">
        <f>IF(AND(Table1[[#This Row],[Country_of_Residence]]&lt;&gt;Table1[[#This Row],[Country_of_Transaction]], OR(Table1[[#This Row],[Merchant_Category]]="Electronics", Table1[[#This Row],[Merchant_Category]]="Travel")), "unsafe merchant transaction", "safe merchant transaction")</f>
        <v>safe merchant transaction</v>
      </c>
    </row>
    <row r="2287" spans="1:18">
      <c r="A2287" t="s">
        <v>5377</v>
      </c>
      <c r="B2287" t="s">
        <v>328</v>
      </c>
      <c r="C2287">
        <v>1</v>
      </c>
      <c r="D2287" t="s">
        <v>15</v>
      </c>
      <c r="E2287" t="s">
        <v>5</v>
      </c>
      <c r="F2287" s="2">
        <v>45660</v>
      </c>
      <c r="G2287">
        <v>7106.49</v>
      </c>
      <c r="H2287" s="1">
        <f>AVERAGEIF(Table1[Customer_ID], Table1[[#This Row],[Customer_ID]], Table1[Transaction_Amount])</f>
        <v>4681.1953999999978</v>
      </c>
      <c r="I2287" t="s">
        <v>2661</v>
      </c>
      <c r="J2287" t="s">
        <v>36</v>
      </c>
      <c r="K2287" t="s">
        <v>12</v>
      </c>
      <c r="L2287">
        <v>5</v>
      </c>
      <c r="M2287" t="s">
        <v>37</v>
      </c>
      <c r="N2287" t="s">
        <v>55</v>
      </c>
      <c r="O2287" t="s">
        <v>393</v>
      </c>
      <c r="P2287" s="6" t="str">
        <f>IF(Table1[[#This Row],[Transaction_Amount]]&lt;=Table1[[#This Row],[avg_transaction_amount]], "usual transaction", "unusual transaction")</f>
        <v>unusual transaction</v>
      </c>
      <c r="Q2287" s="6" t="str">
        <f>IF(AND(Table1[[#This Row],[Country_of_Residence]]&lt;&gt;Table1[[#This Row],[Country_of_Transaction]], OR(Table1[[#This Row],[Authentication_Type]]="Biometric", Table1[[#This Row],[Authentication_Type]]="OTP")), "safe location transaction", "unsafe location transaction")</f>
        <v>unsafe location transaction</v>
      </c>
      <c r="R2287" s="6" t="str">
        <f>IF(AND(Table1[[#This Row],[Country_of_Residence]]&lt;&gt;Table1[[#This Row],[Country_of_Transaction]], OR(Table1[[#This Row],[Merchant_Category]]="Electronics", Table1[[#This Row],[Merchant_Category]]="Travel")), "unsafe merchant transaction", "safe merchant transaction")</f>
        <v>safe merchant transaction</v>
      </c>
    </row>
    <row r="2288" spans="1:18">
      <c r="A2288" t="s">
        <v>5419</v>
      </c>
      <c r="B2288" t="s">
        <v>328</v>
      </c>
      <c r="C2288">
        <v>1</v>
      </c>
      <c r="D2288" t="s">
        <v>9</v>
      </c>
      <c r="E2288" t="s">
        <v>6</v>
      </c>
      <c r="F2288" s="2">
        <v>45996</v>
      </c>
      <c r="G2288">
        <v>1967.42</v>
      </c>
      <c r="H2288" s="1">
        <f>AVERAGEIF(Table1[Customer_ID], Table1[[#This Row],[Customer_ID]], Table1[Transaction_Amount])</f>
        <v>4681.1953999999978</v>
      </c>
      <c r="I2288" t="s">
        <v>1325</v>
      </c>
      <c r="J2288" t="s">
        <v>31</v>
      </c>
      <c r="K2288" t="s">
        <v>14</v>
      </c>
      <c r="L2288">
        <v>2</v>
      </c>
      <c r="M2288" t="s">
        <v>37</v>
      </c>
      <c r="N2288" t="s">
        <v>55</v>
      </c>
      <c r="O2288" t="s">
        <v>392</v>
      </c>
      <c r="P2288" s="6" t="str">
        <f>IF(Table1[[#This Row],[Transaction_Amount]]&lt;=Table1[[#This Row],[avg_transaction_amount]], "usual transaction", "unusual transaction")</f>
        <v>usual transaction</v>
      </c>
      <c r="Q2288" s="6" t="str">
        <f>IF(AND(Table1[[#This Row],[Country_of_Residence]]&lt;&gt;Table1[[#This Row],[Country_of_Transaction]], OR(Table1[[#This Row],[Authentication_Type]]="Biometric", Table1[[#This Row],[Authentication_Type]]="OTP")), "safe location transaction", "unsafe location transaction")</f>
        <v>unsafe location transaction</v>
      </c>
      <c r="R2288" s="6" t="str">
        <f>IF(AND(Table1[[#This Row],[Country_of_Residence]]&lt;&gt;Table1[[#This Row],[Country_of_Transaction]], OR(Table1[[#This Row],[Merchant_Category]]="Electronics", Table1[[#This Row],[Merchant_Category]]="Travel")), "unsafe merchant transaction", "safe merchant transaction")</f>
        <v>safe merchant transaction</v>
      </c>
    </row>
    <row r="2289" spans="1:18">
      <c r="A2289" t="s">
        <v>5461</v>
      </c>
      <c r="B2289" t="s">
        <v>328</v>
      </c>
      <c r="C2289">
        <v>1</v>
      </c>
      <c r="D2289" t="s">
        <v>15</v>
      </c>
      <c r="E2289" t="s">
        <v>3</v>
      </c>
      <c r="F2289" s="2">
        <v>45880</v>
      </c>
      <c r="G2289">
        <v>344.08</v>
      </c>
      <c r="H2289" s="1">
        <f>AVERAGEIF(Table1[Customer_ID], Table1[[#This Row],[Customer_ID]], Table1[Transaction_Amount])</f>
        <v>4681.1953999999978</v>
      </c>
      <c r="I2289" t="s">
        <v>924</v>
      </c>
      <c r="J2289" t="s">
        <v>31</v>
      </c>
      <c r="K2289" t="s">
        <v>8</v>
      </c>
      <c r="L2289">
        <v>2</v>
      </c>
      <c r="M2289" t="s">
        <v>412</v>
      </c>
      <c r="N2289" t="s">
        <v>42</v>
      </c>
      <c r="O2289" t="s">
        <v>393</v>
      </c>
      <c r="P2289" s="6" t="str">
        <f>IF(Table1[[#This Row],[Transaction_Amount]]&lt;=Table1[[#This Row],[avg_transaction_amount]], "usual transaction", "unusual transaction")</f>
        <v>usual transaction</v>
      </c>
      <c r="Q2289" s="6" t="str">
        <f>IF(AND(Table1[[#This Row],[Country_of_Residence]]&lt;&gt;Table1[[#This Row],[Country_of_Transaction]], OR(Table1[[#This Row],[Authentication_Type]]="Biometric", Table1[[#This Row],[Authentication_Type]]="OTP")), "safe location transaction", "unsafe location transaction")</f>
        <v>safe location transaction</v>
      </c>
      <c r="R2289" s="6" t="str">
        <f>IF(AND(Table1[[#This Row],[Country_of_Residence]]&lt;&gt;Table1[[#This Row],[Country_of_Transaction]], OR(Table1[[#This Row],[Merchant_Category]]="Electronics", Table1[[#This Row],[Merchant_Category]]="Travel")), "unsafe merchant transaction", "safe merchant transaction")</f>
        <v>safe merchant transaction</v>
      </c>
    </row>
    <row r="2290" spans="1:18">
      <c r="A2290" t="s">
        <v>332</v>
      </c>
      <c r="B2290" t="s">
        <v>333</v>
      </c>
      <c r="C2290">
        <v>1</v>
      </c>
      <c r="D2290" t="s">
        <v>9</v>
      </c>
      <c r="E2290" t="s">
        <v>3</v>
      </c>
      <c r="F2290" s="2">
        <v>45890.2097222222</v>
      </c>
      <c r="G2290">
        <v>3908.34</v>
      </c>
      <c r="H2290" s="1">
        <f>AVERAGEIF(Table1[Customer_ID], Table1[[#This Row],[Customer_ID]], Table1[Transaction_Amount])</f>
        <v>4968.4877358490576</v>
      </c>
      <c r="I2290" t="s">
        <v>334</v>
      </c>
      <c r="J2290" t="s">
        <v>46</v>
      </c>
      <c r="K2290" t="s">
        <v>14</v>
      </c>
      <c r="L2290">
        <v>1</v>
      </c>
      <c r="M2290" t="s">
        <v>335</v>
      </c>
      <c r="N2290" t="s">
        <v>336</v>
      </c>
      <c r="O2290" t="s">
        <v>392</v>
      </c>
      <c r="P2290" t="str">
        <f>IF(Table1[[#This Row],[Transaction_Amount]]&lt;=Table1[[#This Row],[avg_transaction_amount]], "usual transaction", "unusual transaction")</f>
        <v>usual transaction</v>
      </c>
      <c r="Q2290" t="str">
        <f>IF(AND(Table1[[#This Row],[Country_of_Residence]]&lt;&gt;Table1[[#This Row],[Country_of_Transaction]], OR(Table1[[#This Row],[Authentication_Type]]="Biometric", Table1[[#This Row],[Authentication_Type]]="OTP")), "safe location transaction", "unsafe location transaction")</f>
        <v>unsafe location transaction</v>
      </c>
      <c r="R2290" t="str">
        <f>IF(AND(Table1[[#This Row],[Country_of_Residence]]&lt;&gt;Table1[[#This Row],[Country_of_Transaction]], OR(Table1[[#This Row],[Merchant_Category]]="Electronics", Table1[[#This Row],[Merchant_Category]]="Travel")), "unsafe merchant transaction", "safe merchant transaction")</f>
        <v>safe merchant transaction</v>
      </c>
    </row>
    <row r="2291" spans="1:18">
      <c r="A2291" t="s">
        <v>2765</v>
      </c>
      <c r="B2291" t="s">
        <v>333</v>
      </c>
      <c r="C2291">
        <v>1</v>
      </c>
      <c r="D2291" t="s">
        <v>15</v>
      </c>
      <c r="E2291" t="s">
        <v>6</v>
      </c>
      <c r="F2291" s="2">
        <v>45729</v>
      </c>
      <c r="G2291">
        <v>1157.74</v>
      </c>
      <c r="H2291" s="1">
        <f>AVERAGEIF(Table1[Customer_ID], Table1[[#This Row],[Customer_ID]], Table1[Transaction_Amount])</f>
        <v>4968.4877358490576</v>
      </c>
      <c r="I2291" t="s">
        <v>411</v>
      </c>
      <c r="J2291" t="s">
        <v>41</v>
      </c>
      <c r="K2291" t="s">
        <v>10</v>
      </c>
      <c r="L2291">
        <v>4</v>
      </c>
      <c r="M2291" t="s">
        <v>56</v>
      </c>
      <c r="N2291" t="s">
        <v>412</v>
      </c>
      <c r="O2291" t="s">
        <v>392</v>
      </c>
      <c r="P2291" s="6" t="str">
        <f>IF(Table1[[#This Row],[Transaction_Amount]]&lt;=Table1[[#This Row],[avg_transaction_amount]], "usual transaction", "unusual transaction")</f>
        <v>usual transaction</v>
      </c>
      <c r="Q2291" s="6" t="str">
        <f>IF(AND(Table1[[#This Row],[Country_of_Residence]]&lt;&gt;Table1[[#This Row],[Country_of_Transaction]], OR(Table1[[#This Row],[Authentication_Type]]="Biometric", Table1[[#This Row],[Authentication_Type]]="OTP")), "safe location transaction", "unsafe location transaction")</f>
        <v>safe location transaction</v>
      </c>
      <c r="R2291" s="6" t="str">
        <f>IF(AND(Table1[[#This Row],[Country_of_Residence]]&lt;&gt;Table1[[#This Row],[Country_of_Transaction]], OR(Table1[[#This Row],[Merchant_Category]]="Electronics", Table1[[#This Row],[Merchant_Category]]="Travel")), "unsafe merchant transaction", "safe merchant transaction")</f>
        <v>safe merchant transaction</v>
      </c>
    </row>
    <row r="2292" spans="1:18">
      <c r="A2292" t="s">
        <v>2802</v>
      </c>
      <c r="B2292" t="s">
        <v>333</v>
      </c>
      <c r="C2292">
        <v>1</v>
      </c>
      <c r="D2292" t="s">
        <v>9</v>
      </c>
      <c r="E2292" t="s">
        <v>6</v>
      </c>
      <c r="F2292" s="2">
        <v>45797</v>
      </c>
      <c r="G2292">
        <v>2430.5</v>
      </c>
      <c r="H2292" s="1">
        <f>AVERAGEIF(Table1[Customer_ID], Table1[[#This Row],[Customer_ID]], Table1[Transaction_Amount])</f>
        <v>4968.4877358490576</v>
      </c>
      <c r="I2292" t="s">
        <v>453</v>
      </c>
      <c r="J2292" t="s">
        <v>41</v>
      </c>
      <c r="K2292" t="s">
        <v>10</v>
      </c>
      <c r="L2292">
        <v>1</v>
      </c>
      <c r="M2292" t="s">
        <v>42</v>
      </c>
      <c r="N2292" t="s">
        <v>55</v>
      </c>
      <c r="O2292" t="s">
        <v>393</v>
      </c>
      <c r="P2292" s="6" t="str">
        <f>IF(Table1[[#This Row],[Transaction_Amount]]&lt;=Table1[[#This Row],[avg_transaction_amount]], "usual transaction", "unusual transaction")</f>
        <v>usual transaction</v>
      </c>
      <c r="Q2292" s="6" t="str">
        <f>IF(AND(Table1[[#This Row],[Country_of_Residence]]&lt;&gt;Table1[[#This Row],[Country_of_Transaction]], OR(Table1[[#This Row],[Authentication_Type]]="Biometric", Table1[[#This Row],[Authentication_Type]]="OTP")), "safe location transaction", "unsafe location transaction")</f>
        <v>safe location transaction</v>
      </c>
      <c r="R2292" s="6" t="str">
        <f>IF(AND(Table1[[#This Row],[Country_of_Residence]]&lt;&gt;Table1[[#This Row],[Country_of_Transaction]], OR(Table1[[#This Row],[Merchant_Category]]="Electronics", Table1[[#This Row],[Merchant_Category]]="Travel")), "unsafe merchant transaction", "safe merchant transaction")</f>
        <v>safe merchant transaction</v>
      </c>
    </row>
    <row r="2293" spans="1:18">
      <c r="A2293" t="s">
        <v>2828</v>
      </c>
      <c r="B2293" t="s">
        <v>333</v>
      </c>
      <c r="C2293">
        <v>1</v>
      </c>
      <c r="D2293" t="s">
        <v>15</v>
      </c>
      <c r="E2293" t="s">
        <v>5</v>
      </c>
      <c r="F2293" s="2">
        <v>45940</v>
      </c>
      <c r="G2293">
        <v>6108.27</v>
      </c>
      <c r="H2293" s="1">
        <f>AVERAGEIF(Table1[Customer_ID], Table1[[#This Row],[Customer_ID]], Table1[Transaction_Amount])</f>
        <v>4968.4877358490576</v>
      </c>
      <c r="I2293" t="s">
        <v>479</v>
      </c>
      <c r="J2293" t="s">
        <v>31</v>
      </c>
      <c r="K2293" t="s">
        <v>12</v>
      </c>
      <c r="L2293">
        <v>0</v>
      </c>
      <c r="M2293" t="s">
        <v>47</v>
      </c>
      <c r="N2293" t="s">
        <v>32</v>
      </c>
      <c r="O2293" t="s">
        <v>392</v>
      </c>
      <c r="P2293" s="6" t="str">
        <f>IF(Table1[[#This Row],[Transaction_Amount]]&lt;=Table1[[#This Row],[avg_transaction_amount]], "usual transaction", "unusual transaction")</f>
        <v>unusual transaction</v>
      </c>
      <c r="Q2293" s="6" t="str">
        <f>IF(AND(Table1[[#This Row],[Country_of_Residence]]&lt;&gt;Table1[[#This Row],[Country_of_Transaction]], OR(Table1[[#This Row],[Authentication_Type]]="Biometric", Table1[[#This Row],[Authentication_Type]]="OTP")), "safe location transaction", "unsafe location transaction")</f>
        <v>unsafe location transaction</v>
      </c>
      <c r="R2293" s="6" t="str">
        <f>IF(AND(Table1[[#This Row],[Country_of_Residence]]&lt;&gt;Table1[[#This Row],[Country_of_Transaction]], OR(Table1[[#This Row],[Merchant_Category]]="Electronics", Table1[[#This Row],[Merchant_Category]]="Travel")), "unsafe merchant transaction", "safe merchant transaction")</f>
        <v>safe merchant transaction</v>
      </c>
    </row>
    <row r="2294" spans="1:18">
      <c r="A2294" t="s">
        <v>2840</v>
      </c>
      <c r="B2294" t="s">
        <v>333</v>
      </c>
      <c r="C2294">
        <v>1</v>
      </c>
      <c r="D2294" t="s">
        <v>9</v>
      </c>
      <c r="E2294" t="s">
        <v>3</v>
      </c>
      <c r="F2294" s="2">
        <v>45954</v>
      </c>
      <c r="G2294">
        <v>6481.09</v>
      </c>
      <c r="H2294" s="1">
        <f>AVERAGEIF(Table1[Customer_ID], Table1[[#This Row],[Customer_ID]], Table1[Transaction_Amount])</f>
        <v>4968.4877358490576</v>
      </c>
      <c r="I2294" t="s">
        <v>491</v>
      </c>
      <c r="J2294" t="s">
        <v>31</v>
      </c>
      <c r="K2294" t="s">
        <v>14</v>
      </c>
      <c r="L2294">
        <v>2</v>
      </c>
      <c r="M2294" t="s">
        <v>56</v>
      </c>
      <c r="N2294" t="s">
        <v>42</v>
      </c>
      <c r="O2294" t="s">
        <v>392</v>
      </c>
      <c r="P2294" s="6" t="str">
        <f>IF(Table1[[#This Row],[Transaction_Amount]]&lt;=Table1[[#This Row],[avg_transaction_amount]], "usual transaction", "unusual transaction")</f>
        <v>unusual transaction</v>
      </c>
      <c r="Q2294" s="6" t="str">
        <f>IF(AND(Table1[[#This Row],[Country_of_Residence]]&lt;&gt;Table1[[#This Row],[Country_of_Transaction]], OR(Table1[[#This Row],[Authentication_Type]]="Biometric", Table1[[#This Row],[Authentication_Type]]="OTP")), "safe location transaction", "unsafe location transaction")</f>
        <v>unsafe location transaction</v>
      </c>
      <c r="R2294" s="6" t="str">
        <f>IF(AND(Table1[[#This Row],[Country_of_Residence]]&lt;&gt;Table1[[#This Row],[Country_of_Transaction]], OR(Table1[[#This Row],[Merchant_Category]]="Electronics", Table1[[#This Row],[Merchant_Category]]="Travel")), "unsafe merchant transaction", "safe merchant transaction")</f>
        <v>safe merchant transaction</v>
      </c>
    </row>
    <row r="2295" spans="1:18">
      <c r="A2295" t="s">
        <v>2843</v>
      </c>
      <c r="B2295" t="s">
        <v>333</v>
      </c>
      <c r="C2295">
        <v>1</v>
      </c>
      <c r="D2295" t="s">
        <v>15</v>
      </c>
      <c r="E2295" t="s">
        <v>420</v>
      </c>
      <c r="F2295" s="2">
        <v>45670</v>
      </c>
      <c r="G2295">
        <v>9405.9</v>
      </c>
      <c r="H2295" s="1">
        <f>AVERAGEIF(Table1[Customer_ID], Table1[[#This Row],[Customer_ID]], Table1[Transaction_Amount])</f>
        <v>4968.4877358490576</v>
      </c>
      <c r="I2295" t="s">
        <v>494</v>
      </c>
      <c r="J2295" t="s">
        <v>41</v>
      </c>
      <c r="K2295" t="s">
        <v>12</v>
      </c>
      <c r="L2295">
        <v>5</v>
      </c>
      <c r="M2295" t="s">
        <v>32</v>
      </c>
      <c r="N2295" t="s">
        <v>47</v>
      </c>
      <c r="O2295" t="s">
        <v>393</v>
      </c>
      <c r="P2295" s="6" t="str">
        <f>IF(Table1[[#This Row],[Transaction_Amount]]&lt;=Table1[[#This Row],[avg_transaction_amount]], "usual transaction", "unusual transaction")</f>
        <v>unusual transaction</v>
      </c>
      <c r="Q2295" s="6" t="str">
        <f>IF(AND(Table1[[#This Row],[Country_of_Residence]]&lt;&gt;Table1[[#This Row],[Country_of_Transaction]], OR(Table1[[#This Row],[Authentication_Type]]="Biometric", Table1[[#This Row],[Authentication_Type]]="OTP")), "safe location transaction", "unsafe location transaction")</f>
        <v>unsafe location transaction</v>
      </c>
      <c r="R2295" s="6" t="str">
        <f>IF(AND(Table1[[#This Row],[Country_of_Residence]]&lt;&gt;Table1[[#This Row],[Country_of_Transaction]], OR(Table1[[#This Row],[Merchant_Category]]="Electronics", Table1[[#This Row],[Merchant_Category]]="Travel")), "unsafe merchant transaction", "safe merchant transaction")</f>
        <v>safe merchant transaction</v>
      </c>
    </row>
    <row r="2296" spans="1:18">
      <c r="A2296" t="s">
        <v>2883</v>
      </c>
      <c r="B2296" t="s">
        <v>333</v>
      </c>
      <c r="C2296">
        <v>1</v>
      </c>
      <c r="D2296" t="s">
        <v>9</v>
      </c>
      <c r="E2296" t="s">
        <v>3</v>
      </c>
      <c r="F2296" s="2">
        <v>45808</v>
      </c>
      <c r="G2296">
        <v>1863.67</v>
      </c>
      <c r="H2296" s="1">
        <f>AVERAGEIF(Table1[Customer_ID], Table1[[#This Row],[Customer_ID]], Table1[Transaction_Amount])</f>
        <v>4968.4877358490576</v>
      </c>
      <c r="I2296" t="s">
        <v>533</v>
      </c>
      <c r="J2296" t="s">
        <v>46</v>
      </c>
      <c r="K2296" t="s">
        <v>10</v>
      </c>
      <c r="L2296">
        <v>2</v>
      </c>
      <c r="M2296" t="s">
        <v>37</v>
      </c>
      <c r="N2296" t="s">
        <v>33</v>
      </c>
      <c r="O2296" t="s">
        <v>393</v>
      </c>
      <c r="P2296" s="6" t="str">
        <f>IF(Table1[[#This Row],[Transaction_Amount]]&lt;=Table1[[#This Row],[avg_transaction_amount]], "usual transaction", "unusual transaction")</f>
        <v>usual transaction</v>
      </c>
      <c r="Q2296" s="6" t="str">
        <f>IF(AND(Table1[[#This Row],[Country_of_Residence]]&lt;&gt;Table1[[#This Row],[Country_of_Transaction]], OR(Table1[[#This Row],[Authentication_Type]]="Biometric", Table1[[#This Row],[Authentication_Type]]="OTP")), "safe location transaction", "unsafe location transaction")</f>
        <v>safe location transaction</v>
      </c>
      <c r="R2296" s="6" t="str">
        <f>IF(AND(Table1[[#This Row],[Country_of_Residence]]&lt;&gt;Table1[[#This Row],[Country_of_Transaction]], OR(Table1[[#This Row],[Merchant_Category]]="Electronics", Table1[[#This Row],[Merchant_Category]]="Travel")), "unsafe merchant transaction", "safe merchant transaction")</f>
        <v>safe merchant transaction</v>
      </c>
    </row>
    <row r="2297" spans="1:18">
      <c r="A2297" t="s">
        <v>2945</v>
      </c>
      <c r="B2297" t="s">
        <v>333</v>
      </c>
      <c r="C2297">
        <v>1</v>
      </c>
      <c r="D2297" t="s">
        <v>9</v>
      </c>
      <c r="E2297" t="s">
        <v>6</v>
      </c>
      <c r="F2297" s="2">
        <v>45840</v>
      </c>
      <c r="G2297">
        <v>2769.6</v>
      </c>
      <c r="H2297" s="1">
        <f>AVERAGEIF(Table1[Customer_ID], Table1[[#This Row],[Customer_ID]], Table1[Transaction_Amount])</f>
        <v>4968.4877358490576</v>
      </c>
      <c r="I2297" t="s">
        <v>594</v>
      </c>
      <c r="J2297" t="s">
        <v>36</v>
      </c>
      <c r="K2297" t="s">
        <v>12</v>
      </c>
      <c r="L2297">
        <v>5</v>
      </c>
      <c r="M2297" t="s">
        <v>56</v>
      </c>
      <c r="N2297" t="s">
        <v>32</v>
      </c>
      <c r="O2297" t="s">
        <v>393</v>
      </c>
      <c r="P2297" s="6" t="str">
        <f>IF(Table1[[#This Row],[Transaction_Amount]]&lt;=Table1[[#This Row],[avg_transaction_amount]], "usual transaction", "unusual transaction")</f>
        <v>usual transaction</v>
      </c>
      <c r="Q2297" s="6" t="str">
        <f>IF(AND(Table1[[#This Row],[Country_of_Residence]]&lt;&gt;Table1[[#This Row],[Country_of_Transaction]], OR(Table1[[#This Row],[Authentication_Type]]="Biometric", Table1[[#This Row],[Authentication_Type]]="OTP")), "safe location transaction", "unsafe location transaction")</f>
        <v>unsafe location transaction</v>
      </c>
      <c r="R2297" s="6" t="str">
        <f>IF(AND(Table1[[#This Row],[Country_of_Residence]]&lt;&gt;Table1[[#This Row],[Country_of_Transaction]], OR(Table1[[#This Row],[Merchant_Category]]="Electronics", Table1[[#This Row],[Merchant_Category]]="Travel")), "unsafe merchant transaction", "safe merchant transaction")</f>
        <v>safe merchant transaction</v>
      </c>
    </row>
    <row r="2298" spans="1:18">
      <c r="A2298" t="s">
        <v>3036</v>
      </c>
      <c r="B2298" t="s">
        <v>333</v>
      </c>
      <c r="C2298">
        <v>1</v>
      </c>
      <c r="D2298" t="s">
        <v>9</v>
      </c>
      <c r="E2298" t="s">
        <v>420</v>
      </c>
      <c r="F2298" s="2">
        <v>45660</v>
      </c>
      <c r="G2298">
        <v>4322.63</v>
      </c>
      <c r="H2298" s="1">
        <f>AVERAGEIF(Table1[Customer_ID], Table1[[#This Row],[Customer_ID]], Table1[Transaction_Amount])</f>
        <v>4968.4877358490576</v>
      </c>
      <c r="I2298" t="s">
        <v>682</v>
      </c>
      <c r="J2298" t="s">
        <v>46</v>
      </c>
      <c r="K2298" t="s">
        <v>14</v>
      </c>
      <c r="L2298">
        <v>0</v>
      </c>
      <c r="M2298" t="s">
        <v>51</v>
      </c>
      <c r="N2298" t="s">
        <v>33</v>
      </c>
      <c r="O2298" t="s">
        <v>392</v>
      </c>
      <c r="P2298" s="6" t="str">
        <f>IF(Table1[[#This Row],[Transaction_Amount]]&lt;=Table1[[#This Row],[avg_transaction_amount]], "usual transaction", "unusual transaction")</f>
        <v>usual transaction</v>
      </c>
      <c r="Q2298" s="6" t="str">
        <f>IF(AND(Table1[[#This Row],[Country_of_Residence]]&lt;&gt;Table1[[#This Row],[Country_of_Transaction]], OR(Table1[[#This Row],[Authentication_Type]]="Biometric", Table1[[#This Row],[Authentication_Type]]="OTP")), "safe location transaction", "unsafe location transaction")</f>
        <v>unsafe location transaction</v>
      </c>
      <c r="R2298" s="6" t="str">
        <f>IF(AND(Table1[[#This Row],[Country_of_Residence]]&lt;&gt;Table1[[#This Row],[Country_of_Transaction]], OR(Table1[[#This Row],[Merchant_Category]]="Electronics", Table1[[#This Row],[Merchant_Category]]="Travel")), "unsafe merchant transaction", "safe merchant transaction")</f>
        <v>safe merchant transaction</v>
      </c>
    </row>
    <row r="2299" spans="1:18">
      <c r="A2299" t="s">
        <v>3087</v>
      </c>
      <c r="B2299" t="s">
        <v>333</v>
      </c>
      <c r="C2299">
        <v>1</v>
      </c>
      <c r="D2299" t="s">
        <v>15</v>
      </c>
      <c r="E2299" t="s">
        <v>3</v>
      </c>
      <c r="F2299" s="2">
        <v>45743</v>
      </c>
      <c r="G2299">
        <v>5150.8</v>
      </c>
      <c r="H2299" s="1">
        <f>AVERAGEIF(Table1[Customer_ID], Table1[[#This Row],[Customer_ID]], Table1[Transaction_Amount])</f>
        <v>4968.4877358490576</v>
      </c>
      <c r="I2299" t="s">
        <v>731</v>
      </c>
      <c r="J2299" t="s">
        <v>41</v>
      </c>
      <c r="K2299" t="s">
        <v>8</v>
      </c>
      <c r="L2299">
        <v>4</v>
      </c>
      <c r="M2299" t="s">
        <v>412</v>
      </c>
      <c r="N2299" t="s">
        <v>37</v>
      </c>
      <c r="O2299" t="s">
        <v>392</v>
      </c>
      <c r="P2299" s="6" t="str">
        <f>IF(Table1[[#This Row],[Transaction_Amount]]&lt;=Table1[[#This Row],[avg_transaction_amount]], "usual transaction", "unusual transaction")</f>
        <v>unusual transaction</v>
      </c>
      <c r="Q2299" s="6" t="str">
        <f>IF(AND(Table1[[#This Row],[Country_of_Residence]]&lt;&gt;Table1[[#This Row],[Country_of_Transaction]], OR(Table1[[#This Row],[Authentication_Type]]="Biometric", Table1[[#This Row],[Authentication_Type]]="OTP")), "safe location transaction", "unsafe location transaction")</f>
        <v>safe location transaction</v>
      </c>
      <c r="R2299" s="6" t="str">
        <f>IF(AND(Table1[[#This Row],[Country_of_Residence]]&lt;&gt;Table1[[#This Row],[Country_of_Transaction]], OR(Table1[[#This Row],[Merchant_Category]]="Electronics", Table1[[#This Row],[Merchant_Category]]="Travel")), "unsafe merchant transaction", "safe merchant transaction")</f>
        <v>safe merchant transaction</v>
      </c>
    </row>
    <row r="2300" spans="1:18">
      <c r="A2300" t="s">
        <v>3173</v>
      </c>
      <c r="B2300" t="s">
        <v>333</v>
      </c>
      <c r="C2300">
        <v>1</v>
      </c>
      <c r="D2300" t="s">
        <v>15</v>
      </c>
      <c r="E2300" t="s">
        <v>420</v>
      </c>
      <c r="F2300" s="2">
        <v>45869</v>
      </c>
      <c r="G2300">
        <v>7977.49</v>
      </c>
      <c r="H2300" s="1">
        <f>AVERAGEIF(Table1[Customer_ID], Table1[[#This Row],[Customer_ID]], Table1[Transaction_Amount])</f>
        <v>4968.4877358490576</v>
      </c>
      <c r="I2300" t="s">
        <v>808</v>
      </c>
      <c r="J2300" t="s">
        <v>50</v>
      </c>
      <c r="K2300" t="s">
        <v>12</v>
      </c>
      <c r="L2300">
        <v>0</v>
      </c>
      <c r="M2300" t="s">
        <v>55</v>
      </c>
      <c r="N2300" t="s">
        <v>37</v>
      </c>
      <c r="O2300" t="s">
        <v>393</v>
      </c>
      <c r="P2300" s="6" t="str">
        <f>IF(Table1[[#This Row],[Transaction_Amount]]&lt;=Table1[[#This Row],[avg_transaction_amount]], "usual transaction", "unusual transaction")</f>
        <v>unusual transaction</v>
      </c>
      <c r="Q2300" s="6" t="str">
        <f>IF(AND(Table1[[#This Row],[Country_of_Residence]]&lt;&gt;Table1[[#This Row],[Country_of_Transaction]], OR(Table1[[#This Row],[Authentication_Type]]="Biometric", Table1[[#This Row],[Authentication_Type]]="OTP")), "safe location transaction", "unsafe location transaction")</f>
        <v>unsafe location transaction</v>
      </c>
      <c r="R2300" s="6" t="str">
        <f>IF(AND(Table1[[#This Row],[Country_of_Residence]]&lt;&gt;Table1[[#This Row],[Country_of_Transaction]], OR(Table1[[#This Row],[Merchant_Category]]="Electronics", Table1[[#This Row],[Merchant_Category]]="Travel")), "unsafe merchant transaction", "safe merchant transaction")</f>
        <v>unsafe merchant transaction</v>
      </c>
    </row>
    <row r="2301" spans="1:18">
      <c r="A2301" t="s">
        <v>3199</v>
      </c>
      <c r="B2301" t="s">
        <v>333</v>
      </c>
      <c r="C2301">
        <v>1</v>
      </c>
      <c r="D2301" t="s">
        <v>15</v>
      </c>
      <c r="E2301" t="s">
        <v>5</v>
      </c>
      <c r="F2301" s="2">
        <v>45977</v>
      </c>
      <c r="G2301">
        <v>4757.95</v>
      </c>
      <c r="H2301" s="1">
        <f>AVERAGEIF(Table1[Customer_ID], Table1[[#This Row],[Customer_ID]], Table1[Transaction_Amount])</f>
        <v>4968.4877358490576</v>
      </c>
      <c r="I2301" t="s">
        <v>834</v>
      </c>
      <c r="J2301" t="s">
        <v>36</v>
      </c>
      <c r="K2301" t="s">
        <v>10</v>
      </c>
      <c r="L2301">
        <v>1</v>
      </c>
      <c r="M2301" t="s">
        <v>33</v>
      </c>
      <c r="N2301" t="s">
        <v>32</v>
      </c>
      <c r="O2301" t="s">
        <v>393</v>
      </c>
      <c r="P2301" s="6" t="str">
        <f>IF(Table1[[#This Row],[Transaction_Amount]]&lt;=Table1[[#This Row],[avg_transaction_amount]], "usual transaction", "unusual transaction")</f>
        <v>usual transaction</v>
      </c>
      <c r="Q2301" s="6" t="str">
        <f>IF(AND(Table1[[#This Row],[Country_of_Residence]]&lt;&gt;Table1[[#This Row],[Country_of_Transaction]], OR(Table1[[#This Row],[Authentication_Type]]="Biometric", Table1[[#This Row],[Authentication_Type]]="OTP")), "safe location transaction", "unsafe location transaction")</f>
        <v>safe location transaction</v>
      </c>
      <c r="R2301" s="6" t="str">
        <f>IF(AND(Table1[[#This Row],[Country_of_Residence]]&lt;&gt;Table1[[#This Row],[Country_of_Transaction]], OR(Table1[[#This Row],[Merchant_Category]]="Electronics", Table1[[#This Row],[Merchant_Category]]="Travel")), "unsafe merchant transaction", "safe merchant transaction")</f>
        <v>safe merchant transaction</v>
      </c>
    </row>
    <row r="2302" spans="1:18">
      <c r="A2302" t="s">
        <v>3213</v>
      </c>
      <c r="B2302" t="s">
        <v>333</v>
      </c>
      <c r="C2302">
        <v>1</v>
      </c>
      <c r="D2302" t="s">
        <v>9</v>
      </c>
      <c r="E2302" t="s">
        <v>5</v>
      </c>
      <c r="F2302" s="2">
        <v>45699</v>
      </c>
      <c r="G2302">
        <v>9970.31</v>
      </c>
      <c r="H2302" s="1">
        <f>AVERAGEIF(Table1[Customer_ID], Table1[[#This Row],[Customer_ID]], Table1[Transaction_Amount])</f>
        <v>4968.4877358490576</v>
      </c>
      <c r="I2302" t="s">
        <v>846</v>
      </c>
      <c r="J2302" t="s">
        <v>46</v>
      </c>
      <c r="K2302" t="s">
        <v>12</v>
      </c>
      <c r="L2302">
        <v>4</v>
      </c>
      <c r="M2302" t="s">
        <v>412</v>
      </c>
      <c r="N2302" t="s">
        <v>56</v>
      </c>
      <c r="O2302" t="s">
        <v>392</v>
      </c>
      <c r="P2302" s="6" t="str">
        <f>IF(Table1[[#This Row],[Transaction_Amount]]&lt;=Table1[[#This Row],[avg_transaction_amount]], "usual transaction", "unusual transaction")</f>
        <v>unusual transaction</v>
      </c>
      <c r="Q2302" s="6" t="str">
        <f>IF(AND(Table1[[#This Row],[Country_of_Residence]]&lt;&gt;Table1[[#This Row],[Country_of_Transaction]], OR(Table1[[#This Row],[Authentication_Type]]="Biometric", Table1[[#This Row],[Authentication_Type]]="OTP")), "safe location transaction", "unsafe location transaction")</f>
        <v>unsafe location transaction</v>
      </c>
      <c r="R2302" s="6" t="str">
        <f>IF(AND(Table1[[#This Row],[Country_of_Residence]]&lt;&gt;Table1[[#This Row],[Country_of_Transaction]], OR(Table1[[#This Row],[Merchant_Category]]="Electronics", Table1[[#This Row],[Merchant_Category]]="Travel")), "unsafe merchant transaction", "safe merchant transaction")</f>
        <v>safe merchant transaction</v>
      </c>
    </row>
    <row r="2303" spans="1:18">
      <c r="A2303" t="s">
        <v>3278</v>
      </c>
      <c r="B2303" t="s">
        <v>333</v>
      </c>
      <c r="C2303">
        <v>1</v>
      </c>
      <c r="D2303" t="s">
        <v>15</v>
      </c>
      <c r="E2303" t="s">
        <v>5</v>
      </c>
      <c r="F2303" s="2">
        <v>45793</v>
      </c>
      <c r="G2303">
        <v>8480.9699999999993</v>
      </c>
      <c r="H2303" s="1">
        <f>AVERAGEIF(Table1[Customer_ID], Table1[[#This Row],[Customer_ID]], Table1[Transaction_Amount])</f>
        <v>4968.4877358490576</v>
      </c>
      <c r="I2303" t="s">
        <v>906</v>
      </c>
      <c r="J2303" t="s">
        <v>41</v>
      </c>
      <c r="K2303" t="s">
        <v>8</v>
      </c>
      <c r="L2303">
        <v>1</v>
      </c>
      <c r="M2303" t="s">
        <v>32</v>
      </c>
      <c r="N2303" t="s">
        <v>32</v>
      </c>
      <c r="O2303" t="s">
        <v>393</v>
      </c>
      <c r="P2303" s="6" t="str">
        <f>IF(Table1[[#This Row],[Transaction_Amount]]&lt;=Table1[[#This Row],[avg_transaction_amount]], "usual transaction", "unusual transaction")</f>
        <v>unusual transaction</v>
      </c>
      <c r="Q2303" s="6" t="str">
        <f>IF(AND(Table1[[#This Row],[Country_of_Residence]]&lt;&gt;Table1[[#This Row],[Country_of_Transaction]], OR(Table1[[#This Row],[Authentication_Type]]="Biometric", Table1[[#This Row],[Authentication_Type]]="OTP")), "safe location transaction", "unsafe location transaction")</f>
        <v>unsafe location transaction</v>
      </c>
      <c r="R2303" s="6" t="str">
        <f>IF(AND(Table1[[#This Row],[Country_of_Residence]]&lt;&gt;Table1[[#This Row],[Country_of_Transaction]], OR(Table1[[#This Row],[Merchant_Category]]="Electronics", Table1[[#This Row],[Merchant_Category]]="Travel")), "unsafe merchant transaction", "safe merchant transaction")</f>
        <v>safe merchant transaction</v>
      </c>
    </row>
    <row r="2304" spans="1:18">
      <c r="A2304" t="s">
        <v>3282</v>
      </c>
      <c r="B2304" t="s">
        <v>333</v>
      </c>
      <c r="C2304">
        <v>1</v>
      </c>
      <c r="D2304" t="s">
        <v>9</v>
      </c>
      <c r="E2304" t="s">
        <v>6</v>
      </c>
      <c r="F2304" s="2">
        <v>45789</v>
      </c>
      <c r="G2304">
        <v>2075.4</v>
      </c>
      <c r="H2304" s="1">
        <f>AVERAGEIF(Table1[Customer_ID], Table1[[#This Row],[Customer_ID]], Table1[Transaction_Amount])</f>
        <v>4968.4877358490576</v>
      </c>
      <c r="I2304" t="s">
        <v>910</v>
      </c>
      <c r="J2304" t="s">
        <v>36</v>
      </c>
      <c r="K2304" t="s">
        <v>12</v>
      </c>
      <c r="L2304">
        <v>0</v>
      </c>
      <c r="M2304" t="s">
        <v>42</v>
      </c>
      <c r="N2304" t="s">
        <v>55</v>
      </c>
      <c r="O2304" t="s">
        <v>392</v>
      </c>
      <c r="P2304" s="6" t="str">
        <f>IF(Table1[[#This Row],[Transaction_Amount]]&lt;=Table1[[#This Row],[avg_transaction_amount]], "usual transaction", "unusual transaction")</f>
        <v>usual transaction</v>
      </c>
      <c r="Q2304" s="6" t="str">
        <f>IF(AND(Table1[[#This Row],[Country_of_Residence]]&lt;&gt;Table1[[#This Row],[Country_of_Transaction]], OR(Table1[[#This Row],[Authentication_Type]]="Biometric", Table1[[#This Row],[Authentication_Type]]="OTP")), "safe location transaction", "unsafe location transaction")</f>
        <v>unsafe location transaction</v>
      </c>
      <c r="R2304" s="6" t="str">
        <f>IF(AND(Table1[[#This Row],[Country_of_Residence]]&lt;&gt;Table1[[#This Row],[Country_of_Transaction]], OR(Table1[[#This Row],[Merchant_Category]]="Electronics", Table1[[#This Row],[Merchant_Category]]="Travel")), "unsafe merchant transaction", "safe merchant transaction")</f>
        <v>safe merchant transaction</v>
      </c>
    </row>
    <row r="2305" spans="1:18">
      <c r="A2305" t="s">
        <v>3335</v>
      </c>
      <c r="B2305" t="s">
        <v>333</v>
      </c>
      <c r="C2305">
        <v>1</v>
      </c>
      <c r="D2305" t="s">
        <v>15</v>
      </c>
      <c r="E2305" t="s">
        <v>420</v>
      </c>
      <c r="F2305" s="2">
        <v>45810</v>
      </c>
      <c r="G2305">
        <v>5099.62</v>
      </c>
      <c r="H2305" s="1">
        <f>AVERAGEIF(Table1[Customer_ID], Table1[[#This Row],[Customer_ID]], Table1[Transaction_Amount])</f>
        <v>4968.4877358490576</v>
      </c>
      <c r="I2305" t="s">
        <v>959</v>
      </c>
      <c r="J2305" t="s">
        <v>36</v>
      </c>
      <c r="K2305" t="s">
        <v>14</v>
      </c>
      <c r="L2305">
        <v>1</v>
      </c>
      <c r="M2305" t="s">
        <v>33</v>
      </c>
      <c r="N2305" t="s">
        <v>55</v>
      </c>
      <c r="O2305" t="s">
        <v>393</v>
      </c>
      <c r="P2305" s="6" t="str">
        <f>IF(Table1[[#This Row],[Transaction_Amount]]&lt;=Table1[[#This Row],[avg_transaction_amount]], "usual transaction", "unusual transaction")</f>
        <v>unusual transaction</v>
      </c>
      <c r="Q2305" s="6" t="str">
        <f>IF(AND(Table1[[#This Row],[Country_of_Residence]]&lt;&gt;Table1[[#This Row],[Country_of_Transaction]], OR(Table1[[#This Row],[Authentication_Type]]="Biometric", Table1[[#This Row],[Authentication_Type]]="OTP")), "safe location transaction", "unsafe location transaction")</f>
        <v>unsafe location transaction</v>
      </c>
      <c r="R2305" s="6" t="str">
        <f>IF(AND(Table1[[#This Row],[Country_of_Residence]]&lt;&gt;Table1[[#This Row],[Country_of_Transaction]], OR(Table1[[#This Row],[Merchant_Category]]="Electronics", Table1[[#This Row],[Merchant_Category]]="Travel")), "unsafe merchant transaction", "safe merchant transaction")</f>
        <v>safe merchant transaction</v>
      </c>
    </row>
    <row r="2306" spans="1:18">
      <c r="A2306" t="s">
        <v>3368</v>
      </c>
      <c r="B2306" t="s">
        <v>333</v>
      </c>
      <c r="C2306">
        <v>1</v>
      </c>
      <c r="D2306" t="s">
        <v>9</v>
      </c>
      <c r="E2306" t="s">
        <v>420</v>
      </c>
      <c r="F2306" s="2">
        <v>45753</v>
      </c>
      <c r="G2306">
        <v>5113.54</v>
      </c>
      <c r="H2306" s="1">
        <f>AVERAGEIF(Table1[Customer_ID], Table1[[#This Row],[Customer_ID]], Table1[Transaction_Amount])</f>
        <v>4968.4877358490576</v>
      </c>
      <c r="I2306" t="s">
        <v>992</v>
      </c>
      <c r="J2306" t="s">
        <v>31</v>
      </c>
      <c r="K2306" t="s">
        <v>10</v>
      </c>
      <c r="L2306">
        <v>1</v>
      </c>
      <c r="M2306" t="s">
        <v>37</v>
      </c>
      <c r="N2306" t="s">
        <v>56</v>
      </c>
      <c r="O2306" t="s">
        <v>393</v>
      </c>
      <c r="P2306" s="6" t="str">
        <f>IF(Table1[[#This Row],[Transaction_Amount]]&lt;=Table1[[#This Row],[avg_transaction_amount]], "usual transaction", "unusual transaction")</f>
        <v>unusual transaction</v>
      </c>
      <c r="Q2306" s="6" t="str">
        <f>IF(AND(Table1[[#This Row],[Country_of_Residence]]&lt;&gt;Table1[[#This Row],[Country_of_Transaction]], OR(Table1[[#This Row],[Authentication_Type]]="Biometric", Table1[[#This Row],[Authentication_Type]]="OTP")), "safe location transaction", "unsafe location transaction")</f>
        <v>safe location transaction</v>
      </c>
      <c r="R2306" s="6" t="str">
        <f>IF(AND(Table1[[#This Row],[Country_of_Residence]]&lt;&gt;Table1[[#This Row],[Country_of_Transaction]], OR(Table1[[#This Row],[Merchant_Category]]="Electronics", Table1[[#This Row],[Merchant_Category]]="Travel")), "unsafe merchant transaction", "safe merchant transaction")</f>
        <v>safe merchant transaction</v>
      </c>
    </row>
    <row r="2307" spans="1:18">
      <c r="A2307" t="s">
        <v>3372</v>
      </c>
      <c r="B2307" t="s">
        <v>333</v>
      </c>
      <c r="C2307">
        <v>1</v>
      </c>
      <c r="D2307" t="s">
        <v>15</v>
      </c>
      <c r="E2307" t="s">
        <v>6</v>
      </c>
      <c r="F2307" s="2">
        <v>45904</v>
      </c>
      <c r="G2307">
        <v>2269.1</v>
      </c>
      <c r="H2307" s="1">
        <f>AVERAGEIF(Table1[Customer_ID], Table1[[#This Row],[Customer_ID]], Table1[Transaction_Amount])</f>
        <v>4968.4877358490576</v>
      </c>
      <c r="I2307" t="s">
        <v>996</v>
      </c>
      <c r="J2307" t="s">
        <v>36</v>
      </c>
      <c r="K2307" t="s">
        <v>12</v>
      </c>
      <c r="L2307">
        <v>3</v>
      </c>
      <c r="M2307" t="s">
        <v>42</v>
      </c>
      <c r="N2307" t="s">
        <v>412</v>
      </c>
      <c r="O2307" t="s">
        <v>393</v>
      </c>
      <c r="P2307" s="6" t="str">
        <f>IF(Table1[[#This Row],[Transaction_Amount]]&lt;=Table1[[#This Row],[avg_transaction_amount]], "usual transaction", "unusual transaction")</f>
        <v>usual transaction</v>
      </c>
      <c r="Q2307" s="6" t="str">
        <f>IF(AND(Table1[[#This Row],[Country_of_Residence]]&lt;&gt;Table1[[#This Row],[Country_of_Transaction]], OR(Table1[[#This Row],[Authentication_Type]]="Biometric", Table1[[#This Row],[Authentication_Type]]="OTP")), "safe location transaction", "unsafe location transaction")</f>
        <v>unsafe location transaction</v>
      </c>
      <c r="R2307" s="6" t="str">
        <f>IF(AND(Table1[[#This Row],[Country_of_Residence]]&lt;&gt;Table1[[#This Row],[Country_of_Transaction]], OR(Table1[[#This Row],[Merchant_Category]]="Electronics", Table1[[#This Row],[Merchant_Category]]="Travel")), "unsafe merchant transaction", "safe merchant transaction")</f>
        <v>safe merchant transaction</v>
      </c>
    </row>
    <row r="2308" spans="1:18">
      <c r="A2308" t="s">
        <v>3455</v>
      </c>
      <c r="B2308" t="s">
        <v>333</v>
      </c>
      <c r="C2308">
        <v>1</v>
      </c>
      <c r="D2308" t="s">
        <v>15</v>
      </c>
      <c r="E2308" t="s">
        <v>6</v>
      </c>
      <c r="F2308" s="2">
        <v>45952</v>
      </c>
      <c r="G2308">
        <v>840.77</v>
      </c>
      <c r="H2308" s="1">
        <f>AVERAGEIF(Table1[Customer_ID], Table1[[#This Row],[Customer_ID]], Table1[Transaction_Amount])</f>
        <v>4968.4877358490576</v>
      </c>
      <c r="I2308" t="s">
        <v>1073</v>
      </c>
      <c r="J2308" t="s">
        <v>50</v>
      </c>
      <c r="K2308" t="s">
        <v>8</v>
      </c>
      <c r="L2308">
        <v>0</v>
      </c>
      <c r="M2308" t="s">
        <v>56</v>
      </c>
      <c r="N2308" t="s">
        <v>33</v>
      </c>
      <c r="O2308" t="s">
        <v>392</v>
      </c>
      <c r="P2308" s="6" t="str">
        <f>IF(Table1[[#This Row],[Transaction_Amount]]&lt;=Table1[[#This Row],[avg_transaction_amount]], "usual transaction", "unusual transaction")</f>
        <v>usual transaction</v>
      </c>
      <c r="Q2308" s="6" t="str">
        <f>IF(AND(Table1[[#This Row],[Country_of_Residence]]&lt;&gt;Table1[[#This Row],[Country_of_Transaction]], OR(Table1[[#This Row],[Authentication_Type]]="Biometric", Table1[[#This Row],[Authentication_Type]]="OTP")), "safe location transaction", "unsafe location transaction")</f>
        <v>safe location transaction</v>
      </c>
      <c r="R2308" s="6" t="str">
        <f>IF(AND(Table1[[#This Row],[Country_of_Residence]]&lt;&gt;Table1[[#This Row],[Country_of_Transaction]], OR(Table1[[#This Row],[Merchant_Category]]="Electronics", Table1[[#This Row],[Merchant_Category]]="Travel")), "unsafe merchant transaction", "safe merchant transaction")</f>
        <v>unsafe merchant transaction</v>
      </c>
    </row>
    <row r="2309" spans="1:18">
      <c r="A2309" t="s">
        <v>3474</v>
      </c>
      <c r="B2309" t="s">
        <v>333</v>
      </c>
      <c r="C2309">
        <v>1</v>
      </c>
      <c r="D2309" t="s">
        <v>15</v>
      </c>
      <c r="E2309" t="s">
        <v>420</v>
      </c>
      <c r="F2309" s="2">
        <v>45872</v>
      </c>
      <c r="G2309">
        <v>7187.39</v>
      </c>
      <c r="H2309" s="1">
        <f>AVERAGEIF(Table1[Customer_ID], Table1[[#This Row],[Customer_ID]], Table1[Transaction_Amount])</f>
        <v>4968.4877358490576</v>
      </c>
      <c r="I2309" t="s">
        <v>1092</v>
      </c>
      <c r="J2309" t="s">
        <v>31</v>
      </c>
      <c r="K2309" t="s">
        <v>12</v>
      </c>
      <c r="L2309">
        <v>4</v>
      </c>
      <c r="M2309" t="s">
        <v>37</v>
      </c>
      <c r="N2309" t="s">
        <v>42</v>
      </c>
      <c r="O2309" t="s">
        <v>393</v>
      </c>
      <c r="P2309" s="6" t="str">
        <f>IF(Table1[[#This Row],[Transaction_Amount]]&lt;=Table1[[#This Row],[avg_transaction_amount]], "usual transaction", "unusual transaction")</f>
        <v>unusual transaction</v>
      </c>
      <c r="Q2309" s="6" t="str">
        <f>IF(AND(Table1[[#This Row],[Country_of_Residence]]&lt;&gt;Table1[[#This Row],[Country_of_Transaction]], OR(Table1[[#This Row],[Authentication_Type]]="Biometric", Table1[[#This Row],[Authentication_Type]]="OTP")), "safe location transaction", "unsafe location transaction")</f>
        <v>unsafe location transaction</v>
      </c>
      <c r="R2309" s="6" t="str">
        <f>IF(AND(Table1[[#This Row],[Country_of_Residence]]&lt;&gt;Table1[[#This Row],[Country_of_Transaction]], OR(Table1[[#This Row],[Merchant_Category]]="Electronics", Table1[[#This Row],[Merchant_Category]]="Travel")), "unsafe merchant transaction", "safe merchant transaction")</f>
        <v>safe merchant transaction</v>
      </c>
    </row>
    <row r="2310" spans="1:18">
      <c r="A2310" t="s">
        <v>3581</v>
      </c>
      <c r="B2310" t="s">
        <v>333</v>
      </c>
      <c r="C2310">
        <v>1</v>
      </c>
      <c r="D2310" t="s">
        <v>9</v>
      </c>
      <c r="E2310" t="s">
        <v>420</v>
      </c>
      <c r="F2310" s="2">
        <v>45882</v>
      </c>
      <c r="G2310">
        <v>5759.11</v>
      </c>
      <c r="H2310" s="1">
        <f>AVERAGEIF(Table1[Customer_ID], Table1[[#This Row],[Customer_ID]], Table1[Transaction_Amount])</f>
        <v>4968.4877358490576</v>
      </c>
      <c r="I2310" t="s">
        <v>1191</v>
      </c>
      <c r="J2310" t="s">
        <v>46</v>
      </c>
      <c r="K2310" t="s">
        <v>12</v>
      </c>
      <c r="L2310">
        <v>5</v>
      </c>
      <c r="M2310" t="s">
        <v>42</v>
      </c>
      <c r="N2310" t="s">
        <v>56</v>
      </c>
      <c r="O2310" t="s">
        <v>392</v>
      </c>
      <c r="P2310" s="6" t="str">
        <f>IF(Table1[[#This Row],[Transaction_Amount]]&lt;=Table1[[#This Row],[avg_transaction_amount]], "usual transaction", "unusual transaction")</f>
        <v>unusual transaction</v>
      </c>
      <c r="Q2310" s="6" t="str">
        <f>IF(AND(Table1[[#This Row],[Country_of_Residence]]&lt;&gt;Table1[[#This Row],[Country_of_Transaction]], OR(Table1[[#This Row],[Authentication_Type]]="Biometric", Table1[[#This Row],[Authentication_Type]]="OTP")), "safe location transaction", "unsafe location transaction")</f>
        <v>unsafe location transaction</v>
      </c>
      <c r="R2310" s="6" t="str">
        <f>IF(AND(Table1[[#This Row],[Country_of_Residence]]&lt;&gt;Table1[[#This Row],[Country_of_Transaction]], OR(Table1[[#This Row],[Merchant_Category]]="Electronics", Table1[[#This Row],[Merchant_Category]]="Travel")), "unsafe merchant transaction", "safe merchant transaction")</f>
        <v>safe merchant transaction</v>
      </c>
    </row>
    <row r="2311" spans="1:18">
      <c r="A2311" t="s">
        <v>3685</v>
      </c>
      <c r="B2311" t="s">
        <v>333</v>
      </c>
      <c r="C2311">
        <v>1</v>
      </c>
      <c r="D2311" t="s">
        <v>15</v>
      </c>
      <c r="E2311" t="s">
        <v>6</v>
      </c>
      <c r="F2311" s="2">
        <v>45929</v>
      </c>
      <c r="G2311">
        <v>4891.0600000000004</v>
      </c>
      <c r="H2311" s="1">
        <f>AVERAGEIF(Table1[Customer_ID], Table1[[#This Row],[Customer_ID]], Table1[Transaction_Amount])</f>
        <v>4968.4877358490576</v>
      </c>
      <c r="I2311" t="s">
        <v>1285</v>
      </c>
      <c r="J2311" t="s">
        <v>50</v>
      </c>
      <c r="K2311" t="s">
        <v>14</v>
      </c>
      <c r="L2311">
        <v>3</v>
      </c>
      <c r="M2311" t="s">
        <v>47</v>
      </c>
      <c r="N2311" t="s">
        <v>412</v>
      </c>
      <c r="O2311" t="s">
        <v>392</v>
      </c>
      <c r="P2311" s="6" t="str">
        <f>IF(Table1[[#This Row],[Transaction_Amount]]&lt;=Table1[[#This Row],[avg_transaction_amount]], "usual transaction", "unusual transaction")</f>
        <v>usual transaction</v>
      </c>
      <c r="Q2311" s="6" t="str">
        <f>IF(AND(Table1[[#This Row],[Country_of_Residence]]&lt;&gt;Table1[[#This Row],[Country_of_Transaction]], OR(Table1[[#This Row],[Authentication_Type]]="Biometric", Table1[[#This Row],[Authentication_Type]]="OTP")), "safe location transaction", "unsafe location transaction")</f>
        <v>unsafe location transaction</v>
      </c>
      <c r="R2311" s="6" t="str">
        <f>IF(AND(Table1[[#This Row],[Country_of_Residence]]&lt;&gt;Table1[[#This Row],[Country_of_Transaction]], OR(Table1[[#This Row],[Merchant_Category]]="Electronics", Table1[[#This Row],[Merchant_Category]]="Travel")), "unsafe merchant transaction", "safe merchant transaction")</f>
        <v>unsafe merchant transaction</v>
      </c>
    </row>
    <row r="2312" spans="1:18">
      <c r="A2312" t="s">
        <v>3824</v>
      </c>
      <c r="B2312" t="s">
        <v>333</v>
      </c>
      <c r="C2312">
        <v>1</v>
      </c>
      <c r="D2312" t="s">
        <v>15</v>
      </c>
      <c r="E2312" t="s">
        <v>6</v>
      </c>
      <c r="F2312" s="2">
        <v>45908</v>
      </c>
      <c r="G2312">
        <v>5744.14</v>
      </c>
      <c r="H2312" s="1">
        <f>AVERAGEIF(Table1[Customer_ID], Table1[[#This Row],[Customer_ID]], Table1[Transaction_Amount])</f>
        <v>4968.4877358490576</v>
      </c>
      <c r="I2312" t="s">
        <v>1405</v>
      </c>
      <c r="J2312" t="s">
        <v>31</v>
      </c>
      <c r="K2312" t="s">
        <v>14</v>
      </c>
      <c r="L2312">
        <v>4</v>
      </c>
      <c r="M2312" t="s">
        <v>32</v>
      </c>
      <c r="N2312" t="s">
        <v>56</v>
      </c>
      <c r="O2312" t="s">
        <v>392</v>
      </c>
      <c r="P2312" s="6" t="str">
        <f>IF(Table1[[#This Row],[Transaction_Amount]]&lt;=Table1[[#This Row],[avg_transaction_amount]], "usual transaction", "unusual transaction")</f>
        <v>unusual transaction</v>
      </c>
      <c r="Q2312" s="6" t="str">
        <f>IF(AND(Table1[[#This Row],[Country_of_Residence]]&lt;&gt;Table1[[#This Row],[Country_of_Transaction]], OR(Table1[[#This Row],[Authentication_Type]]="Biometric", Table1[[#This Row],[Authentication_Type]]="OTP")), "safe location transaction", "unsafe location transaction")</f>
        <v>unsafe location transaction</v>
      </c>
      <c r="R2312" s="6" t="str">
        <f>IF(AND(Table1[[#This Row],[Country_of_Residence]]&lt;&gt;Table1[[#This Row],[Country_of_Transaction]], OR(Table1[[#This Row],[Merchant_Category]]="Electronics", Table1[[#This Row],[Merchant_Category]]="Travel")), "unsafe merchant transaction", "safe merchant transaction")</f>
        <v>safe merchant transaction</v>
      </c>
    </row>
    <row r="2313" spans="1:18">
      <c r="A2313" t="s">
        <v>4021</v>
      </c>
      <c r="B2313" t="s">
        <v>333</v>
      </c>
      <c r="C2313">
        <v>1</v>
      </c>
      <c r="D2313" t="s">
        <v>15</v>
      </c>
      <c r="E2313" t="s">
        <v>420</v>
      </c>
      <c r="F2313" s="2">
        <v>46005</v>
      </c>
      <c r="G2313">
        <v>3525.57</v>
      </c>
      <c r="H2313" s="1">
        <f>AVERAGEIF(Table1[Customer_ID], Table1[[#This Row],[Customer_ID]], Table1[Transaction_Amount])</f>
        <v>4968.4877358490576</v>
      </c>
      <c r="I2313" t="s">
        <v>1577</v>
      </c>
      <c r="J2313" t="s">
        <v>31</v>
      </c>
      <c r="K2313" t="s">
        <v>14</v>
      </c>
      <c r="L2313">
        <v>4</v>
      </c>
      <c r="M2313" t="s">
        <v>47</v>
      </c>
      <c r="N2313" t="s">
        <v>32</v>
      </c>
      <c r="O2313" t="s">
        <v>393</v>
      </c>
      <c r="P2313" s="6" t="str">
        <f>IF(Table1[[#This Row],[Transaction_Amount]]&lt;=Table1[[#This Row],[avg_transaction_amount]], "usual transaction", "unusual transaction")</f>
        <v>usual transaction</v>
      </c>
      <c r="Q2313" s="6" t="str">
        <f>IF(AND(Table1[[#This Row],[Country_of_Residence]]&lt;&gt;Table1[[#This Row],[Country_of_Transaction]], OR(Table1[[#This Row],[Authentication_Type]]="Biometric", Table1[[#This Row],[Authentication_Type]]="OTP")), "safe location transaction", "unsafe location transaction")</f>
        <v>unsafe location transaction</v>
      </c>
      <c r="R2313" s="6" t="str">
        <f>IF(AND(Table1[[#This Row],[Country_of_Residence]]&lt;&gt;Table1[[#This Row],[Country_of_Transaction]], OR(Table1[[#This Row],[Merchant_Category]]="Electronics", Table1[[#This Row],[Merchant_Category]]="Travel")), "unsafe merchant transaction", "safe merchant transaction")</f>
        <v>safe merchant transaction</v>
      </c>
    </row>
    <row r="2314" spans="1:18">
      <c r="A2314" t="s">
        <v>4034</v>
      </c>
      <c r="B2314" t="s">
        <v>333</v>
      </c>
      <c r="C2314">
        <v>1</v>
      </c>
      <c r="D2314" t="s">
        <v>15</v>
      </c>
      <c r="E2314" t="s">
        <v>3</v>
      </c>
      <c r="F2314" s="2">
        <v>45904</v>
      </c>
      <c r="G2314">
        <v>6250.64</v>
      </c>
      <c r="H2314" s="1">
        <f>AVERAGEIF(Table1[Customer_ID], Table1[[#This Row],[Customer_ID]], Table1[Transaction_Amount])</f>
        <v>4968.4877358490576</v>
      </c>
      <c r="I2314" t="s">
        <v>467</v>
      </c>
      <c r="J2314" t="s">
        <v>46</v>
      </c>
      <c r="K2314" t="s">
        <v>10</v>
      </c>
      <c r="L2314">
        <v>1</v>
      </c>
      <c r="M2314" t="s">
        <v>33</v>
      </c>
      <c r="N2314" t="s">
        <v>51</v>
      </c>
      <c r="O2314" t="s">
        <v>392</v>
      </c>
      <c r="P2314" s="6" t="str">
        <f>IF(Table1[[#This Row],[Transaction_Amount]]&lt;=Table1[[#This Row],[avg_transaction_amount]], "usual transaction", "unusual transaction")</f>
        <v>unusual transaction</v>
      </c>
      <c r="Q2314" s="6" t="str">
        <f>IF(AND(Table1[[#This Row],[Country_of_Residence]]&lt;&gt;Table1[[#This Row],[Country_of_Transaction]], OR(Table1[[#This Row],[Authentication_Type]]="Biometric", Table1[[#This Row],[Authentication_Type]]="OTP")), "safe location transaction", "unsafe location transaction")</f>
        <v>safe location transaction</v>
      </c>
      <c r="R2314" s="6" t="str">
        <f>IF(AND(Table1[[#This Row],[Country_of_Residence]]&lt;&gt;Table1[[#This Row],[Country_of_Transaction]], OR(Table1[[#This Row],[Merchant_Category]]="Electronics", Table1[[#This Row],[Merchant_Category]]="Travel")), "unsafe merchant transaction", "safe merchant transaction")</f>
        <v>safe merchant transaction</v>
      </c>
    </row>
    <row r="2315" spans="1:18">
      <c r="A2315" t="s">
        <v>4144</v>
      </c>
      <c r="B2315" t="s">
        <v>333</v>
      </c>
      <c r="C2315">
        <v>1</v>
      </c>
      <c r="D2315" t="s">
        <v>9</v>
      </c>
      <c r="E2315" t="s">
        <v>420</v>
      </c>
      <c r="F2315" s="2">
        <v>45798</v>
      </c>
      <c r="G2315">
        <v>4023.02</v>
      </c>
      <c r="H2315" s="1">
        <f>AVERAGEIF(Table1[Customer_ID], Table1[[#This Row],[Customer_ID]], Table1[Transaction_Amount])</f>
        <v>4968.4877358490576</v>
      </c>
      <c r="I2315" t="s">
        <v>1672</v>
      </c>
      <c r="J2315" t="s">
        <v>46</v>
      </c>
      <c r="K2315" t="s">
        <v>12</v>
      </c>
      <c r="L2315">
        <v>1</v>
      </c>
      <c r="M2315" t="s">
        <v>37</v>
      </c>
      <c r="N2315" t="s">
        <v>47</v>
      </c>
      <c r="O2315" t="s">
        <v>392</v>
      </c>
      <c r="P2315" s="6" t="str">
        <f>IF(Table1[[#This Row],[Transaction_Amount]]&lt;=Table1[[#This Row],[avg_transaction_amount]], "usual transaction", "unusual transaction")</f>
        <v>usual transaction</v>
      </c>
      <c r="Q2315" s="6" t="str">
        <f>IF(AND(Table1[[#This Row],[Country_of_Residence]]&lt;&gt;Table1[[#This Row],[Country_of_Transaction]], OR(Table1[[#This Row],[Authentication_Type]]="Biometric", Table1[[#This Row],[Authentication_Type]]="OTP")), "safe location transaction", "unsafe location transaction")</f>
        <v>unsafe location transaction</v>
      </c>
      <c r="R2315" s="6" t="str">
        <f>IF(AND(Table1[[#This Row],[Country_of_Residence]]&lt;&gt;Table1[[#This Row],[Country_of_Transaction]], OR(Table1[[#This Row],[Merchant_Category]]="Electronics", Table1[[#This Row],[Merchant_Category]]="Travel")), "unsafe merchant transaction", "safe merchant transaction")</f>
        <v>safe merchant transaction</v>
      </c>
    </row>
    <row r="2316" spans="1:18">
      <c r="A2316" t="s">
        <v>4169</v>
      </c>
      <c r="B2316" t="s">
        <v>333</v>
      </c>
      <c r="C2316">
        <v>1</v>
      </c>
      <c r="D2316" t="s">
        <v>15</v>
      </c>
      <c r="E2316" t="s">
        <v>6</v>
      </c>
      <c r="F2316" s="2">
        <v>45771</v>
      </c>
      <c r="G2316">
        <v>1908.36</v>
      </c>
      <c r="H2316" s="1">
        <f>AVERAGEIF(Table1[Customer_ID], Table1[[#This Row],[Customer_ID]], Table1[Transaction_Amount])</f>
        <v>4968.4877358490576</v>
      </c>
      <c r="I2316" t="s">
        <v>1693</v>
      </c>
      <c r="J2316" t="s">
        <v>31</v>
      </c>
      <c r="K2316" t="s">
        <v>10</v>
      </c>
      <c r="L2316">
        <v>0</v>
      </c>
      <c r="M2316" t="s">
        <v>412</v>
      </c>
      <c r="N2316" t="s">
        <v>412</v>
      </c>
      <c r="O2316" t="s">
        <v>393</v>
      </c>
      <c r="P2316" s="6" t="str">
        <f>IF(Table1[[#This Row],[Transaction_Amount]]&lt;=Table1[[#This Row],[avg_transaction_amount]], "usual transaction", "unusual transaction")</f>
        <v>usual transaction</v>
      </c>
      <c r="Q2316" s="6" t="str">
        <f>IF(AND(Table1[[#This Row],[Country_of_Residence]]&lt;&gt;Table1[[#This Row],[Country_of_Transaction]], OR(Table1[[#This Row],[Authentication_Type]]="Biometric", Table1[[#This Row],[Authentication_Type]]="OTP")), "safe location transaction", "unsafe location transaction")</f>
        <v>unsafe location transaction</v>
      </c>
      <c r="R2316" s="6" t="str">
        <f>IF(AND(Table1[[#This Row],[Country_of_Residence]]&lt;&gt;Table1[[#This Row],[Country_of_Transaction]], OR(Table1[[#This Row],[Merchant_Category]]="Electronics", Table1[[#This Row],[Merchant_Category]]="Travel")), "unsafe merchant transaction", "safe merchant transaction")</f>
        <v>safe merchant transaction</v>
      </c>
    </row>
    <row r="2317" spans="1:18">
      <c r="A2317" t="s">
        <v>4191</v>
      </c>
      <c r="B2317" t="s">
        <v>333</v>
      </c>
      <c r="C2317">
        <v>1</v>
      </c>
      <c r="D2317" t="s">
        <v>15</v>
      </c>
      <c r="E2317" t="s">
        <v>420</v>
      </c>
      <c r="F2317" s="2">
        <v>45792</v>
      </c>
      <c r="G2317">
        <v>2439.02</v>
      </c>
      <c r="H2317" s="1">
        <f>AVERAGEIF(Table1[Customer_ID], Table1[[#This Row],[Customer_ID]], Table1[Transaction_Amount])</f>
        <v>4968.4877358490576</v>
      </c>
      <c r="I2317" t="s">
        <v>1711</v>
      </c>
      <c r="J2317" t="s">
        <v>41</v>
      </c>
      <c r="K2317" t="s">
        <v>14</v>
      </c>
      <c r="L2317">
        <v>1</v>
      </c>
      <c r="M2317" t="s">
        <v>42</v>
      </c>
      <c r="N2317" t="s">
        <v>37</v>
      </c>
      <c r="O2317" t="s">
        <v>393</v>
      </c>
      <c r="P2317" s="6" t="str">
        <f>IF(Table1[[#This Row],[Transaction_Amount]]&lt;=Table1[[#This Row],[avg_transaction_amount]], "usual transaction", "unusual transaction")</f>
        <v>usual transaction</v>
      </c>
      <c r="Q2317" s="6" t="str">
        <f>IF(AND(Table1[[#This Row],[Country_of_Residence]]&lt;&gt;Table1[[#This Row],[Country_of_Transaction]], OR(Table1[[#This Row],[Authentication_Type]]="Biometric", Table1[[#This Row],[Authentication_Type]]="OTP")), "safe location transaction", "unsafe location transaction")</f>
        <v>unsafe location transaction</v>
      </c>
      <c r="R2317" s="6" t="str">
        <f>IF(AND(Table1[[#This Row],[Country_of_Residence]]&lt;&gt;Table1[[#This Row],[Country_of_Transaction]], OR(Table1[[#This Row],[Merchant_Category]]="Electronics", Table1[[#This Row],[Merchant_Category]]="Travel")), "unsafe merchant transaction", "safe merchant transaction")</f>
        <v>safe merchant transaction</v>
      </c>
    </row>
    <row r="2318" spans="1:18">
      <c r="A2318" t="s">
        <v>4268</v>
      </c>
      <c r="B2318" t="s">
        <v>333</v>
      </c>
      <c r="C2318">
        <v>1</v>
      </c>
      <c r="D2318" t="s">
        <v>9</v>
      </c>
      <c r="E2318" t="s">
        <v>5</v>
      </c>
      <c r="F2318" s="2">
        <v>45856</v>
      </c>
      <c r="G2318">
        <v>5267.95</v>
      </c>
      <c r="H2318" s="1">
        <f>AVERAGEIF(Table1[Customer_ID], Table1[[#This Row],[Customer_ID]], Table1[Transaction_Amount])</f>
        <v>4968.4877358490576</v>
      </c>
      <c r="I2318" t="s">
        <v>1781</v>
      </c>
      <c r="J2318" t="s">
        <v>50</v>
      </c>
      <c r="K2318" t="s">
        <v>8</v>
      </c>
      <c r="L2318">
        <v>5</v>
      </c>
      <c r="M2318" t="s">
        <v>37</v>
      </c>
      <c r="N2318" t="s">
        <v>32</v>
      </c>
      <c r="O2318" t="s">
        <v>393</v>
      </c>
      <c r="P2318" s="6" t="str">
        <f>IF(Table1[[#This Row],[Transaction_Amount]]&lt;=Table1[[#This Row],[avg_transaction_amount]], "usual transaction", "unusual transaction")</f>
        <v>unusual transaction</v>
      </c>
      <c r="Q2318" s="6" t="str">
        <f>IF(AND(Table1[[#This Row],[Country_of_Residence]]&lt;&gt;Table1[[#This Row],[Country_of_Transaction]], OR(Table1[[#This Row],[Authentication_Type]]="Biometric", Table1[[#This Row],[Authentication_Type]]="OTP")), "safe location transaction", "unsafe location transaction")</f>
        <v>safe location transaction</v>
      </c>
      <c r="R2318" s="6" t="str">
        <f>IF(AND(Table1[[#This Row],[Country_of_Residence]]&lt;&gt;Table1[[#This Row],[Country_of_Transaction]], OR(Table1[[#This Row],[Merchant_Category]]="Electronics", Table1[[#This Row],[Merchant_Category]]="Travel")), "unsafe merchant transaction", "safe merchant transaction")</f>
        <v>unsafe merchant transaction</v>
      </c>
    </row>
    <row r="2319" spans="1:18">
      <c r="A2319" t="s">
        <v>4299</v>
      </c>
      <c r="B2319" t="s">
        <v>333</v>
      </c>
      <c r="C2319">
        <v>1</v>
      </c>
      <c r="D2319" t="s">
        <v>9</v>
      </c>
      <c r="E2319" t="s">
        <v>5</v>
      </c>
      <c r="F2319" s="2">
        <v>45932</v>
      </c>
      <c r="G2319">
        <v>9700.61</v>
      </c>
      <c r="H2319" s="1">
        <f>AVERAGEIF(Table1[Customer_ID], Table1[[#This Row],[Customer_ID]], Table1[Transaction_Amount])</f>
        <v>4968.4877358490576</v>
      </c>
      <c r="I2319" t="s">
        <v>1809</v>
      </c>
      <c r="J2319" t="s">
        <v>46</v>
      </c>
      <c r="K2319" t="s">
        <v>14</v>
      </c>
      <c r="L2319">
        <v>4</v>
      </c>
      <c r="M2319" t="s">
        <v>51</v>
      </c>
      <c r="N2319" t="s">
        <v>51</v>
      </c>
      <c r="O2319" t="s">
        <v>393</v>
      </c>
      <c r="P2319" s="6" t="str">
        <f>IF(Table1[[#This Row],[Transaction_Amount]]&lt;=Table1[[#This Row],[avg_transaction_amount]], "usual transaction", "unusual transaction")</f>
        <v>unusual transaction</v>
      </c>
      <c r="Q2319" s="6" t="str">
        <f>IF(AND(Table1[[#This Row],[Country_of_Residence]]&lt;&gt;Table1[[#This Row],[Country_of_Transaction]], OR(Table1[[#This Row],[Authentication_Type]]="Biometric", Table1[[#This Row],[Authentication_Type]]="OTP")), "safe location transaction", "unsafe location transaction")</f>
        <v>unsafe location transaction</v>
      </c>
      <c r="R2319" s="6" t="str">
        <f>IF(AND(Table1[[#This Row],[Country_of_Residence]]&lt;&gt;Table1[[#This Row],[Country_of_Transaction]], OR(Table1[[#This Row],[Merchant_Category]]="Electronics", Table1[[#This Row],[Merchant_Category]]="Travel")), "unsafe merchant transaction", "safe merchant transaction")</f>
        <v>safe merchant transaction</v>
      </c>
    </row>
    <row r="2320" spans="1:18">
      <c r="A2320" t="s">
        <v>4366</v>
      </c>
      <c r="B2320" t="s">
        <v>333</v>
      </c>
      <c r="C2320">
        <v>1</v>
      </c>
      <c r="D2320" t="s">
        <v>15</v>
      </c>
      <c r="E2320" t="s">
        <v>5</v>
      </c>
      <c r="F2320" s="2">
        <v>45998</v>
      </c>
      <c r="G2320">
        <v>9746.7999999999993</v>
      </c>
      <c r="H2320" s="1">
        <f>AVERAGEIF(Table1[Customer_ID], Table1[[#This Row],[Customer_ID]], Table1[Transaction_Amount])</f>
        <v>4968.4877358490576</v>
      </c>
      <c r="I2320" t="s">
        <v>1866</v>
      </c>
      <c r="J2320" t="s">
        <v>31</v>
      </c>
      <c r="K2320" t="s">
        <v>10</v>
      </c>
      <c r="L2320">
        <v>3</v>
      </c>
      <c r="M2320" t="s">
        <v>42</v>
      </c>
      <c r="N2320" t="s">
        <v>55</v>
      </c>
      <c r="O2320" t="s">
        <v>392</v>
      </c>
      <c r="P2320" s="6" t="str">
        <f>IF(Table1[[#This Row],[Transaction_Amount]]&lt;=Table1[[#This Row],[avg_transaction_amount]], "usual transaction", "unusual transaction")</f>
        <v>unusual transaction</v>
      </c>
      <c r="Q2320" s="6" t="str">
        <f>IF(AND(Table1[[#This Row],[Country_of_Residence]]&lt;&gt;Table1[[#This Row],[Country_of_Transaction]], OR(Table1[[#This Row],[Authentication_Type]]="Biometric", Table1[[#This Row],[Authentication_Type]]="OTP")), "safe location transaction", "unsafe location transaction")</f>
        <v>safe location transaction</v>
      </c>
      <c r="R2320" s="6" t="str">
        <f>IF(AND(Table1[[#This Row],[Country_of_Residence]]&lt;&gt;Table1[[#This Row],[Country_of_Transaction]], OR(Table1[[#This Row],[Merchant_Category]]="Electronics", Table1[[#This Row],[Merchant_Category]]="Travel")), "unsafe merchant transaction", "safe merchant transaction")</f>
        <v>safe merchant transaction</v>
      </c>
    </row>
    <row r="2321" spans="1:18">
      <c r="A2321" t="s">
        <v>4370</v>
      </c>
      <c r="B2321" t="s">
        <v>333</v>
      </c>
      <c r="C2321">
        <v>1</v>
      </c>
      <c r="D2321" t="s">
        <v>15</v>
      </c>
      <c r="E2321" t="s">
        <v>3</v>
      </c>
      <c r="F2321" s="2">
        <v>45976</v>
      </c>
      <c r="G2321">
        <v>3033.47</v>
      </c>
      <c r="H2321" s="1">
        <f>AVERAGEIF(Table1[Customer_ID], Table1[[#This Row],[Customer_ID]], Table1[Transaction_Amount])</f>
        <v>4968.4877358490576</v>
      </c>
      <c r="I2321" t="s">
        <v>1870</v>
      </c>
      <c r="J2321" t="s">
        <v>46</v>
      </c>
      <c r="K2321" t="s">
        <v>10</v>
      </c>
      <c r="L2321">
        <v>2</v>
      </c>
      <c r="M2321" t="s">
        <v>47</v>
      </c>
      <c r="N2321" t="s">
        <v>55</v>
      </c>
      <c r="O2321" t="s">
        <v>393</v>
      </c>
      <c r="P2321" s="6" t="str">
        <f>IF(Table1[[#This Row],[Transaction_Amount]]&lt;=Table1[[#This Row],[avg_transaction_amount]], "usual transaction", "unusual transaction")</f>
        <v>usual transaction</v>
      </c>
      <c r="Q2321" s="6" t="str">
        <f>IF(AND(Table1[[#This Row],[Country_of_Residence]]&lt;&gt;Table1[[#This Row],[Country_of_Transaction]], OR(Table1[[#This Row],[Authentication_Type]]="Biometric", Table1[[#This Row],[Authentication_Type]]="OTP")), "safe location transaction", "unsafe location transaction")</f>
        <v>safe location transaction</v>
      </c>
      <c r="R2321" s="6" t="str">
        <f>IF(AND(Table1[[#This Row],[Country_of_Residence]]&lt;&gt;Table1[[#This Row],[Country_of_Transaction]], OR(Table1[[#This Row],[Merchant_Category]]="Electronics", Table1[[#This Row],[Merchant_Category]]="Travel")), "unsafe merchant transaction", "safe merchant transaction")</f>
        <v>safe merchant transaction</v>
      </c>
    </row>
    <row r="2322" spans="1:18">
      <c r="A2322" t="s">
        <v>4376</v>
      </c>
      <c r="B2322" t="s">
        <v>333</v>
      </c>
      <c r="C2322">
        <v>1</v>
      </c>
      <c r="D2322" t="s">
        <v>9</v>
      </c>
      <c r="E2322" t="s">
        <v>6</v>
      </c>
      <c r="F2322" s="2">
        <v>45840</v>
      </c>
      <c r="G2322">
        <v>4356.6000000000004</v>
      </c>
      <c r="H2322" s="1">
        <f>AVERAGEIF(Table1[Customer_ID], Table1[[#This Row],[Customer_ID]], Table1[Transaction_Amount])</f>
        <v>4968.4877358490576</v>
      </c>
      <c r="I2322" t="s">
        <v>1876</v>
      </c>
      <c r="J2322" t="s">
        <v>31</v>
      </c>
      <c r="K2322" t="s">
        <v>8</v>
      </c>
      <c r="L2322">
        <v>5</v>
      </c>
      <c r="M2322" t="s">
        <v>37</v>
      </c>
      <c r="N2322" t="s">
        <v>37</v>
      </c>
      <c r="O2322" t="s">
        <v>392</v>
      </c>
      <c r="P2322" s="6" t="str">
        <f>IF(Table1[[#This Row],[Transaction_Amount]]&lt;=Table1[[#This Row],[avg_transaction_amount]], "usual transaction", "unusual transaction")</f>
        <v>usual transaction</v>
      </c>
      <c r="Q2322" s="6" t="str">
        <f>IF(AND(Table1[[#This Row],[Country_of_Residence]]&lt;&gt;Table1[[#This Row],[Country_of_Transaction]], OR(Table1[[#This Row],[Authentication_Type]]="Biometric", Table1[[#This Row],[Authentication_Type]]="OTP")), "safe location transaction", "unsafe location transaction")</f>
        <v>unsafe location transaction</v>
      </c>
      <c r="R2322" s="6" t="str">
        <f>IF(AND(Table1[[#This Row],[Country_of_Residence]]&lt;&gt;Table1[[#This Row],[Country_of_Transaction]], OR(Table1[[#This Row],[Merchant_Category]]="Electronics", Table1[[#This Row],[Merchant_Category]]="Travel")), "unsafe merchant transaction", "safe merchant transaction")</f>
        <v>safe merchant transaction</v>
      </c>
    </row>
    <row r="2323" spans="1:18">
      <c r="A2323" t="s">
        <v>4434</v>
      </c>
      <c r="B2323" t="s">
        <v>333</v>
      </c>
      <c r="C2323">
        <v>1</v>
      </c>
      <c r="D2323" t="s">
        <v>15</v>
      </c>
      <c r="E2323" t="s">
        <v>6</v>
      </c>
      <c r="F2323" s="2">
        <v>45822</v>
      </c>
      <c r="G2323">
        <v>5059.3900000000003</v>
      </c>
      <c r="H2323" s="1">
        <f>AVERAGEIF(Table1[Customer_ID], Table1[[#This Row],[Customer_ID]], Table1[Transaction_Amount])</f>
        <v>4968.4877358490576</v>
      </c>
      <c r="I2323" t="s">
        <v>1928</v>
      </c>
      <c r="J2323" t="s">
        <v>36</v>
      </c>
      <c r="K2323" t="s">
        <v>12</v>
      </c>
      <c r="L2323">
        <v>3</v>
      </c>
      <c r="M2323" t="s">
        <v>42</v>
      </c>
      <c r="N2323" t="s">
        <v>412</v>
      </c>
      <c r="O2323" t="s">
        <v>393</v>
      </c>
      <c r="P2323" s="6" t="str">
        <f>IF(Table1[[#This Row],[Transaction_Amount]]&lt;=Table1[[#This Row],[avg_transaction_amount]], "usual transaction", "unusual transaction")</f>
        <v>unusual transaction</v>
      </c>
      <c r="Q2323" s="6" t="str">
        <f>IF(AND(Table1[[#This Row],[Country_of_Residence]]&lt;&gt;Table1[[#This Row],[Country_of_Transaction]], OR(Table1[[#This Row],[Authentication_Type]]="Biometric", Table1[[#This Row],[Authentication_Type]]="OTP")), "safe location transaction", "unsafe location transaction")</f>
        <v>unsafe location transaction</v>
      </c>
      <c r="R2323" s="6" t="str">
        <f>IF(AND(Table1[[#This Row],[Country_of_Residence]]&lt;&gt;Table1[[#This Row],[Country_of_Transaction]], OR(Table1[[#This Row],[Merchant_Category]]="Electronics", Table1[[#This Row],[Merchant_Category]]="Travel")), "unsafe merchant transaction", "safe merchant transaction")</f>
        <v>safe merchant transaction</v>
      </c>
    </row>
    <row r="2324" spans="1:18">
      <c r="A2324" t="s">
        <v>4473</v>
      </c>
      <c r="B2324" t="s">
        <v>333</v>
      </c>
      <c r="C2324">
        <v>1</v>
      </c>
      <c r="D2324" t="s">
        <v>9</v>
      </c>
      <c r="E2324" t="s">
        <v>6</v>
      </c>
      <c r="F2324" s="2">
        <v>46002</v>
      </c>
      <c r="G2324">
        <v>7586.23</v>
      </c>
      <c r="H2324" s="1">
        <f>AVERAGEIF(Table1[Customer_ID], Table1[[#This Row],[Customer_ID]], Table1[Transaction_Amount])</f>
        <v>4968.4877358490576</v>
      </c>
      <c r="I2324" t="s">
        <v>1964</v>
      </c>
      <c r="J2324" t="s">
        <v>50</v>
      </c>
      <c r="K2324" t="s">
        <v>12</v>
      </c>
      <c r="L2324">
        <v>2</v>
      </c>
      <c r="M2324" t="s">
        <v>56</v>
      </c>
      <c r="N2324" t="s">
        <v>42</v>
      </c>
      <c r="O2324" t="s">
        <v>393</v>
      </c>
      <c r="P2324" s="6" t="str">
        <f>IF(Table1[[#This Row],[Transaction_Amount]]&lt;=Table1[[#This Row],[avg_transaction_amount]], "usual transaction", "unusual transaction")</f>
        <v>unusual transaction</v>
      </c>
      <c r="Q2324" s="6" t="str">
        <f>IF(AND(Table1[[#This Row],[Country_of_Residence]]&lt;&gt;Table1[[#This Row],[Country_of_Transaction]], OR(Table1[[#This Row],[Authentication_Type]]="Biometric", Table1[[#This Row],[Authentication_Type]]="OTP")), "safe location transaction", "unsafe location transaction")</f>
        <v>unsafe location transaction</v>
      </c>
      <c r="R2324" s="6" t="str">
        <f>IF(AND(Table1[[#This Row],[Country_of_Residence]]&lt;&gt;Table1[[#This Row],[Country_of_Transaction]], OR(Table1[[#This Row],[Merchant_Category]]="Electronics", Table1[[#This Row],[Merchant_Category]]="Travel")), "unsafe merchant transaction", "safe merchant transaction")</f>
        <v>unsafe merchant transaction</v>
      </c>
    </row>
    <row r="2325" spans="1:18">
      <c r="A2325" t="s">
        <v>4533</v>
      </c>
      <c r="B2325" t="s">
        <v>333</v>
      </c>
      <c r="C2325">
        <v>1</v>
      </c>
      <c r="D2325" t="s">
        <v>15</v>
      </c>
      <c r="E2325" t="s">
        <v>6</v>
      </c>
      <c r="F2325" s="2">
        <v>45911</v>
      </c>
      <c r="G2325">
        <v>4755.5200000000004</v>
      </c>
      <c r="H2325" s="1">
        <f>AVERAGEIF(Table1[Customer_ID], Table1[[#This Row],[Customer_ID]], Table1[Transaction_Amount])</f>
        <v>4968.4877358490576</v>
      </c>
      <c r="I2325" t="s">
        <v>2012</v>
      </c>
      <c r="J2325" t="s">
        <v>36</v>
      </c>
      <c r="K2325" t="s">
        <v>8</v>
      </c>
      <c r="L2325">
        <v>2</v>
      </c>
      <c r="M2325" t="s">
        <v>33</v>
      </c>
      <c r="N2325" t="s">
        <v>42</v>
      </c>
      <c r="O2325" t="s">
        <v>393</v>
      </c>
      <c r="P2325" s="6" t="str">
        <f>IF(Table1[[#This Row],[Transaction_Amount]]&lt;=Table1[[#This Row],[avg_transaction_amount]], "usual transaction", "unusual transaction")</f>
        <v>usual transaction</v>
      </c>
      <c r="Q2325" s="6" t="str">
        <f>IF(AND(Table1[[#This Row],[Country_of_Residence]]&lt;&gt;Table1[[#This Row],[Country_of_Transaction]], OR(Table1[[#This Row],[Authentication_Type]]="Biometric", Table1[[#This Row],[Authentication_Type]]="OTP")), "safe location transaction", "unsafe location transaction")</f>
        <v>safe location transaction</v>
      </c>
      <c r="R2325" s="6" t="str">
        <f>IF(AND(Table1[[#This Row],[Country_of_Residence]]&lt;&gt;Table1[[#This Row],[Country_of_Transaction]], OR(Table1[[#This Row],[Merchant_Category]]="Electronics", Table1[[#This Row],[Merchant_Category]]="Travel")), "unsafe merchant transaction", "safe merchant transaction")</f>
        <v>safe merchant transaction</v>
      </c>
    </row>
    <row r="2326" spans="1:18">
      <c r="A2326" t="s">
        <v>4597</v>
      </c>
      <c r="B2326" t="s">
        <v>333</v>
      </c>
      <c r="C2326">
        <v>1</v>
      </c>
      <c r="D2326" t="s">
        <v>9</v>
      </c>
      <c r="E2326" t="s">
        <v>3</v>
      </c>
      <c r="F2326" s="2">
        <v>45938</v>
      </c>
      <c r="G2326">
        <v>1083.6500000000001</v>
      </c>
      <c r="H2326" s="1">
        <f>AVERAGEIF(Table1[Customer_ID], Table1[[#This Row],[Customer_ID]], Table1[Transaction_Amount])</f>
        <v>4968.4877358490576</v>
      </c>
      <c r="I2326" t="s">
        <v>2065</v>
      </c>
      <c r="J2326" t="s">
        <v>31</v>
      </c>
      <c r="K2326" t="s">
        <v>8</v>
      </c>
      <c r="L2326">
        <v>5</v>
      </c>
      <c r="M2326" t="s">
        <v>33</v>
      </c>
      <c r="N2326" t="s">
        <v>51</v>
      </c>
      <c r="O2326" t="s">
        <v>393</v>
      </c>
      <c r="P2326" s="6" t="str">
        <f>IF(Table1[[#This Row],[Transaction_Amount]]&lt;=Table1[[#This Row],[avg_transaction_amount]], "usual transaction", "unusual transaction")</f>
        <v>usual transaction</v>
      </c>
      <c r="Q2326" s="6" t="str">
        <f>IF(AND(Table1[[#This Row],[Country_of_Residence]]&lt;&gt;Table1[[#This Row],[Country_of_Transaction]], OR(Table1[[#This Row],[Authentication_Type]]="Biometric", Table1[[#This Row],[Authentication_Type]]="OTP")), "safe location transaction", "unsafe location transaction")</f>
        <v>safe location transaction</v>
      </c>
      <c r="R2326" s="6" t="str">
        <f>IF(AND(Table1[[#This Row],[Country_of_Residence]]&lt;&gt;Table1[[#This Row],[Country_of_Transaction]], OR(Table1[[#This Row],[Merchant_Category]]="Electronics", Table1[[#This Row],[Merchant_Category]]="Travel")), "unsafe merchant transaction", "safe merchant transaction")</f>
        <v>safe merchant transaction</v>
      </c>
    </row>
    <row r="2327" spans="1:18">
      <c r="A2327" t="s">
        <v>4607</v>
      </c>
      <c r="B2327" t="s">
        <v>333</v>
      </c>
      <c r="C2327">
        <v>1</v>
      </c>
      <c r="D2327" t="s">
        <v>9</v>
      </c>
      <c r="E2327" t="s">
        <v>5</v>
      </c>
      <c r="F2327" s="2">
        <v>45748</v>
      </c>
      <c r="G2327">
        <v>9053.86</v>
      </c>
      <c r="H2327" s="1">
        <f>AVERAGEIF(Table1[Customer_ID], Table1[[#This Row],[Customer_ID]], Table1[Transaction_Amount])</f>
        <v>4968.4877358490576</v>
      </c>
      <c r="I2327" t="s">
        <v>2071</v>
      </c>
      <c r="J2327" t="s">
        <v>46</v>
      </c>
      <c r="K2327" t="s">
        <v>14</v>
      </c>
      <c r="L2327">
        <v>3</v>
      </c>
      <c r="M2327" t="s">
        <v>32</v>
      </c>
      <c r="N2327" t="s">
        <v>51</v>
      </c>
      <c r="O2327" t="s">
        <v>392</v>
      </c>
      <c r="P2327" s="6" t="str">
        <f>IF(Table1[[#This Row],[Transaction_Amount]]&lt;=Table1[[#This Row],[avg_transaction_amount]], "usual transaction", "unusual transaction")</f>
        <v>unusual transaction</v>
      </c>
      <c r="Q2327" s="6" t="str">
        <f>IF(AND(Table1[[#This Row],[Country_of_Residence]]&lt;&gt;Table1[[#This Row],[Country_of_Transaction]], OR(Table1[[#This Row],[Authentication_Type]]="Biometric", Table1[[#This Row],[Authentication_Type]]="OTP")), "safe location transaction", "unsafe location transaction")</f>
        <v>unsafe location transaction</v>
      </c>
      <c r="R2327" s="6" t="str">
        <f>IF(AND(Table1[[#This Row],[Country_of_Residence]]&lt;&gt;Table1[[#This Row],[Country_of_Transaction]], OR(Table1[[#This Row],[Merchant_Category]]="Electronics", Table1[[#This Row],[Merchant_Category]]="Travel")), "unsafe merchant transaction", "safe merchant transaction")</f>
        <v>safe merchant transaction</v>
      </c>
    </row>
    <row r="2328" spans="1:18">
      <c r="A2328" t="s">
        <v>4641</v>
      </c>
      <c r="B2328" t="s">
        <v>333</v>
      </c>
      <c r="C2328">
        <v>1</v>
      </c>
      <c r="D2328" t="s">
        <v>9</v>
      </c>
      <c r="E2328" t="s">
        <v>3</v>
      </c>
      <c r="F2328" s="2">
        <v>45964</v>
      </c>
      <c r="G2328">
        <v>7017.08</v>
      </c>
      <c r="H2328" s="1">
        <f>AVERAGEIF(Table1[Customer_ID], Table1[[#This Row],[Customer_ID]], Table1[Transaction_Amount])</f>
        <v>4968.4877358490576</v>
      </c>
      <c r="I2328" t="s">
        <v>2102</v>
      </c>
      <c r="J2328" t="s">
        <v>46</v>
      </c>
      <c r="K2328" t="s">
        <v>10</v>
      </c>
      <c r="L2328">
        <v>1</v>
      </c>
      <c r="M2328" t="s">
        <v>33</v>
      </c>
      <c r="N2328" t="s">
        <v>412</v>
      </c>
      <c r="O2328" t="s">
        <v>392</v>
      </c>
      <c r="P2328" s="6" t="str">
        <f>IF(Table1[[#This Row],[Transaction_Amount]]&lt;=Table1[[#This Row],[avg_transaction_amount]], "usual transaction", "unusual transaction")</f>
        <v>unusual transaction</v>
      </c>
      <c r="Q2328" s="6" t="str">
        <f>IF(AND(Table1[[#This Row],[Country_of_Residence]]&lt;&gt;Table1[[#This Row],[Country_of_Transaction]], OR(Table1[[#This Row],[Authentication_Type]]="Biometric", Table1[[#This Row],[Authentication_Type]]="OTP")), "safe location transaction", "unsafe location transaction")</f>
        <v>safe location transaction</v>
      </c>
      <c r="R2328" s="6" t="str">
        <f>IF(AND(Table1[[#This Row],[Country_of_Residence]]&lt;&gt;Table1[[#This Row],[Country_of_Transaction]], OR(Table1[[#This Row],[Merchant_Category]]="Electronics", Table1[[#This Row],[Merchant_Category]]="Travel")), "unsafe merchant transaction", "safe merchant transaction")</f>
        <v>safe merchant transaction</v>
      </c>
    </row>
    <row r="2329" spans="1:18">
      <c r="A2329" t="s">
        <v>4650</v>
      </c>
      <c r="B2329" t="s">
        <v>333</v>
      </c>
      <c r="C2329">
        <v>1</v>
      </c>
      <c r="D2329" t="s">
        <v>9</v>
      </c>
      <c r="E2329" t="s">
        <v>5</v>
      </c>
      <c r="F2329" s="2">
        <v>45893</v>
      </c>
      <c r="G2329">
        <v>6148.05</v>
      </c>
      <c r="H2329" s="1">
        <f>AVERAGEIF(Table1[Customer_ID], Table1[[#This Row],[Customer_ID]], Table1[Transaction_Amount])</f>
        <v>4968.4877358490576</v>
      </c>
      <c r="I2329" t="s">
        <v>1382</v>
      </c>
      <c r="J2329" t="s">
        <v>50</v>
      </c>
      <c r="K2329" t="s">
        <v>10</v>
      </c>
      <c r="L2329">
        <v>4</v>
      </c>
      <c r="M2329" t="s">
        <v>37</v>
      </c>
      <c r="N2329" t="s">
        <v>42</v>
      </c>
      <c r="O2329" t="s">
        <v>392</v>
      </c>
      <c r="P2329" s="6" t="str">
        <f>IF(Table1[[#This Row],[Transaction_Amount]]&lt;=Table1[[#This Row],[avg_transaction_amount]], "usual transaction", "unusual transaction")</f>
        <v>unusual transaction</v>
      </c>
      <c r="Q2329" s="6" t="str">
        <f>IF(AND(Table1[[#This Row],[Country_of_Residence]]&lt;&gt;Table1[[#This Row],[Country_of_Transaction]], OR(Table1[[#This Row],[Authentication_Type]]="Biometric", Table1[[#This Row],[Authentication_Type]]="OTP")), "safe location transaction", "unsafe location transaction")</f>
        <v>safe location transaction</v>
      </c>
      <c r="R2329" s="6" t="str">
        <f>IF(AND(Table1[[#This Row],[Country_of_Residence]]&lt;&gt;Table1[[#This Row],[Country_of_Transaction]], OR(Table1[[#This Row],[Merchant_Category]]="Electronics", Table1[[#This Row],[Merchant_Category]]="Travel")), "unsafe merchant transaction", "safe merchant transaction")</f>
        <v>unsafe merchant transaction</v>
      </c>
    </row>
    <row r="2330" spans="1:18">
      <c r="A2330" t="s">
        <v>4906</v>
      </c>
      <c r="B2330" t="s">
        <v>333</v>
      </c>
      <c r="C2330">
        <v>1</v>
      </c>
      <c r="D2330" t="s">
        <v>9</v>
      </c>
      <c r="E2330" t="s">
        <v>6</v>
      </c>
      <c r="F2330" s="2">
        <v>45863</v>
      </c>
      <c r="G2330">
        <v>9018.2199999999993</v>
      </c>
      <c r="H2330" s="1">
        <f>AVERAGEIF(Table1[Customer_ID], Table1[[#This Row],[Customer_ID]], Table1[Transaction_Amount])</f>
        <v>4968.4877358490576</v>
      </c>
      <c r="I2330" t="s">
        <v>2132</v>
      </c>
      <c r="J2330" t="s">
        <v>46</v>
      </c>
      <c r="K2330" t="s">
        <v>10</v>
      </c>
      <c r="L2330">
        <v>3</v>
      </c>
      <c r="M2330" t="s">
        <v>412</v>
      </c>
      <c r="N2330" t="s">
        <v>33</v>
      </c>
      <c r="O2330" t="s">
        <v>393</v>
      </c>
      <c r="P2330" s="6" t="str">
        <f>IF(Table1[[#This Row],[Transaction_Amount]]&lt;=Table1[[#This Row],[avg_transaction_amount]], "usual transaction", "unusual transaction")</f>
        <v>unusual transaction</v>
      </c>
      <c r="Q2330" s="6" t="str">
        <f>IF(AND(Table1[[#This Row],[Country_of_Residence]]&lt;&gt;Table1[[#This Row],[Country_of_Transaction]], OR(Table1[[#This Row],[Authentication_Type]]="Biometric", Table1[[#This Row],[Authentication_Type]]="OTP")), "safe location transaction", "unsafe location transaction")</f>
        <v>safe location transaction</v>
      </c>
      <c r="R2330" s="6" t="str">
        <f>IF(AND(Table1[[#This Row],[Country_of_Residence]]&lt;&gt;Table1[[#This Row],[Country_of_Transaction]], OR(Table1[[#This Row],[Merchant_Category]]="Electronics", Table1[[#This Row],[Merchant_Category]]="Travel")), "unsafe merchant transaction", "safe merchant transaction")</f>
        <v>safe merchant transaction</v>
      </c>
    </row>
    <row r="2331" spans="1:18">
      <c r="A2331" t="s">
        <v>4914</v>
      </c>
      <c r="B2331" t="s">
        <v>333</v>
      </c>
      <c r="C2331">
        <v>1</v>
      </c>
      <c r="D2331" t="s">
        <v>15</v>
      </c>
      <c r="E2331" t="s">
        <v>6</v>
      </c>
      <c r="F2331" s="2">
        <v>45773</v>
      </c>
      <c r="G2331">
        <v>7637.46</v>
      </c>
      <c r="H2331" s="1">
        <f>AVERAGEIF(Table1[Customer_ID], Table1[[#This Row],[Customer_ID]], Table1[Transaction_Amount])</f>
        <v>4968.4877358490576</v>
      </c>
      <c r="I2331" t="s">
        <v>2309</v>
      </c>
      <c r="J2331" t="s">
        <v>41</v>
      </c>
      <c r="K2331" t="s">
        <v>8</v>
      </c>
      <c r="L2331">
        <v>5</v>
      </c>
      <c r="M2331" t="s">
        <v>47</v>
      </c>
      <c r="N2331" t="s">
        <v>51</v>
      </c>
      <c r="O2331" t="s">
        <v>393</v>
      </c>
      <c r="P2331" s="6" t="str">
        <f>IF(Table1[[#This Row],[Transaction_Amount]]&lt;=Table1[[#This Row],[avg_transaction_amount]], "usual transaction", "unusual transaction")</f>
        <v>unusual transaction</v>
      </c>
      <c r="Q2331" s="6" t="str">
        <f>IF(AND(Table1[[#This Row],[Country_of_Residence]]&lt;&gt;Table1[[#This Row],[Country_of_Transaction]], OR(Table1[[#This Row],[Authentication_Type]]="Biometric", Table1[[#This Row],[Authentication_Type]]="OTP")), "safe location transaction", "unsafe location transaction")</f>
        <v>safe location transaction</v>
      </c>
      <c r="R2331" s="6" t="str">
        <f>IF(AND(Table1[[#This Row],[Country_of_Residence]]&lt;&gt;Table1[[#This Row],[Country_of_Transaction]], OR(Table1[[#This Row],[Merchant_Category]]="Electronics", Table1[[#This Row],[Merchant_Category]]="Travel")), "unsafe merchant transaction", "safe merchant transaction")</f>
        <v>safe merchant transaction</v>
      </c>
    </row>
    <row r="2332" spans="1:18">
      <c r="A2332" t="s">
        <v>4945</v>
      </c>
      <c r="B2332" t="s">
        <v>333</v>
      </c>
      <c r="C2332">
        <v>1</v>
      </c>
      <c r="D2332" t="s">
        <v>9</v>
      </c>
      <c r="E2332" t="s">
        <v>5</v>
      </c>
      <c r="F2332" s="2">
        <v>45976</v>
      </c>
      <c r="G2332">
        <v>3091.88</v>
      </c>
      <c r="H2332" s="1">
        <f>AVERAGEIF(Table1[Customer_ID], Table1[[#This Row],[Customer_ID]], Table1[Transaction_Amount])</f>
        <v>4968.4877358490576</v>
      </c>
      <c r="I2332" t="s">
        <v>2337</v>
      </c>
      <c r="J2332" t="s">
        <v>36</v>
      </c>
      <c r="K2332" t="s">
        <v>12</v>
      </c>
      <c r="L2332">
        <v>4</v>
      </c>
      <c r="M2332" t="s">
        <v>56</v>
      </c>
      <c r="N2332" t="s">
        <v>51</v>
      </c>
      <c r="O2332" t="s">
        <v>393</v>
      </c>
      <c r="P2332" s="6" t="str">
        <f>IF(Table1[[#This Row],[Transaction_Amount]]&lt;=Table1[[#This Row],[avg_transaction_amount]], "usual transaction", "unusual transaction")</f>
        <v>usual transaction</v>
      </c>
      <c r="Q2332" s="6" t="str">
        <f>IF(AND(Table1[[#This Row],[Country_of_Residence]]&lt;&gt;Table1[[#This Row],[Country_of_Transaction]], OR(Table1[[#This Row],[Authentication_Type]]="Biometric", Table1[[#This Row],[Authentication_Type]]="OTP")), "safe location transaction", "unsafe location transaction")</f>
        <v>unsafe location transaction</v>
      </c>
      <c r="R2332" s="6" t="str">
        <f>IF(AND(Table1[[#This Row],[Country_of_Residence]]&lt;&gt;Table1[[#This Row],[Country_of_Transaction]], OR(Table1[[#This Row],[Merchant_Category]]="Electronics", Table1[[#This Row],[Merchant_Category]]="Travel")), "unsafe merchant transaction", "safe merchant transaction")</f>
        <v>safe merchant transaction</v>
      </c>
    </row>
    <row r="2333" spans="1:18">
      <c r="A2333" t="s">
        <v>4976</v>
      </c>
      <c r="B2333" t="s">
        <v>333</v>
      </c>
      <c r="C2333">
        <v>1</v>
      </c>
      <c r="D2333" t="s">
        <v>15</v>
      </c>
      <c r="E2333" t="s">
        <v>3</v>
      </c>
      <c r="F2333" s="2">
        <v>45674</v>
      </c>
      <c r="G2333">
        <v>6575.42</v>
      </c>
      <c r="H2333" s="1">
        <f>AVERAGEIF(Table1[Customer_ID], Table1[[#This Row],[Customer_ID]], Table1[Transaction_Amount])</f>
        <v>4968.4877358490576</v>
      </c>
      <c r="I2333" t="s">
        <v>2360</v>
      </c>
      <c r="J2333" t="s">
        <v>41</v>
      </c>
      <c r="K2333" t="s">
        <v>14</v>
      </c>
      <c r="L2333">
        <v>3</v>
      </c>
      <c r="M2333" t="s">
        <v>51</v>
      </c>
      <c r="N2333" t="s">
        <v>55</v>
      </c>
      <c r="O2333" t="s">
        <v>392</v>
      </c>
      <c r="P2333" s="6" t="str">
        <f>IF(Table1[[#This Row],[Transaction_Amount]]&lt;=Table1[[#This Row],[avg_transaction_amount]], "usual transaction", "unusual transaction")</f>
        <v>unusual transaction</v>
      </c>
      <c r="Q2333" s="6" t="str">
        <f>IF(AND(Table1[[#This Row],[Country_of_Residence]]&lt;&gt;Table1[[#This Row],[Country_of_Transaction]], OR(Table1[[#This Row],[Authentication_Type]]="Biometric", Table1[[#This Row],[Authentication_Type]]="OTP")), "safe location transaction", "unsafe location transaction")</f>
        <v>unsafe location transaction</v>
      </c>
      <c r="R2333" s="6" t="str">
        <f>IF(AND(Table1[[#This Row],[Country_of_Residence]]&lt;&gt;Table1[[#This Row],[Country_of_Transaction]], OR(Table1[[#This Row],[Merchant_Category]]="Electronics", Table1[[#This Row],[Merchant_Category]]="Travel")), "unsafe merchant transaction", "safe merchant transaction")</f>
        <v>safe merchant transaction</v>
      </c>
    </row>
    <row r="2334" spans="1:18">
      <c r="A2334" t="s">
        <v>5031</v>
      </c>
      <c r="B2334" t="s">
        <v>333</v>
      </c>
      <c r="C2334">
        <v>1</v>
      </c>
      <c r="D2334" t="s">
        <v>15</v>
      </c>
      <c r="E2334" t="s">
        <v>420</v>
      </c>
      <c r="F2334" s="2">
        <v>45772</v>
      </c>
      <c r="G2334">
        <v>2564.8200000000002</v>
      </c>
      <c r="H2334" s="1">
        <f>AVERAGEIF(Table1[Customer_ID], Table1[[#This Row],[Customer_ID]], Table1[Transaction_Amount])</f>
        <v>4968.4877358490576</v>
      </c>
      <c r="I2334" t="s">
        <v>2403</v>
      </c>
      <c r="J2334" t="s">
        <v>31</v>
      </c>
      <c r="K2334" t="s">
        <v>8</v>
      </c>
      <c r="L2334">
        <v>5</v>
      </c>
      <c r="M2334" t="s">
        <v>33</v>
      </c>
      <c r="N2334" t="s">
        <v>33</v>
      </c>
      <c r="O2334" t="s">
        <v>392</v>
      </c>
      <c r="P2334" s="6" t="str">
        <f>IF(Table1[[#This Row],[Transaction_Amount]]&lt;=Table1[[#This Row],[avg_transaction_amount]], "usual transaction", "unusual transaction")</f>
        <v>usual transaction</v>
      </c>
      <c r="Q2334" s="6" t="str">
        <f>IF(AND(Table1[[#This Row],[Country_of_Residence]]&lt;&gt;Table1[[#This Row],[Country_of_Transaction]], OR(Table1[[#This Row],[Authentication_Type]]="Biometric", Table1[[#This Row],[Authentication_Type]]="OTP")), "safe location transaction", "unsafe location transaction")</f>
        <v>unsafe location transaction</v>
      </c>
      <c r="R2334" s="6" t="str">
        <f>IF(AND(Table1[[#This Row],[Country_of_Residence]]&lt;&gt;Table1[[#This Row],[Country_of_Transaction]], OR(Table1[[#This Row],[Merchant_Category]]="Electronics", Table1[[#This Row],[Merchant_Category]]="Travel")), "unsafe merchant transaction", "safe merchant transaction")</f>
        <v>safe merchant transaction</v>
      </c>
    </row>
    <row r="2335" spans="1:18">
      <c r="A2335" t="s">
        <v>5037</v>
      </c>
      <c r="B2335" t="s">
        <v>333</v>
      </c>
      <c r="C2335">
        <v>1</v>
      </c>
      <c r="D2335" t="s">
        <v>9</v>
      </c>
      <c r="E2335" t="s">
        <v>6</v>
      </c>
      <c r="F2335" s="2">
        <v>45952</v>
      </c>
      <c r="G2335">
        <v>2782.85</v>
      </c>
      <c r="H2335" s="1">
        <f>AVERAGEIF(Table1[Customer_ID], Table1[[#This Row],[Customer_ID]], Table1[Transaction_Amount])</f>
        <v>4968.4877358490576</v>
      </c>
      <c r="I2335" t="s">
        <v>2407</v>
      </c>
      <c r="J2335" t="s">
        <v>41</v>
      </c>
      <c r="K2335" t="s">
        <v>12</v>
      </c>
      <c r="L2335">
        <v>4</v>
      </c>
      <c r="M2335" t="s">
        <v>412</v>
      </c>
      <c r="N2335" t="s">
        <v>32</v>
      </c>
      <c r="O2335" t="s">
        <v>393</v>
      </c>
      <c r="P2335" s="6" t="str">
        <f>IF(Table1[[#This Row],[Transaction_Amount]]&lt;=Table1[[#This Row],[avg_transaction_amount]], "usual transaction", "unusual transaction")</f>
        <v>usual transaction</v>
      </c>
      <c r="Q2335" s="6" t="str">
        <f>IF(AND(Table1[[#This Row],[Country_of_Residence]]&lt;&gt;Table1[[#This Row],[Country_of_Transaction]], OR(Table1[[#This Row],[Authentication_Type]]="Biometric", Table1[[#This Row],[Authentication_Type]]="OTP")), "safe location transaction", "unsafe location transaction")</f>
        <v>unsafe location transaction</v>
      </c>
      <c r="R2335" s="6" t="str">
        <f>IF(AND(Table1[[#This Row],[Country_of_Residence]]&lt;&gt;Table1[[#This Row],[Country_of_Transaction]], OR(Table1[[#This Row],[Merchant_Category]]="Electronics", Table1[[#This Row],[Merchant_Category]]="Travel")), "unsafe merchant transaction", "safe merchant transaction")</f>
        <v>safe merchant transaction</v>
      </c>
    </row>
    <row r="2336" spans="1:18">
      <c r="A2336" t="s">
        <v>5168</v>
      </c>
      <c r="B2336" t="s">
        <v>333</v>
      </c>
      <c r="C2336">
        <v>1</v>
      </c>
      <c r="D2336" t="s">
        <v>9</v>
      </c>
      <c r="E2336" t="s">
        <v>5</v>
      </c>
      <c r="F2336" s="2">
        <v>45865</v>
      </c>
      <c r="G2336">
        <v>2172.0100000000002</v>
      </c>
      <c r="H2336" s="1">
        <f>AVERAGEIF(Table1[Customer_ID], Table1[[#This Row],[Customer_ID]], Table1[Transaction_Amount])</f>
        <v>4968.4877358490576</v>
      </c>
      <c r="I2336" t="s">
        <v>2504</v>
      </c>
      <c r="J2336" t="s">
        <v>41</v>
      </c>
      <c r="K2336" t="s">
        <v>10</v>
      </c>
      <c r="L2336">
        <v>5</v>
      </c>
      <c r="M2336" t="s">
        <v>55</v>
      </c>
      <c r="N2336" t="s">
        <v>412</v>
      </c>
      <c r="O2336" t="s">
        <v>392</v>
      </c>
      <c r="P2336" s="6" t="str">
        <f>IF(Table1[[#This Row],[Transaction_Amount]]&lt;=Table1[[#This Row],[avg_transaction_amount]], "usual transaction", "unusual transaction")</f>
        <v>usual transaction</v>
      </c>
      <c r="Q2336" s="6" t="str">
        <f>IF(AND(Table1[[#This Row],[Country_of_Residence]]&lt;&gt;Table1[[#This Row],[Country_of_Transaction]], OR(Table1[[#This Row],[Authentication_Type]]="Biometric", Table1[[#This Row],[Authentication_Type]]="OTP")), "safe location transaction", "unsafe location transaction")</f>
        <v>safe location transaction</v>
      </c>
      <c r="R2336" s="6" t="str">
        <f>IF(AND(Table1[[#This Row],[Country_of_Residence]]&lt;&gt;Table1[[#This Row],[Country_of_Transaction]], OR(Table1[[#This Row],[Merchant_Category]]="Electronics", Table1[[#This Row],[Merchant_Category]]="Travel")), "unsafe merchant transaction", "safe merchant transaction")</f>
        <v>safe merchant transaction</v>
      </c>
    </row>
    <row r="2337" spans="1:18">
      <c r="A2337" t="s">
        <v>5236</v>
      </c>
      <c r="B2337" t="s">
        <v>333</v>
      </c>
      <c r="C2337">
        <v>1</v>
      </c>
      <c r="D2337" t="s">
        <v>15</v>
      </c>
      <c r="E2337" t="s">
        <v>5</v>
      </c>
      <c r="F2337" s="2">
        <v>45759</v>
      </c>
      <c r="G2337">
        <v>3631.81</v>
      </c>
      <c r="H2337" s="1">
        <f>AVERAGEIF(Table1[Customer_ID], Table1[[#This Row],[Customer_ID]], Table1[Transaction_Amount])</f>
        <v>4968.4877358490576</v>
      </c>
      <c r="I2337" t="s">
        <v>2558</v>
      </c>
      <c r="J2337" t="s">
        <v>31</v>
      </c>
      <c r="K2337" t="s">
        <v>14</v>
      </c>
      <c r="L2337">
        <v>2</v>
      </c>
      <c r="M2337" t="s">
        <v>56</v>
      </c>
      <c r="N2337" t="s">
        <v>412</v>
      </c>
      <c r="O2337" t="s">
        <v>393</v>
      </c>
      <c r="P2337" s="6" t="str">
        <f>IF(Table1[[#This Row],[Transaction_Amount]]&lt;=Table1[[#This Row],[avg_transaction_amount]], "usual transaction", "unusual transaction")</f>
        <v>usual transaction</v>
      </c>
      <c r="Q2337" s="6" t="str">
        <f>IF(AND(Table1[[#This Row],[Country_of_Residence]]&lt;&gt;Table1[[#This Row],[Country_of_Transaction]], OR(Table1[[#This Row],[Authentication_Type]]="Biometric", Table1[[#This Row],[Authentication_Type]]="OTP")), "safe location transaction", "unsafe location transaction")</f>
        <v>unsafe location transaction</v>
      </c>
      <c r="R2337" s="6" t="str">
        <f>IF(AND(Table1[[#This Row],[Country_of_Residence]]&lt;&gt;Table1[[#This Row],[Country_of_Transaction]], OR(Table1[[#This Row],[Merchant_Category]]="Electronics", Table1[[#This Row],[Merchant_Category]]="Travel")), "unsafe merchant transaction", "safe merchant transaction")</f>
        <v>safe merchant transaction</v>
      </c>
    </row>
    <row r="2338" spans="1:18">
      <c r="A2338" t="s">
        <v>5251</v>
      </c>
      <c r="B2338" t="s">
        <v>333</v>
      </c>
      <c r="C2338">
        <v>1</v>
      </c>
      <c r="D2338" t="s">
        <v>15</v>
      </c>
      <c r="E2338" t="s">
        <v>420</v>
      </c>
      <c r="F2338" s="2">
        <v>45920</v>
      </c>
      <c r="G2338">
        <v>734.75</v>
      </c>
      <c r="H2338" s="1">
        <f>AVERAGEIF(Table1[Customer_ID], Table1[[#This Row],[Customer_ID]], Table1[Transaction_Amount])</f>
        <v>4968.4877358490576</v>
      </c>
      <c r="I2338" t="s">
        <v>2438</v>
      </c>
      <c r="J2338" t="s">
        <v>46</v>
      </c>
      <c r="K2338" t="s">
        <v>10</v>
      </c>
      <c r="L2338">
        <v>2</v>
      </c>
      <c r="M2338" t="s">
        <v>42</v>
      </c>
      <c r="N2338" t="s">
        <v>47</v>
      </c>
      <c r="O2338" t="s">
        <v>393</v>
      </c>
      <c r="P2338" s="6" t="str">
        <f>IF(Table1[[#This Row],[Transaction_Amount]]&lt;=Table1[[#This Row],[avg_transaction_amount]], "usual transaction", "unusual transaction")</f>
        <v>usual transaction</v>
      </c>
      <c r="Q2338" s="6" t="str">
        <f>IF(AND(Table1[[#This Row],[Country_of_Residence]]&lt;&gt;Table1[[#This Row],[Country_of_Transaction]], OR(Table1[[#This Row],[Authentication_Type]]="Biometric", Table1[[#This Row],[Authentication_Type]]="OTP")), "safe location transaction", "unsafe location transaction")</f>
        <v>safe location transaction</v>
      </c>
      <c r="R2338" s="6" t="str">
        <f>IF(AND(Table1[[#This Row],[Country_of_Residence]]&lt;&gt;Table1[[#This Row],[Country_of_Transaction]], OR(Table1[[#This Row],[Merchant_Category]]="Electronics", Table1[[#This Row],[Merchant_Category]]="Travel")), "unsafe merchant transaction", "safe merchant transaction")</f>
        <v>safe merchant transaction</v>
      </c>
    </row>
    <row r="2339" spans="1:18">
      <c r="A2339" t="s">
        <v>5281</v>
      </c>
      <c r="B2339" t="s">
        <v>333</v>
      </c>
      <c r="C2339">
        <v>1</v>
      </c>
      <c r="D2339" t="s">
        <v>9</v>
      </c>
      <c r="E2339" t="s">
        <v>420</v>
      </c>
      <c r="F2339" s="2">
        <v>45897</v>
      </c>
      <c r="G2339">
        <v>5835.19</v>
      </c>
      <c r="H2339" s="1">
        <f>AVERAGEIF(Table1[Customer_ID], Table1[[#This Row],[Customer_ID]], Table1[Transaction_Amount])</f>
        <v>4968.4877358490576</v>
      </c>
      <c r="I2339" t="s">
        <v>2589</v>
      </c>
      <c r="J2339" t="s">
        <v>50</v>
      </c>
      <c r="K2339" t="s">
        <v>8</v>
      </c>
      <c r="L2339">
        <v>3</v>
      </c>
      <c r="M2339" t="s">
        <v>412</v>
      </c>
      <c r="N2339" t="s">
        <v>55</v>
      </c>
      <c r="O2339" t="s">
        <v>392</v>
      </c>
      <c r="P2339" s="6" t="str">
        <f>IF(Table1[[#This Row],[Transaction_Amount]]&lt;=Table1[[#This Row],[avg_transaction_amount]], "usual transaction", "unusual transaction")</f>
        <v>unusual transaction</v>
      </c>
      <c r="Q2339" s="6" t="str">
        <f>IF(AND(Table1[[#This Row],[Country_of_Residence]]&lt;&gt;Table1[[#This Row],[Country_of_Transaction]], OR(Table1[[#This Row],[Authentication_Type]]="Biometric", Table1[[#This Row],[Authentication_Type]]="OTP")), "safe location transaction", "unsafe location transaction")</f>
        <v>safe location transaction</v>
      </c>
      <c r="R2339" s="6" t="str">
        <f>IF(AND(Table1[[#This Row],[Country_of_Residence]]&lt;&gt;Table1[[#This Row],[Country_of_Transaction]], OR(Table1[[#This Row],[Merchant_Category]]="Electronics", Table1[[#This Row],[Merchant_Category]]="Travel")), "unsafe merchant transaction", "safe merchant transaction")</f>
        <v>unsafe merchant transaction</v>
      </c>
    </row>
    <row r="2340" spans="1:18">
      <c r="A2340" t="s">
        <v>5360</v>
      </c>
      <c r="B2340" t="s">
        <v>333</v>
      </c>
      <c r="C2340">
        <v>1</v>
      </c>
      <c r="D2340" t="s">
        <v>15</v>
      </c>
      <c r="E2340" t="s">
        <v>6</v>
      </c>
      <c r="F2340" s="2">
        <v>45715</v>
      </c>
      <c r="G2340">
        <v>4755.1899999999996</v>
      </c>
      <c r="H2340" s="1">
        <f>AVERAGEIF(Table1[Customer_ID], Table1[[#This Row],[Customer_ID]], Table1[Transaction_Amount])</f>
        <v>4968.4877358490576</v>
      </c>
      <c r="I2340" t="s">
        <v>2651</v>
      </c>
      <c r="J2340" t="s">
        <v>50</v>
      </c>
      <c r="K2340" t="s">
        <v>8</v>
      </c>
      <c r="L2340">
        <v>2</v>
      </c>
      <c r="M2340" t="s">
        <v>47</v>
      </c>
      <c r="N2340" t="s">
        <v>47</v>
      </c>
      <c r="O2340" t="s">
        <v>392</v>
      </c>
      <c r="P2340" s="6" t="str">
        <f>IF(Table1[[#This Row],[Transaction_Amount]]&lt;=Table1[[#This Row],[avg_transaction_amount]], "usual transaction", "unusual transaction")</f>
        <v>usual transaction</v>
      </c>
      <c r="Q2340" s="6" t="str">
        <f>IF(AND(Table1[[#This Row],[Country_of_Residence]]&lt;&gt;Table1[[#This Row],[Country_of_Transaction]], OR(Table1[[#This Row],[Authentication_Type]]="Biometric", Table1[[#This Row],[Authentication_Type]]="OTP")), "safe location transaction", "unsafe location transaction")</f>
        <v>unsafe location transaction</v>
      </c>
      <c r="R2340" s="6" t="str">
        <f>IF(AND(Table1[[#This Row],[Country_of_Residence]]&lt;&gt;Table1[[#This Row],[Country_of_Transaction]], OR(Table1[[#This Row],[Merchant_Category]]="Electronics", Table1[[#This Row],[Merchant_Category]]="Travel")), "unsafe merchant transaction", "safe merchant transaction")</f>
        <v>safe merchant transaction</v>
      </c>
    </row>
    <row r="2341" spans="1:18">
      <c r="A2341" t="s">
        <v>5405</v>
      </c>
      <c r="B2341" t="s">
        <v>333</v>
      </c>
      <c r="C2341">
        <v>1</v>
      </c>
      <c r="D2341" t="s">
        <v>15</v>
      </c>
      <c r="E2341" t="s">
        <v>420</v>
      </c>
      <c r="F2341" s="2">
        <v>45690</v>
      </c>
      <c r="G2341">
        <v>8264.09</v>
      </c>
      <c r="H2341" s="1">
        <f>AVERAGEIF(Table1[Customer_ID], Table1[[#This Row],[Customer_ID]], Table1[Transaction_Amount])</f>
        <v>4968.4877358490576</v>
      </c>
      <c r="I2341" t="s">
        <v>2684</v>
      </c>
      <c r="J2341" t="s">
        <v>50</v>
      </c>
      <c r="K2341" t="s">
        <v>14</v>
      </c>
      <c r="L2341">
        <v>5</v>
      </c>
      <c r="M2341" t="s">
        <v>47</v>
      </c>
      <c r="N2341" t="s">
        <v>51</v>
      </c>
      <c r="O2341" t="s">
        <v>392</v>
      </c>
      <c r="P2341" s="6" t="str">
        <f>IF(Table1[[#This Row],[Transaction_Amount]]&lt;=Table1[[#This Row],[avg_transaction_amount]], "usual transaction", "unusual transaction")</f>
        <v>unusual transaction</v>
      </c>
      <c r="Q2341" s="6" t="str">
        <f>IF(AND(Table1[[#This Row],[Country_of_Residence]]&lt;&gt;Table1[[#This Row],[Country_of_Transaction]], OR(Table1[[#This Row],[Authentication_Type]]="Biometric", Table1[[#This Row],[Authentication_Type]]="OTP")), "safe location transaction", "unsafe location transaction")</f>
        <v>unsafe location transaction</v>
      </c>
      <c r="R2341" s="6" t="str">
        <f>IF(AND(Table1[[#This Row],[Country_of_Residence]]&lt;&gt;Table1[[#This Row],[Country_of_Transaction]], OR(Table1[[#This Row],[Merchant_Category]]="Electronics", Table1[[#This Row],[Merchant_Category]]="Travel")), "unsafe merchant transaction", "safe merchant transaction")</f>
        <v>unsafe merchant transaction</v>
      </c>
    </row>
    <row r="2342" spans="1:18">
      <c r="A2342" t="s">
        <v>5511</v>
      </c>
      <c r="B2342" t="s">
        <v>333</v>
      </c>
      <c r="C2342">
        <v>1</v>
      </c>
      <c r="D2342" t="s">
        <v>9</v>
      </c>
      <c r="E2342" t="s">
        <v>420</v>
      </c>
      <c r="F2342" s="2">
        <v>45914</v>
      </c>
      <c r="G2342">
        <v>1544.95</v>
      </c>
      <c r="H2342" s="1">
        <f>AVERAGEIF(Table1[Customer_ID], Table1[[#This Row],[Customer_ID]], Table1[Transaction_Amount])</f>
        <v>4968.4877358490576</v>
      </c>
      <c r="I2342" t="s">
        <v>2762</v>
      </c>
      <c r="J2342" t="s">
        <v>46</v>
      </c>
      <c r="K2342" t="s">
        <v>8</v>
      </c>
      <c r="L2342">
        <v>4</v>
      </c>
      <c r="M2342" t="s">
        <v>412</v>
      </c>
      <c r="N2342" t="s">
        <v>33</v>
      </c>
      <c r="O2342" t="s">
        <v>393</v>
      </c>
      <c r="P2342" s="6" t="str">
        <f>IF(Table1[[#This Row],[Transaction_Amount]]&lt;=Table1[[#This Row],[avg_transaction_amount]], "usual transaction", "unusual transaction")</f>
        <v>usual transaction</v>
      </c>
      <c r="Q2342" s="6" t="str">
        <f>IF(AND(Table1[[#This Row],[Country_of_Residence]]&lt;&gt;Table1[[#This Row],[Country_of_Transaction]], OR(Table1[[#This Row],[Authentication_Type]]="Biometric", Table1[[#This Row],[Authentication_Type]]="OTP")), "safe location transaction", "unsafe location transaction")</f>
        <v>safe location transaction</v>
      </c>
      <c r="R2342" s="6" t="str">
        <f>IF(AND(Table1[[#This Row],[Country_of_Residence]]&lt;&gt;Table1[[#This Row],[Country_of_Transaction]], OR(Table1[[#This Row],[Merchant_Category]]="Electronics", Table1[[#This Row],[Merchant_Category]]="Travel")), "unsafe merchant transaction", "safe merchant transaction")</f>
        <v>safe merchant transaction</v>
      </c>
    </row>
    <row r="2343" spans="1:18">
      <c r="A2343" t="s">
        <v>342</v>
      </c>
      <c r="B2343" t="s">
        <v>338</v>
      </c>
      <c r="C2343">
        <v>1</v>
      </c>
      <c r="D2343" t="s">
        <v>13</v>
      </c>
      <c r="E2343" t="s">
        <v>3</v>
      </c>
      <c r="F2343" s="2">
        <v>45679.888888888898</v>
      </c>
      <c r="G2343">
        <v>6169.94</v>
      </c>
      <c r="H2343" s="1">
        <f>AVERAGEIF(Table1[Customer_ID], Table1[[#This Row],[Customer_ID]], Table1[Transaction_Amount])</f>
        <v>4990.9810526315787</v>
      </c>
      <c r="I2343" t="s">
        <v>343</v>
      </c>
      <c r="J2343" t="s">
        <v>50</v>
      </c>
      <c r="K2343" t="s">
        <v>8</v>
      </c>
      <c r="L2343">
        <v>4</v>
      </c>
      <c r="M2343" t="s">
        <v>340</v>
      </c>
      <c r="N2343" t="s">
        <v>127</v>
      </c>
      <c r="O2343" t="s">
        <v>393</v>
      </c>
      <c r="P2343" t="str">
        <f>IF(Table1[[#This Row],[Transaction_Amount]]&lt;=Table1[[#This Row],[avg_transaction_amount]], "usual transaction", "unusual transaction")</f>
        <v>unusual transaction</v>
      </c>
      <c r="Q2343" t="str">
        <f>IF(AND(Table1[[#This Row],[Country_of_Residence]]&lt;&gt;Table1[[#This Row],[Country_of_Transaction]], OR(Table1[[#This Row],[Authentication_Type]]="Biometric", Table1[[#This Row],[Authentication_Type]]="OTP")), "safe location transaction", "unsafe location transaction")</f>
        <v>safe location transaction</v>
      </c>
      <c r="R2343" t="str">
        <f>IF(AND(Table1[[#This Row],[Country_of_Residence]]&lt;&gt;Table1[[#This Row],[Country_of_Transaction]], OR(Table1[[#This Row],[Merchant_Category]]="Electronics", Table1[[#This Row],[Merchant_Category]]="Travel")), "unsafe merchant transaction", "safe merchant transaction")</f>
        <v>unsafe merchant transaction</v>
      </c>
    </row>
    <row r="2344" spans="1:18">
      <c r="A2344" t="s">
        <v>337</v>
      </c>
      <c r="B2344" t="s">
        <v>338</v>
      </c>
      <c r="C2344">
        <v>1</v>
      </c>
      <c r="D2344" t="s">
        <v>13</v>
      </c>
      <c r="E2344" t="s">
        <v>5</v>
      </c>
      <c r="F2344" s="2">
        <v>45658.683333333298</v>
      </c>
      <c r="G2344">
        <v>4789</v>
      </c>
      <c r="H2344" s="1">
        <f>AVERAGEIF(Table1[Customer_ID], Table1[[#This Row],[Customer_ID]], Table1[Transaction_Amount])</f>
        <v>4990.9810526315787</v>
      </c>
      <c r="I2344" t="s">
        <v>339</v>
      </c>
      <c r="J2344" t="s">
        <v>46</v>
      </c>
      <c r="K2344" t="s">
        <v>8</v>
      </c>
      <c r="L2344">
        <v>5</v>
      </c>
      <c r="M2344" t="s">
        <v>340</v>
      </c>
      <c r="N2344" t="s">
        <v>341</v>
      </c>
      <c r="O2344" t="s">
        <v>393</v>
      </c>
      <c r="P2344" t="str">
        <f>IF(Table1[[#This Row],[Transaction_Amount]]&lt;=Table1[[#This Row],[avg_transaction_amount]], "usual transaction", "unusual transaction")</f>
        <v>usual transaction</v>
      </c>
      <c r="Q2344" t="str">
        <f>IF(AND(Table1[[#This Row],[Country_of_Residence]]&lt;&gt;Table1[[#This Row],[Country_of_Transaction]], OR(Table1[[#This Row],[Authentication_Type]]="Biometric", Table1[[#This Row],[Authentication_Type]]="OTP")), "safe location transaction", "unsafe location transaction")</f>
        <v>safe location transaction</v>
      </c>
      <c r="R2344" t="str">
        <f>IF(AND(Table1[[#This Row],[Country_of_Residence]]&lt;&gt;Table1[[#This Row],[Country_of_Transaction]], OR(Table1[[#This Row],[Merchant_Category]]="Electronics", Table1[[#This Row],[Merchant_Category]]="Travel")), "unsafe merchant transaction", "safe merchant transaction")</f>
        <v>safe merchant transaction</v>
      </c>
    </row>
    <row r="2345" spans="1:18">
      <c r="A2345" t="s">
        <v>344</v>
      </c>
      <c r="B2345" t="s">
        <v>338</v>
      </c>
      <c r="C2345">
        <v>1</v>
      </c>
      <c r="D2345" t="s">
        <v>15</v>
      </c>
      <c r="E2345" t="s">
        <v>5</v>
      </c>
      <c r="F2345" s="2">
        <v>45898.940277777801</v>
      </c>
      <c r="G2345">
        <v>9551.16</v>
      </c>
      <c r="H2345" s="1">
        <f>AVERAGEIF(Table1[Customer_ID], Table1[[#This Row],[Customer_ID]], Table1[Transaction_Amount])</f>
        <v>4990.9810526315787</v>
      </c>
      <c r="I2345" t="s">
        <v>345</v>
      </c>
      <c r="J2345" t="s">
        <v>50</v>
      </c>
      <c r="K2345" t="s">
        <v>12</v>
      </c>
      <c r="L2345">
        <v>4</v>
      </c>
      <c r="M2345" t="s">
        <v>340</v>
      </c>
      <c r="N2345" t="s">
        <v>122</v>
      </c>
      <c r="O2345" t="s">
        <v>393</v>
      </c>
      <c r="P2345" t="str">
        <f>IF(Table1[[#This Row],[Transaction_Amount]]&lt;=Table1[[#This Row],[avg_transaction_amount]], "usual transaction", "unusual transaction")</f>
        <v>unusual transaction</v>
      </c>
      <c r="Q2345" t="str">
        <f>IF(AND(Table1[[#This Row],[Country_of_Residence]]&lt;&gt;Table1[[#This Row],[Country_of_Transaction]], OR(Table1[[#This Row],[Authentication_Type]]="Biometric", Table1[[#This Row],[Authentication_Type]]="OTP")), "safe location transaction", "unsafe location transaction")</f>
        <v>unsafe location transaction</v>
      </c>
      <c r="R2345" t="str">
        <f>IF(AND(Table1[[#This Row],[Country_of_Residence]]&lt;&gt;Table1[[#This Row],[Country_of_Transaction]], OR(Table1[[#This Row],[Merchant_Category]]="Electronics", Table1[[#This Row],[Merchant_Category]]="Travel")), "unsafe merchant transaction", "safe merchant transaction")</f>
        <v>unsafe merchant transaction</v>
      </c>
    </row>
    <row r="2346" spans="1:18">
      <c r="A2346" t="s">
        <v>2814</v>
      </c>
      <c r="B2346" t="s">
        <v>338</v>
      </c>
      <c r="C2346">
        <v>1</v>
      </c>
      <c r="D2346" t="s">
        <v>15</v>
      </c>
      <c r="E2346" t="s">
        <v>3</v>
      </c>
      <c r="F2346" s="2">
        <v>45808</v>
      </c>
      <c r="G2346">
        <v>7132.83</v>
      </c>
      <c r="H2346" s="1">
        <f>AVERAGEIF(Table1[Customer_ID], Table1[[#This Row],[Customer_ID]], Table1[Transaction_Amount])</f>
        <v>4990.9810526315787</v>
      </c>
      <c r="I2346" t="s">
        <v>465</v>
      </c>
      <c r="J2346" t="s">
        <v>46</v>
      </c>
      <c r="K2346" t="s">
        <v>14</v>
      </c>
      <c r="L2346">
        <v>5</v>
      </c>
      <c r="M2346" t="s">
        <v>51</v>
      </c>
      <c r="N2346" t="s">
        <v>47</v>
      </c>
      <c r="O2346" t="s">
        <v>393</v>
      </c>
      <c r="P2346" s="6" t="str">
        <f>IF(Table1[[#This Row],[Transaction_Amount]]&lt;=Table1[[#This Row],[avg_transaction_amount]], "usual transaction", "unusual transaction")</f>
        <v>unusual transaction</v>
      </c>
      <c r="Q2346" s="6" t="str">
        <f>IF(AND(Table1[[#This Row],[Country_of_Residence]]&lt;&gt;Table1[[#This Row],[Country_of_Transaction]], OR(Table1[[#This Row],[Authentication_Type]]="Biometric", Table1[[#This Row],[Authentication_Type]]="OTP")), "safe location transaction", "unsafe location transaction")</f>
        <v>unsafe location transaction</v>
      </c>
      <c r="R2346" s="6" t="str">
        <f>IF(AND(Table1[[#This Row],[Country_of_Residence]]&lt;&gt;Table1[[#This Row],[Country_of_Transaction]], OR(Table1[[#This Row],[Merchant_Category]]="Electronics", Table1[[#This Row],[Merchant_Category]]="Travel")), "unsafe merchant transaction", "safe merchant transaction")</f>
        <v>safe merchant transaction</v>
      </c>
    </row>
    <row r="2347" spans="1:18">
      <c r="A2347" t="s">
        <v>2844</v>
      </c>
      <c r="B2347" t="s">
        <v>338</v>
      </c>
      <c r="C2347">
        <v>1</v>
      </c>
      <c r="D2347" t="s">
        <v>15</v>
      </c>
      <c r="E2347" t="s">
        <v>5</v>
      </c>
      <c r="F2347" s="2">
        <v>45910</v>
      </c>
      <c r="G2347">
        <v>4112.54</v>
      </c>
      <c r="H2347" s="1">
        <f>AVERAGEIF(Table1[Customer_ID], Table1[[#This Row],[Customer_ID]], Table1[Transaction_Amount])</f>
        <v>4990.9810526315787</v>
      </c>
      <c r="I2347" t="s">
        <v>495</v>
      </c>
      <c r="J2347" t="s">
        <v>46</v>
      </c>
      <c r="K2347" t="s">
        <v>12</v>
      </c>
      <c r="L2347">
        <v>3</v>
      </c>
      <c r="M2347" t="s">
        <v>47</v>
      </c>
      <c r="N2347" t="s">
        <v>51</v>
      </c>
      <c r="O2347" t="s">
        <v>393</v>
      </c>
      <c r="P2347" s="6" t="str">
        <f>IF(Table1[[#This Row],[Transaction_Amount]]&lt;=Table1[[#This Row],[avg_transaction_amount]], "usual transaction", "unusual transaction")</f>
        <v>usual transaction</v>
      </c>
      <c r="Q2347" s="6" t="str">
        <f>IF(AND(Table1[[#This Row],[Country_of_Residence]]&lt;&gt;Table1[[#This Row],[Country_of_Transaction]], OR(Table1[[#This Row],[Authentication_Type]]="Biometric", Table1[[#This Row],[Authentication_Type]]="OTP")), "safe location transaction", "unsafe location transaction")</f>
        <v>unsafe location transaction</v>
      </c>
      <c r="R2347" s="6" t="str">
        <f>IF(AND(Table1[[#This Row],[Country_of_Residence]]&lt;&gt;Table1[[#This Row],[Country_of_Transaction]], OR(Table1[[#This Row],[Merchant_Category]]="Electronics", Table1[[#This Row],[Merchant_Category]]="Travel")), "unsafe merchant transaction", "safe merchant transaction")</f>
        <v>safe merchant transaction</v>
      </c>
    </row>
    <row r="2348" spans="1:18">
      <c r="A2348" t="s">
        <v>3027</v>
      </c>
      <c r="B2348" t="s">
        <v>338</v>
      </c>
      <c r="C2348">
        <v>1</v>
      </c>
      <c r="D2348" t="s">
        <v>15</v>
      </c>
      <c r="E2348" t="s">
        <v>5</v>
      </c>
      <c r="F2348" s="2">
        <v>45969</v>
      </c>
      <c r="G2348">
        <v>1773.35</v>
      </c>
      <c r="H2348" s="1">
        <f>AVERAGEIF(Table1[Customer_ID], Table1[[#This Row],[Customer_ID]], Table1[Transaction_Amount])</f>
        <v>4990.9810526315787</v>
      </c>
      <c r="I2348" t="s">
        <v>674</v>
      </c>
      <c r="J2348" t="s">
        <v>36</v>
      </c>
      <c r="K2348" t="s">
        <v>8</v>
      </c>
      <c r="L2348">
        <v>2</v>
      </c>
      <c r="M2348" t="s">
        <v>47</v>
      </c>
      <c r="N2348" t="s">
        <v>37</v>
      </c>
      <c r="O2348" t="s">
        <v>392</v>
      </c>
      <c r="P2348" s="6" t="str">
        <f>IF(Table1[[#This Row],[Transaction_Amount]]&lt;=Table1[[#This Row],[avg_transaction_amount]], "usual transaction", "unusual transaction")</f>
        <v>usual transaction</v>
      </c>
      <c r="Q2348" s="6" t="str">
        <f>IF(AND(Table1[[#This Row],[Country_of_Residence]]&lt;&gt;Table1[[#This Row],[Country_of_Transaction]], OR(Table1[[#This Row],[Authentication_Type]]="Biometric", Table1[[#This Row],[Authentication_Type]]="OTP")), "safe location transaction", "unsafe location transaction")</f>
        <v>safe location transaction</v>
      </c>
      <c r="R2348" s="6" t="str">
        <f>IF(AND(Table1[[#This Row],[Country_of_Residence]]&lt;&gt;Table1[[#This Row],[Country_of_Transaction]], OR(Table1[[#This Row],[Merchant_Category]]="Electronics", Table1[[#This Row],[Merchant_Category]]="Travel")), "unsafe merchant transaction", "safe merchant transaction")</f>
        <v>safe merchant transaction</v>
      </c>
    </row>
    <row r="2349" spans="1:18">
      <c r="A2349" t="s">
        <v>3053</v>
      </c>
      <c r="B2349" t="s">
        <v>338</v>
      </c>
      <c r="C2349">
        <v>1</v>
      </c>
      <c r="D2349" t="s">
        <v>9</v>
      </c>
      <c r="E2349" t="s">
        <v>3</v>
      </c>
      <c r="F2349" s="2">
        <v>45772</v>
      </c>
      <c r="G2349">
        <v>6731.17</v>
      </c>
      <c r="H2349" s="1">
        <f>AVERAGEIF(Table1[Customer_ID], Table1[[#This Row],[Customer_ID]], Table1[Transaction_Amount])</f>
        <v>4990.9810526315787</v>
      </c>
      <c r="I2349" t="s">
        <v>698</v>
      </c>
      <c r="J2349" t="s">
        <v>41</v>
      </c>
      <c r="K2349" t="s">
        <v>8</v>
      </c>
      <c r="L2349">
        <v>5</v>
      </c>
      <c r="M2349" t="s">
        <v>51</v>
      </c>
      <c r="N2349" t="s">
        <v>47</v>
      </c>
      <c r="O2349" t="s">
        <v>392</v>
      </c>
      <c r="P2349" s="6" t="str">
        <f>IF(Table1[[#This Row],[Transaction_Amount]]&lt;=Table1[[#This Row],[avg_transaction_amount]], "usual transaction", "unusual transaction")</f>
        <v>unusual transaction</v>
      </c>
      <c r="Q2349" s="6" t="str">
        <f>IF(AND(Table1[[#This Row],[Country_of_Residence]]&lt;&gt;Table1[[#This Row],[Country_of_Transaction]], OR(Table1[[#This Row],[Authentication_Type]]="Biometric", Table1[[#This Row],[Authentication_Type]]="OTP")), "safe location transaction", "unsafe location transaction")</f>
        <v>safe location transaction</v>
      </c>
      <c r="R2349" s="6" t="str">
        <f>IF(AND(Table1[[#This Row],[Country_of_Residence]]&lt;&gt;Table1[[#This Row],[Country_of_Transaction]], OR(Table1[[#This Row],[Merchant_Category]]="Electronics", Table1[[#This Row],[Merchant_Category]]="Travel")), "unsafe merchant transaction", "safe merchant transaction")</f>
        <v>safe merchant transaction</v>
      </c>
    </row>
    <row r="2350" spans="1:18">
      <c r="A2350" t="s">
        <v>3190</v>
      </c>
      <c r="B2350" t="s">
        <v>338</v>
      </c>
      <c r="C2350">
        <v>1</v>
      </c>
      <c r="D2350" t="s">
        <v>15</v>
      </c>
      <c r="E2350" t="s">
        <v>3</v>
      </c>
      <c r="F2350" s="2">
        <v>45733</v>
      </c>
      <c r="G2350">
        <v>6618.64</v>
      </c>
      <c r="H2350" s="1">
        <f>AVERAGEIF(Table1[Customer_ID], Table1[[#This Row],[Customer_ID]], Table1[Transaction_Amount])</f>
        <v>4990.9810526315787</v>
      </c>
      <c r="I2350" t="s">
        <v>825</v>
      </c>
      <c r="J2350" t="s">
        <v>36</v>
      </c>
      <c r="K2350" t="s">
        <v>14</v>
      </c>
      <c r="L2350">
        <v>3</v>
      </c>
      <c r="M2350" t="s">
        <v>47</v>
      </c>
      <c r="N2350" t="s">
        <v>55</v>
      </c>
      <c r="O2350" t="s">
        <v>392</v>
      </c>
      <c r="P2350" s="6" t="str">
        <f>IF(Table1[[#This Row],[Transaction_Amount]]&lt;=Table1[[#This Row],[avg_transaction_amount]], "usual transaction", "unusual transaction")</f>
        <v>unusual transaction</v>
      </c>
      <c r="Q2350" s="6" t="str">
        <f>IF(AND(Table1[[#This Row],[Country_of_Residence]]&lt;&gt;Table1[[#This Row],[Country_of_Transaction]], OR(Table1[[#This Row],[Authentication_Type]]="Biometric", Table1[[#This Row],[Authentication_Type]]="OTP")), "safe location transaction", "unsafe location transaction")</f>
        <v>unsafe location transaction</v>
      </c>
      <c r="R2350" s="6" t="str">
        <f>IF(AND(Table1[[#This Row],[Country_of_Residence]]&lt;&gt;Table1[[#This Row],[Country_of_Transaction]], OR(Table1[[#This Row],[Merchant_Category]]="Electronics", Table1[[#This Row],[Merchant_Category]]="Travel")), "unsafe merchant transaction", "safe merchant transaction")</f>
        <v>safe merchant transaction</v>
      </c>
    </row>
    <row r="2351" spans="1:18">
      <c r="A2351" t="s">
        <v>3245</v>
      </c>
      <c r="B2351" t="s">
        <v>338</v>
      </c>
      <c r="C2351">
        <v>1</v>
      </c>
      <c r="D2351" t="s">
        <v>9</v>
      </c>
      <c r="E2351" t="s">
        <v>6</v>
      </c>
      <c r="F2351" s="2">
        <v>45947</v>
      </c>
      <c r="G2351">
        <v>7069.24</v>
      </c>
      <c r="H2351" s="1">
        <f>AVERAGEIF(Table1[Customer_ID], Table1[[#This Row],[Customer_ID]], Table1[Transaction_Amount])</f>
        <v>4990.9810526315787</v>
      </c>
      <c r="I2351" t="s">
        <v>876</v>
      </c>
      <c r="J2351" t="s">
        <v>50</v>
      </c>
      <c r="K2351" t="s">
        <v>10</v>
      </c>
      <c r="L2351">
        <v>5</v>
      </c>
      <c r="M2351" t="s">
        <v>47</v>
      </c>
      <c r="N2351" t="s">
        <v>412</v>
      </c>
      <c r="O2351" t="s">
        <v>392</v>
      </c>
      <c r="P2351" s="6" t="str">
        <f>IF(Table1[[#This Row],[Transaction_Amount]]&lt;=Table1[[#This Row],[avg_transaction_amount]], "usual transaction", "unusual transaction")</f>
        <v>unusual transaction</v>
      </c>
      <c r="Q2351" s="6" t="str">
        <f>IF(AND(Table1[[#This Row],[Country_of_Residence]]&lt;&gt;Table1[[#This Row],[Country_of_Transaction]], OR(Table1[[#This Row],[Authentication_Type]]="Biometric", Table1[[#This Row],[Authentication_Type]]="OTP")), "safe location transaction", "unsafe location transaction")</f>
        <v>safe location transaction</v>
      </c>
      <c r="R2351" s="6" t="str">
        <f>IF(AND(Table1[[#This Row],[Country_of_Residence]]&lt;&gt;Table1[[#This Row],[Country_of_Transaction]], OR(Table1[[#This Row],[Merchant_Category]]="Electronics", Table1[[#This Row],[Merchant_Category]]="Travel")), "unsafe merchant transaction", "safe merchant transaction")</f>
        <v>unsafe merchant transaction</v>
      </c>
    </row>
    <row r="2352" spans="1:18">
      <c r="A2352" t="s">
        <v>3367</v>
      </c>
      <c r="B2352" t="s">
        <v>338</v>
      </c>
      <c r="C2352">
        <v>1</v>
      </c>
      <c r="D2352" t="s">
        <v>9</v>
      </c>
      <c r="E2352" t="s">
        <v>5</v>
      </c>
      <c r="F2352" s="2">
        <v>45958</v>
      </c>
      <c r="G2352">
        <v>9378.9699999999993</v>
      </c>
      <c r="H2352" s="1">
        <f>AVERAGEIF(Table1[Customer_ID], Table1[[#This Row],[Customer_ID]], Table1[Transaction_Amount])</f>
        <v>4990.9810526315787</v>
      </c>
      <c r="I2352" t="s">
        <v>991</v>
      </c>
      <c r="J2352" t="s">
        <v>31</v>
      </c>
      <c r="K2352" t="s">
        <v>10</v>
      </c>
      <c r="L2352">
        <v>4</v>
      </c>
      <c r="M2352" t="s">
        <v>32</v>
      </c>
      <c r="N2352" t="s">
        <v>55</v>
      </c>
      <c r="O2352" t="s">
        <v>392</v>
      </c>
      <c r="P2352" s="6" t="str">
        <f>IF(Table1[[#This Row],[Transaction_Amount]]&lt;=Table1[[#This Row],[avg_transaction_amount]], "usual transaction", "unusual transaction")</f>
        <v>unusual transaction</v>
      </c>
      <c r="Q2352" s="6" t="str">
        <f>IF(AND(Table1[[#This Row],[Country_of_Residence]]&lt;&gt;Table1[[#This Row],[Country_of_Transaction]], OR(Table1[[#This Row],[Authentication_Type]]="Biometric", Table1[[#This Row],[Authentication_Type]]="OTP")), "safe location transaction", "unsafe location transaction")</f>
        <v>safe location transaction</v>
      </c>
      <c r="R2352" s="6" t="str">
        <f>IF(AND(Table1[[#This Row],[Country_of_Residence]]&lt;&gt;Table1[[#This Row],[Country_of_Transaction]], OR(Table1[[#This Row],[Merchant_Category]]="Electronics", Table1[[#This Row],[Merchant_Category]]="Travel")), "unsafe merchant transaction", "safe merchant transaction")</f>
        <v>safe merchant transaction</v>
      </c>
    </row>
    <row r="2353" spans="1:18">
      <c r="A2353" t="s">
        <v>3442</v>
      </c>
      <c r="B2353" t="s">
        <v>338</v>
      </c>
      <c r="C2353">
        <v>1</v>
      </c>
      <c r="D2353" t="s">
        <v>15</v>
      </c>
      <c r="E2353" t="s">
        <v>3</v>
      </c>
      <c r="F2353" s="2">
        <v>45824</v>
      </c>
      <c r="G2353">
        <v>7042.23</v>
      </c>
      <c r="H2353" s="1">
        <f>AVERAGEIF(Table1[Customer_ID], Table1[[#This Row],[Customer_ID]], Table1[Transaction_Amount])</f>
        <v>4990.9810526315787</v>
      </c>
      <c r="I2353" t="s">
        <v>1061</v>
      </c>
      <c r="J2353" t="s">
        <v>46</v>
      </c>
      <c r="K2353" t="s">
        <v>8</v>
      </c>
      <c r="L2353">
        <v>5</v>
      </c>
      <c r="M2353" t="s">
        <v>412</v>
      </c>
      <c r="N2353" t="s">
        <v>56</v>
      </c>
      <c r="O2353" t="s">
        <v>393</v>
      </c>
      <c r="P2353" s="6" t="str">
        <f>IF(Table1[[#This Row],[Transaction_Amount]]&lt;=Table1[[#This Row],[avg_transaction_amount]], "usual transaction", "unusual transaction")</f>
        <v>unusual transaction</v>
      </c>
      <c r="Q2353" s="6" t="str">
        <f>IF(AND(Table1[[#This Row],[Country_of_Residence]]&lt;&gt;Table1[[#This Row],[Country_of_Transaction]], OR(Table1[[#This Row],[Authentication_Type]]="Biometric", Table1[[#This Row],[Authentication_Type]]="OTP")), "safe location transaction", "unsafe location transaction")</f>
        <v>safe location transaction</v>
      </c>
      <c r="R2353" s="6" t="str">
        <f>IF(AND(Table1[[#This Row],[Country_of_Residence]]&lt;&gt;Table1[[#This Row],[Country_of_Transaction]], OR(Table1[[#This Row],[Merchant_Category]]="Electronics", Table1[[#This Row],[Merchant_Category]]="Travel")), "unsafe merchant transaction", "safe merchant transaction")</f>
        <v>safe merchant transaction</v>
      </c>
    </row>
    <row r="2354" spans="1:18">
      <c r="A2354" t="s">
        <v>3497</v>
      </c>
      <c r="B2354" t="s">
        <v>338</v>
      </c>
      <c r="C2354">
        <v>1</v>
      </c>
      <c r="D2354" t="s">
        <v>15</v>
      </c>
      <c r="E2354" t="s">
        <v>3</v>
      </c>
      <c r="F2354" s="2">
        <v>45986</v>
      </c>
      <c r="G2354">
        <v>6967.71</v>
      </c>
      <c r="H2354" s="1">
        <f>AVERAGEIF(Table1[Customer_ID], Table1[[#This Row],[Customer_ID]], Table1[Transaction_Amount])</f>
        <v>4990.9810526315787</v>
      </c>
      <c r="I2354" t="s">
        <v>334</v>
      </c>
      <c r="J2354" t="s">
        <v>41</v>
      </c>
      <c r="K2354" t="s">
        <v>12</v>
      </c>
      <c r="L2354">
        <v>0</v>
      </c>
      <c r="M2354" t="s">
        <v>56</v>
      </c>
      <c r="N2354" t="s">
        <v>56</v>
      </c>
      <c r="O2354" t="s">
        <v>393</v>
      </c>
      <c r="P2354" s="6" t="str">
        <f>IF(Table1[[#This Row],[Transaction_Amount]]&lt;=Table1[[#This Row],[avg_transaction_amount]], "usual transaction", "unusual transaction")</f>
        <v>unusual transaction</v>
      </c>
      <c r="Q2354" s="6" t="str">
        <f>IF(AND(Table1[[#This Row],[Country_of_Residence]]&lt;&gt;Table1[[#This Row],[Country_of_Transaction]], OR(Table1[[#This Row],[Authentication_Type]]="Biometric", Table1[[#This Row],[Authentication_Type]]="OTP")), "safe location transaction", "unsafe location transaction")</f>
        <v>unsafe location transaction</v>
      </c>
      <c r="R2354" s="6" t="str">
        <f>IF(AND(Table1[[#This Row],[Country_of_Residence]]&lt;&gt;Table1[[#This Row],[Country_of_Transaction]], OR(Table1[[#This Row],[Merchant_Category]]="Electronics", Table1[[#This Row],[Merchant_Category]]="Travel")), "unsafe merchant transaction", "safe merchant transaction")</f>
        <v>safe merchant transaction</v>
      </c>
    </row>
    <row r="2355" spans="1:18">
      <c r="A2355" t="s">
        <v>3540</v>
      </c>
      <c r="B2355" t="s">
        <v>338</v>
      </c>
      <c r="C2355">
        <v>1</v>
      </c>
      <c r="D2355" t="s">
        <v>15</v>
      </c>
      <c r="E2355" t="s">
        <v>420</v>
      </c>
      <c r="F2355" s="2">
        <v>45803</v>
      </c>
      <c r="G2355">
        <v>7843.89</v>
      </c>
      <c r="H2355" s="1">
        <f>AVERAGEIF(Table1[Customer_ID], Table1[[#This Row],[Customer_ID]], Table1[Transaction_Amount])</f>
        <v>4990.9810526315787</v>
      </c>
      <c r="I2355" t="s">
        <v>1155</v>
      </c>
      <c r="J2355" t="s">
        <v>31</v>
      </c>
      <c r="K2355" t="s">
        <v>10</v>
      </c>
      <c r="L2355">
        <v>2</v>
      </c>
      <c r="M2355" t="s">
        <v>412</v>
      </c>
      <c r="N2355" t="s">
        <v>32</v>
      </c>
      <c r="O2355" t="s">
        <v>393</v>
      </c>
      <c r="P2355" s="6" t="str">
        <f>IF(Table1[[#This Row],[Transaction_Amount]]&lt;=Table1[[#This Row],[avg_transaction_amount]], "usual transaction", "unusual transaction")</f>
        <v>unusual transaction</v>
      </c>
      <c r="Q2355" s="6" t="str">
        <f>IF(AND(Table1[[#This Row],[Country_of_Residence]]&lt;&gt;Table1[[#This Row],[Country_of_Transaction]], OR(Table1[[#This Row],[Authentication_Type]]="Biometric", Table1[[#This Row],[Authentication_Type]]="OTP")), "safe location transaction", "unsafe location transaction")</f>
        <v>safe location transaction</v>
      </c>
      <c r="R2355" s="6" t="str">
        <f>IF(AND(Table1[[#This Row],[Country_of_Residence]]&lt;&gt;Table1[[#This Row],[Country_of_Transaction]], OR(Table1[[#This Row],[Merchant_Category]]="Electronics", Table1[[#This Row],[Merchant_Category]]="Travel")), "unsafe merchant transaction", "safe merchant transaction")</f>
        <v>safe merchant transaction</v>
      </c>
    </row>
    <row r="2356" spans="1:18">
      <c r="A2356" t="s">
        <v>3605</v>
      </c>
      <c r="B2356" t="s">
        <v>338</v>
      </c>
      <c r="C2356">
        <v>1</v>
      </c>
      <c r="D2356" t="s">
        <v>15</v>
      </c>
      <c r="E2356" t="s">
        <v>5</v>
      </c>
      <c r="F2356" s="2">
        <v>45968</v>
      </c>
      <c r="G2356">
        <v>4293.43</v>
      </c>
      <c r="H2356" s="1">
        <f>AVERAGEIF(Table1[Customer_ID], Table1[[#This Row],[Customer_ID]], Table1[Transaction_Amount])</f>
        <v>4990.9810526315787</v>
      </c>
      <c r="I2356" t="s">
        <v>1214</v>
      </c>
      <c r="J2356" t="s">
        <v>36</v>
      </c>
      <c r="K2356" t="s">
        <v>14</v>
      </c>
      <c r="L2356">
        <v>3</v>
      </c>
      <c r="M2356" t="s">
        <v>37</v>
      </c>
      <c r="N2356" t="s">
        <v>412</v>
      </c>
      <c r="O2356" t="s">
        <v>392</v>
      </c>
      <c r="P2356" s="6" t="str">
        <f>IF(Table1[[#This Row],[Transaction_Amount]]&lt;=Table1[[#This Row],[avg_transaction_amount]], "usual transaction", "unusual transaction")</f>
        <v>usual transaction</v>
      </c>
      <c r="Q2356" s="6" t="str">
        <f>IF(AND(Table1[[#This Row],[Country_of_Residence]]&lt;&gt;Table1[[#This Row],[Country_of_Transaction]], OR(Table1[[#This Row],[Authentication_Type]]="Biometric", Table1[[#This Row],[Authentication_Type]]="OTP")), "safe location transaction", "unsafe location transaction")</f>
        <v>unsafe location transaction</v>
      </c>
      <c r="R2356" s="6" t="str">
        <f>IF(AND(Table1[[#This Row],[Country_of_Residence]]&lt;&gt;Table1[[#This Row],[Country_of_Transaction]], OR(Table1[[#This Row],[Merchant_Category]]="Electronics", Table1[[#This Row],[Merchant_Category]]="Travel")), "unsafe merchant transaction", "safe merchant transaction")</f>
        <v>safe merchant transaction</v>
      </c>
    </row>
    <row r="2357" spans="1:18">
      <c r="A2357" t="s">
        <v>3630</v>
      </c>
      <c r="B2357" t="s">
        <v>338</v>
      </c>
      <c r="C2357">
        <v>1</v>
      </c>
      <c r="D2357" t="s">
        <v>15</v>
      </c>
      <c r="E2357" t="s">
        <v>6</v>
      </c>
      <c r="F2357" s="2">
        <v>45932</v>
      </c>
      <c r="G2357">
        <v>539.69000000000005</v>
      </c>
      <c r="H2357" s="1">
        <f>AVERAGEIF(Table1[Customer_ID], Table1[[#This Row],[Customer_ID]], Table1[Transaction_Amount])</f>
        <v>4990.9810526315787</v>
      </c>
      <c r="I2357" t="s">
        <v>1235</v>
      </c>
      <c r="J2357" t="s">
        <v>50</v>
      </c>
      <c r="K2357" t="s">
        <v>12</v>
      </c>
      <c r="L2357">
        <v>2</v>
      </c>
      <c r="M2357" t="s">
        <v>51</v>
      </c>
      <c r="N2357" t="s">
        <v>56</v>
      </c>
      <c r="O2357" t="s">
        <v>392</v>
      </c>
      <c r="P2357" s="6" t="str">
        <f>IF(Table1[[#This Row],[Transaction_Amount]]&lt;=Table1[[#This Row],[avg_transaction_amount]], "usual transaction", "unusual transaction")</f>
        <v>usual transaction</v>
      </c>
      <c r="Q2357" s="6" t="str">
        <f>IF(AND(Table1[[#This Row],[Country_of_Residence]]&lt;&gt;Table1[[#This Row],[Country_of_Transaction]], OR(Table1[[#This Row],[Authentication_Type]]="Biometric", Table1[[#This Row],[Authentication_Type]]="OTP")), "safe location transaction", "unsafe location transaction")</f>
        <v>unsafe location transaction</v>
      </c>
      <c r="R2357" s="6" t="str">
        <f>IF(AND(Table1[[#This Row],[Country_of_Residence]]&lt;&gt;Table1[[#This Row],[Country_of_Transaction]], OR(Table1[[#This Row],[Merchant_Category]]="Electronics", Table1[[#This Row],[Merchant_Category]]="Travel")), "unsafe merchant transaction", "safe merchant transaction")</f>
        <v>unsafe merchant transaction</v>
      </c>
    </row>
    <row r="2358" spans="1:18">
      <c r="A2358" t="s">
        <v>3650</v>
      </c>
      <c r="B2358" t="s">
        <v>338</v>
      </c>
      <c r="C2358">
        <v>1</v>
      </c>
      <c r="D2358" t="s">
        <v>9</v>
      </c>
      <c r="E2358" t="s">
        <v>420</v>
      </c>
      <c r="F2358" s="2">
        <v>46001</v>
      </c>
      <c r="G2358">
        <v>3514.4</v>
      </c>
      <c r="H2358" s="1">
        <f>AVERAGEIF(Table1[Customer_ID], Table1[[#This Row],[Customer_ID]], Table1[Transaction_Amount])</f>
        <v>4990.9810526315787</v>
      </c>
      <c r="I2358" t="s">
        <v>1255</v>
      </c>
      <c r="J2358" t="s">
        <v>46</v>
      </c>
      <c r="K2358" t="s">
        <v>12</v>
      </c>
      <c r="L2358">
        <v>3</v>
      </c>
      <c r="M2358" t="s">
        <v>51</v>
      </c>
      <c r="N2358" t="s">
        <v>42</v>
      </c>
      <c r="O2358" t="s">
        <v>392</v>
      </c>
      <c r="P2358" s="6" t="str">
        <f>IF(Table1[[#This Row],[Transaction_Amount]]&lt;=Table1[[#This Row],[avg_transaction_amount]], "usual transaction", "unusual transaction")</f>
        <v>usual transaction</v>
      </c>
      <c r="Q2358" s="6" t="str">
        <f>IF(AND(Table1[[#This Row],[Country_of_Residence]]&lt;&gt;Table1[[#This Row],[Country_of_Transaction]], OR(Table1[[#This Row],[Authentication_Type]]="Biometric", Table1[[#This Row],[Authentication_Type]]="OTP")), "safe location transaction", "unsafe location transaction")</f>
        <v>unsafe location transaction</v>
      </c>
      <c r="R2358" s="6" t="str">
        <f>IF(AND(Table1[[#This Row],[Country_of_Residence]]&lt;&gt;Table1[[#This Row],[Country_of_Transaction]], OR(Table1[[#This Row],[Merchant_Category]]="Electronics", Table1[[#This Row],[Merchant_Category]]="Travel")), "unsafe merchant transaction", "safe merchant transaction")</f>
        <v>safe merchant transaction</v>
      </c>
    </row>
    <row r="2359" spans="1:18">
      <c r="A2359" t="s">
        <v>3652</v>
      </c>
      <c r="B2359" t="s">
        <v>338</v>
      </c>
      <c r="C2359">
        <v>1</v>
      </c>
      <c r="D2359" t="s">
        <v>9</v>
      </c>
      <c r="E2359" t="s">
        <v>5</v>
      </c>
      <c r="F2359" s="2">
        <v>45978</v>
      </c>
      <c r="G2359">
        <v>4813.41</v>
      </c>
      <c r="H2359" s="1">
        <f>AVERAGEIF(Table1[Customer_ID], Table1[[#This Row],[Customer_ID]], Table1[Transaction_Amount])</f>
        <v>4990.9810526315787</v>
      </c>
      <c r="I2359" t="s">
        <v>1256</v>
      </c>
      <c r="J2359" t="s">
        <v>36</v>
      </c>
      <c r="K2359" t="s">
        <v>8</v>
      </c>
      <c r="L2359">
        <v>3</v>
      </c>
      <c r="M2359" t="s">
        <v>42</v>
      </c>
      <c r="N2359" t="s">
        <v>47</v>
      </c>
      <c r="O2359" t="s">
        <v>392</v>
      </c>
      <c r="P2359" s="6" t="str">
        <f>IF(Table1[[#This Row],[Transaction_Amount]]&lt;=Table1[[#This Row],[avg_transaction_amount]], "usual transaction", "unusual transaction")</f>
        <v>usual transaction</v>
      </c>
      <c r="Q2359" s="6" t="str">
        <f>IF(AND(Table1[[#This Row],[Country_of_Residence]]&lt;&gt;Table1[[#This Row],[Country_of_Transaction]], OR(Table1[[#This Row],[Authentication_Type]]="Biometric", Table1[[#This Row],[Authentication_Type]]="OTP")), "safe location transaction", "unsafe location transaction")</f>
        <v>safe location transaction</v>
      </c>
      <c r="R2359" s="6" t="str">
        <f>IF(AND(Table1[[#This Row],[Country_of_Residence]]&lt;&gt;Table1[[#This Row],[Country_of_Transaction]], OR(Table1[[#This Row],[Merchant_Category]]="Electronics", Table1[[#This Row],[Merchant_Category]]="Travel")), "unsafe merchant transaction", "safe merchant transaction")</f>
        <v>safe merchant transaction</v>
      </c>
    </row>
    <row r="2360" spans="1:18">
      <c r="A2360" t="s">
        <v>3713</v>
      </c>
      <c r="B2360" t="s">
        <v>338</v>
      </c>
      <c r="C2360">
        <v>1</v>
      </c>
      <c r="D2360" t="s">
        <v>9</v>
      </c>
      <c r="E2360" t="s">
        <v>3</v>
      </c>
      <c r="F2360" s="2">
        <v>46018</v>
      </c>
      <c r="G2360">
        <v>8063.44</v>
      </c>
      <c r="H2360" s="1">
        <f>AVERAGEIF(Table1[Customer_ID], Table1[[#This Row],[Customer_ID]], Table1[Transaction_Amount])</f>
        <v>4990.9810526315787</v>
      </c>
      <c r="I2360" t="s">
        <v>1310</v>
      </c>
      <c r="J2360" t="s">
        <v>50</v>
      </c>
      <c r="K2360" t="s">
        <v>14</v>
      </c>
      <c r="L2360">
        <v>2</v>
      </c>
      <c r="M2360" t="s">
        <v>412</v>
      </c>
      <c r="N2360" t="s">
        <v>51</v>
      </c>
      <c r="O2360" t="s">
        <v>393</v>
      </c>
      <c r="P2360" s="6" t="str">
        <f>IF(Table1[[#This Row],[Transaction_Amount]]&lt;=Table1[[#This Row],[avg_transaction_amount]], "usual transaction", "unusual transaction")</f>
        <v>unusual transaction</v>
      </c>
      <c r="Q2360" s="6" t="str">
        <f>IF(AND(Table1[[#This Row],[Country_of_Residence]]&lt;&gt;Table1[[#This Row],[Country_of_Transaction]], OR(Table1[[#This Row],[Authentication_Type]]="Biometric", Table1[[#This Row],[Authentication_Type]]="OTP")), "safe location transaction", "unsafe location transaction")</f>
        <v>unsafe location transaction</v>
      </c>
      <c r="R2360" s="6" t="str">
        <f>IF(AND(Table1[[#This Row],[Country_of_Residence]]&lt;&gt;Table1[[#This Row],[Country_of_Transaction]], OR(Table1[[#This Row],[Merchant_Category]]="Electronics", Table1[[#This Row],[Merchant_Category]]="Travel")), "unsafe merchant transaction", "safe merchant transaction")</f>
        <v>unsafe merchant transaction</v>
      </c>
    </row>
    <row r="2361" spans="1:18">
      <c r="A2361" t="s">
        <v>3722</v>
      </c>
      <c r="B2361" t="s">
        <v>338</v>
      </c>
      <c r="C2361">
        <v>1</v>
      </c>
      <c r="D2361" t="s">
        <v>9</v>
      </c>
      <c r="E2361" t="s">
        <v>420</v>
      </c>
      <c r="F2361" s="2">
        <v>45928</v>
      </c>
      <c r="G2361">
        <v>3337.77</v>
      </c>
      <c r="H2361" s="1">
        <f>AVERAGEIF(Table1[Customer_ID], Table1[[#This Row],[Customer_ID]], Table1[Transaction_Amount])</f>
        <v>4990.9810526315787</v>
      </c>
      <c r="I2361" t="s">
        <v>1318</v>
      </c>
      <c r="J2361" t="s">
        <v>31</v>
      </c>
      <c r="K2361" t="s">
        <v>8</v>
      </c>
      <c r="L2361">
        <v>4</v>
      </c>
      <c r="M2361" t="s">
        <v>37</v>
      </c>
      <c r="N2361" t="s">
        <v>412</v>
      </c>
      <c r="O2361" t="s">
        <v>393</v>
      </c>
      <c r="P2361" s="6" t="str">
        <f>IF(Table1[[#This Row],[Transaction_Amount]]&lt;=Table1[[#This Row],[avg_transaction_amount]], "usual transaction", "unusual transaction")</f>
        <v>usual transaction</v>
      </c>
      <c r="Q2361" s="6" t="str">
        <f>IF(AND(Table1[[#This Row],[Country_of_Residence]]&lt;&gt;Table1[[#This Row],[Country_of_Transaction]], OR(Table1[[#This Row],[Authentication_Type]]="Biometric", Table1[[#This Row],[Authentication_Type]]="OTP")), "safe location transaction", "unsafe location transaction")</f>
        <v>safe location transaction</v>
      </c>
      <c r="R2361" s="6" t="str">
        <f>IF(AND(Table1[[#This Row],[Country_of_Residence]]&lt;&gt;Table1[[#This Row],[Country_of_Transaction]], OR(Table1[[#This Row],[Merchant_Category]]="Electronics", Table1[[#This Row],[Merchant_Category]]="Travel")), "unsafe merchant transaction", "safe merchant transaction")</f>
        <v>safe merchant transaction</v>
      </c>
    </row>
    <row r="2362" spans="1:18">
      <c r="A2362" t="s">
        <v>3805</v>
      </c>
      <c r="B2362" t="s">
        <v>338</v>
      </c>
      <c r="C2362">
        <v>1</v>
      </c>
      <c r="D2362" t="s">
        <v>9</v>
      </c>
      <c r="E2362" t="s">
        <v>420</v>
      </c>
      <c r="F2362" s="2">
        <v>45830</v>
      </c>
      <c r="G2362">
        <v>2426.1</v>
      </c>
      <c r="H2362" s="1">
        <f>AVERAGEIF(Table1[Customer_ID], Table1[[#This Row],[Customer_ID]], Table1[Transaction_Amount])</f>
        <v>4990.9810526315787</v>
      </c>
      <c r="I2362" t="s">
        <v>1388</v>
      </c>
      <c r="J2362" t="s">
        <v>36</v>
      </c>
      <c r="K2362" t="s">
        <v>10</v>
      </c>
      <c r="L2362">
        <v>2</v>
      </c>
      <c r="M2362" t="s">
        <v>33</v>
      </c>
      <c r="N2362" t="s">
        <v>412</v>
      </c>
      <c r="O2362" t="s">
        <v>392</v>
      </c>
      <c r="P2362" s="6" t="str">
        <f>IF(Table1[[#This Row],[Transaction_Amount]]&lt;=Table1[[#This Row],[avg_transaction_amount]], "usual transaction", "unusual transaction")</f>
        <v>usual transaction</v>
      </c>
      <c r="Q2362" s="6" t="str">
        <f>IF(AND(Table1[[#This Row],[Country_of_Residence]]&lt;&gt;Table1[[#This Row],[Country_of_Transaction]], OR(Table1[[#This Row],[Authentication_Type]]="Biometric", Table1[[#This Row],[Authentication_Type]]="OTP")), "safe location transaction", "unsafe location transaction")</f>
        <v>safe location transaction</v>
      </c>
      <c r="R2362" s="6" t="str">
        <f>IF(AND(Table1[[#This Row],[Country_of_Residence]]&lt;&gt;Table1[[#This Row],[Country_of_Transaction]], OR(Table1[[#This Row],[Merchant_Category]]="Electronics", Table1[[#This Row],[Merchant_Category]]="Travel")), "unsafe merchant transaction", "safe merchant transaction")</f>
        <v>safe merchant transaction</v>
      </c>
    </row>
    <row r="2363" spans="1:18">
      <c r="A2363" t="s">
        <v>3814</v>
      </c>
      <c r="B2363" t="s">
        <v>338</v>
      </c>
      <c r="C2363">
        <v>1</v>
      </c>
      <c r="D2363" t="s">
        <v>9</v>
      </c>
      <c r="E2363" t="s">
        <v>6</v>
      </c>
      <c r="F2363" s="2">
        <v>45691</v>
      </c>
      <c r="G2363">
        <v>8911.0300000000007</v>
      </c>
      <c r="H2363" s="1">
        <f>AVERAGEIF(Table1[Customer_ID], Table1[[#This Row],[Customer_ID]], Table1[Transaction_Amount])</f>
        <v>4990.9810526315787</v>
      </c>
      <c r="I2363" t="s">
        <v>1396</v>
      </c>
      <c r="J2363" t="s">
        <v>36</v>
      </c>
      <c r="K2363" t="s">
        <v>14</v>
      </c>
      <c r="L2363">
        <v>5</v>
      </c>
      <c r="M2363" t="s">
        <v>412</v>
      </c>
      <c r="N2363" t="s">
        <v>56</v>
      </c>
      <c r="O2363" t="s">
        <v>392</v>
      </c>
      <c r="P2363" s="6" t="str">
        <f>IF(Table1[[#This Row],[Transaction_Amount]]&lt;=Table1[[#This Row],[avg_transaction_amount]], "usual transaction", "unusual transaction")</f>
        <v>unusual transaction</v>
      </c>
      <c r="Q2363" s="6" t="str">
        <f>IF(AND(Table1[[#This Row],[Country_of_Residence]]&lt;&gt;Table1[[#This Row],[Country_of_Transaction]], OR(Table1[[#This Row],[Authentication_Type]]="Biometric", Table1[[#This Row],[Authentication_Type]]="OTP")), "safe location transaction", "unsafe location transaction")</f>
        <v>unsafe location transaction</v>
      </c>
      <c r="R2363" s="6" t="str">
        <f>IF(AND(Table1[[#This Row],[Country_of_Residence]]&lt;&gt;Table1[[#This Row],[Country_of_Transaction]], OR(Table1[[#This Row],[Merchant_Category]]="Electronics", Table1[[#This Row],[Merchant_Category]]="Travel")), "unsafe merchant transaction", "safe merchant transaction")</f>
        <v>safe merchant transaction</v>
      </c>
    </row>
    <row r="2364" spans="1:18">
      <c r="A2364" t="s">
        <v>3827</v>
      </c>
      <c r="B2364" t="s">
        <v>338</v>
      </c>
      <c r="C2364">
        <v>1</v>
      </c>
      <c r="D2364" t="s">
        <v>15</v>
      </c>
      <c r="E2364" t="s">
        <v>5</v>
      </c>
      <c r="F2364" s="2">
        <v>45689</v>
      </c>
      <c r="G2364">
        <v>1922.54</v>
      </c>
      <c r="H2364" s="1">
        <f>AVERAGEIF(Table1[Customer_ID], Table1[[#This Row],[Customer_ID]], Table1[Transaction_Amount])</f>
        <v>4990.9810526315787</v>
      </c>
      <c r="I2364" t="s">
        <v>1407</v>
      </c>
      <c r="J2364" t="s">
        <v>41</v>
      </c>
      <c r="K2364" t="s">
        <v>14</v>
      </c>
      <c r="L2364">
        <v>1</v>
      </c>
      <c r="M2364" t="s">
        <v>56</v>
      </c>
      <c r="N2364" t="s">
        <v>56</v>
      </c>
      <c r="O2364" t="s">
        <v>392</v>
      </c>
      <c r="P2364" s="6" t="str">
        <f>IF(Table1[[#This Row],[Transaction_Amount]]&lt;=Table1[[#This Row],[avg_transaction_amount]], "usual transaction", "unusual transaction")</f>
        <v>usual transaction</v>
      </c>
      <c r="Q2364" s="6" t="str">
        <f>IF(AND(Table1[[#This Row],[Country_of_Residence]]&lt;&gt;Table1[[#This Row],[Country_of_Transaction]], OR(Table1[[#This Row],[Authentication_Type]]="Biometric", Table1[[#This Row],[Authentication_Type]]="OTP")), "safe location transaction", "unsafe location transaction")</f>
        <v>unsafe location transaction</v>
      </c>
      <c r="R2364" s="6" t="str">
        <f>IF(AND(Table1[[#This Row],[Country_of_Residence]]&lt;&gt;Table1[[#This Row],[Country_of_Transaction]], OR(Table1[[#This Row],[Merchant_Category]]="Electronics", Table1[[#This Row],[Merchant_Category]]="Travel")), "unsafe merchant transaction", "safe merchant transaction")</f>
        <v>safe merchant transaction</v>
      </c>
    </row>
    <row r="2365" spans="1:18">
      <c r="A2365" t="s">
        <v>3843</v>
      </c>
      <c r="B2365" t="s">
        <v>338</v>
      </c>
      <c r="C2365">
        <v>1</v>
      </c>
      <c r="D2365" t="s">
        <v>9</v>
      </c>
      <c r="E2365" t="s">
        <v>3</v>
      </c>
      <c r="F2365" s="2">
        <v>45801</v>
      </c>
      <c r="G2365">
        <v>1948.32</v>
      </c>
      <c r="H2365" s="1">
        <f>AVERAGEIF(Table1[Customer_ID], Table1[[#This Row],[Customer_ID]], Table1[Transaction_Amount])</f>
        <v>4990.9810526315787</v>
      </c>
      <c r="I2365" t="s">
        <v>1419</v>
      </c>
      <c r="J2365" t="s">
        <v>50</v>
      </c>
      <c r="K2365" t="s">
        <v>10</v>
      </c>
      <c r="L2365">
        <v>0</v>
      </c>
      <c r="M2365" t="s">
        <v>37</v>
      </c>
      <c r="N2365" t="s">
        <v>42</v>
      </c>
      <c r="O2365" t="s">
        <v>393</v>
      </c>
      <c r="P2365" s="6" t="str">
        <f>IF(Table1[[#This Row],[Transaction_Amount]]&lt;=Table1[[#This Row],[avg_transaction_amount]], "usual transaction", "unusual transaction")</f>
        <v>usual transaction</v>
      </c>
      <c r="Q2365" s="6" t="str">
        <f>IF(AND(Table1[[#This Row],[Country_of_Residence]]&lt;&gt;Table1[[#This Row],[Country_of_Transaction]], OR(Table1[[#This Row],[Authentication_Type]]="Biometric", Table1[[#This Row],[Authentication_Type]]="OTP")), "safe location transaction", "unsafe location transaction")</f>
        <v>safe location transaction</v>
      </c>
      <c r="R2365" s="6" t="str">
        <f>IF(AND(Table1[[#This Row],[Country_of_Residence]]&lt;&gt;Table1[[#This Row],[Country_of_Transaction]], OR(Table1[[#This Row],[Merchant_Category]]="Electronics", Table1[[#This Row],[Merchant_Category]]="Travel")), "unsafe merchant transaction", "safe merchant transaction")</f>
        <v>unsafe merchant transaction</v>
      </c>
    </row>
    <row r="2366" spans="1:18">
      <c r="A2366" t="s">
        <v>3872</v>
      </c>
      <c r="B2366" t="s">
        <v>338</v>
      </c>
      <c r="C2366">
        <v>1</v>
      </c>
      <c r="D2366" t="s">
        <v>9</v>
      </c>
      <c r="E2366" t="s">
        <v>5</v>
      </c>
      <c r="F2366" s="2">
        <v>45815</v>
      </c>
      <c r="G2366">
        <v>8077.77</v>
      </c>
      <c r="H2366" s="1">
        <f>AVERAGEIF(Table1[Customer_ID], Table1[[#This Row],[Customer_ID]], Table1[Transaction_Amount])</f>
        <v>4990.9810526315787</v>
      </c>
      <c r="I2366" t="s">
        <v>1444</v>
      </c>
      <c r="J2366" t="s">
        <v>36</v>
      </c>
      <c r="K2366" t="s">
        <v>8</v>
      </c>
      <c r="L2366">
        <v>5</v>
      </c>
      <c r="M2366" t="s">
        <v>33</v>
      </c>
      <c r="N2366" t="s">
        <v>42</v>
      </c>
      <c r="O2366" t="s">
        <v>393</v>
      </c>
      <c r="P2366" s="6" t="str">
        <f>IF(Table1[[#This Row],[Transaction_Amount]]&lt;=Table1[[#This Row],[avg_transaction_amount]], "usual transaction", "unusual transaction")</f>
        <v>unusual transaction</v>
      </c>
      <c r="Q2366" s="6" t="str">
        <f>IF(AND(Table1[[#This Row],[Country_of_Residence]]&lt;&gt;Table1[[#This Row],[Country_of_Transaction]], OR(Table1[[#This Row],[Authentication_Type]]="Biometric", Table1[[#This Row],[Authentication_Type]]="OTP")), "safe location transaction", "unsafe location transaction")</f>
        <v>safe location transaction</v>
      </c>
      <c r="R2366" s="6" t="str">
        <f>IF(AND(Table1[[#This Row],[Country_of_Residence]]&lt;&gt;Table1[[#This Row],[Country_of_Transaction]], OR(Table1[[#This Row],[Merchant_Category]]="Electronics", Table1[[#This Row],[Merchant_Category]]="Travel")), "unsafe merchant transaction", "safe merchant transaction")</f>
        <v>safe merchant transaction</v>
      </c>
    </row>
    <row r="2367" spans="1:18">
      <c r="A2367" t="s">
        <v>4190</v>
      </c>
      <c r="B2367" t="s">
        <v>338</v>
      </c>
      <c r="C2367">
        <v>1</v>
      </c>
      <c r="D2367" t="s">
        <v>15</v>
      </c>
      <c r="E2367" t="s">
        <v>3</v>
      </c>
      <c r="F2367" s="2">
        <v>46005</v>
      </c>
      <c r="G2367">
        <v>5570.31</v>
      </c>
      <c r="H2367" s="1">
        <f>AVERAGEIF(Table1[Customer_ID], Table1[[#This Row],[Customer_ID]], Table1[Transaction_Amount])</f>
        <v>4990.9810526315787</v>
      </c>
      <c r="I2367" t="s">
        <v>1710</v>
      </c>
      <c r="J2367" t="s">
        <v>31</v>
      </c>
      <c r="K2367" t="s">
        <v>8</v>
      </c>
      <c r="L2367">
        <v>4</v>
      </c>
      <c r="M2367" t="s">
        <v>32</v>
      </c>
      <c r="N2367" t="s">
        <v>56</v>
      </c>
      <c r="O2367" t="s">
        <v>392</v>
      </c>
      <c r="P2367" s="6" t="str">
        <f>IF(Table1[[#This Row],[Transaction_Amount]]&lt;=Table1[[#This Row],[avg_transaction_amount]], "usual transaction", "unusual transaction")</f>
        <v>unusual transaction</v>
      </c>
      <c r="Q2367" s="6" t="str">
        <f>IF(AND(Table1[[#This Row],[Country_of_Residence]]&lt;&gt;Table1[[#This Row],[Country_of_Transaction]], OR(Table1[[#This Row],[Authentication_Type]]="Biometric", Table1[[#This Row],[Authentication_Type]]="OTP")), "safe location transaction", "unsafe location transaction")</f>
        <v>safe location transaction</v>
      </c>
      <c r="R2367" s="6" t="str">
        <f>IF(AND(Table1[[#This Row],[Country_of_Residence]]&lt;&gt;Table1[[#This Row],[Country_of_Transaction]], OR(Table1[[#This Row],[Merchant_Category]]="Electronics", Table1[[#This Row],[Merchant_Category]]="Travel")), "unsafe merchant transaction", "safe merchant transaction")</f>
        <v>safe merchant transaction</v>
      </c>
    </row>
    <row r="2368" spans="1:18">
      <c r="A2368" t="s">
        <v>4224</v>
      </c>
      <c r="B2368" t="s">
        <v>338</v>
      </c>
      <c r="C2368">
        <v>1</v>
      </c>
      <c r="D2368" t="s">
        <v>15</v>
      </c>
      <c r="E2368" t="s">
        <v>5</v>
      </c>
      <c r="F2368" s="2">
        <v>45761</v>
      </c>
      <c r="G2368">
        <v>5469.73</v>
      </c>
      <c r="H2368" s="1">
        <f>AVERAGEIF(Table1[Customer_ID], Table1[[#This Row],[Customer_ID]], Table1[Transaction_Amount])</f>
        <v>4990.9810526315787</v>
      </c>
      <c r="I2368" t="s">
        <v>1743</v>
      </c>
      <c r="J2368" t="s">
        <v>36</v>
      </c>
      <c r="K2368" t="s">
        <v>14</v>
      </c>
      <c r="L2368">
        <v>2</v>
      </c>
      <c r="M2368" t="s">
        <v>55</v>
      </c>
      <c r="N2368" t="s">
        <v>412</v>
      </c>
      <c r="O2368" t="s">
        <v>393</v>
      </c>
      <c r="P2368" s="6" t="str">
        <f>IF(Table1[[#This Row],[Transaction_Amount]]&lt;=Table1[[#This Row],[avg_transaction_amount]], "usual transaction", "unusual transaction")</f>
        <v>unusual transaction</v>
      </c>
      <c r="Q2368" s="6" t="str">
        <f>IF(AND(Table1[[#This Row],[Country_of_Residence]]&lt;&gt;Table1[[#This Row],[Country_of_Transaction]], OR(Table1[[#This Row],[Authentication_Type]]="Biometric", Table1[[#This Row],[Authentication_Type]]="OTP")), "safe location transaction", "unsafe location transaction")</f>
        <v>unsafe location transaction</v>
      </c>
      <c r="R2368" s="6" t="str">
        <f>IF(AND(Table1[[#This Row],[Country_of_Residence]]&lt;&gt;Table1[[#This Row],[Country_of_Transaction]], OR(Table1[[#This Row],[Merchant_Category]]="Electronics", Table1[[#This Row],[Merchant_Category]]="Travel")), "unsafe merchant transaction", "safe merchant transaction")</f>
        <v>safe merchant transaction</v>
      </c>
    </row>
    <row r="2369" spans="1:18">
      <c r="A2369" t="s">
        <v>4363</v>
      </c>
      <c r="B2369" t="s">
        <v>338</v>
      </c>
      <c r="C2369">
        <v>1</v>
      </c>
      <c r="D2369" t="s">
        <v>9</v>
      </c>
      <c r="E2369" t="s">
        <v>3</v>
      </c>
      <c r="F2369" s="2">
        <v>45734</v>
      </c>
      <c r="G2369">
        <v>2263.8000000000002</v>
      </c>
      <c r="H2369" s="1">
        <f>AVERAGEIF(Table1[Customer_ID], Table1[[#This Row],[Customer_ID]], Table1[Transaction_Amount])</f>
        <v>4990.9810526315787</v>
      </c>
      <c r="I2369" t="s">
        <v>1864</v>
      </c>
      <c r="J2369" t="s">
        <v>31</v>
      </c>
      <c r="K2369" t="s">
        <v>14</v>
      </c>
      <c r="L2369">
        <v>4</v>
      </c>
      <c r="M2369" t="s">
        <v>32</v>
      </c>
      <c r="N2369" t="s">
        <v>47</v>
      </c>
      <c r="O2369" t="s">
        <v>393</v>
      </c>
      <c r="P2369" s="6" t="str">
        <f>IF(Table1[[#This Row],[Transaction_Amount]]&lt;=Table1[[#This Row],[avg_transaction_amount]], "usual transaction", "unusual transaction")</f>
        <v>usual transaction</v>
      </c>
      <c r="Q2369" s="6" t="str">
        <f>IF(AND(Table1[[#This Row],[Country_of_Residence]]&lt;&gt;Table1[[#This Row],[Country_of_Transaction]], OR(Table1[[#This Row],[Authentication_Type]]="Biometric", Table1[[#This Row],[Authentication_Type]]="OTP")), "safe location transaction", "unsafe location transaction")</f>
        <v>unsafe location transaction</v>
      </c>
      <c r="R2369" s="6" t="str">
        <f>IF(AND(Table1[[#This Row],[Country_of_Residence]]&lt;&gt;Table1[[#This Row],[Country_of_Transaction]], OR(Table1[[#This Row],[Merchant_Category]]="Electronics", Table1[[#This Row],[Merchant_Category]]="Travel")), "unsafe merchant transaction", "safe merchant transaction")</f>
        <v>safe merchant transaction</v>
      </c>
    </row>
    <row r="2370" spans="1:18">
      <c r="A2370" t="s">
        <v>4392</v>
      </c>
      <c r="B2370" t="s">
        <v>338</v>
      </c>
      <c r="C2370">
        <v>1</v>
      </c>
      <c r="D2370" t="s">
        <v>15</v>
      </c>
      <c r="E2370" t="s">
        <v>5</v>
      </c>
      <c r="F2370" s="2">
        <v>45766</v>
      </c>
      <c r="G2370">
        <v>5250.68</v>
      </c>
      <c r="H2370" s="1">
        <f>AVERAGEIF(Table1[Customer_ID], Table1[[#This Row],[Customer_ID]], Table1[Transaction_Amount])</f>
        <v>4990.9810526315787</v>
      </c>
      <c r="I2370" t="s">
        <v>1892</v>
      </c>
      <c r="J2370" t="s">
        <v>41</v>
      </c>
      <c r="K2370" t="s">
        <v>12</v>
      </c>
      <c r="L2370">
        <v>4</v>
      </c>
      <c r="M2370" t="s">
        <v>42</v>
      </c>
      <c r="N2370" t="s">
        <v>37</v>
      </c>
      <c r="O2370" t="s">
        <v>393</v>
      </c>
      <c r="P2370" s="6" t="str">
        <f>IF(Table1[[#This Row],[Transaction_Amount]]&lt;=Table1[[#This Row],[avg_transaction_amount]], "usual transaction", "unusual transaction")</f>
        <v>unusual transaction</v>
      </c>
      <c r="Q2370" s="6" t="str">
        <f>IF(AND(Table1[[#This Row],[Country_of_Residence]]&lt;&gt;Table1[[#This Row],[Country_of_Transaction]], OR(Table1[[#This Row],[Authentication_Type]]="Biometric", Table1[[#This Row],[Authentication_Type]]="OTP")), "safe location transaction", "unsafe location transaction")</f>
        <v>unsafe location transaction</v>
      </c>
      <c r="R2370" s="6" t="str">
        <f>IF(AND(Table1[[#This Row],[Country_of_Residence]]&lt;&gt;Table1[[#This Row],[Country_of_Transaction]], OR(Table1[[#This Row],[Merchant_Category]]="Electronics", Table1[[#This Row],[Merchant_Category]]="Travel")), "unsafe merchant transaction", "safe merchant transaction")</f>
        <v>safe merchant transaction</v>
      </c>
    </row>
    <row r="2371" spans="1:18">
      <c r="A2371" t="s">
        <v>4498</v>
      </c>
      <c r="B2371" t="s">
        <v>338</v>
      </c>
      <c r="C2371">
        <v>1</v>
      </c>
      <c r="D2371" t="s">
        <v>15</v>
      </c>
      <c r="E2371" t="s">
        <v>5</v>
      </c>
      <c r="F2371" s="2">
        <v>45663</v>
      </c>
      <c r="G2371">
        <v>4944.37</v>
      </c>
      <c r="H2371" s="1">
        <f>AVERAGEIF(Table1[Customer_ID], Table1[[#This Row],[Customer_ID]], Table1[Transaction_Amount])</f>
        <v>4990.9810526315787</v>
      </c>
      <c r="I2371" t="s">
        <v>1985</v>
      </c>
      <c r="J2371" t="s">
        <v>31</v>
      </c>
      <c r="K2371" t="s">
        <v>14</v>
      </c>
      <c r="L2371">
        <v>2</v>
      </c>
      <c r="M2371" t="s">
        <v>37</v>
      </c>
      <c r="N2371" t="s">
        <v>32</v>
      </c>
      <c r="O2371" t="s">
        <v>393</v>
      </c>
      <c r="P2371" s="6" t="str">
        <f>IF(Table1[[#This Row],[Transaction_Amount]]&lt;=Table1[[#This Row],[avg_transaction_amount]], "usual transaction", "unusual transaction")</f>
        <v>usual transaction</v>
      </c>
      <c r="Q2371" s="6" t="str">
        <f>IF(AND(Table1[[#This Row],[Country_of_Residence]]&lt;&gt;Table1[[#This Row],[Country_of_Transaction]], OR(Table1[[#This Row],[Authentication_Type]]="Biometric", Table1[[#This Row],[Authentication_Type]]="OTP")), "safe location transaction", "unsafe location transaction")</f>
        <v>unsafe location transaction</v>
      </c>
      <c r="R2371" s="6" t="str">
        <f>IF(AND(Table1[[#This Row],[Country_of_Residence]]&lt;&gt;Table1[[#This Row],[Country_of_Transaction]], OR(Table1[[#This Row],[Merchant_Category]]="Electronics", Table1[[#This Row],[Merchant_Category]]="Travel")), "unsafe merchant transaction", "safe merchant transaction")</f>
        <v>safe merchant transaction</v>
      </c>
    </row>
    <row r="2372" spans="1:18">
      <c r="A2372" t="s">
        <v>4572</v>
      </c>
      <c r="B2372" t="s">
        <v>338</v>
      </c>
      <c r="C2372">
        <v>1</v>
      </c>
      <c r="D2372" t="s">
        <v>15</v>
      </c>
      <c r="E2372" t="s">
        <v>5</v>
      </c>
      <c r="F2372" s="2">
        <v>46021</v>
      </c>
      <c r="G2372">
        <v>981.46</v>
      </c>
      <c r="H2372" s="1">
        <f>AVERAGEIF(Table1[Customer_ID], Table1[[#This Row],[Customer_ID]], Table1[Transaction_Amount])</f>
        <v>4990.9810526315787</v>
      </c>
      <c r="I2372" t="s">
        <v>423</v>
      </c>
      <c r="J2372" t="s">
        <v>31</v>
      </c>
      <c r="K2372" t="s">
        <v>14</v>
      </c>
      <c r="L2372">
        <v>2</v>
      </c>
      <c r="M2372" t="s">
        <v>33</v>
      </c>
      <c r="N2372" t="s">
        <v>33</v>
      </c>
      <c r="O2372" t="s">
        <v>392</v>
      </c>
      <c r="P2372" s="6" t="str">
        <f>IF(Table1[[#This Row],[Transaction_Amount]]&lt;=Table1[[#This Row],[avg_transaction_amount]], "usual transaction", "unusual transaction")</f>
        <v>usual transaction</v>
      </c>
      <c r="Q2372" s="6" t="str">
        <f>IF(AND(Table1[[#This Row],[Country_of_Residence]]&lt;&gt;Table1[[#This Row],[Country_of_Transaction]], OR(Table1[[#This Row],[Authentication_Type]]="Biometric", Table1[[#This Row],[Authentication_Type]]="OTP")), "safe location transaction", "unsafe location transaction")</f>
        <v>unsafe location transaction</v>
      </c>
      <c r="R2372" s="6" t="str">
        <f>IF(AND(Table1[[#This Row],[Country_of_Residence]]&lt;&gt;Table1[[#This Row],[Country_of_Transaction]], OR(Table1[[#This Row],[Merchant_Category]]="Electronics", Table1[[#This Row],[Merchant_Category]]="Travel")), "unsafe merchant transaction", "safe merchant transaction")</f>
        <v>safe merchant transaction</v>
      </c>
    </row>
    <row r="2373" spans="1:18">
      <c r="A2373" t="s">
        <v>4581</v>
      </c>
      <c r="B2373" t="s">
        <v>338</v>
      </c>
      <c r="C2373">
        <v>1</v>
      </c>
      <c r="D2373" t="s">
        <v>9</v>
      </c>
      <c r="E2373" t="s">
        <v>3</v>
      </c>
      <c r="F2373" s="2">
        <v>45875</v>
      </c>
      <c r="G2373">
        <v>869.19</v>
      </c>
      <c r="H2373" s="1">
        <f>AVERAGEIF(Table1[Customer_ID], Table1[[#This Row],[Customer_ID]], Table1[Transaction_Amount])</f>
        <v>4990.9810526315787</v>
      </c>
      <c r="I2373" t="s">
        <v>2051</v>
      </c>
      <c r="J2373" t="s">
        <v>31</v>
      </c>
      <c r="K2373" t="s">
        <v>14</v>
      </c>
      <c r="L2373">
        <v>0</v>
      </c>
      <c r="M2373" t="s">
        <v>42</v>
      </c>
      <c r="N2373" t="s">
        <v>42</v>
      </c>
      <c r="O2373" t="s">
        <v>392</v>
      </c>
      <c r="P2373" s="6" t="str">
        <f>IF(Table1[[#This Row],[Transaction_Amount]]&lt;=Table1[[#This Row],[avg_transaction_amount]], "usual transaction", "unusual transaction")</f>
        <v>usual transaction</v>
      </c>
      <c r="Q2373" s="6" t="str">
        <f>IF(AND(Table1[[#This Row],[Country_of_Residence]]&lt;&gt;Table1[[#This Row],[Country_of_Transaction]], OR(Table1[[#This Row],[Authentication_Type]]="Biometric", Table1[[#This Row],[Authentication_Type]]="OTP")), "safe location transaction", "unsafe location transaction")</f>
        <v>unsafe location transaction</v>
      </c>
      <c r="R2373" s="6" t="str">
        <f>IF(AND(Table1[[#This Row],[Country_of_Residence]]&lt;&gt;Table1[[#This Row],[Country_of_Transaction]], OR(Table1[[#This Row],[Merchant_Category]]="Electronics", Table1[[#This Row],[Merchant_Category]]="Travel")), "unsafe merchant transaction", "safe merchant transaction")</f>
        <v>safe merchant transaction</v>
      </c>
    </row>
    <row r="2374" spans="1:18">
      <c r="A2374" t="s">
        <v>4630</v>
      </c>
      <c r="B2374" t="s">
        <v>338</v>
      </c>
      <c r="C2374">
        <v>1</v>
      </c>
      <c r="D2374" t="s">
        <v>15</v>
      </c>
      <c r="E2374" t="s">
        <v>3</v>
      </c>
      <c r="F2374" s="2">
        <v>46021</v>
      </c>
      <c r="G2374">
        <v>1559.93</v>
      </c>
      <c r="H2374" s="1">
        <f>AVERAGEIF(Table1[Customer_ID], Table1[[#This Row],[Customer_ID]], Table1[Transaction_Amount])</f>
        <v>4990.9810526315787</v>
      </c>
      <c r="I2374" t="s">
        <v>2093</v>
      </c>
      <c r="J2374" t="s">
        <v>50</v>
      </c>
      <c r="K2374" t="s">
        <v>12</v>
      </c>
      <c r="L2374">
        <v>2</v>
      </c>
      <c r="M2374" t="s">
        <v>412</v>
      </c>
      <c r="N2374" t="s">
        <v>56</v>
      </c>
      <c r="O2374" t="s">
        <v>393</v>
      </c>
      <c r="P2374" s="6" t="str">
        <f>IF(Table1[[#This Row],[Transaction_Amount]]&lt;=Table1[[#This Row],[avg_transaction_amount]], "usual transaction", "unusual transaction")</f>
        <v>usual transaction</v>
      </c>
      <c r="Q2374" s="6" t="str">
        <f>IF(AND(Table1[[#This Row],[Country_of_Residence]]&lt;&gt;Table1[[#This Row],[Country_of_Transaction]], OR(Table1[[#This Row],[Authentication_Type]]="Biometric", Table1[[#This Row],[Authentication_Type]]="OTP")), "safe location transaction", "unsafe location transaction")</f>
        <v>unsafe location transaction</v>
      </c>
      <c r="R2374" s="6" t="str">
        <f>IF(AND(Table1[[#This Row],[Country_of_Residence]]&lt;&gt;Table1[[#This Row],[Country_of_Transaction]], OR(Table1[[#This Row],[Merchant_Category]]="Electronics", Table1[[#This Row],[Merchant_Category]]="Travel")), "unsafe merchant transaction", "safe merchant transaction")</f>
        <v>unsafe merchant transaction</v>
      </c>
    </row>
    <row r="2375" spans="1:18">
      <c r="A2375" t="s">
        <v>4697</v>
      </c>
      <c r="B2375" t="s">
        <v>338</v>
      </c>
      <c r="C2375">
        <v>1</v>
      </c>
      <c r="D2375" t="s">
        <v>15</v>
      </c>
      <c r="E2375" t="s">
        <v>3</v>
      </c>
      <c r="F2375" s="2">
        <v>45662</v>
      </c>
      <c r="G2375">
        <v>5064.3500000000004</v>
      </c>
      <c r="H2375" s="1">
        <f>AVERAGEIF(Table1[Customer_ID], Table1[[#This Row],[Customer_ID]], Table1[Transaction_Amount])</f>
        <v>4990.9810526315787</v>
      </c>
      <c r="I2375" t="s">
        <v>2146</v>
      </c>
      <c r="J2375" t="s">
        <v>46</v>
      </c>
      <c r="K2375" t="s">
        <v>10</v>
      </c>
      <c r="L2375">
        <v>0</v>
      </c>
      <c r="M2375" t="s">
        <v>42</v>
      </c>
      <c r="N2375" t="s">
        <v>37</v>
      </c>
      <c r="O2375" t="s">
        <v>392</v>
      </c>
      <c r="P2375" s="6" t="str">
        <f>IF(Table1[[#This Row],[Transaction_Amount]]&lt;=Table1[[#This Row],[avg_transaction_amount]], "usual transaction", "unusual transaction")</f>
        <v>unusual transaction</v>
      </c>
      <c r="Q2375" s="6" t="str">
        <f>IF(AND(Table1[[#This Row],[Country_of_Residence]]&lt;&gt;Table1[[#This Row],[Country_of_Transaction]], OR(Table1[[#This Row],[Authentication_Type]]="Biometric", Table1[[#This Row],[Authentication_Type]]="OTP")), "safe location transaction", "unsafe location transaction")</f>
        <v>safe location transaction</v>
      </c>
      <c r="R2375" s="6" t="str">
        <f>IF(AND(Table1[[#This Row],[Country_of_Residence]]&lt;&gt;Table1[[#This Row],[Country_of_Transaction]], OR(Table1[[#This Row],[Merchant_Category]]="Electronics", Table1[[#This Row],[Merchant_Category]]="Travel")), "unsafe merchant transaction", "safe merchant transaction")</f>
        <v>safe merchant transaction</v>
      </c>
    </row>
    <row r="2376" spans="1:18">
      <c r="A2376" t="s">
        <v>4723</v>
      </c>
      <c r="B2376" t="s">
        <v>338</v>
      </c>
      <c r="C2376">
        <v>1</v>
      </c>
      <c r="D2376" t="s">
        <v>9</v>
      </c>
      <c r="E2376" t="s">
        <v>3</v>
      </c>
      <c r="F2376" s="2">
        <v>45686</v>
      </c>
      <c r="G2376">
        <v>1185.8</v>
      </c>
      <c r="H2376" s="1">
        <f>AVERAGEIF(Table1[Customer_ID], Table1[[#This Row],[Customer_ID]], Table1[Transaction_Amount])</f>
        <v>4990.9810526315787</v>
      </c>
      <c r="I2376" t="s">
        <v>2164</v>
      </c>
      <c r="J2376" t="s">
        <v>31</v>
      </c>
      <c r="K2376" t="s">
        <v>10</v>
      </c>
      <c r="L2376">
        <v>5</v>
      </c>
      <c r="M2376" t="s">
        <v>42</v>
      </c>
      <c r="N2376" t="s">
        <v>37</v>
      </c>
      <c r="O2376" t="s">
        <v>393</v>
      </c>
      <c r="P2376" s="6" t="str">
        <f>IF(Table1[[#This Row],[Transaction_Amount]]&lt;=Table1[[#This Row],[avg_transaction_amount]], "usual transaction", "unusual transaction")</f>
        <v>usual transaction</v>
      </c>
      <c r="Q2376" s="6" t="str">
        <f>IF(AND(Table1[[#This Row],[Country_of_Residence]]&lt;&gt;Table1[[#This Row],[Country_of_Transaction]], OR(Table1[[#This Row],[Authentication_Type]]="Biometric", Table1[[#This Row],[Authentication_Type]]="OTP")), "safe location transaction", "unsafe location transaction")</f>
        <v>safe location transaction</v>
      </c>
      <c r="R2376" s="6" t="str">
        <f>IF(AND(Table1[[#This Row],[Country_of_Residence]]&lt;&gt;Table1[[#This Row],[Country_of_Transaction]], OR(Table1[[#This Row],[Merchant_Category]]="Electronics", Table1[[#This Row],[Merchant_Category]]="Travel")), "unsafe merchant transaction", "safe merchant transaction")</f>
        <v>safe merchant transaction</v>
      </c>
    </row>
    <row r="2377" spans="1:18">
      <c r="A2377" t="s">
        <v>4730</v>
      </c>
      <c r="B2377" t="s">
        <v>338</v>
      </c>
      <c r="C2377">
        <v>1</v>
      </c>
      <c r="D2377" t="s">
        <v>15</v>
      </c>
      <c r="E2377" t="s">
        <v>5</v>
      </c>
      <c r="F2377" s="2">
        <v>45827</v>
      </c>
      <c r="G2377">
        <v>3074.09</v>
      </c>
      <c r="H2377" s="1">
        <f>AVERAGEIF(Table1[Customer_ID], Table1[[#This Row],[Customer_ID]], Table1[Transaction_Amount])</f>
        <v>4990.9810526315787</v>
      </c>
      <c r="I2377" t="s">
        <v>2170</v>
      </c>
      <c r="J2377" t="s">
        <v>50</v>
      </c>
      <c r="K2377" t="s">
        <v>8</v>
      </c>
      <c r="L2377">
        <v>5</v>
      </c>
      <c r="M2377" t="s">
        <v>56</v>
      </c>
      <c r="N2377" t="s">
        <v>33</v>
      </c>
      <c r="O2377" t="s">
        <v>393</v>
      </c>
      <c r="P2377" s="6" t="str">
        <f>IF(Table1[[#This Row],[Transaction_Amount]]&lt;=Table1[[#This Row],[avg_transaction_amount]], "usual transaction", "unusual transaction")</f>
        <v>usual transaction</v>
      </c>
      <c r="Q2377" s="6" t="str">
        <f>IF(AND(Table1[[#This Row],[Country_of_Residence]]&lt;&gt;Table1[[#This Row],[Country_of_Transaction]], OR(Table1[[#This Row],[Authentication_Type]]="Biometric", Table1[[#This Row],[Authentication_Type]]="OTP")), "safe location transaction", "unsafe location transaction")</f>
        <v>safe location transaction</v>
      </c>
      <c r="R2377" s="6" t="str">
        <f>IF(AND(Table1[[#This Row],[Country_of_Residence]]&lt;&gt;Table1[[#This Row],[Country_of_Transaction]], OR(Table1[[#This Row],[Merchant_Category]]="Electronics", Table1[[#This Row],[Merchant_Category]]="Travel")), "unsafe merchant transaction", "safe merchant transaction")</f>
        <v>unsafe merchant transaction</v>
      </c>
    </row>
    <row r="2378" spans="1:18">
      <c r="A2378" t="s">
        <v>4751</v>
      </c>
      <c r="B2378" t="s">
        <v>338</v>
      </c>
      <c r="C2378">
        <v>1</v>
      </c>
      <c r="D2378" t="s">
        <v>9</v>
      </c>
      <c r="E2378" t="s">
        <v>6</v>
      </c>
      <c r="F2378" s="2">
        <v>45701</v>
      </c>
      <c r="G2378">
        <v>3026.59</v>
      </c>
      <c r="H2378" s="1">
        <f>AVERAGEIF(Table1[Customer_ID], Table1[[#This Row],[Customer_ID]], Table1[Transaction_Amount])</f>
        <v>4990.9810526315787</v>
      </c>
      <c r="I2378" t="s">
        <v>862</v>
      </c>
      <c r="J2378" t="s">
        <v>41</v>
      </c>
      <c r="K2378" t="s">
        <v>8</v>
      </c>
      <c r="L2378">
        <v>3</v>
      </c>
      <c r="M2378" t="s">
        <v>32</v>
      </c>
      <c r="N2378" t="s">
        <v>32</v>
      </c>
      <c r="O2378" t="s">
        <v>393</v>
      </c>
      <c r="P2378" s="6" t="str">
        <f>IF(Table1[[#This Row],[Transaction_Amount]]&lt;=Table1[[#This Row],[avg_transaction_amount]], "usual transaction", "unusual transaction")</f>
        <v>usual transaction</v>
      </c>
      <c r="Q2378" s="6" t="str">
        <f>IF(AND(Table1[[#This Row],[Country_of_Residence]]&lt;&gt;Table1[[#This Row],[Country_of_Transaction]], OR(Table1[[#This Row],[Authentication_Type]]="Biometric", Table1[[#This Row],[Authentication_Type]]="OTP")), "safe location transaction", "unsafe location transaction")</f>
        <v>unsafe location transaction</v>
      </c>
      <c r="R2378" s="6" t="str">
        <f>IF(AND(Table1[[#This Row],[Country_of_Residence]]&lt;&gt;Table1[[#This Row],[Country_of_Transaction]], OR(Table1[[#This Row],[Merchant_Category]]="Electronics", Table1[[#This Row],[Merchant_Category]]="Travel")), "unsafe merchant transaction", "safe merchant transaction")</f>
        <v>safe merchant transaction</v>
      </c>
    </row>
    <row r="2379" spans="1:18">
      <c r="A2379" t="s">
        <v>4762</v>
      </c>
      <c r="B2379" t="s">
        <v>338</v>
      </c>
      <c r="C2379">
        <v>1</v>
      </c>
      <c r="D2379" t="s">
        <v>15</v>
      </c>
      <c r="E2379" t="s">
        <v>420</v>
      </c>
      <c r="F2379" s="2">
        <v>45965</v>
      </c>
      <c r="G2379">
        <v>9387.19</v>
      </c>
      <c r="H2379" s="1">
        <f>AVERAGEIF(Table1[Customer_ID], Table1[[#This Row],[Customer_ID]], Table1[Transaction_Amount])</f>
        <v>4990.9810526315787</v>
      </c>
      <c r="I2379" t="s">
        <v>2194</v>
      </c>
      <c r="J2379" t="s">
        <v>41</v>
      </c>
      <c r="K2379" t="s">
        <v>14</v>
      </c>
      <c r="L2379">
        <v>5</v>
      </c>
      <c r="M2379" t="s">
        <v>47</v>
      </c>
      <c r="N2379" t="s">
        <v>56</v>
      </c>
      <c r="O2379" t="s">
        <v>393</v>
      </c>
      <c r="P2379" s="6" t="str">
        <f>IF(Table1[[#This Row],[Transaction_Amount]]&lt;=Table1[[#This Row],[avg_transaction_amount]], "usual transaction", "unusual transaction")</f>
        <v>unusual transaction</v>
      </c>
      <c r="Q2379" s="6" t="str">
        <f>IF(AND(Table1[[#This Row],[Country_of_Residence]]&lt;&gt;Table1[[#This Row],[Country_of_Transaction]], OR(Table1[[#This Row],[Authentication_Type]]="Biometric", Table1[[#This Row],[Authentication_Type]]="OTP")), "safe location transaction", "unsafe location transaction")</f>
        <v>unsafe location transaction</v>
      </c>
      <c r="R2379" s="6" t="str">
        <f>IF(AND(Table1[[#This Row],[Country_of_Residence]]&lt;&gt;Table1[[#This Row],[Country_of_Transaction]], OR(Table1[[#This Row],[Merchant_Category]]="Electronics", Table1[[#This Row],[Merchant_Category]]="Travel")), "unsafe merchant transaction", "safe merchant transaction")</f>
        <v>safe merchant transaction</v>
      </c>
    </row>
    <row r="2380" spans="1:18">
      <c r="A2380" t="s">
        <v>4796</v>
      </c>
      <c r="B2380" t="s">
        <v>338</v>
      </c>
      <c r="C2380">
        <v>1</v>
      </c>
      <c r="D2380" t="s">
        <v>9</v>
      </c>
      <c r="E2380" t="s">
        <v>6</v>
      </c>
      <c r="F2380" s="2">
        <v>45953</v>
      </c>
      <c r="G2380">
        <v>2036.36</v>
      </c>
      <c r="H2380" s="1">
        <f>AVERAGEIF(Table1[Customer_ID], Table1[[#This Row],[Customer_ID]], Table1[Transaction_Amount])</f>
        <v>4990.9810526315787</v>
      </c>
      <c r="I2380" t="s">
        <v>2219</v>
      </c>
      <c r="J2380" t="s">
        <v>31</v>
      </c>
      <c r="K2380" t="s">
        <v>12</v>
      </c>
      <c r="L2380">
        <v>1</v>
      </c>
      <c r="M2380" t="s">
        <v>47</v>
      </c>
      <c r="N2380" t="s">
        <v>56</v>
      </c>
      <c r="O2380" t="s">
        <v>393</v>
      </c>
      <c r="P2380" s="6" t="str">
        <f>IF(Table1[[#This Row],[Transaction_Amount]]&lt;=Table1[[#This Row],[avg_transaction_amount]], "usual transaction", "unusual transaction")</f>
        <v>usual transaction</v>
      </c>
      <c r="Q2380" s="6" t="str">
        <f>IF(AND(Table1[[#This Row],[Country_of_Residence]]&lt;&gt;Table1[[#This Row],[Country_of_Transaction]], OR(Table1[[#This Row],[Authentication_Type]]="Biometric", Table1[[#This Row],[Authentication_Type]]="OTP")), "safe location transaction", "unsafe location transaction")</f>
        <v>unsafe location transaction</v>
      </c>
      <c r="R2380" s="6" t="str">
        <f>IF(AND(Table1[[#This Row],[Country_of_Residence]]&lt;&gt;Table1[[#This Row],[Country_of_Transaction]], OR(Table1[[#This Row],[Merchant_Category]]="Electronics", Table1[[#This Row],[Merchant_Category]]="Travel")), "unsafe merchant transaction", "safe merchant transaction")</f>
        <v>safe merchant transaction</v>
      </c>
    </row>
    <row r="2381" spans="1:18">
      <c r="A2381" t="s">
        <v>4843</v>
      </c>
      <c r="B2381" t="s">
        <v>338</v>
      </c>
      <c r="C2381">
        <v>1</v>
      </c>
      <c r="D2381" t="s">
        <v>15</v>
      </c>
      <c r="E2381" t="s">
        <v>3</v>
      </c>
      <c r="F2381" s="2">
        <v>46017</v>
      </c>
      <c r="G2381">
        <v>3836.33</v>
      </c>
      <c r="H2381" s="1">
        <f>AVERAGEIF(Table1[Customer_ID], Table1[[#This Row],[Customer_ID]], Table1[Transaction_Amount])</f>
        <v>4990.9810526315787</v>
      </c>
      <c r="I2381" t="s">
        <v>2257</v>
      </c>
      <c r="J2381" t="s">
        <v>46</v>
      </c>
      <c r="K2381" t="s">
        <v>12</v>
      </c>
      <c r="L2381">
        <v>5</v>
      </c>
      <c r="M2381" t="s">
        <v>37</v>
      </c>
      <c r="N2381" t="s">
        <v>42</v>
      </c>
      <c r="O2381" t="s">
        <v>392</v>
      </c>
      <c r="P2381" s="6" t="str">
        <f>IF(Table1[[#This Row],[Transaction_Amount]]&lt;=Table1[[#This Row],[avg_transaction_amount]], "usual transaction", "unusual transaction")</f>
        <v>usual transaction</v>
      </c>
      <c r="Q2381" s="6" t="str">
        <f>IF(AND(Table1[[#This Row],[Country_of_Residence]]&lt;&gt;Table1[[#This Row],[Country_of_Transaction]], OR(Table1[[#This Row],[Authentication_Type]]="Biometric", Table1[[#This Row],[Authentication_Type]]="OTP")), "safe location transaction", "unsafe location transaction")</f>
        <v>unsafe location transaction</v>
      </c>
      <c r="R2381" s="6" t="str">
        <f>IF(AND(Table1[[#This Row],[Country_of_Residence]]&lt;&gt;Table1[[#This Row],[Country_of_Transaction]], OR(Table1[[#This Row],[Merchant_Category]]="Electronics", Table1[[#This Row],[Merchant_Category]]="Travel")), "unsafe merchant transaction", "safe merchant transaction")</f>
        <v>safe merchant transaction</v>
      </c>
    </row>
    <row r="2382" spans="1:18">
      <c r="A2382" t="s">
        <v>4944</v>
      </c>
      <c r="B2382" t="s">
        <v>338</v>
      </c>
      <c r="C2382">
        <v>1</v>
      </c>
      <c r="D2382" t="s">
        <v>9</v>
      </c>
      <c r="E2382" t="s">
        <v>420</v>
      </c>
      <c r="F2382" s="2">
        <v>45778</v>
      </c>
      <c r="G2382">
        <v>5772.29</v>
      </c>
      <c r="H2382" s="1">
        <f>AVERAGEIF(Table1[Customer_ID], Table1[[#This Row],[Customer_ID]], Table1[Transaction_Amount])</f>
        <v>4990.9810526315787</v>
      </c>
      <c r="I2382" t="s">
        <v>2336</v>
      </c>
      <c r="J2382" t="s">
        <v>36</v>
      </c>
      <c r="K2382" t="s">
        <v>8</v>
      </c>
      <c r="L2382">
        <v>1</v>
      </c>
      <c r="M2382" t="s">
        <v>37</v>
      </c>
      <c r="N2382" t="s">
        <v>37</v>
      </c>
      <c r="O2382" t="s">
        <v>392</v>
      </c>
      <c r="P2382" s="6" t="str">
        <f>IF(Table1[[#This Row],[Transaction_Amount]]&lt;=Table1[[#This Row],[avg_transaction_amount]], "usual transaction", "unusual transaction")</f>
        <v>unusual transaction</v>
      </c>
      <c r="Q2382" s="6" t="str">
        <f>IF(AND(Table1[[#This Row],[Country_of_Residence]]&lt;&gt;Table1[[#This Row],[Country_of_Transaction]], OR(Table1[[#This Row],[Authentication_Type]]="Biometric", Table1[[#This Row],[Authentication_Type]]="OTP")), "safe location transaction", "unsafe location transaction")</f>
        <v>unsafe location transaction</v>
      </c>
      <c r="R2382" s="6" t="str">
        <f>IF(AND(Table1[[#This Row],[Country_of_Residence]]&lt;&gt;Table1[[#This Row],[Country_of_Transaction]], OR(Table1[[#This Row],[Merchant_Category]]="Electronics", Table1[[#This Row],[Merchant_Category]]="Travel")), "unsafe merchant transaction", "safe merchant transaction")</f>
        <v>safe merchant transaction</v>
      </c>
    </row>
    <row r="2383" spans="1:18">
      <c r="A2383" t="s">
        <v>4947</v>
      </c>
      <c r="B2383" t="s">
        <v>338</v>
      </c>
      <c r="C2383">
        <v>1</v>
      </c>
      <c r="D2383" t="s">
        <v>9</v>
      </c>
      <c r="E2383" t="s">
        <v>3</v>
      </c>
      <c r="F2383" s="2">
        <v>45978</v>
      </c>
      <c r="G2383">
        <v>3003.45</v>
      </c>
      <c r="H2383" s="1">
        <f>AVERAGEIF(Table1[Customer_ID], Table1[[#This Row],[Customer_ID]], Table1[Transaction_Amount])</f>
        <v>4990.9810526315787</v>
      </c>
      <c r="I2383" t="s">
        <v>2339</v>
      </c>
      <c r="J2383" t="s">
        <v>41</v>
      </c>
      <c r="K2383" t="s">
        <v>14</v>
      </c>
      <c r="L2383">
        <v>0</v>
      </c>
      <c r="M2383" t="s">
        <v>32</v>
      </c>
      <c r="N2383" t="s">
        <v>56</v>
      </c>
      <c r="O2383" t="s">
        <v>393</v>
      </c>
      <c r="P2383" s="6" t="str">
        <f>IF(Table1[[#This Row],[Transaction_Amount]]&lt;=Table1[[#This Row],[avg_transaction_amount]], "usual transaction", "unusual transaction")</f>
        <v>usual transaction</v>
      </c>
      <c r="Q2383" s="6" t="str">
        <f>IF(AND(Table1[[#This Row],[Country_of_Residence]]&lt;&gt;Table1[[#This Row],[Country_of_Transaction]], OR(Table1[[#This Row],[Authentication_Type]]="Biometric", Table1[[#This Row],[Authentication_Type]]="OTP")), "safe location transaction", "unsafe location transaction")</f>
        <v>unsafe location transaction</v>
      </c>
      <c r="R2383" s="6" t="str">
        <f>IF(AND(Table1[[#This Row],[Country_of_Residence]]&lt;&gt;Table1[[#This Row],[Country_of_Transaction]], OR(Table1[[#This Row],[Merchant_Category]]="Electronics", Table1[[#This Row],[Merchant_Category]]="Travel")), "unsafe merchant transaction", "safe merchant transaction")</f>
        <v>safe merchant transaction</v>
      </c>
    </row>
    <row r="2384" spans="1:18">
      <c r="A2384" t="s">
        <v>5007</v>
      </c>
      <c r="B2384" t="s">
        <v>338</v>
      </c>
      <c r="C2384">
        <v>1</v>
      </c>
      <c r="D2384" t="s">
        <v>9</v>
      </c>
      <c r="E2384" t="s">
        <v>6</v>
      </c>
      <c r="F2384" s="2">
        <v>45948</v>
      </c>
      <c r="G2384">
        <v>8323.14</v>
      </c>
      <c r="H2384" s="1">
        <f>AVERAGEIF(Table1[Customer_ID], Table1[[#This Row],[Customer_ID]], Table1[Transaction_Amount])</f>
        <v>4990.9810526315787</v>
      </c>
      <c r="I2384" t="s">
        <v>660</v>
      </c>
      <c r="J2384" t="s">
        <v>46</v>
      </c>
      <c r="K2384" t="s">
        <v>14</v>
      </c>
      <c r="L2384">
        <v>4</v>
      </c>
      <c r="M2384" t="s">
        <v>47</v>
      </c>
      <c r="N2384" t="s">
        <v>42</v>
      </c>
      <c r="O2384" t="s">
        <v>392</v>
      </c>
      <c r="P2384" s="6" t="str">
        <f>IF(Table1[[#This Row],[Transaction_Amount]]&lt;=Table1[[#This Row],[avg_transaction_amount]], "usual transaction", "unusual transaction")</f>
        <v>unusual transaction</v>
      </c>
      <c r="Q2384" s="6" t="str">
        <f>IF(AND(Table1[[#This Row],[Country_of_Residence]]&lt;&gt;Table1[[#This Row],[Country_of_Transaction]], OR(Table1[[#This Row],[Authentication_Type]]="Biometric", Table1[[#This Row],[Authentication_Type]]="OTP")), "safe location transaction", "unsafe location transaction")</f>
        <v>unsafe location transaction</v>
      </c>
      <c r="R2384" s="6" t="str">
        <f>IF(AND(Table1[[#This Row],[Country_of_Residence]]&lt;&gt;Table1[[#This Row],[Country_of_Transaction]], OR(Table1[[#This Row],[Merchant_Category]]="Electronics", Table1[[#This Row],[Merchant_Category]]="Travel")), "unsafe merchant transaction", "safe merchant transaction")</f>
        <v>safe merchant transaction</v>
      </c>
    </row>
    <row r="2385" spans="1:18">
      <c r="A2385" t="s">
        <v>5067</v>
      </c>
      <c r="B2385" t="s">
        <v>338</v>
      </c>
      <c r="C2385">
        <v>1</v>
      </c>
      <c r="D2385" t="s">
        <v>9</v>
      </c>
      <c r="E2385" t="s">
        <v>5</v>
      </c>
      <c r="F2385" s="2">
        <v>45803</v>
      </c>
      <c r="G2385">
        <v>7115.34</v>
      </c>
      <c r="H2385" s="1">
        <f>AVERAGEIF(Table1[Customer_ID], Table1[[#This Row],[Customer_ID]], Table1[Transaction_Amount])</f>
        <v>4990.9810526315787</v>
      </c>
      <c r="I2385" t="s">
        <v>2426</v>
      </c>
      <c r="J2385" t="s">
        <v>46</v>
      </c>
      <c r="K2385" t="s">
        <v>10</v>
      </c>
      <c r="L2385">
        <v>2</v>
      </c>
      <c r="M2385" t="s">
        <v>51</v>
      </c>
      <c r="N2385" t="s">
        <v>51</v>
      </c>
      <c r="O2385" t="s">
        <v>393</v>
      </c>
      <c r="P2385" s="6" t="str">
        <f>IF(Table1[[#This Row],[Transaction_Amount]]&lt;=Table1[[#This Row],[avg_transaction_amount]], "usual transaction", "unusual transaction")</f>
        <v>unusual transaction</v>
      </c>
      <c r="Q2385" s="6" t="str">
        <f>IF(AND(Table1[[#This Row],[Country_of_Residence]]&lt;&gt;Table1[[#This Row],[Country_of_Transaction]], OR(Table1[[#This Row],[Authentication_Type]]="Biometric", Table1[[#This Row],[Authentication_Type]]="OTP")), "safe location transaction", "unsafe location transaction")</f>
        <v>unsafe location transaction</v>
      </c>
      <c r="R2385" s="6" t="str">
        <f>IF(AND(Table1[[#This Row],[Country_of_Residence]]&lt;&gt;Table1[[#This Row],[Country_of_Transaction]], OR(Table1[[#This Row],[Merchant_Category]]="Electronics", Table1[[#This Row],[Merchant_Category]]="Travel")), "unsafe merchant transaction", "safe merchant transaction")</f>
        <v>safe merchant transaction</v>
      </c>
    </row>
    <row r="2386" spans="1:18">
      <c r="A2386" t="s">
        <v>5075</v>
      </c>
      <c r="B2386" t="s">
        <v>338</v>
      </c>
      <c r="C2386">
        <v>1</v>
      </c>
      <c r="D2386" t="s">
        <v>15</v>
      </c>
      <c r="E2386" t="s">
        <v>420</v>
      </c>
      <c r="F2386" s="2">
        <v>45685</v>
      </c>
      <c r="G2386">
        <v>4659.8500000000004</v>
      </c>
      <c r="H2386" s="1">
        <f>AVERAGEIF(Table1[Customer_ID], Table1[[#This Row],[Customer_ID]], Table1[Transaction_Amount])</f>
        <v>4990.9810526315787</v>
      </c>
      <c r="I2386" t="s">
        <v>1191</v>
      </c>
      <c r="J2386" t="s">
        <v>41</v>
      </c>
      <c r="K2386" t="s">
        <v>14</v>
      </c>
      <c r="L2386">
        <v>3</v>
      </c>
      <c r="M2386" t="s">
        <v>33</v>
      </c>
      <c r="N2386" t="s">
        <v>33</v>
      </c>
      <c r="O2386" t="s">
        <v>393</v>
      </c>
      <c r="P2386" s="6" t="str">
        <f>IF(Table1[[#This Row],[Transaction_Amount]]&lt;=Table1[[#This Row],[avg_transaction_amount]], "usual transaction", "unusual transaction")</f>
        <v>usual transaction</v>
      </c>
      <c r="Q2386" s="6" t="str">
        <f>IF(AND(Table1[[#This Row],[Country_of_Residence]]&lt;&gt;Table1[[#This Row],[Country_of_Transaction]], OR(Table1[[#This Row],[Authentication_Type]]="Biometric", Table1[[#This Row],[Authentication_Type]]="OTP")), "safe location transaction", "unsafe location transaction")</f>
        <v>unsafe location transaction</v>
      </c>
      <c r="R2386" s="6" t="str">
        <f>IF(AND(Table1[[#This Row],[Country_of_Residence]]&lt;&gt;Table1[[#This Row],[Country_of_Transaction]], OR(Table1[[#This Row],[Merchant_Category]]="Electronics", Table1[[#This Row],[Merchant_Category]]="Travel")), "unsafe merchant transaction", "safe merchant transaction")</f>
        <v>safe merchant transaction</v>
      </c>
    </row>
    <row r="2387" spans="1:18">
      <c r="A2387" t="s">
        <v>5116</v>
      </c>
      <c r="B2387" t="s">
        <v>338</v>
      </c>
      <c r="C2387">
        <v>1</v>
      </c>
      <c r="D2387" t="s">
        <v>9</v>
      </c>
      <c r="E2387" t="s">
        <v>420</v>
      </c>
      <c r="F2387" s="2">
        <v>45987</v>
      </c>
      <c r="G2387">
        <v>1334.2</v>
      </c>
      <c r="H2387" s="1">
        <f>AVERAGEIF(Table1[Customer_ID], Table1[[#This Row],[Customer_ID]], Table1[Transaction_Amount])</f>
        <v>4990.9810526315787</v>
      </c>
      <c r="I2387" t="s">
        <v>2463</v>
      </c>
      <c r="J2387" t="s">
        <v>31</v>
      </c>
      <c r="K2387" t="s">
        <v>14</v>
      </c>
      <c r="L2387">
        <v>2</v>
      </c>
      <c r="M2387" t="s">
        <v>55</v>
      </c>
      <c r="N2387" t="s">
        <v>51</v>
      </c>
      <c r="O2387" t="s">
        <v>393</v>
      </c>
      <c r="P2387" s="6" t="str">
        <f>IF(Table1[[#This Row],[Transaction_Amount]]&lt;=Table1[[#This Row],[avg_transaction_amount]], "usual transaction", "unusual transaction")</f>
        <v>usual transaction</v>
      </c>
      <c r="Q2387" s="6" t="str">
        <f>IF(AND(Table1[[#This Row],[Country_of_Residence]]&lt;&gt;Table1[[#This Row],[Country_of_Transaction]], OR(Table1[[#This Row],[Authentication_Type]]="Biometric", Table1[[#This Row],[Authentication_Type]]="OTP")), "safe location transaction", "unsafe location transaction")</f>
        <v>unsafe location transaction</v>
      </c>
      <c r="R2387" s="6" t="str">
        <f>IF(AND(Table1[[#This Row],[Country_of_Residence]]&lt;&gt;Table1[[#This Row],[Country_of_Transaction]], OR(Table1[[#This Row],[Merchant_Category]]="Electronics", Table1[[#This Row],[Merchant_Category]]="Travel")), "unsafe merchant transaction", "safe merchant transaction")</f>
        <v>safe merchant transaction</v>
      </c>
    </row>
    <row r="2388" spans="1:18">
      <c r="A2388" t="s">
        <v>5127</v>
      </c>
      <c r="B2388" t="s">
        <v>338</v>
      </c>
      <c r="C2388">
        <v>1</v>
      </c>
      <c r="D2388" t="s">
        <v>15</v>
      </c>
      <c r="E2388" t="s">
        <v>3</v>
      </c>
      <c r="F2388" s="2">
        <v>45884</v>
      </c>
      <c r="G2388">
        <v>2437.91</v>
      </c>
      <c r="H2388" s="1">
        <f>AVERAGEIF(Table1[Customer_ID], Table1[[#This Row],[Customer_ID]], Table1[Transaction_Amount])</f>
        <v>4990.9810526315787</v>
      </c>
      <c r="I2388" t="s">
        <v>2471</v>
      </c>
      <c r="J2388" t="s">
        <v>41</v>
      </c>
      <c r="K2388" t="s">
        <v>14</v>
      </c>
      <c r="L2388">
        <v>2</v>
      </c>
      <c r="M2388" t="s">
        <v>32</v>
      </c>
      <c r="N2388" t="s">
        <v>33</v>
      </c>
      <c r="O2388" t="s">
        <v>392</v>
      </c>
      <c r="P2388" s="6" t="str">
        <f>IF(Table1[[#This Row],[Transaction_Amount]]&lt;=Table1[[#This Row],[avg_transaction_amount]], "usual transaction", "unusual transaction")</f>
        <v>usual transaction</v>
      </c>
      <c r="Q2388" s="6" t="str">
        <f>IF(AND(Table1[[#This Row],[Country_of_Residence]]&lt;&gt;Table1[[#This Row],[Country_of_Transaction]], OR(Table1[[#This Row],[Authentication_Type]]="Biometric", Table1[[#This Row],[Authentication_Type]]="OTP")), "safe location transaction", "unsafe location transaction")</f>
        <v>unsafe location transaction</v>
      </c>
      <c r="R2388" s="6" t="str">
        <f>IF(AND(Table1[[#This Row],[Country_of_Residence]]&lt;&gt;Table1[[#This Row],[Country_of_Transaction]], OR(Table1[[#This Row],[Merchant_Category]]="Electronics", Table1[[#This Row],[Merchant_Category]]="Travel")), "unsafe merchant transaction", "safe merchant transaction")</f>
        <v>safe merchant transaction</v>
      </c>
    </row>
    <row r="2389" spans="1:18">
      <c r="A2389" t="s">
        <v>5146</v>
      </c>
      <c r="B2389" t="s">
        <v>338</v>
      </c>
      <c r="C2389">
        <v>1</v>
      </c>
      <c r="D2389" t="s">
        <v>15</v>
      </c>
      <c r="E2389" t="s">
        <v>6</v>
      </c>
      <c r="F2389" s="2">
        <v>45768</v>
      </c>
      <c r="G2389">
        <v>533.13</v>
      </c>
      <c r="H2389" s="1">
        <f>AVERAGEIF(Table1[Customer_ID], Table1[[#This Row],[Customer_ID]], Table1[Transaction_Amount])</f>
        <v>4990.9810526315787</v>
      </c>
      <c r="I2389" t="s">
        <v>2484</v>
      </c>
      <c r="J2389" t="s">
        <v>31</v>
      </c>
      <c r="K2389" t="s">
        <v>8</v>
      </c>
      <c r="L2389">
        <v>2</v>
      </c>
      <c r="M2389" t="s">
        <v>33</v>
      </c>
      <c r="N2389" t="s">
        <v>47</v>
      </c>
      <c r="O2389" t="s">
        <v>393</v>
      </c>
      <c r="P2389" s="6" t="str">
        <f>IF(Table1[[#This Row],[Transaction_Amount]]&lt;=Table1[[#This Row],[avg_transaction_amount]], "usual transaction", "unusual transaction")</f>
        <v>usual transaction</v>
      </c>
      <c r="Q2389" s="6" t="str">
        <f>IF(AND(Table1[[#This Row],[Country_of_Residence]]&lt;&gt;Table1[[#This Row],[Country_of_Transaction]], OR(Table1[[#This Row],[Authentication_Type]]="Biometric", Table1[[#This Row],[Authentication_Type]]="OTP")), "safe location transaction", "unsafe location transaction")</f>
        <v>safe location transaction</v>
      </c>
      <c r="R2389" s="6" t="str">
        <f>IF(AND(Table1[[#This Row],[Country_of_Residence]]&lt;&gt;Table1[[#This Row],[Country_of_Transaction]], OR(Table1[[#This Row],[Merchant_Category]]="Electronics", Table1[[#This Row],[Merchant_Category]]="Travel")), "unsafe merchant transaction", "safe merchant transaction")</f>
        <v>safe merchant transaction</v>
      </c>
    </row>
    <row r="2390" spans="1:18">
      <c r="A2390" t="s">
        <v>5164</v>
      </c>
      <c r="B2390" t="s">
        <v>338</v>
      </c>
      <c r="C2390">
        <v>1</v>
      </c>
      <c r="D2390" t="s">
        <v>9</v>
      </c>
      <c r="E2390" t="s">
        <v>420</v>
      </c>
      <c r="F2390" s="2">
        <v>45954</v>
      </c>
      <c r="G2390">
        <v>9928.61</v>
      </c>
      <c r="H2390" s="1">
        <f>AVERAGEIF(Table1[Customer_ID], Table1[[#This Row],[Customer_ID]], Table1[Transaction_Amount])</f>
        <v>4990.9810526315787</v>
      </c>
      <c r="I2390" t="s">
        <v>2500</v>
      </c>
      <c r="J2390" t="s">
        <v>50</v>
      </c>
      <c r="K2390" t="s">
        <v>12</v>
      </c>
      <c r="L2390">
        <v>1</v>
      </c>
      <c r="M2390" t="s">
        <v>51</v>
      </c>
      <c r="N2390" t="s">
        <v>32</v>
      </c>
      <c r="O2390" t="s">
        <v>393</v>
      </c>
      <c r="P2390" s="6" t="str">
        <f>IF(Table1[[#This Row],[Transaction_Amount]]&lt;=Table1[[#This Row],[avg_transaction_amount]], "usual transaction", "unusual transaction")</f>
        <v>unusual transaction</v>
      </c>
      <c r="Q2390" s="6" t="str">
        <f>IF(AND(Table1[[#This Row],[Country_of_Residence]]&lt;&gt;Table1[[#This Row],[Country_of_Transaction]], OR(Table1[[#This Row],[Authentication_Type]]="Biometric", Table1[[#This Row],[Authentication_Type]]="OTP")), "safe location transaction", "unsafe location transaction")</f>
        <v>unsafe location transaction</v>
      </c>
      <c r="R2390" s="6" t="str">
        <f>IF(AND(Table1[[#This Row],[Country_of_Residence]]&lt;&gt;Table1[[#This Row],[Country_of_Transaction]], OR(Table1[[#This Row],[Merchant_Category]]="Electronics", Table1[[#This Row],[Merchant_Category]]="Travel")), "unsafe merchant transaction", "safe merchant transaction")</f>
        <v>unsafe merchant transaction</v>
      </c>
    </row>
    <row r="2391" spans="1:18">
      <c r="A2391" t="s">
        <v>5187</v>
      </c>
      <c r="B2391" t="s">
        <v>338</v>
      </c>
      <c r="C2391">
        <v>1</v>
      </c>
      <c r="D2391" t="s">
        <v>15</v>
      </c>
      <c r="E2391" t="s">
        <v>6</v>
      </c>
      <c r="F2391" s="2">
        <v>45886</v>
      </c>
      <c r="G2391">
        <v>2115.7800000000002</v>
      </c>
      <c r="H2391" s="1">
        <f>AVERAGEIF(Table1[Customer_ID], Table1[[#This Row],[Customer_ID]], Table1[Transaction_Amount])</f>
        <v>4990.9810526315787</v>
      </c>
      <c r="I2391" t="s">
        <v>2520</v>
      </c>
      <c r="J2391" t="s">
        <v>46</v>
      </c>
      <c r="K2391" t="s">
        <v>12</v>
      </c>
      <c r="L2391">
        <v>1</v>
      </c>
      <c r="M2391" t="s">
        <v>55</v>
      </c>
      <c r="N2391" t="s">
        <v>32</v>
      </c>
      <c r="O2391" t="s">
        <v>392</v>
      </c>
      <c r="P2391" s="6" t="str">
        <f>IF(Table1[[#This Row],[Transaction_Amount]]&lt;=Table1[[#This Row],[avg_transaction_amount]], "usual transaction", "unusual transaction")</f>
        <v>usual transaction</v>
      </c>
      <c r="Q2391" s="6" t="str">
        <f>IF(AND(Table1[[#This Row],[Country_of_Residence]]&lt;&gt;Table1[[#This Row],[Country_of_Transaction]], OR(Table1[[#This Row],[Authentication_Type]]="Biometric", Table1[[#This Row],[Authentication_Type]]="OTP")), "safe location transaction", "unsafe location transaction")</f>
        <v>unsafe location transaction</v>
      </c>
      <c r="R2391" s="6" t="str">
        <f>IF(AND(Table1[[#This Row],[Country_of_Residence]]&lt;&gt;Table1[[#This Row],[Country_of_Transaction]], OR(Table1[[#This Row],[Merchant_Category]]="Electronics", Table1[[#This Row],[Merchant_Category]]="Travel")), "unsafe merchant transaction", "safe merchant transaction")</f>
        <v>safe merchant transaction</v>
      </c>
    </row>
    <row r="2392" spans="1:18">
      <c r="A2392" t="s">
        <v>5303</v>
      </c>
      <c r="B2392" t="s">
        <v>338</v>
      </c>
      <c r="C2392">
        <v>1</v>
      </c>
      <c r="D2392" t="s">
        <v>9</v>
      </c>
      <c r="E2392" t="s">
        <v>3</v>
      </c>
      <c r="F2392" s="2">
        <v>45779</v>
      </c>
      <c r="G2392">
        <v>2590.31</v>
      </c>
      <c r="H2392" s="1">
        <f>AVERAGEIF(Table1[Customer_ID], Table1[[#This Row],[Customer_ID]], Table1[Transaction_Amount])</f>
        <v>4990.9810526315787</v>
      </c>
      <c r="I2392" t="s">
        <v>2606</v>
      </c>
      <c r="J2392" t="s">
        <v>36</v>
      </c>
      <c r="K2392" t="s">
        <v>8</v>
      </c>
      <c r="L2392">
        <v>4</v>
      </c>
      <c r="M2392" t="s">
        <v>51</v>
      </c>
      <c r="N2392" t="s">
        <v>51</v>
      </c>
      <c r="O2392" t="s">
        <v>393</v>
      </c>
      <c r="P2392" s="6" t="str">
        <f>IF(Table1[[#This Row],[Transaction_Amount]]&lt;=Table1[[#This Row],[avg_transaction_amount]], "usual transaction", "unusual transaction")</f>
        <v>usual transaction</v>
      </c>
      <c r="Q2392" s="6" t="str">
        <f>IF(AND(Table1[[#This Row],[Country_of_Residence]]&lt;&gt;Table1[[#This Row],[Country_of_Transaction]], OR(Table1[[#This Row],[Authentication_Type]]="Biometric", Table1[[#This Row],[Authentication_Type]]="OTP")), "safe location transaction", "unsafe location transaction")</f>
        <v>unsafe location transaction</v>
      </c>
      <c r="R2392" s="6" t="str">
        <f>IF(AND(Table1[[#This Row],[Country_of_Residence]]&lt;&gt;Table1[[#This Row],[Country_of_Transaction]], OR(Table1[[#This Row],[Merchant_Category]]="Electronics", Table1[[#This Row],[Merchant_Category]]="Travel")), "unsafe merchant transaction", "safe merchant transaction")</f>
        <v>safe merchant transaction</v>
      </c>
    </row>
    <row r="2393" spans="1:18">
      <c r="A2393" t="s">
        <v>5315</v>
      </c>
      <c r="B2393" t="s">
        <v>338</v>
      </c>
      <c r="C2393">
        <v>1</v>
      </c>
      <c r="D2393" t="s">
        <v>15</v>
      </c>
      <c r="E2393" t="s">
        <v>5</v>
      </c>
      <c r="F2393" s="2">
        <v>45848</v>
      </c>
      <c r="G2393">
        <v>6808.21</v>
      </c>
      <c r="H2393" s="1">
        <f>AVERAGEIF(Table1[Customer_ID], Table1[[#This Row],[Customer_ID]], Table1[Transaction_Amount])</f>
        <v>4990.9810526315787</v>
      </c>
      <c r="I2393" t="s">
        <v>2616</v>
      </c>
      <c r="J2393" t="s">
        <v>41</v>
      </c>
      <c r="K2393" t="s">
        <v>10</v>
      </c>
      <c r="L2393">
        <v>0</v>
      </c>
      <c r="M2393" t="s">
        <v>32</v>
      </c>
      <c r="N2393" t="s">
        <v>51</v>
      </c>
      <c r="O2393" t="s">
        <v>392</v>
      </c>
      <c r="P2393" s="6" t="str">
        <f>IF(Table1[[#This Row],[Transaction_Amount]]&lt;=Table1[[#This Row],[avg_transaction_amount]], "usual transaction", "unusual transaction")</f>
        <v>unusual transaction</v>
      </c>
      <c r="Q2393" s="6" t="str">
        <f>IF(AND(Table1[[#This Row],[Country_of_Residence]]&lt;&gt;Table1[[#This Row],[Country_of_Transaction]], OR(Table1[[#This Row],[Authentication_Type]]="Biometric", Table1[[#This Row],[Authentication_Type]]="OTP")), "safe location transaction", "unsafe location transaction")</f>
        <v>safe location transaction</v>
      </c>
      <c r="R2393" s="6" t="str">
        <f>IF(AND(Table1[[#This Row],[Country_of_Residence]]&lt;&gt;Table1[[#This Row],[Country_of_Transaction]], OR(Table1[[#This Row],[Merchant_Category]]="Electronics", Table1[[#This Row],[Merchant_Category]]="Travel")), "unsafe merchant transaction", "safe merchant transaction")</f>
        <v>safe merchant transaction</v>
      </c>
    </row>
    <row r="2394" spans="1:18">
      <c r="A2394" t="s">
        <v>5351</v>
      </c>
      <c r="B2394" t="s">
        <v>338</v>
      </c>
      <c r="C2394">
        <v>1</v>
      </c>
      <c r="D2394" t="s">
        <v>9</v>
      </c>
      <c r="E2394" t="s">
        <v>5</v>
      </c>
      <c r="F2394" s="2">
        <v>45680</v>
      </c>
      <c r="G2394">
        <v>5020.7</v>
      </c>
      <c r="H2394" s="1">
        <f>AVERAGEIF(Table1[Customer_ID], Table1[[#This Row],[Customer_ID]], Table1[Transaction_Amount])</f>
        <v>4990.9810526315787</v>
      </c>
      <c r="I2394" t="s">
        <v>2644</v>
      </c>
      <c r="J2394" t="s">
        <v>50</v>
      </c>
      <c r="K2394" t="s">
        <v>14</v>
      </c>
      <c r="L2394">
        <v>1</v>
      </c>
      <c r="M2394" t="s">
        <v>51</v>
      </c>
      <c r="N2394" t="s">
        <v>55</v>
      </c>
      <c r="O2394" t="s">
        <v>393</v>
      </c>
      <c r="P2394" s="6" t="str">
        <f>IF(Table1[[#This Row],[Transaction_Amount]]&lt;=Table1[[#This Row],[avg_transaction_amount]], "usual transaction", "unusual transaction")</f>
        <v>unusual transaction</v>
      </c>
      <c r="Q2394" s="6" t="str">
        <f>IF(AND(Table1[[#This Row],[Country_of_Residence]]&lt;&gt;Table1[[#This Row],[Country_of_Transaction]], OR(Table1[[#This Row],[Authentication_Type]]="Biometric", Table1[[#This Row],[Authentication_Type]]="OTP")), "safe location transaction", "unsafe location transaction")</f>
        <v>unsafe location transaction</v>
      </c>
      <c r="R2394" s="6" t="str">
        <f>IF(AND(Table1[[#This Row],[Country_of_Residence]]&lt;&gt;Table1[[#This Row],[Country_of_Transaction]], OR(Table1[[#This Row],[Merchant_Category]]="Electronics", Table1[[#This Row],[Merchant_Category]]="Travel")), "unsafe merchant transaction", "safe merchant transaction")</f>
        <v>unsafe merchant transaction</v>
      </c>
    </row>
    <row r="2395" spans="1:18">
      <c r="A2395" t="s">
        <v>5369</v>
      </c>
      <c r="B2395" t="s">
        <v>338</v>
      </c>
      <c r="C2395">
        <v>1</v>
      </c>
      <c r="D2395" t="s">
        <v>15</v>
      </c>
      <c r="E2395" t="s">
        <v>3</v>
      </c>
      <c r="F2395" s="2">
        <v>46011</v>
      </c>
      <c r="G2395">
        <v>3226.68</v>
      </c>
      <c r="H2395" s="1">
        <f>AVERAGEIF(Table1[Customer_ID], Table1[[#This Row],[Customer_ID]], Table1[Transaction_Amount])</f>
        <v>4990.9810526315787</v>
      </c>
      <c r="I2395" t="s">
        <v>2657</v>
      </c>
      <c r="J2395" t="s">
        <v>50</v>
      </c>
      <c r="K2395" t="s">
        <v>10</v>
      </c>
      <c r="L2395">
        <v>4</v>
      </c>
      <c r="M2395" t="s">
        <v>42</v>
      </c>
      <c r="N2395" t="s">
        <v>47</v>
      </c>
      <c r="O2395" t="s">
        <v>392</v>
      </c>
      <c r="P2395" s="6" t="str">
        <f>IF(Table1[[#This Row],[Transaction_Amount]]&lt;=Table1[[#This Row],[avg_transaction_amount]], "usual transaction", "unusual transaction")</f>
        <v>usual transaction</v>
      </c>
      <c r="Q2395" s="6" t="str">
        <f>IF(AND(Table1[[#This Row],[Country_of_Residence]]&lt;&gt;Table1[[#This Row],[Country_of_Transaction]], OR(Table1[[#This Row],[Authentication_Type]]="Biometric", Table1[[#This Row],[Authentication_Type]]="OTP")), "safe location transaction", "unsafe location transaction")</f>
        <v>safe location transaction</v>
      </c>
      <c r="R2395" s="6" t="str">
        <f>IF(AND(Table1[[#This Row],[Country_of_Residence]]&lt;&gt;Table1[[#This Row],[Country_of_Transaction]], OR(Table1[[#This Row],[Merchant_Category]]="Electronics", Table1[[#This Row],[Merchant_Category]]="Travel")), "unsafe merchant transaction", "safe merchant transaction")</f>
        <v>unsafe merchant transaction</v>
      </c>
    </row>
    <row r="2396" spans="1:18">
      <c r="A2396" t="s">
        <v>5397</v>
      </c>
      <c r="B2396" t="s">
        <v>338</v>
      </c>
      <c r="C2396">
        <v>1</v>
      </c>
      <c r="D2396" t="s">
        <v>9</v>
      </c>
      <c r="E2396" t="s">
        <v>6</v>
      </c>
      <c r="F2396" s="2">
        <v>45698</v>
      </c>
      <c r="G2396">
        <v>8770.2199999999993</v>
      </c>
      <c r="H2396" s="1">
        <f>AVERAGEIF(Table1[Customer_ID], Table1[[#This Row],[Customer_ID]], Table1[Transaction_Amount])</f>
        <v>4990.9810526315787</v>
      </c>
      <c r="I2396" t="s">
        <v>2677</v>
      </c>
      <c r="J2396" t="s">
        <v>41</v>
      </c>
      <c r="K2396" t="s">
        <v>12</v>
      </c>
      <c r="L2396">
        <v>0</v>
      </c>
      <c r="M2396" t="s">
        <v>32</v>
      </c>
      <c r="N2396" t="s">
        <v>56</v>
      </c>
      <c r="O2396" t="s">
        <v>392</v>
      </c>
      <c r="P2396" s="6" t="str">
        <f>IF(Table1[[#This Row],[Transaction_Amount]]&lt;=Table1[[#This Row],[avg_transaction_amount]], "usual transaction", "unusual transaction")</f>
        <v>unusual transaction</v>
      </c>
      <c r="Q2396" s="6" t="str">
        <f>IF(AND(Table1[[#This Row],[Country_of_Residence]]&lt;&gt;Table1[[#This Row],[Country_of_Transaction]], OR(Table1[[#This Row],[Authentication_Type]]="Biometric", Table1[[#This Row],[Authentication_Type]]="OTP")), "safe location transaction", "unsafe location transaction")</f>
        <v>unsafe location transaction</v>
      </c>
      <c r="R2396" s="6" t="str">
        <f>IF(AND(Table1[[#This Row],[Country_of_Residence]]&lt;&gt;Table1[[#This Row],[Country_of_Transaction]], OR(Table1[[#This Row],[Merchant_Category]]="Electronics", Table1[[#This Row],[Merchant_Category]]="Travel")), "unsafe merchant transaction", "safe merchant transaction")</f>
        <v>safe merchant transaction</v>
      </c>
    </row>
    <row r="2397" spans="1:18">
      <c r="A2397" t="s">
        <v>5423</v>
      </c>
      <c r="B2397" t="s">
        <v>338</v>
      </c>
      <c r="C2397">
        <v>1</v>
      </c>
      <c r="D2397" t="s">
        <v>15</v>
      </c>
      <c r="E2397" t="s">
        <v>3</v>
      </c>
      <c r="F2397" s="2">
        <v>45677</v>
      </c>
      <c r="G2397">
        <v>7172.28</v>
      </c>
      <c r="H2397" s="1">
        <f>AVERAGEIF(Table1[Customer_ID], Table1[[#This Row],[Customer_ID]], Table1[Transaction_Amount])</f>
        <v>4990.9810526315787</v>
      </c>
      <c r="I2397" t="s">
        <v>1829</v>
      </c>
      <c r="J2397" t="s">
        <v>31</v>
      </c>
      <c r="K2397" t="s">
        <v>14</v>
      </c>
      <c r="L2397">
        <v>0</v>
      </c>
      <c r="M2397" t="s">
        <v>37</v>
      </c>
      <c r="N2397" t="s">
        <v>47</v>
      </c>
      <c r="O2397" t="s">
        <v>392</v>
      </c>
      <c r="P2397" s="6" t="str">
        <f>IF(Table1[[#This Row],[Transaction_Amount]]&lt;=Table1[[#This Row],[avg_transaction_amount]], "usual transaction", "unusual transaction")</f>
        <v>unusual transaction</v>
      </c>
      <c r="Q2397" s="6" t="str">
        <f>IF(AND(Table1[[#This Row],[Country_of_Residence]]&lt;&gt;Table1[[#This Row],[Country_of_Transaction]], OR(Table1[[#This Row],[Authentication_Type]]="Biometric", Table1[[#This Row],[Authentication_Type]]="OTP")), "safe location transaction", "unsafe location transaction")</f>
        <v>unsafe location transaction</v>
      </c>
      <c r="R2397" s="6" t="str">
        <f>IF(AND(Table1[[#This Row],[Country_of_Residence]]&lt;&gt;Table1[[#This Row],[Country_of_Transaction]], OR(Table1[[#This Row],[Merchant_Category]]="Electronics", Table1[[#This Row],[Merchant_Category]]="Travel")), "unsafe merchant transaction", "safe merchant transaction")</f>
        <v>safe merchant transaction</v>
      </c>
    </row>
    <row r="2398" spans="1:18">
      <c r="A2398" t="s">
        <v>5435</v>
      </c>
      <c r="B2398" t="s">
        <v>338</v>
      </c>
      <c r="C2398">
        <v>1</v>
      </c>
      <c r="D2398" t="s">
        <v>9</v>
      </c>
      <c r="E2398" t="s">
        <v>6</v>
      </c>
      <c r="F2398" s="2">
        <v>45944</v>
      </c>
      <c r="G2398">
        <v>9864.01</v>
      </c>
      <c r="H2398" s="1">
        <f>AVERAGEIF(Table1[Customer_ID], Table1[[#This Row],[Customer_ID]], Table1[Transaction_Amount])</f>
        <v>4990.9810526315787</v>
      </c>
      <c r="I2398" t="s">
        <v>2705</v>
      </c>
      <c r="J2398" t="s">
        <v>50</v>
      </c>
      <c r="K2398" t="s">
        <v>8</v>
      </c>
      <c r="L2398">
        <v>0</v>
      </c>
      <c r="M2398" t="s">
        <v>32</v>
      </c>
      <c r="N2398" t="s">
        <v>56</v>
      </c>
      <c r="O2398" t="s">
        <v>392</v>
      </c>
      <c r="P2398" s="6" t="str">
        <f>IF(Table1[[#This Row],[Transaction_Amount]]&lt;=Table1[[#This Row],[avg_transaction_amount]], "usual transaction", "unusual transaction")</f>
        <v>unusual transaction</v>
      </c>
      <c r="Q2398" s="6" t="str">
        <f>IF(AND(Table1[[#This Row],[Country_of_Residence]]&lt;&gt;Table1[[#This Row],[Country_of_Transaction]], OR(Table1[[#This Row],[Authentication_Type]]="Biometric", Table1[[#This Row],[Authentication_Type]]="OTP")), "safe location transaction", "unsafe location transaction")</f>
        <v>safe location transaction</v>
      </c>
      <c r="R2398" s="6" t="str">
        <f>IF(AND(Table1[[#This Row],[Country_of_Residence]]&lt;&gt;Table1[[#This Row],[Country_of_Transaction]], OR(Table1[[#This Row],[Merchant_Category]]="Electronics", Table1[[#This Row],[Merchant_Category]]="Travel")), "unsafe merchant transaction", "safe merchant transaction")</f>
        <v>unsafe merchant transaction</v>
      </c>
    </row>
    <row r="2399" spans="1:18">
      <c r="A2399" t="s">
        <v>5446</v>
      </c>
      <c r="B2399" t="s">
        <v>338</v>
      </c>
      <c r="C2399">
        <v>1</v>
      </c>
      <c r="D2399" t="s">
        <v>9</v>
      </c>
      <c r="E2399" t="s">
        <v>6</v>
      </c>
      <c r="F2399" s="2">
        <v>46003</v>
      </c>
      <c r="G2399">
        <v>8261.06</v>
      </c>
      <c r="H2399" s="1">
        <f>AVERAGEIF(Table1[Customer_ID], Table1[[#This Row],[Customer_ID]], Table1[Transaction_Amount])</f>
        <v>4990.9810526315787</v>
      </c>
      <c r="I2399" t="s">
        <v>2712</v>
      </c>
      <c r="J2399" t="s">
        <v>41</v>
      </c>
      <c r="K2399" t="s">
        <v>14</v>
      </c>
      <c r="L2399">
        <v>2</v>
      </c>
      <c r="M2399" t="s">
        <v>42</v>
      </c>
      <c r="N2399" t="s">
        <v>47</v>
      </c>
      <c r="O2399" t="s">
        <v>393</v>
      </c>
      <c r="P2399" s="6" t="str">
        <f>IF(Table1[[#This Row],[Transaction_Amount]]&lt;=Table1[[#This Row],[avg_transaction_amount]], "usual transaction", "unusual transaction")</f>
        <v>unusual transaction</v>
      </c>
      <c r="Q2399" s="6" t="str">
        <f>IF(AND(Table1[[#This Row],[Country_of_Residence]]&lt;&gt;Table1[[#This Row],[Country_of_Transaction]], OR(Table1[[#This Row],[Authentication_Type]]="Biometric", Table1[[#This Row],[Authentication_Type]]="OTP")), "safe location transaction", "unsafe location transaction")</f>
        <v>unsafe location transaction</v>
      </c>
      <c r="R2399" s="6" t="str">
        <f>IF(AND(Table1[[#This Row],[Country_of_Residence]]&lt;&gt;Table1[[#This Row],[Country_of_Transaction]], OR(Table1[[#This Row],[Merchant_Category]]="Electronics", Table1[[#This Row],[Merchant_Category]]="Travel")), "unsafe merchant transaction", "safe merchant transaction")</f>
        <v>safe merchant transaction</v>
      </c>
    </row>
    <row r="2400" spans="1:18">
      <c r="A2400" t="s">
        <v>346</v>
      </c>
      <c r="B2400" t="s">
        <v>347</v>
      </c>
      <c r="C2400">
        <v>1</v>
      </c>
      <c r="D2400" t="s">
        <v>9</v>
      </c>
      <c r="E2400" t="s">
        <v>6</v>
      </c>
      <c r="F2400" s="2">
        <v>45691.184722222199</v>
      </c>
      <c r="G2400">
        <v>6123.41</v>
      </c>
      <c r="H2400" s="1">
        <f>AVERAGEIF(Table1[Customer_ID], Table1[[#This Row],[Customer_ID]], Table1[Transaction_Amount])</f>
        <v>4676.4329411764738</v>
      </c>
      <c r="I2400" t="s">
        <v>348</v>
      </c>
      <c r="J2400" t="s">
        <v>59</v>
      </c>
      <c r="K2400" t="s">
        <v>8</v>
      </c>
      <c r="L2400">
        <v>5</v>
      </c>
      <c r="M2400" t="s">
        <v>349</v>
      </c>
      <c r="N2400" t="s">
        <v>84</v>
      </c>
      <c r="O2400" t="s">
        <v>392</v>
      </c>
      <c r="P2400" t="str">
        <f>IF(Table1[[#This Row],[Transaction_Amount]]&lt;=Table1[[#This Row],[avg_transaction_amount]], "usual transaction", "unusual transaction")</f>
        <v>unusual transaction</v>
      </c>
      <c r="Q2400" t="str">
        <f>IF(AND(Table1[[#This Row],[Country_of_Residence]]&lt;&gt;Table1[[#This Row],[Country_of_Transaction]], OR(Table1[[#This Row],[Authentication_Type]]="Biometric", Table1[[#This Row],[Authentication_Type]]="OTP")), "safe location transaction", "unsafe location transaction")</f>
        <v>safe location transaction</v>
      </c>
      <c r="R2400" t="str">
        <f>IF(AND(Table1[[#This Row],[Country_of_Residence]]&lt;&gt;Table1[[#This Row],[Country_of_Transaction]], OR(Table1[[#This Row],[Merchant_Category]]="Electronics", Table1[[#This Row],[Merchant_Category]]="Travel")), "unsafe merchant transaction", "safe merchant transaction")</f>
        <v>unsafe merchant transaction</v>
      </c>
    </row>
    <row r="2401" spans="1:18">
      <c r="A2401" t="s">
        <v>2787</v>
      </c>
      <c r="B2401" t="s">
        <v>347</v>
      </c>
      <c r="C2401">
        <v>1</v>
      </c>
      <c r="D2401" t="s">
        <v>15</v>
      </c>
      <c r="E2401" t="s">
        <v>6</v>
      </c>
      <c r="F2401" s="2">
        <v>45793</v>
      </c>
      <c r="G2401">
        <v>8180.19</v>
      </c>
      <c r="H2401" s="1">
        <f>AVERAGEIF(Table1[Customer_ID], Table1[[#This Row],[Customer_ID]], Table1[Transaction_Amount])</f>
        <v>4676.4329411764738</v>
      </c>
      <c r="I2401" t="s">
        <v>436</v>
      </c>
      <c r="J2401" t="s">
        <v>41</v>
      </c>
      <c r="K2401" t="s">
        <v>12</v>
      </c>
      <c r="L2401">
        <v>2</v>
      </c>
      <c r="M2401" t="s">
        <v>37</v>
      </c>
      <c r="N2401" t="s">
        <v>55</v>
      </c>
      <c r="O2401" t="s">
        <v>393</v>
      </c>
      <c r="P2401" s="6" t="str">
        <f>IF(Table1[[#This Row],[Transaction_Amount]]&lt;=Table1[[#This Row],[avg_transaction_amount]], "usual transaction", "unusual transaction")</f>
        <v>unusual transaction</v>
      </c>
      <c r="Q2401" s="6" t="str">
        <f>IF(AND(Table1[[#This Row],[Country_of_Residence]]&lt;&gt;Table1[[#This Row],[Country_of_Transaction]], OR(Table1[[#This Row],[Authentication_Type]]="Biometric", Table1[[#This Row],[Authentication_Type]]="OTP")), "safe location transaction", "unsafe location transaction")</f>
        <v>unsafe location transaction</v>
      </c>
      <c r="R2401" s="6" t="str">
        <f>IF(AND(Table1[[#This Row],[Country_of_Residence]]&lt;&gt;Table1[[#This Row],[Country_of_Transaction]], OR(Table1[[#This Row],[Merchant_Category]]="Electronics", Table1[[#This Row],[Merchant_Category]]="Travel")), "unsafe merchant transaction", "safe merchant transaction")</f>
        <v>safe merchant transaction</v>
      </c>
    </row>
    <row r="2402" spans="1:18">
      <c r="A2402" t="s">
        <v>2839</v>
      </c>
      <c r="B2402" t="s">
        <v>347</v>
      </c>
      <c r="C2402">
        <v>1</v>
      </c>
      <c r="D2402" t="s">
        <v>15</v>
      </c>
      <c r="E2402" t="s">
        <v>420</v>
      </c>
      <c r="F2402" s="2">
        <v>45804</v>
      </c>
      <c r="G2402">
        <v>3988.27</v>
      </c>
      <c r="H2402" s="1">
        <f>AVERAGEIF(Table1[Customer_ID], Table1[[#This Row],[Customer_ID]], Table1[Transaction_Amount])</f>
        <v>4676.4329411764738</v>
      </c>
      <c r="I2402" t="s">
        <v>490</v>
      </c>
      <c r="J2402" t="s">
        <v>46</v>
      </c>
      <c r="K2402" t="s">
        <v>12</v>
      </c>
      <c r="L2402">
        <v>4</v>
      </c>
      <c r="M2402" t="s">
        <v>37</v>
      </c>
      <c r="N2402" t="s">
        <v>42</v>
      </c>
      <c r="O2402" t="s">
        <v>392</v>
      </c>
      <c r="P2402" s="6" t="str">
        <f>IF(Table1[[#This Row],[Transaction_Amount]]&lt;=Table1[[#This Row],[avg_transaction_amount]], "usual transaction", "unusual transaction")</f>
        <v>usual transaction</v>
      </c>
      <c r="Q2402" s="6" t="str">
        <f>IF(AND(Table1[[#This Row],[Country_of_Residence]]&lt;&gt;Table1[[#This Row],[Country_of_Transaction]], OR(Table1[[#This Row],[Authentication_Type]]="Biometric", Table1[[#This Row],[Authentication_Type]]="OTP")), "safe location transaction", "unsafe location transaction")</f>
        <v>unsafe location transaction</v>
      </c>
      <c r="R2402" s="6" t="str">
        <f>IF(AND(Table1[[#This Row],[Country_of_Residence]]&lt;&gt;Table1[[#This Row],[Country_of_Transaction]], OR(Table1[[#This Row],[Merchant_Category]]="Electronics", Table1[[#This Row],[Merchant_Category]]="Travel")), "unsafe merchant transaction", "safe merchant transaction")</f>
        <v>safe merchant transaction</v>
      </c>
    </row>
    <row r="2403" spans="1:18">
      <c r="A2403" t="s">
        <v>2873</v>
      </c>
      <c r="B2403" t="s">
        <v>347</v>
      </c>
      <c r="C2403">
        <v>1</v>
      </c>
      <c r="D2403" t="s">
        <v>15</v>
      </c>
      <c r="E2403" t="s">
        <v>420</v>
      </c>
      <c r="F2403" s="2">
        <v>45736</v>
      </c>
      <c r="G2403">
        <v>3400.81</v>
      </c>
      <c r="H2403" s="1">
        <f>AVERAGEIF(Table1[Customer_ID], Table1[[#This Row],[Customer_ID]], Table1[Transaction_Amount])</f>
        <v>4676.4329411764738</v>
      </c>
      <c r="I2403" t="s">
        <v>525</v>
      </c>
      <c r="J2403" t="s">
        <v>41</v>
      </c>
      <c r="K2403" t="s">
        <v>12</v>
      </c>
      <c r="L2403">
        <v>5</v>
      </c>
      <c r="M2403" t="s">
        <v>47</v>
      </c>
      <c r="N2403" t="s">
        <v>412</v>
      </c>
      <c r="O2403" t="s">
        <v>393</v>
      </c>
      <c r="P2403" s="6" t="str">
        <f>IF(Table1[[#This Row],[Transaction_Amount]]&lt;=Table1[[#This Row],[avg_transaction_amount]], "usual transaction", "unusual transaction")</f>
        <v>usual transaction</v>
      </c>
      <c r="Q2403" s="6" t="str">
        <f>IF(AND(Table1[[#This Row],[Country_of_Residence]]&lt;&gt;Table1[[#This Row],[Country_of_Transaction]], OR(Table1[[#This Row],[Authentication_Type]]="Biometric", Table1[[#This Row],[Authentication_Type]]="OTP")), "safe location transaction", "unsafe location transaction")</f>
        <v>unsafe location transaction</v>
      </c>
      <c r="R2403" s="6" t="str">
        <f>IF(AND(Table1[[#This Row],[Country_of_Residence]]&lt;&gt;Table1[[#This Row],[Country_of_Transaction]], OR(Table1[[#This Row],[Merchant_Category]]="Electronics", Table1[[#This Row],[Merchant_Category]]="Travel")), "unsafe merchant transaction", "safe merchant transaction")</f>
        <v>safe merchant transaction</v>
      </c>
    </row>
    <row r="2404" spans="1:18">
      <c r="A2404" t="s">
        <v>2954</v>
      </c>
      <c r="B2404" t="s">
        <v>347</v>
      </c>
      <c r="C2404">
        <v>1</v>
      </c>
      <c r="D2404" t="s">
        <v>9</v>
      </c>
      <c r="E2404" t="s">
        <v>3</v>
      </c>
      <c r="F2404" s="2">
        <v>45887</v>
      </c>
      <c r="G2404">
        <v>1583.73</v>
      </c>
      <c r="H2404" s="1">
        <f>AVERAGEIF(Table1[Customer_ID], Table1[[#This Row],[Customer_ID]], Table1[Transaction_Amount])</f>
        <v>4676.4329411764738</v>
      </c>
      <c r="I2404" t="s">
        <v>602</v>
      </c>
      <c r="J2404" t="s">
        <v>41</v>
      </c>
      <c r="K2404" t="s">
        <v>8</v>
      </c>
      <c r="L2404">
        <v>4</v>
      </c>
      <c r="M2404" t="s">
        <v>33</v>
      </c>
      <c r="N2404" t="s">
        <v>56</v>
      </c>
      <c r="O2404" t="s">
        <v>392</v>
      </c>
      <c r="P2404" s="6" t="str">
        <f>IF(Table1[[#This Row],[Transaction_Amount]]&lt;=Table1[[#This Row],[avg_transaction_amount]], "usual transaction", "unusual transaction")</f>
        <v>usual transaction</v>
      </c>
      <c r="Q2404" s="6" t="str">
        <f>IF(AND(Table1[[#This Row],[Country_of_Residence]]&lt;&gt;Table1[[#This Row],[Country_of_Transaction]], OR(Table1[[#This Row],[Authentication_Type]]="Biometric", Table1[[#This Row],[Authentication_Type]]="OTP")), "safe location transaction", "unsafe location transaction")</f>
        <v>safe location transaction</v>
      </c>
      <c r="R2404" s="6" t="str">
        <f>IF(AND(Table1[[#This Row],[Country_of_Residence]]&lt;&gt;Table1[[#This Row],[Country_of_Transaction]], OR(Table1[[#This Row],[Merchant_Category]]="Electronics", Table1[[#This Row],[Merchant_Category]]="Travel")), "unsafe merchant transaction", "safe merchant transaction")</f>
        <v>safe merchant transaction</v>
      </c>
    </row>
    <row r="2405" spans="1:18">
      <c r="A2405" t="s">
        <v>3030</v>
      </c>
      <c r="B2405" t="s">
        <v>347</v>
      </c>
      <c r="C2405">
        <v>1</v>
      </c>
      <c r="D2405" t="s">
        <v>15</v>
      </c>
      <c r="E2405" t="s">
        <v>420</v>
      </c>
      <c r="F2405" s="2">
        <v>45809</v>
      </c>
      <c r="G2405">
        <v>3229.88</v>
      </c>
      <c r="H2405" s="1">
        <f>AVERAGEIF(Table1[Customer_ID], Table1[[#This Row],[Customer_ID]], Table1[Transaction_Amount])</f>
        <v>4676.4329411764738</v>
      </c>
      <c r="I2405" t="s">
        <v>88</v>
      </c>
      <c r="J2405" t="s">
        <v>36</v>
      </c>
      <c r="K2405" t="s">
        <v>8</v>
      </c>
      <c r="L2405">
        <v>5</v>
      </c>
      <c r="M2405" t="s">
        <v>412</v>
      </c>
      <c r="N2405" t="s">
        <v>55</v>
      </c>
      <c r="O2405" t="s">
        <v>393</v>
      </c>
      <c r="P2405" s="6" t="str">
        <f>IF(Table1[[#This Row],[Transaction_Amount]]&lt;=Table1[[#This Row],[avg_transaction_amount]], "usual transaction", "unusual transaction")</f>
        <v>usual transaction</v>
      </c>
      <c r="Q2405" s="6" t="str">
        <f>IF(AND(Table1[[#This Row],[Country_of_Residence]]&lt;&gt;Table1[[#This Row],[Country_of_Transaction]], OR(Table1[[#This Row],[Authentication_Type]]="Biometric", Table1[[#This Row],[Authentication_Type]]="OTP")), "safe location transaction", "unsafe location transaction")</f>
        <v>safe location transaction</v>
      </c>
      <c r="R2405" s="6" t="str">
        <f>IF(AND(Table1[[#This Row],[Country_of_Residence]]&lt;&gt;Table1[[#This Row],[Country_of_Transaction]], OR(Table1[[#This Row],[Merchant_Category]]="Electronics", Table1[[#This Row],[Merchant_Category]]="Travel")), "unsafe merchant transaction", "safe merchant transaction")</f>
        <v>safe merchant transaction</v>
      </c>
    </row>
    <row r="2406" spans="1:18">
      <c r="A2406" t="s">
        <v>3095</v>
      </c>
      <c r="B2406" t="s">
        <v>347</v>
      </c>
      <c r="C2406">
        <v>1</v>
      </c>
      <c r="D2406" t="s">
        <v>15</v>
      </c>
      <c r="E2406" t="s">
        <v>3</v>
      </c>
      <c r="F2406" s="2">
        <v>45767</v>
      </c>
      <c r="G2406">
        <v>1234.9000000000001</v>
      </c>
      <c r="H2406" s="1">
        <f>AVERAGEIF(Table1[Customer_ID], Table1[[#This Row],[Customer_ID]], Table1[Transaction_Amount])</f>
        <v>4676.4329411764738</v>
      </c>
      <c r="I2406" t="s">
        <v>739</v>
      </c>
      <c r="J2406" t="s">
        <v>50</v>
      </c>
      <c r="K2406" t="s">
        <v>10</v>
      </c>
      <c r="L2406">
        <v>1</v>
      </c>
      <c r="M2406" t="s">
        <v>56</v>
      </c>
      <c r="N2406" t="s">
        <v>412</v>
      </c>
      <c r="O2406" t="s">
        <v>392</v>
      </c>
      <c r="P2406" s="6" t="str">
        <f>IF(Table1[[#This Row],[Transaction_Amount]]&lt;=Table1[[#This Row],[avg_transaction_amount]], "usual transaction", "unusual transaction")</f>
        <v>usual transaction</v>
      </c>
      <c r="Q2406" s="6" t="str">
        <f>IF(AND(Table1[[#This Row],[Country_of_Residence]]&lt;&gt;Table1[[#This Row],[Country_of_Transaction]], OR(Table1[[#This Row],[Authentication_Type]]="Biometric", Table1[[#This Row],[Authentication_Type]]="OTP")), "safe location transaction", "unsafe location transaction")</f>
        <v>safe location transaction</v>
      </c>
      <c r="R2406" s="6" t="str">
        <f>IF(AND(Table1[[#This Row],[Country_of_Residence]]&lt;&gt;Table1[[#This Row],[Country_of_Transaction]], OR(Table1[[#This Row],[Merchant_Category]]="Electronics", Table1[[#This Row],[Merchant_Category]]="Travel")), "unsafe merchant transaction", "safe merchant transaction")</f>
        <v>unsafe merchant transaction</v>
      </c>
    </row>
    <row r="2407" spans="1:18">
      <c r="A2407" t="s">
        <v>3202</v>
      </c>
      <c r="B2407" t="s">
        <v>347</v>
      </c>
      <c r="C2407">
        <v>1</v>
      </c>
      <c r="D2407" t="s">
        <v>15</v>
      </c>
      <c r="E2407" t="s">
        <v>5</v>
      </c>
      <c r="F2407" s="2">
        <v>45685</v>
      </c>
      <c r="G2407">
        <v>4429.84</v>
      </c>
      <c r="H2407" s="1">
        <f>AVERAGEIF(Table1[Customer_ID], Table1[[#This Row],[Customer_ID]], Table1[Transaction_Amount])</f>
        <v>4676.4329411764738</v>
      </c>
      <c r="I2407" t="s">
        <v>559</v>
      </c>
      <c r="J2407" t="s">
        <v>31</v>
      </c>
      <c r="K2407" t="s">
        <v>10</v>
      </c>
      <c r="L2407">
        <v>1</v>
      </c>
      <c r="M2407" t="s">
        <v>47</v>
      </c>
      <c r="N2407" t="s">
        <v>56</v>
      </c>
      <c r="O2407" t="s">
        <v>393</v>
      </c>
      <c r="P2407" s="6" t="str">
        <f>IF(Table1[[#This Row],[Transaction_Amount]]&lt;=Table1[[#This Row],[avg_transaction_amount]], "usual transaction", "unusual transaction")</f>
        <v>usual transaction</v>
      </c>
      <c r="Q2407" s="6" t="str">
        <f>IF(AND(Table1[[#This Row],[Country_of_Residence]]&lt;&gt;Table1[[#This Row],[Country_of_Transaction]], OR(Table1[[#This Row],[Authentication_Type]]="Biometric", Table1[[#This Row],[Authentication_Type]]="OTP")), "safe location transaction", "unsafe location transaction")</f>
        <v>safe location transaction</v>
      </c>
      <c r="R2407" s="6" t="str">
        <f>IF(AND(Table1[[#This Row],[Country_of_Residence]]&lt;&gt;Table1[[#This Row],[Country_of_Transaction]], OR(Table1[[#This Row],[Merchant_Category]]="Electronics", Table1[[#This Row],[Merchant_Category]]="Travel")), "unsafe merchant transaction", "safe merchant transaction")</f>
        <v>safe merchant transaction</v>
      </c>
    </row>
    <row r="2408" spans="1:18">
      <c r="A2408" t="s">
        <v>3355</v>
      </c>
      <c r="B2408" t="s">
        <v>347</v>
      </c>
      <c r="C2408">
        <v>1</v>
      </c>
      <c r="D2408" t="s">
        <v>9</v>
      </c>
      <c r="E2408" t="s">
        <v>5</v>
      </c>
      <c r="F2408" s="2">
        <v>45666</v>
      </c>
      <c r="G2408">
        <v>9831.07</v>
      </c>
      <c r="H2408" s="1">
        <f>AVERAGEIF(Table1[Customer_ID], Table1[[#This Row],[Customer_ID]], Table1[Transaction_Amount])</f>
        <v>4676.4329411764738</v>
      </c>
      <c r="I2408" t="s">
        <v>979</v>
      </c>
      <c r="J2408" t="s">
        <v>31</v>
      </c>
      <c r="K2408" t="s">
        <v>8</v>
      </c>
      <c r="L2408">
        <v>0</v>
      </c>
      <c r="M2408" t="s">
        <v>412</v>
      </c>
      <c r="N2408" t="s">
        <v>42</v>
      </c>
      <c r="O2408" t="s">
        <v>393</v>
      </c>
      <c r="P2408" s="6" t="str">
        <f>IF(Table1[[#This Row],[Transaction_Amount]]&lt;=Table1[[#This Row],[avg_transaction_amount]], "usual transaction", "unusual transaction")</f>
        <v>unusual transaction</v>
      </c>
      <c r="Q2408" s="6" t="str">
        <f>IF(AND(Table1[[#This Row],[Country_of_Residence]]&lt;&gt;Table1[[#This Row],[Country_of_Transaction]], OR(Table1[[#This Row],[Authentication_Type]]="Biometric", Table1[[#This Row],[Authentication_Type]]="OTP")), "safe location transaction", "unsafe location transaction")</f>
        <v>safe location transaction</v>
      </c>
      <c r="R2408" s="6" t="str">
        <f>IF(AND(Table1[[#This Row],[Country_of_Residence]]&lt;&gt;Table1[[#This Row],[Country_of_Transaction]], OR(Table1[[#This Row],[Merchant_Category]]="Electronics", Table1[[#This Row],[Merchant_Category]]="Travel")), "unsafe merchant transaction", "safe merchant transaction")</f>
        <v>safe merchant transaction</v>
      </c>
    </row>
    <row r="2409" spans="1:18">
      <c r="A2409" t="s">
        <v>3404</v>
      </c>
      <c r="B2409" t="s">
        <v>347</v>
      </c>
      <c r="C2409">
        <v>1</v>
      </c>
      <c r="D2409" t="s">
        <v>9</v>
      </c>
      <c r="E2409" t="s">
        <v>3</v>
      </c>
      <c r="F2409" s="2">
        <v>45692</v>
      </c>
      <c r="G2409">
        <v>8160.09</v>
      </c>
      <c r="H2409" s="1">
        <f>AVERAGEIF(Table1[Customer_ID], Table1[[#This Row],[Customer_ID]], Table1[Transaction_Amount])</f>
        <v>4676.4329411764738</v>
      </c>
      <c r="I2409" t="s">
        <v>1025</v>
      </c>
      <c r="J2409" t="s">
        <v>50</v>
      </c>
      <c r="K2409" t="s">
        <v>8</v>
      </c>
      <c r="L2409">
        <v>0</v>
      </c>
      <c r="M2409" t="s">
        <v>33</v>
      </c>
      <c r="N2409" t="s">
        <v>42</v>
      </c>
      <c r="O2409" t="s">
        <v>393</v>
      </c>
      <c r="P2409" s="6" t="str">
        <f>IF(Table1[[#This Row],[Transaction_Amount]]&lt;=Table1[[#This Row],[avg_transaction_amount]], "usual transaction", "unusual transaction")</f>
        <v>unusual transaction</v>
      </c>
      <c r="Q2409" s="6" t="str">
        <f>IF(AND(Table1[[#This Row],[Country_of_Residence]]&lt;&gt;Table1[[#This Row],[Country_of_Transaction]], OR(Table1[[#This Row],[Authentication_Type]]="Biometric", Table1[[#This Row],[Authentication_Type]]="OTP")), "safe location transaction", "unsafe location transaction")</f>
        <v>safe location transaction</v>
      </c>
      <c r="R2409" s="6" t="str">
        <f>IF(AND(Table1[[#This Row],[Country_of_Residence]]&lt;&gt;Table1[[#This Row],[Country_of_Transaction]], OR(Table1[[#This Row],[Merchant_Category]]="Electronics", Table1[[#This Row],[Merchant_Category]]="Travel")), "unsafe merchant transaction", "safe merchant transaction")</f>
        <v>unsafe merchant transaction</v>
      </c>
    </row>
    <row r="2410" spans="1:18">
      <c r="A2410" t="s">
        <v>3428</v>
      </c>
      <c r="B2410" t="s">
        <v>347</v>
      </c>
      <c r="C2410">
        <v>1</v>
      </c>
      <c r="D2410" t="s">
        <v>15</v>
      </c>
      <c r="E2410" t="s">
        <v>3</v>
      </c>
      <c r="F2410" s="2">
        <v>45712</v>
      </c>
      <c r="G2410">
        <v>5429.65</v>
      </c>
      <c r="H2410" s="1">
        <f>AVERAGEIF(Table1[Customer_ID], Table1[[#This Row],[Customer_ID]], Table1[Transaction_Amount])</f>
        <v>4676.4329411764738</v>
      </c>
      <c r="I2410" t="s">
        <v>1047</v>
      </c>
      <c r="J2410" t="s">
        <v>46</v>
      </c>
      <c r="K2410" t="s">
        <v>14</v>
      </c>
      <c r="L2410">
        <v>3</v>
      </c>
      <c r="M2410" t="s">
        <v>37</v>
      </c>
      <c r="N2410" t="s">
        <v>55</v>
      </c>
      <c r="O2410" t="s">
        <v>393</v>
      </c>
      <c r="P2410" s="6" t="str">
        <f>IF(Table1[[#This Row],[Transaction_Amount]]&lt;=Table1[[#This Row],[avg_transaction_amount]], "usual transaction", "unusual transaction")</f>
        <v>unusual transaction</v>
      </c>
      <c r="Q2410" s="6" t="str">
        <f>IF(AND(Table1[[#This Row],[Country_of_Residence]]&lt;&gt;Table1[[#This Row],[Country_of_Transaction]], OR(Table1[[#This Row],[Authentication_Type]]="Biometric", Table1[[#This Row],[Authentication_Type]]="OTP")), "safe location transaction", "unsafe location transaction")</f>
        <v>unsafe location transaction</v>
      </c>
      <c r="R2410" s="6" t="str">
        <f>IF(AND(Table1[[#This Row],[Country_of_Residence]]&lt;&gt;Table1[[#This Row],[Country_of_Transaction]], OR(Table1[[#This Row],[Merchant_Category]]="Electronics", Table1[[#This Row],[Merchant_Category]]="Travel")), "unsafe merchant transaction", "safe merchant transaction")</f>
        <v>safe merchant transaction</v>
      </c>
    </row>
    <row r="2411" spans="1:18">
      <c r="A2411" t="s">
        <v>3429</v>
      </c>
      <c r="B2411" t="s">
        <v>347</v>
      </c>
      <c r="C2411">
        <v>1</v>
      </c>
      <c r="D2411" t="s">
        <v>15</v>
      </c>
      <c r="E2411" t="s">
        <v>6</v>
      </c>
      <c r="F2411" s="2">
        <v>45931</v>
      </c>
      <c r="G2411">
        <v>4789.21</v>
      </c>
      <c r="H2411" s="1">
        <f>AVERAGEIF(Table1[Customer_ID], Table1[[#This Row],[Customer_ID]], Table1[Transaction_Amount])</f>
        <v>4676.4329411764738</v>
      </c>
      <c r="I2411" t="s">
        <v>1048</v>
      </c>
      <c r="J2411" t="s">
        <v>31</v>
      </c>
      <c r="K2411" t="s">
        <v>14</v>
      </c>
      <c r="L2411">
        <v>1</v>
      </c>
      <c r="M2411" t="s">
        <v>32</v>
      </c>
      <c r="N2411" t="s">
        <v>51</v>
      </c>
      <c r="O2411" t="s">
        <v>393</v>
      </c>
      <c r="P2411" s="6" t="str">
        <f>IF(Table1[[#This Row],[Transaction_Amount]]&lt;=Table1[[#This Row],[avg_transaction_amount]], "usual transaction", "unusual transaction")</f>
        <v>unusual transaction</v>
      </c>
      <c r="Q2411" s="6" t="str">
        <f>IF(AND(Table1[[#This Row],[Country_of_Residence]]&lt;&gt;Table1[[#This Row],[Country_of_Transaction]], OR(Table1[[#This Row],[Authentication_Type]]="Biometric", Table1[[#This Row],[Authentication_Type]]="OTP")), "safe location transaction", "unsafe location transaction")</f>
        <v>unsafe location transaction</v>
      </c>
      <c r="R2411" s="6" t="str">
        <f>IF(AND(Table1[[#This Row],[Country_of_Residence]]&lt;&gt;Table1[[#This Row],[Country_of_Transaction]], OR(Table1[[#This Row],[Merchant_Category]]="Electronics", Table1[[#This Row],[Merchant_Category]]="Travel")), "unsafe merchant transaction", "safe merchant transaction")</f>
        <v>safe merchant transaction</v>
      </c>
    </row>
    <row r="2412" spans="1:18">
      <c r="A2412" t="s">
        <v>3453</v>
      </c>
      <c r="B2412" t="s">
        <v>347</v>
      </c>
      <c r="C2412">
        <v>1</v>
      </c>
      <c r="D2412" t="s">
        <v>9</v>
      </c>
      <c r="E2412" t="s">
        <v>3</v>
      </c>
      <c r="F2412" s="2">
        <v>45985</v>
      </c>
      <c r="G2412">
        <v>1307.3699999999999</v>
      </c>
      <c r="H2412" s="1">
        <f>AVERAGEIF(Table1[Customer_ID], Table1[[#This Row],[Customer_ID]], Table1[Transaction_Amount])</f>
        <v>4676.4329411764738</v>
      </c>
      <c r="I2412" t="s">
        <v>1071</v>
      </c>
      <c r="J2412" t="s">
        <v>41</v>
      </c>
      <c r="K2412" t="s">
        <v>8</v>
      </c>
      <c r="L2412">
        <v>5</v>
      </c>
      <c r="M2412" t="s">
        <v>47</v>
      </c>
      <c r="N2412" t="s">
        <v>42</v>
      </c>
      <c r="O2412" t="s">
        <v>393</v>
      </c>
      <c r="P2412" s="6" t="str">
        <f>IF(Table1[[#This Row],[Transaction_Amount]]&lt;=Table1[[#This Row],[avg_transaction_amount]], "usual transaction", "unusual transaction")</f>
        <v>usual transaction</v>
      </c>
      <c r="Q2412" s="6" t="str">
        <f>IF(AND(Table1[[#This Row],[Country_of_Residence]]&lt;&gt;Table1[[#This Row],[Country_of_Transaction]], OR(Table1[[#This Row],[Authentication_Type]]="Biometric", Table1[[#This Row],[Authentication_Type]]="OTP")), "safe location transaction", "unsafe location transaction")</f>
        <v>safe location transaction</v>
      </c>
      <c r="R2412" s="6" t="str">
        <f>IF(AND(Table1[[#This Row],[Country_of_Residence]]&lt;&gt;Table1[[#This Row],[Country_of_Transaction]], OR(Table1[[#This Row],[Merchant_Category]]="Electronics", Table1[[#This Row],[Merchant_Category]]="Travel")), "unsafe merchant transaction", "safe merchant transaction")</f>
        <v>safe merchant transaction</v>
      </c>
    </row>
    <row r="2413" spans="1:18">
      <c r="A2413" t="s">
        <v>3489</v>
      </c>
      <c r="B2413" t="s">
        <v>347</v>
      </c>
      <c r="C2413">
        <v>1</v>
      </c>
      <c r="D2413" t="s">
        <v>9</v>
      </c>
      <c r="E2413" t="s">
        <v>5</v>
      </c>
      <c r="F2413" s="2">
        <v>45711</v>
      </c>
      <c r="G2413">
        <v>6887.25</v>
      </c>
      <c r="H2413" s="1">
        <f>AVERAGEIF(Table1[Customer_ID], Table1[[#This Row],[Customer_ID]], Table1[Transaction_Amount])</f>
        <v>4676.4329411764738</v>
      </c>
      <c r="I2413" t="s">
        <v>1106</v>
      </c>
      <c r="J2413" t="s">
        <v>50</v>
      </c>
      <c r="K2413" t="s">
        <v>14</v>
      </c>
      <c r="L2413">
        <v>5</v>
      </c>
      <c r="M2413" t="s">
        <v>32</v>
      </c>
      <c r="N2413" t="s">
        <v>412</v>
      </c>
      <c r="O2413" t="s">
        <v>392</v>
      </c>
      <c r="P2413" s="6" t="str">
        <f>IF(Table1[[#This Row],[Transaction_Amount]]&lt;=Table1[[#This Row],[avg_transaction_amount]], "usual transaction", "unusual transaction")</f>
        <v>unusual transaction</v>
      </c>
      <c r="Q2413" s="6" t="str">
        <f>IF(AND(Table1[[#This Row],[Country_of_Residence]]&lt;&gt;Table1[[#This Row],[Country_of_Transaction]], OR(Table1[[#This Row],[Authentication_Type]]="Biometric", Table1[[#This Row],[Authentication_Type]]="OTP")), "safe location transaction", "unsafe location transaction")</f>
        <v>unsafe location transaction</v>
      </c>
      <c r="R2413" s="6" t="str">
        <f>IF(AND(Table1[[#This Row],[Country_of_Residence]]&lt;&gt;Table1[[#This Row],[Country_of_Transaction]], OR(Table1[[#This Row],[Merchant_Category]]="Electronics", Table1[[#This Row],[Merchant_Category]]="Travel")), "unsafe merchant transaction", "safe merchant transaction")</f>
        <v>unsafe merchant transaction</v>
      </c>
    </row>
    <row r="2414" spans="1:18">
      <c r="A2414" t="s">
        <v>3523</v>
      </c>
      <c r="B2414" t="s">
        <v>347</v>
      </c>
      <c r="C2414">
        <v>1</v>
      </c>
      <c r="D2414" t="s">
        <v>9</v>
      </c>
      <c r="E2414" t="s">
        <v>6</v>
      </c>
      <c r="F2414" s="2">
        <v>45660</v>
      </c>
      <c r="G2414">
        <v>2681.77</v>
      </c>
      <c r="H2414" s="1">
        <f>AVERAGEIF(Table1[Customer_ID], Table1[[#This Row],[Customer_ID]], Table1[Transaction_Amount])</f>
        <v>4676.4329411764738</v>
      </c>
      <c r="I2414" t="s">
        <v>1138</v>
      </c>
      <c r="J2414" t="s">
        <v>31</v>
      </c>
      <c r="K2414" t="s">
        <v>10</v>
      </c>
      <c r="L2414">
        <v>1</v>
      </c>
      <c r="M2414" t="s">
        <v>51</v>
      </c>
      <c r="N2414" t="s">
        <v>33</v>
      </c>
      <c r="O2414" t="s">
        <v>393</v>
      </c>
      <c r="P2414" s="6" t="str">
        <f>IF(Table1[[#This Row],[Transaction_Amount]]&lt;=Table1[[#This Row],[avg_transaction_amount]], "usual transaction", "unusual transaction")</f>
        <v>usual transaction</v>
      </c>
      <c r="Q2414" s="6" t="str">
        <f>IF(AND(Table1[[#This Row],[Country_of_Residence]]&lt;&gt;Table1[[#This Row],[Country_of_Transaction]], OR(Table1[[#This Row],[Authentication_Type]]="Biometric", Table1[[#This Row],[Authentication_Type]]="OTP")), "safe location transaction", "unsafe location transaction")</f>
        <v>safe location transaction</v>
      </c>
      <c r="R2414" s="6" t="str">
        <f>IF(AND(Table1[[#This Row],[Country_of_Residence]]&lt;&gt;Table1[[#This Row],[Country_of_Transaction]], OR(Table1[[#This Row],[Merchant_Category]]="Electronics", Table1[[#This Row],[Merchant_Category]]="Travel")), "unsafe merchant transaction", "safe merchant transaction")</f>
        <v>safe merchant transaction</v>
      </c>
    </row>
    <row r="2415" spans="1:18">
      <c r="A2415" t="s">
        <v>3558</v>
      </c>
      <c r="B2415" t="s">
        <v>347</v>
      </c>
      <c r="C2415">
        <v>1</v>
      </c>
      <c r="D2415" t="s">
        <v>15</v>
      </c>
      <c r="E2415" t="s">
        <v>5</v>
      </c>
      <c r="F2415" s="2">
        <v>45812</v>
      </c>
      <c r="G2415">
        <v>4890.6099999999997</v>
      </c>
      <c r="H2415" s="1">
        <f>AVERAGEIF(Table1[Customer_ID], Table1[[#This Row],[Customer_ID]], Table1[Transaction_Amount])</f>
        <v>4676.4329411764738</v>
      </c>
      <c r="I2415" t="s">
        <v>1171</v>
      </c>
      <c r="J2415" t="s">
        <v>41</v>
      </c>
      <c r="K2415" t="s">
        <v>8</v>
      </c>
      <c r="L2415">
        <v>0</v>
      </c>
      <c r="M2415" t="s">
        <v>37</v>
      </c>
      <c r="N2415" t="s">
        <v>33</v>
      </c>
      <c r="O2415" t="s">
        <v>392</v>
      </c>
      <c r="P2415" s="6" t="str">
        <f>IF(Table1[[#This Row],[Transaction_Amount]]&lt;=Table1[[#This Row],[avg_transaction_amount]], "usual transaction", "unusual transaction")</f>
        <v>unusual transaction</v>
      </c>
      <c r="Q2415" s="6" t="str">
        <f>IF(AND(Table1[[#This Row],[Country_of_Residence]]&lt;&gt;Table1[[#This Row],[Country_of_Transaction]], OR(Table1[[#This Row],[Authentication_Type]]="Biometric", Table1[[#This Row],[Authentication_Type]]="OTP")), "safe location transaction", "unsafe location transaction")</f>
        <v>safe location transaction</v>
      </c>
      <c r="R2415" s="6" t="str">
        <f>IF(AND(Table1[[#This Row],[Country_of_Residence]]&lt;&gt;Table1[[#This Row],[Country_of_Transaction]], OR(Table1[[#This Row],[Merchant_Category]]="Electronics", Table1[[#This Row],[Merchant_Category]]="Travel")), "unsafe merchant transaction", "safe merchant transaction")</f>
        <v>safe merchant transaction</v>
      </c>
    </row>
    <row r="2416" spans="1:18">
      <c r="A2416" t="s">
        <v>3569</v>
      </c>
      <c r="B2416" t="s">
        <v>347</v>
      </c>
      <c r="C2416">
        <v>1</v>
      </c>
      <c r="D2416" t="s">
        <v>9</v>
      </c>
      <c r="E2416" t="s">
        <v>3</v>
      </c>
      <c r="F2416" s="2">
        <v>45701</v>
      </c>
      <c r="G2416">
        <v>109.23</v>
      </c>
      <c r="H2416" s="1">
        <f>AVERAGEIF(Table1[Customer_ID], Table1[[#This Row],[Customer_ID]], Table1[Transaction_Amount])</f>
        <v>4676.4329411764738</v>
      </c>
      <c r="I2416" t="s">
        <v>1181</v>
      </c>
      <c r="J2416" t="s">
        <v>31</v>
      </c>
      <c r="K2416" t="s">
        <v>14</v>
      </c>
      <c r="L2416">
        <v>4</v>
      </c>
      <c r="M2416" t="s">
        <v>32</v>
      </c>
      <c r="N2416" t="s">
        <v>37</v>
      </c>
      <c r="O2416" t="s">
        <v>393</v>
      </c>
      <c r="P2416" s="6" t="str">
        <f>IF(Table1[[#This Row],[Transaction_Amount]]&lt;=Table1[[#This Row],[avg_transaction_amount]], "usual transaction", "unusual transaction")</f>
        <v>usual transaction</v>
      </c>
      <c r="Q2416" s="6" t="str">
        <f>IF(AND(Table1[[#This Row],[Country_of_Residence]]&lt;&gt;Table1[[#This Row],[Country_of_Transaction]], OR(Table1[[#This Row],[Authentication_Type]]="Biometric", Table1[[#This Row],[Authentication_Type]]="OTP")), "safe location transaction", "unsafe location transaction")</f>
        <v>unsafe location transaction</v>
      </c>
      <c r="R2416" s="6" t="str">
        <f>IF(AND(Table1[[#This Row],[Country_of_Residence]]&lt;&gt;Table1[[#This Row],[Country_of_Transaction]], OR(Table1[[#This Row],[Merchant_Category]]="Electronics", Table1[[#This Row],[Merchant_Category]]="Travel")), "unsafe merchant transaction", "safe merchant transaction")</f>
        <v>safe merchant transaction</v>
      </c>
    </row>
    <row r="2417" spans="1:18">
      <c r="A2417" t="s">
        <v>3655</v>
      </c>
      <c r="B2417" t="s">
        <v>347</v>
      </c>
      <c r="C2417">
        <v>1</v>
      </c>
      <c r="D2417" t="s">
        <v>15</v>
      </c>
      <c r="E2417" t="s">
        <v>5</v>
      </c>
      <c r="F2417" s="2">
        <v>45700</v>
      </c>
      <c r="G2417">
        <v>6712.93</v>
      </c>
      <c r="H2417" s="1">
        <f>AVERAGEIF(Table1[Customer_ID], Table1[[#This Row],[Customer_ID]], Table1[Transaction_Amount])</f>
        <v>4676.4329411764738</v>
      </c>
      <c r="I2417" t="s">
        <v>1258</v>
      </c>
      <c r="J2417" t="s">
        <v>31</v>
      </c>
      <c r="K2417" t="s">
        <v>14</v>
      </c>
      <c r="L2417">
        <v>4</v>
      </c>
      <c r="M2417" t="s">
        <v>55</v>
      </c>
      <c r="N2417" t="s">
        <v>33</v>
      </c>
      <c r="O2417" t="s">
        <v>393</v>
      </c>
      <c r="P2417" s="6" t="str">
        <f>IF(Table1[[#This Row],[Transaction_Amount]]&lt;=Table1[[#This Row],[avg_transaction_amount]], "usual transaction", "unusual transaction")</f>
        <v>unusual transaction</v>
      </c>
      <c r="Q2417" s="6" t="str">
        <f>IF(AND(Table1[[#This Row],[Country_of_Residence]]&lt;&gt;Table1[[#This Row],[Country_of_Transaction]], OR(Table1[[#This Row],[Authentication_Type]]="Biometric", Table1[[#This Row],[Authentication_Type]]="OTP")), "safe location transaction", "unsafe location transaction")</f>
        <v>unsafe location transaction</v>
      </c>
      <c r="R2417" s="6" t="str">
        <f>IF(AND(Table1[[#This Row],[Country_of_Residence]]&lt;&gt;Table1[[#This Row],[Country_of_Transaction]], OR(Table1[[#This Row],[Merchant_Category]]="Electronics", Table1[[#This Row],[Merchant_Category]]="Travel")), "unsafe merchant transaction", "safe merchant transaction")</f>
        <v>safe merchant transaction</v>
      </c>
    </row>
    <row r="2418" spans="1:18">
      <c r="A2418" t="s">
        <v>3696</v>
      </c>
      <c r="B2418" t="s">
        <v>347</v>
      </c>
      <c r="C2418">
        <v>1</v>
      </c>
      <c r="D2418" t="s">
        <v>9</v>
      </c>
      <c r="E2418" t="s">
        <v>6</v>
      </c>
      <c r="F2418" s="2">
        <v>45793</v>
      </c>
      <c r="G2418">
        <v>3431.35</v>
      </c>
      <c r="H2418" s="1">
        <f>AVERAGEIF(Table1[Customer_ID], Table1[[#This Row],[Customer_ID]], Table1[Transaction_Amount])</f>
        <v>4676.4329411764738</v>
      </c>
      <c r="I2418" t="s">
        <v>1295</v>
      </c>
      <c r="J2418" t="s">
        <v>31</v>
      </c>
      <c r="K2418" t="s">
        <v>8</v>
      </c>
      <c r="L2418">
        <v>5</v>
      </c>
      <c r="M2418" t="s">
        <v>47</v>
      </c>
      <c r="N2418" t="s">
        <v>55</v>
      </c>
      <c r="O2418" t="s">
        <v>393</v>
      </c>
      <c r="P2418" s="6" t="str">
        <f>IF(Table1[[#This Row],[Transaction_Amount]]&lt;=Table1[[#This Row],[avg_transaction_amount]], "usual transaction", "unusual transaction")</f>
        <v>usual transaction</v>
      </c>
      <c r="Q2418" s="6" t="str">
        <f>IF(AND(Table1[[#This Row],[Country_of_Residence]]&lt;&gt;Table1[[#This Row],[Country_of_Transaction]], OR(Table1[[#This Row],[Authentication_Type]]="Biometric", Table1[[#This Row],[Authentication_Type]]="OTP")), "safe location transaction", "unsafe location transaction")</f>
        <v>safe location transaction</v>
      </c>
      <c r="R2418" s="6" t="str">
        <f>IF(AND(Table1[[#This Row],[Country_of_Residence]]&lt;&gt;Table1[[#This Row],[Country_of_Transaction]], OR(Table1[[#This Row],[Merchant_Category]]="Electronics", Table1[[#This Row],[Merchant_Category]]="Travel")), "unsafe merchant transaction", "safe merchant transaction")</f>
        <v>safe merchant transaction</v>
      </c>
    </row>
    <row r="2419" spans="1:18">
      <c r="A2419" t="s">
        <v>3725</v>
      </c>
      <c r="B2419" t="s">
        <v>347</v>
      </c>
      <c r="C2419">
        <v>1</v>
      </c>
      <c r="D2419" t="s">
        <v>9</v>
      </c>
      <c r="E2419" t="s">
        <v>5</v>
      </c>
      <c r="F2419" s="2">
        <v>45777</v>
      </c>
      <c r="G2419">
        <v>2127.63</v>
      </c>
      <c r="H2419" s="1">
        <f>AVERAGEIF(Table1[Customer_ID], Table1[[#This Row],[Customer_ID]], Table1[Transaction_Amount])</f>
        <v>4676.4329411764738</v>
      </c>
      <c r="I2419" t="s">
        <v>1321</v>
      </c>
      <c r="J2419" t="s">
        <v>31</v>
      </c>
      <c r="K2419" t="s">
        <v>12</v>
      </c>
      <c r="L2419">
        <v>3</v>
      </c>
      <c r="M2419" t="s">
        <v>32</v>
      </c>
      <c r="N2419" t="s">
        <v>56</v>
      </c>
      <c r="O2419" t="s">
        <v>392</v>
      </c>
      <c r="P2419" s="6" t="str">
        <f>IF(Table1[[#This Row],[Transaction_Amount]]&lt;=Table1[[#This Row],[avg_transaction_amount]], "usual transaction", "unusual transaction")</f>
        <v>usual transaction</v>
      </c>
      <c r="Q2419" s="6" t="str">
        <f>IF(AND(Table1[[#This Row],[Country_of_Residence]]&lt;&gt;Table1[[#This Row],[Country_of_Transaction]], OR(Table1[[#This Row],[Authentication_Type]]="Biometric", Table1[[#This Row],[Authentication_Type]]="OTP")), "safe location transaction", "unsafe location transaction")</f>
        <v>unsafe location transaction</v>
      </c>
      <c r="R2419" s="6" t="str">
        <f>IF(AND(Table1[[#This Row],[Country_of_Residence]]&lt;&gt;Table1[[#This Row],[Country_of_Transaction]], OR(Table1[[#This Row],[Merchant_Category]]="Electronics", Table1[[#This Row],[Merchant_Category]]="Travel")), "unsafe merchant transaction", "safe merchant transaction")</f>
        <v>safe merchant transaction</v>
      </c>
    </row>
    <row r="2420" spans="1:18">
      <c r="A2420" t="s">
        <v>3735</v>
      </c>
      <c r="B2420" t="s">
        <v>347</v>
      </c>
      <c r="C2420">
        <v>1</v>
      </c>
      <c r="D2420" t="s">
        <v>15</v>
      </c>
      <c r="E2420" t="s">
        <v>420</v>
      </c>
      <c r="F2420" s="2">
        <v>45910</v>
      </c>
      <c r="G2420">
        <v>5422.86</v>
      </c>
      <c r="H2420" s="1">
        <f>AVERAGEIF(Table1[Customer_ID], Table1[[#This Row],[Customer_ID]], Table1[Transaction_Amount])</f>
        <v>4676.4329411764738</v>
      </c>
      <c r="I2420" t="s">
        <v>1330</v>
      </c>
      <c r="J2420" t="s">
        <v>46</v>
      </c>
      <c r="K2420" t="s">
        <v>12</v>
      </c>
      <c r="L2420">
        <v>4</v>
      </c>
      <c r="M2420" t="s">
        <v>42</v>
      </c>
      <c r="N2420" t="s">
        <v>42</v>
      </c>
      <c r="O2420" t="s">
        <v>392</v>
      </c>
      <c r="P2420" s="6" t="str">
        <f>IF(Table1[[#This Row],[Transaction_Amount]]&lt;=Table1[[#This Row],[avg_transaction_amount]], "usual transaction", "unusual transaction")</f>
        <v>unusual transaction</v>
      </c>
      <c r="Q2420" s="6" t="str">
        <f>IF(AND(Table1[[#This Row],[Country_of_Residence]]&lt;&gt;Table1[[#This Row],[Country_of_Transaction]], OR(Table1[[#This Row],[Authentication_Type]]="Biometric", Table1[[#This Row],[Authentication_Type]]="OTP")), "safe location transaction", "unsafe location transaction")</f>
        <v>unsafe location transaction</v>
      </c>
      <c r="R2420" s="6" t="str">
        <f>IF(AND(Table1[[#This Row],[Country_of_Residence]]&lt;&gt;Table1[[#This Row],[Country_of_Transaction]], OR(Table1[[#This Row],[Merchant_Category]]="Electronics", Table1[[#This Row],[Merchant_Category]]="Travel")), "unsafe merchant transaction", "safe merchant transaction")</f>
        <v>safe merchant transaction</v>
      </c>
    </row>
    <row r="2421" spans="1:18">
      <c r="A2421" t="s">
        <v>3736</v>
      </c>
      <c r="B2421" t="s">
        <v>347</v>
      </c>
      <c r="C2421">
        <v>1</v>
      </c>
      <c r="D2421" t="s">
        <v>9</v>
      </c>
      <c r="E2421" t="s">
        <v>5</v>
      </c>
      <c r="F2421" s="2">
        <v>45972</v>
      </c>
      <c r="G2421">
        <v>867.78</v>
      </c>
      <c r="H2421" s="1">
        <f>AVERAGEIF(Table1[Customer_ID], Table1[[#This Row],[Customer_ID]], Table1[Transaction_Amount])</f>
        <v>4676.4329411764738</v>
      </c>
      <c r="I2421" t="s">
        <v>1076</v>
      </c>
      <c r="J2421" t="s">
        <v>46</v>
      </c>
      <c r="K2421" t="s">
        <v>14</v>
      </c>
      <c r="L2421">
        <v>1</v>
      </c>
      <c r="M2421" t="s">
        <v>37</v>
      </c>
      <c r="N2421" t="s">
        <v>51</v>
      </c>
      <c r="O2421" t="s">
        <v>393</v>
      </c>
      <c r="P2421" s="6" t="str">
        <f>IF(Table1[[#This Row],[Transaction_Amount]]&lt;=Table1[[#This Row],[avg_transaction_amount]], "usual transaction", "unusual transaction")</f>
        <v>usual transaction</v>
      </c>
      <c r="Q2421" s="6" t="str">
        <f>IF(AND(Table1[[#This Row],[Country_of_Residence]]&lt;&gt;Table1[[#This Row],[Country_of_Transaction]], OR(Table1[[#This Row],[Authentication_Type]]="Biometric", Table1[[#This Row],[Authentication_Type]]="OTP")), "safe location transaction", "unsafe location transaction")</f>
        <v>unsafe location transaction</v>
      </c>
      <c r="R2421" s="6" t="str">
        <f>IF(AND(Table1[[#This Row],[Country_of_Residence]]&lt;&gt;Table1[[#This Row],[Country_of_Transaction]], OR(Table1[[#This Row],[Merchant_Category]]="Electronics", Table1[[#This Row],[Merchant_Category]]="Travel")), "unsafe merchant transaction", "safe merchant transaction")</f>
        <v>safe merchant transaction</v>
      </c>
    </row>
    <row r="2422" spans="1:18">
      <c r="A2422" t="s">
        <v>3737</v>
      </c>
      <c r="B2422" t="s">
        <v>347</v>
      </c>
      <c r="C2422">
        <v>1</v>
      </c>
      <c r="D2422" t="s">
        <v>9</v>
      </c>
      <c r="E2422" t="s">
        <v>6</v>
      </c>
      <c r="F2422" s="2">
        <v>45825</v>
      </c>
      <c r="G2422">
        <v>5928.31</v>
      </c>
      <c r="H2422" s="1">
        <f>AVERAGEIF(Table1[Customer_ID], Table1[[#This Row],[Customer_ID]], Table1[Transaction_Amount])</f>
        <v>4676.4329411764738</v>
      </c>
      <c r="I2422" t="s">
        <v>1331</v>
      </c>
      <c r="J2422" t="s">
        <v>46</v>
      </c>
      <c r="K2422" t="s">
        <v>10</v>
      </c>
      <c r="L2422">
        <v>5</v>
      </c>
      <c r="M2422" t="s">
        <v>56</v>
      </c>
      <c r="N2422" t="s">
        <v>412</v>
      </c>
      <c r="O2422" t="s">
        <v>392</v>
      </c>
      <c r="P2422" s="6" t="str">
        <f>IF(Table1[[#This Row],[Transaction_Amount]]&lt;=Table1[[#This Row],[avg_transaction_amount]], "usual transaction", "unusual transaction")</f>
        <v>unusual transaction</v>
      </c>
      <c r="Q2422" s="6" t="str">
        <f>IF(AND(Table1[[#This Row],[Country_of_Residence]]&lt;&gt;Table1[[#This Row],[Country_of_Transaction]], OR(Table1[[#This Row],[Authentication_Type]]="Biometric", Table1[[#This Row],[Authentication_Type]]="OTP")), "safe location transaction", "unsafe location transaction")</f>
        <v>safe location transaction</v>
      </c>
      <c r="R2422" s="6" t="str">
        <f>IF(AND(Table1[[#This Row],[Country_of_Residence]]&lt;&gt;Table1[[#This Row],[Country_of_Transaction]], OR(Table1[[#This Row],[Merchant_Category]]="Electronics", Table1[[#This Row],[Merchant_Category]]="Travel")), "unsafe merchant transaction", "safe merchant transaction")</f>
        <v>safe merchant transaction</v>
      </c>
    </row>
    <row r="2423" spans="1:18">
      <c r="A2423" t="s">
        <v>3752</v>
      </c>
      <c r="B2423" t="s">
        <v>347</v>
      </c>
      <c r="C2423">
        <v>1</v>
      </c>
      <c r="D2423" t="s">
        <v>9</v>
      </c>
      <c r="E2423" t="s">
        <v>420</v>
      </c>
      <c r="F2423" s="2">
        <v>45968</v>
      </c>
      <c r="G2423">
        <v>2694.25</v>
      </c>
      <c r="H2423" s="1">
        <f>AVERAGEIF(Table1[Customer_ID], Table1[[#This Row],[Customer_ID]], Table1[Transaction_Amount])</f>
        <v>4676.4329411764738</v>
      </c>
      <c r="I2423" t="s">
        <v>1343</v>
      </c>
      <c r="J2423" t="s">
        <v>31</v>
      </c>
      <c r="K2423" t="s">
        <v>10</v>
      </c>
      <c r="L2423">
        <v>4</v>
      </c>
      <c r="M2423" t="s">
        <v>32</v>
      </c>
      <c r="N2423" t="s">
        <v>32</v>
      </c>
      <c r="O2423" t="s">
        <v>392</v>
      </c>
      <c r="P2423" s="6" t="str">
        <f>IF(Table1[[#This Row],[Transaction_Amount]]&lt;=Table1[[#This Row],[avg_transaction_amount]], "usual transaction", "unusual transaction")</f>
        <v>usual transaction</v>
      </c>
      <c r="Q2423" s="6" t="str">
        <f>IF(AND(Table1[[#This Row],[Country_of_Residence]]&lt;&gt;Table1[[#This Row],[Country_of_Transaction]], OR(Table1[[#This Row],[Authentication_Type]]="Biometric", Table1[[#This Row],[Authentication_Type]]="OTP")), "safe location transaction", "unsafe location transaction")</f>
        <v>unsafe location transaction</v>
      </c>
      <c r="R2423" s="6" t="str">
        <f>IF(AND(Table1[[#This Row],[Country_of_Residence]]&lt;&gt;Table1[[#This Row],[Country_of_Transaction]], OR(Table1[[#This Row],[Merchant_Category]]="Electronics", Table1[[#This Row],[Merchant_Category]]="Travel")), "unsafe merchant transaction", "safe merchant transaction")</f>
        <v>safe merchant transaction</v>
      </c>
    </row>
    <row r="2424" spans="1:18">
      <c r="A2424" t="s">
        <v>3775</v>
      </c>
      <c r="B2424" t="s">
        <v>347</v>
      </c>
      <c r="C2424">
        <v>1</v>
      </c>
      <c r="D2424" t="s">
        <v>15</v>
      </c>
      <c r="E2424" t="s">
        <v>3</v>
      </c>
      <c r="F2424" s="2">
        <v>45997</v>
      </c>
      <c r="G2424">
        <v>7090.99</v>
      </c>
      <c r="H2424" s="1">
        <f>AVERAGEIF(Table1[Customer_ID], Table1[[#This Row],[Customer_ID]], Table1[Transaction_Amount])</f>
        <v>4676.4329411764738</v>
      </c>
      <c r="I2424" t="s">
        <v>1364</v>
      </c>
      <c r="J2424" t="s">
        <v>41</v>
      </c>
      <c r="K2424" t="s">
        <v>8</v>
      </c>
      <c r="L2424">
        <v>4</v>
      </c>
      <c r="M2424" t="s">
        <v>55</v>
      </c>
      <c r="N2424" t="s">
        <v>37</v>
      </c>
      <c r="O2424" t="s">
        <v>393</v>
      </c>
      <c r="P2424" s="6" t="str">
        <f>IF(Table1[[#This Row],[Transaction_Amount]]&lt;=Table1[[#This Row],[avg_transaction_amount]], "usual transaction", "unusual transaction")</f>
        <v>unusual transaction</v>
      </c>
      <c r="Q2424" s="6" t="str">
        <f>IF(AND(Table1[[#This Row],[Country_of_Residence]]&lt;&gt;Table1[[#This Row],[Country_of_Transaction]], OR(Table1[[#This Row],[Authentication_Type]]="Biometric", Table1[[#This Row],[Authentication_Type]]="OTP")), "safe location transaction", "unsafe location transaction")</f>
        <v>safe location transaction</v>
      </c>
      <c r="R2424" s="6" t="str">
        <f>IF(AND(Table1[[#This Row],[Country_of_Residence]]&lt;&gt;Table1[[#This Row],[Country_of_Transaction]], OR(Table1[[#This Row],[Merchant_Category]]="Electronics", Table1[[#This Row],[Merchant_Category]]="Travel")), "unsafe merchant transaction", "safe merchant transaction")</f>
        <v>safe merchant transaction</v>
      </c>
    </row>
    <row r="2425" spans="1:18">
      <c r="A2425" t="s">
        <v>3865</v>
      </c>
      <c r="B2425" t="s">
        <v>347</v>
      </c>
      <c r="C2425">
        <v>1</v>
      </c>
      <c r="D2425" t="s">
        <v>9</v>
      </c>
      <c r="E2425" t="s">
        <v>5</v>
      </c>
      <c r="F2425" s="2">
        <v>45902</v>
      </c>
      <c r="G2425">
        <v>2005.34</v>
      </c>
      <c r="H2425" s="1">
        <f>AVERAGEIF(Table1[Customer_ID], Table1[[#This Row],[Customer_ID]], Table1[Transaction_Amount])</f>
        <v>4676.4329411764738</v>
      </c>
      <c r="I2425" t="s">
        <v>1439</v>
      </c>
      <c r="J2425" t="s">
        <v>41</v>
      </c>
      <c r="K2425" t="s">
        <v>8</v>
      </c>
      <c r="L2425">
        <v>0</v>
      </c>
      <c r="M2425" t="s">
        <v>33</v>
      </c>
      <c r="N2425" t="s">
        <v>412</v>
      </c>
      <c r="O2425" t="s">
        <v>392</v>
      </c>
      <c r="P2425" s="6" t="str">
        <f>IF(Table1[[#This Row],[Transaction_Amount]]&lt;=Table1[[#This Row],[avg_transaction_amount]], "usual transaction", "unusual transaction")</f>
        <v>usual transaction</v>
      </c>
      <c r="Q2425" s="6" t="str">
        <f>IF(AND(Table1[[#This Row],[Country_of_Residence]]&lt;&gt;Table1[[#This Row],[Country_of_Transaction]], OR(Table1[[#This Row],[Authentication_Type]]="Biometric", Table1[[#This Row],[Authentication_Type]]="OTP")), "safe location transaction", "unsafe location transaction")</f>
        <v>safe location transaction</v>
      </c>
      <c r="R2425" s="6" t="str">
        <f>IF(AND(Table1[[#This Row],[Country_of_Residence]]&lt;&gt;Table1[[#This Row],[Country_of_Transaction]], OR(Table1[[#This Row],[Merchant_Category]]="Electronics", Table1[[#This Row],[Merchant_Category]]="Travel")), "unsafe merchant transaction", "safe merchant transaction")</f>
        <v>safe merchant transaction</v>
      </c>
    </row>
    <row r="2426" spans="1:18">
      <c r="A2426" t="s">
        <v>3870</v>
      </c>
      <c r="B2426" t="s">
        <v>347</v>
      </c>
      <c r="C2426">
        <v>1</v>
      </c>
      <c r="D2426" t="s">
        <v>9</v>
      </c>
      <c r="E2426" t="s">
        <v>6</v>
      </c>
      <c r="F2426" s="2">
        <v>45723</v>
      </c>
      <c r="G2426">
        <v>7278.63</v>
      </c>
      <c r="H2426" s="1">
        <f>AVERAGEIF(Table1[Customer_ID], Table1[[#This Row],[Customer_ID]], Table1[Transaction_Amount])</f>
        <v>4676.4329411764738</v>
      </c>
      <c r="I2426" t="s">
        <v>1442</v>
      </c>
      <c r="J2426" t="s">
        <v>36</v>
      </c>
      <c r="K2426" t="s">
        <v>12</v>
      </c>
      <c r="L2426">
        <v>1</v>
      </c>
      <c r="M2426" t="s">
        <v>33</v>
      </c>
      <c r="N2426" t="s">
        <v>37</v>
      </c>
      <c r="O2426" t="s">
        <v>393</v>
      </c>
      <c r="P2426" s="6" t="str">
        <f>IF(Table1[[#This Row],[Transaction_Amount]]&lt;=Table1[[#This Row],[avg_transaction_amount]], "usual transaction", "unusual transaction")</f>
        <v>unusual transaction</v>
      </c>
      <c r="Q2426" s="6" t="str">
        <f>IF(AND(Table1[[#This Row],[Country_of_Residence]]&lt;&gt;Table1[[#This Row],[Country_of_Transaction]], OR(Table1[[#This Row],[Authentication_Type]]="Biometric", Table1[[#This Row],[Authentication_Type]]="OTP")), "safe location transaction", "unsafe location transaction")</f>
        <v>unsafe location transaction</v>
      </c>
      <c r="R2426" s="6" t="str">
        <f>IF(AND(Table1[[#This Row],[Country_of_Residence]]&lt;&gt;Table1[[#This Row],[Country_of_Transaction]], OR(Table1[[#This Row],[Merchant_Category]]="Electronics", Table1[[#This Row],[Merchant_Category]]="Travel")), "unsafe merchant transaction", "safe merchant transaction")</f>
        <v>safe merchant transaction</v>
      </c>
    </row>
    <row r="2427" spans="1:18">
      <c r="A2427" t="s">
        <v>3883</v>
      </c>
      <c r="B2427" t="s">
        <v>347</v>
      </c>
      <c r="C2427">
        <v>1</v>
      </c>
      <c r="D2427" t="s">
        <v>9</v>
      </c>
      <c r="E2427" t="s">
        <v>420</v>
      </c>
      <c r="F2427" s="2">
        <v>45767</v>
      </c>
      <c r="G2427">
        <v>3119.52</v>
      </c>
      <c r="H2427" s="1">
        <f>AVERAGEIF(Table1[Customer_ID], Table1[[#This Row],[Customer_ID]], Table1[Transaction_Amount])</f>
        <v>4676.4329411764738</v>
      </c>
      <c r="I2427" t="s">
        <v>1453</v>
      </c>
      <c r="J2427" t="s">
        <v>31</v>
      </c>
      <c r="K2427" t="s">
        <v>8</v>
      </c>
      <c r="L2427">
        <v>5</v>
      </c>
      <c r="M2427" t="s">
        <v>47</v>
      </c>
      <c r="N2427" t="s">
        <v>47</v>
      </c>
      <c r="O2427" t="s">
        <v>392</v>
      </c>
      <c r="P2427" s="6" t="str">
        <f>IF(Table1[[#This Row],[Transaction_Amount]]&lt;=Table1[[#This Row],[avg_transaction_amount]], "usual transaction", "unusual transaction")</f>
        <v>usual transaction</v>
      </c>
      <c r="Q2427" s="6" t="str">
        <f>IF(AND(Table1[[#This Row],[Country_of_Residence]]&lt;&gt;Table1[[#This Row],[Country_of_Transaction]], OR(Table1[[#This Row],[Authentication_Type]]="Biometric", Table1[[#This Row],[Authentication_Type]]="OTP")), "safe location transaction", "unsafe location transaction")</f>
        <v>unsafe location transaction</v>
      </c>
      <c r="R2427" s="6" t="str">
        <f>IF(AND(Table1[[#This Row],[Country_of_Residence]]&lt;&gt;Table1[[#This Row],[Country_of_Transaction]], OR(Table1[[#This Row],[Merchant_Category]]="Electronics", Table1[[#This Row],[Merchant_Category]]="Travel")), "unsafe merchant transaction", "safe merchant transaction")</f>
        <v>safe merchant transaction</v>
      </c>
    </row>
    <row r="2428" spans="1:18">
      <c r="A2428" t="s">
        <v>3927</v>
      </c>
      <c r="B2428" t="s">
        <v>347</v>
      </c>
      <c r="C2428">
        <v>1</v>
      </c>
      <c r="D2428" t="s">
        <v>15</v>
      </c>
      <c r="E2428" t="s">
        <v>420</v>
      </c>
      <c r="F2428" s="2">
        <v>45762</v>
      </c>
      <c r="G2428">
        <v>2958.55</v>
      </c>
      <c r="H2428" s="1">
        <f>AVERAGEIF(Table1[Customer_ID], Table1[[#This Row],[Customer_ID]], Table1[Transaction_Amount])</f>
        <v>4676.4329411764738</v>
      </c>
      <c r="I2428" t="s">
        <v>1491</v>
      </c>
      <c r="J2428" t="s">
        <v>50</v>
      </c>
      <c r="K2428" t="s">
        <v>10</v>
      </c>
      <c r="L2428">
        <v>2</v>
      </c>
      <c r="M2428" t="s">
        <v>37</v>
      </c>
      <c r="N2428" t="s">
        <v>33</v>
      </c>
      <c r="O2428" t="s">
        <v>392</v>
      </c>
      <c r="P2428" s="6" t="str">
        <f>IF(Table1[[#This Row],[Transaction_Amount]]&lt;=Table1[[#This Row],[avg_transaction_amount]], "usual transaction", "unusual transaction")</f>
        <v>usual transaction</v>
      </c>
      <c r="Q2428" s="6" t="str">
        <f>IF(AND(Table1[[#This Row],[Country_of_Residence]]&lt;&gt;Table1[[#This Row],[Country_of_Transaction]], OR(Table1[[#This Row],[Authentication_Type]]="Biometric", Table1[[#This Row],[Authentication_Type]]="OTP")), "safe location transaction", "unsafe location transaction")</f>
        <v>safe location transaction</v>
      </c>
      <c r="R2428" s="6" t="str">
        <f>IF(AND(Table1[[#This Row],[Country_of_Residence]]&lt;&gt;Table1[[#This Row],[Country_of_Transaction]], OR(Table1[[#This Row],[Merchant_Category]]="Electronics", Table1[[#This Row],[Merchant_Category]]="Travel")), "unsafe merchant transaction", "safe merchant transaction")</f>
        <v>unsafe merchant transaction</v>
      </c>
    </row>
    <row r="2429" spans="1:18">
      <c r="A2429" t="s">
        <v>3939</v>
      </c>
      <c r="B2429" t="s">
        <v>347</v>
      </c>
      <c r="C2429">
        <v>1</v>
      </c>
      <c r="D2429" t="s">
        <v>15</v>
      </c>
      <c r="E2429" t="s">
        <v>3</v>
      </c>
      <c r="F2429" s="2">
        <v>45706</v>
      </c>
      <c r="G2429">
        <v>3366</v>
      </c>
      <c r="H2429" s="1">
        <f>AVERAGEIF(Table1[Customer_ID], Table1[[#This Row],[Customer_ID]], Table1[Transaction_Amount])</f>
        <v>4676.4329411764738</v>
      </c>
      <c r="I2429" t="s">
        <v>1503</v>
      </c>
      <c r="J2429" t="s">
        <v>31</v>
      </c>
      <c r="K2429" t="s">
        <v>8</v>
      </c>
      <c r="L2429">
        <v>0</v>
      </c>
      <c r="M2429" t="s">
        <v>47</v>
      </c>
      <c r="N2429" t="s">
        <v>51</v>
      </c>
      <c r="O2429" t="s">
        <v>393</v>
      </c>
      <c r="P2429" s="6" t="str">
        <f>IF(Table1[[#This Row],[Transaction_Amount]]&lt;=Table1[[#This Row],[avg_transaction_amount]], "usual transaction", "unusual transaction")</f>
        <v>usual transaction</v>
      </c>
      <c r="Q2429" s="6" t="str">
        <f>IF(AND(Table1[[#This Row],[Country_of_Residence]]&lt;&gt;Table1[[#This Row],[Country_of_Transaction]], OR(Table1[[#This Row],[Authentication_Type]]="Biometric", Table1[[#This Row],[Authentication_Type]]="OTP")), "safe location transaction", "unsafe location transaction")</f>
        <v>safe location transaction</v>
      </c>
      <c r="R2429" s="6" t="str">
        <f>IF(AND(Table1[[#This Row],[Country_of_Residence]]&lt;&gt;Table1[[#This Row],[Country_of_Transaction]], OR(Table1[[#This Row],[Merchant_Category]]="Electronics", Table1[[#This Row],[Merchant_Category]]="Travel")), "unsafe merchant transaction", "safe merchant transaction")</f>
        <v>safe merchant transaction</v>
      </c>
    </row>
    <row r="2430" spans="1:18">
      <c r="A2430" t="s">
        <v>4263</v>
      </c>
      <c r="B2430" t="s">
        <v>347</v>
      </c>
      <c r="C2430">
        <v>1</v>
      </c>
      <c r="D2430" t="s">
        <v>9</v>
      </c>
      <c r="E2430" t="s">
        <v>6</v>
      </c>
      <c r="F2430" s="2">
        <v>45976</v>
      </c>
      <c r="G2430">
        <v>7216.01</v>
      </c>
      <c r="H2430" s="1">
        <f>AVERAGEIF(Table1[Customer_ID], Table1[[#This Row],[Customer_ID]], Table1[Transaction_Amount])</f>
        <v>4676.4329411764738</v>
      </c>
      <c r="I2430" t="s">
        <v>1777</v>
      </c>
      <c r="J2430" t="s">
        <v>46</v>
      </c>
      <c r="K2430" t="s">
        <v>10</v>
      </c>
      <c r="L2430">
        <v>3</v>
      </c>
      <c r="M2430" t="s">
        <v>56</v>
      </c>
      <c r="N2430" t="s">
        <v>32</v>
      </c>
      <c r="O2430" t="s">
        <v>393</v>
      </c>
      <c r="P2430" s="6" t="str">
        <f>IF(Table1[[#This Row],[Transaction_Amount]]&lt;=Table1[[#This Row],[avg_transaction_amount]], "usual transaction", "unusual transaction")</f>
        <v>unusual transaction</v>
      </c>
      <c r="Q2430" s="6" t="str">
        <f>IF(AND(Table1[[#This Row],[Country_of_Residence]]&lt;&gt;Table1[[#This Row],[Country_of_Transaction]], OR(Table1[[#This Row],[Authentication_Type]]="Biometric", Table1[[#This Row],[Authentication_Type]]="OTP")), "safe location transaction", "unsafe location transaction")</f>
        <v>safe location transaction</v>
      </c>
      <c r="R2430" s="6" t="str">
        <f>IF(AND(Table1[[#This Row],[Country_of_Residence]]&lt;&gt;Table1[[#This Row],[Country_of_Transaction]], OR(Table1[[#This Row],[Merchant_Category]]="Electronics", Table1[[#This Row],[Merchant_Category]]="Travel")), "unsafe merchant transaction", "safe merchant transaction")</f>
        <v>safe merchant transaction</v>
      </c>
    </row>
    <row r="2431" spans="1:18">
      <c r="A2431" t="s">
        <v>4264</v>
      </c>
      <c r="B2431" t="s">
        <v>347</v>
      </c>
      <c r="C2431">
        <v>1</v>
      </c>
      <c r="D2431" t="s">
        <v>9</v>
      </c>
      <c r="E2431" t="s">
        <v>3</v>
      </c>
      <c r="F2431" s="2">
        <v>45757</v>
      </c>
      <c r="G2431">
        <v>2629.13</v>
      </c>
      <c r="H2431" s="1">
        <f>AVERAGEIF(Table1[Customer_ID], Table1[[#This Row],[Customer_ID]], Table1[Transaction_Amount])</f>
        <v>4676.4329411764738</v>
      </c>
      <c r="I2431" t="s">
        <v>1778</v>
      </c>
      <c r="J2431" t="s">
        <v>46</v>
      </c>
      <c r="K2431" t="s">
        <v>10</v>
      </c>
      <c r="L2431">
        <v>0</v>
      </c>
      <c r="M2431" t="s">
        <v>37</v>
      </c>
      <c r="N2431" t="s">
        <v>33</v>
      </c>
      <c r="O2431" t="s">
        <v>392</v>
      </c>
      <c r="P2431" s="6" t="str">
        <f>IF(Table1[[#This Row],[Transaction_Amount]]&lt;=Table1[[#This Row],[avg_transaction_amount]], "usual transaction", "unusual transaction")</f>
        <v>usual transaction</v>
      </c>
      <c r="Q2431" s="6" t="str">
        <f>IF(AND(Table1[[#This Row],[Country_of_Residence]]&lt;&gt;Table1[[#This Row],[Country_of_Transaction]], OR(Table1[[#This Row],[Authentication_Type]]="Biometric", Table1[[#This Row],[Authentication_Type]]="OTP")), "safe location transaction", "unsafe location transaction")</f>
        <v>safe location transaction</v>
      </c>
      <c r="R2431" s="6" t="str">
        <f>IF(AND(Table1[[#This Row],[Country_of_Residence]]&lt;&gt;Table1[[#This Row],[Country_of_Transaction]], OR(Table1[[#This Row],[Merchant_Category]]="Electronics", Table1[[#This Row],[Merchant_Category]]="Travel")), "unsafe merchant transaction", "safe merchant transaction")</f>
        <v>safe merchant transaction</v>
      </c>
    </row>
    <row r="2432" spans="1:18">
      <c r="A2432" t="s">
        <v>4311</v>
      </c>
      <c r="B2432" t="s">
        <v>347</v>
      </c>
      <c r="C2432">
        <v>1</v>
      </c>
      <c r="D2432" t="s">
        <v>15</v>
      </c>
      <c r="E2432" t="s">
        <v>5</v>
      </c>
      <c r="F2432" s="2">
        <v>45857</v>
      </c>
      <c r="G2432">
        <v>5244.57</v>
      </c>
      <c r="H2432" s="1">
        <f>AVERAGEIF(Table1[Customer_ID], Table1[[#This Row],[Customer_ID]], Table1[Transaction_Amount])</f>
        <v>4676.4329411764738</v>
      </c>
      <c r="I2432" t="s">
        <v>1819</v>
      </c>
      <c r="J2432" t="s">
        <v>41</v>
      </c>
      <c r="K2432" t="s">
        <v>14</v>
      </c>
      <c r="L2432">
        <v>4</v>
      </c>
      <c r="M2432" t="s">
        <v>47</v>
      </c>
      <c r="N2432" t="s">
        <v>51</v>
      </c>
      <c r="O2432" t="s">
        <v>393</v>
      </c>
      <c r="P2432" s="6" t="str">
        <f>IF(Table1[[#This Row],[Transaction_Amount]]&lt;=Table1[[#This Row],[avg_transaction_amount]], "usual transaction", "unusual transaction")</f>
        <v>unusual transaction</v>
      </c>
      <c r="Q2432" s="6" t="str">
        <f>IF(AND(Table1[[#This Row],[Country_of_Residence]]&lt;&gt;Table1[[#This Row],[Country_of_Transaction]], OR(Table1[[#This Row],[Authentication_Type]]="Biometric", Table1[[#This Row],[Authentication_Type]]="OTP")), "safe location transaction", "unsafe location transaction")</f>
        <v>unsafe location transaction</v>
      </c>
      <c r="R2432" s="6" t="str">
        <f>IF(AND(Table1[[#This Row],[Country_of_Residence]]&lt;&gt;Table1[[#This Row],[Country_of_Transaction]], OR(Table1[[#This Row],[Merchant_Category]]="Electronics", Table1[[#This Row],[Merchant_Category]]="Travel")), "unsafe merchant transaction", "safe merchant transaction")</f>
        <v>safe merchant transaction</v>
      </c>
    </row>
    <row r="2433" spans="1:18">
      <c r="A2433" t="s">
        <v>4323</v>
      </c>
      <c r="B2433" t="s">
        <v>347</v>
      </c>
      <c r="C2433">
        <v>1</v>
      </c>
      <c r="D2433" t="s">
        <v>9</v>
      </c>
      <c r="E2433" t="s">
        <v>420</v>
      </c>
      <c r="F2433" s="2">
        <v>45780</v>
      </c>
      <c r="G2433">
        <v>2500.79</v>
      </c>
      <c r="H2433" s="1">
        <f>AVERAGEIF(Table1[Customer_ID], Table1[[#This Row],[Customer_ID]], Table1[Transaction_Amount])</f>
        <v>4676.4329411764738</v>
      </c>
      <c r="I2433" t="s">
        <v>1830</v>
      </c>
      <c r="J2433" t="s">
        <v>41</v>
      </c>
      <c r="K2433" t="s">
        <v>12</v>
      </c>
      <c r="L2433">
        <v>2</v>
      </c>
      <c r="M2433" t="s">
        <v>51</v>
      </c>
      <c r="N2433" t="s">
        <v>32</v>
      </c>
      <c r="O2433" t="s">
        <v>392</v>
      </c>
      <c r="P2433" s="6" t="str">
        <f>IF(Table1[[#This Row],[Transaction_Amount]]&lt;=Table1[[#This Row],[avg_transaction_amount]], "usual transaction", "unusual transaction")</f>
        <v>usual transaction</v>
      </c>
      <c r="Q2433" s="6" t="str">
        <f>IF(AND(Table1[[#This Row],[Country_of_Residence]]&lt;&gt;Table1[[#This Row],[Country_of_Transaction]], OR(Table1[[#This Row],[Authentication_Type]]="Biometric", Table1[[#This Row],[Authentication_Type]]="OTP")), "safe location transaction", "unsafe location transaction")</f>
        <v>unsafe location transaction</v>
      </c>
      <c r="R2433" s="6" t="str">
        <f>IF(AND(Table1[[#This Row],[Country_of_Residence]]&lt;&gt;Table1[[#This Row],[Country_of_Transaction]], OR(Table1[[#This Row],[Merchant_Category]]="Electronics", Table1[[#This Row],[Merchant_Category]]="Travel")), "unsafe merchant transaction", "safe merchant transaction")</f>
        <v>safe merchant transaction</v>
      </c>
    </row>
    <row r="2434" spans="1:18">
      <c r="A2434" t="s">
        <v>4430</v>
      </c>
      <c r="B2434" t="s">
        <v>347</v>
      </c>
      <c r="C2434">
        <v>1</v>
      </c>
      <c r="D2434" t="s">
        <v>9</v>
      </c>
      <c r="E2434" t="s">
        <v>420</v>
      </c>
      <c r="F2434" s="2">
        <v>45960</v>
      </c>
      <c r="G2434">
        <v>8421.1</v>
      </c>
      <c r="H2434" s="1">
        <f>AVERAGEIF(Table1[Customer_ID], Table1[[#This Row],[Customer_ID]], Table1[Transaction_Amount])</f>
        <v>4676.4329411764738</v>
      </c>
      <c r="I2434" t="s">
        <v>1926</v>
      </c>
      <c r="J2434" t="s">
        <v>50</v>
      </c>
      <c r="K2434" t="s">
        <v>8</v>
      </c>
      <c r="L2434">
        <v>4</v>
      </c>
      <c r="M2434" t="s">
        <v>42</v>
      </c>
      <c r="N2434" t="s">
        <v>51</v>
      </c>
      <c r="O2434" t="s">
        <v>393</v>
      </c>
      <c r="P2434" s="6" t="str">
        <f>IF(Table1[[#This Row],[Transaction_Amount]]&lt;=Table1[[#This Row],[avg_transaction_amount]], "usual transaction", "unusual transaction")</f>
        <v>unusual transaction</v>
      </c>
      <c r="Q2434" s="6" t="str">
        <f>IF(AND(Table1[[#This Row],[Country_of_Residence]]&lt;&gt;Table1[[#This Row],[Country_of_Transaction]], OR(Table1[[#This Row],[Authentication_Type]]="Biometric", Table1[[#This Row],[Authentication_Type]]="OTP")), "safe location transaction", "unsafe location transaction")</f>
        <v>safe location transaction</v>
      </c>
      <c r="R2434" s="6" t="str">
        <f>IF(AND(Table1[[#This Row],[Country_of_Residence]]&lt;&gt;Table1[[#This Row],[Country_of_Transaction]], OR(Table1[[#This Row],[Merchant_Category]]="Electronics", Table1[[#This Row],[Merchant_Category]]="Travel")), "unsafe merchant transaction", "safe merchant transaction")</f>
        <v>unsafe merchant transaction</v>
      </c>
    </row>
    <row r="2435" spans="1:18">
      <c r="A2435" t="s">
        <v>4487</v>
      </c>
      <c r="B2435" t="s">
        <v>347</v>
      </c>
      <c r="C2435">
        <v>1</v>
      </c>
      <c r="D2435" t="s">
        <v>15</v>
      </c>
      <c r="E2435" t="s">
        <v>5</v>
      </c>
      <c r="F2435" s="2">
        <v>45663</v>
      </c>
      <c r="G2435">
        <v>3868.26</v>
      </c>
      <c r="H2435" s="1">
        <f>AVERAGEIF(Table1[Customer_ID], Table1[[#This Row],[Customer_ID]], Table1[Transaction_Amount])</f>
        <v>4676.4329411764738</v>
      </c>
      <c r="I2435" t="s">
        <v>1976</v>
      </c>
      <c r="J2435" t="s">
        <v>31</v>
      </c>
      <c r="K2435" t="s">
        <v>12</v>
      </c>
      <c r="L2435">
        <v>1</v>
      </c>
      <c r="M2435" t="s">
        <v>51</v>
      </c>
      <c r="N2435" t="s">
        <v>55</v>
      </c>
      <c r="O2435" t="s">
        <v>392</v>
      </c>
      <c r="P2435" s="6" t="str">
        <f>IF(Table1[[#This Row],[Transaction_Amount]]&lt;=Table1[[#This Row],[avg_transaction_amount]], "usual transaction", "unusual transaction")</f>
        <v>usual transaction</v>
      </c>
      <c r="Q2435" s="6" t="str">
        <f>IF(AND(Table1[[#This Row],[Country_of_Residence]]&lt;&gt;Table1[[#This Row],[Country_of_Transaction]], OR(Table1[[#This Row],[Authentication_Type]]="Biometric", Table1[[#This Row],[Authentication_Type]]="OTP")), "safe location transaction", "unsafe location transaction")</f>
        <v>unsafe location transaction</v>
      </c>
      <c r="R2435" s="6" t="str">
        <f>IF(AND(Table1[[#This Row],[Country_of_Residence]]&lt;&gt;Table1[[#This Row],[Country_of_Transaction]], OR(Table1[[#This Row],[Merchant_Category]]="Electronics", Table1[[#This Row],[Merchant_Category]]="Travel")), "unsafe merchant transaction", "safe merchant transaction")</f>
        <v>safe merchant transaction</v>
      </c>
    </row>
    <row r="2436" spans="1:18">
      <c r="A2436" t="s">
        <v>4528</v>
      </c>
      <c r="B2436" t="s">
        <v>347</v>
      </c>
      <c r="C2436">
        <v>1</v>
      </c>
      <c r="D2436" t="s">
        <v>15</v>
      </c>
      <c r="E2436" t="s">
        <v>3</v>
      </c>
      <c r="F2436" s="2">
        <v>46002</v>
      </c>
      <c r="G2436">
        <v>752.49</v>
      </c>
      <c r="H2436" s="1">
        <f>AVERAGEIF(Table1[Customer_ID], Table1[[#This Row],[Customer_ID]], Table1[Transaction_Amount])</f>
        <v>4676.4329411764738</v>
      </c>
      <c r="I2436" t="s">
        <v>2007</v>
      </c>
      <c r="J2436" t="s">
        <v>50</v>
      </c>
      <c r="K2436" t="s">
        <v>10</v>
      </c>
      <c r="L2436">
        <v>2</v>
      </c>
      <c r="M2436" t="s">
        <v>37</v>
      </c>
      <c r="N2436" t="s">
        <v>51</v>
      </c>
      <c r="O2436" t="s">
        <v>392</v>
      </c>
      <c r="P2436" s="6" t="str">
        <f>IF(Table1[[#This Row],[Transaction_Amount]]&lt;=Table1[[#This Row],[avg_transaction_amount]], "usual transaction", "unusual transaction")</f>
        <v>usual transaction</v>
      </c>
      <c r="Q2436" s="6" t="str">
        <f>IF(AND(Table1[[#This Row],[Country_of_Residence]]&lt;&gt;Table1[[#This Row],[Country_of_Transaction]], OR(Table1[[#This Row],[Authentication_Type]]="Biometric", Table1[[#This Row],[Authentication_Type]]="OTP")), "safe location transaction", "unsafe location transaction")</f>
        <v>safe location transaction</v>
      </c>
      <c r="R2436" s="6" t="str">
        <f>IF(AND(Table1[[#This Row],[Country_of_Residence]]&lt;&gt;Table1[[#This Row],[Country_of_Transaction]], OR(Table1[[#This Row],[Merchant_Category]]="Electronics", Table1[[#This Row],[Merchant_Category]]="Travel")), "unsafe merchant transaction", "safe merchant transaction")</f>
        <v>unsafe merchant transaction</v>
      </c>
    </row>
    <row r="2437" spans="1:18">
      <c r="A2437" t="s">
        <v>4569</v>
      </c>
      <c r="B2437" t="s">
        <v>347</v>
      </c>
      <c r="C2437">
        <v>1</v>
      </c>
      <c r="D2437" t="s">
        <v>15</v>
      </c>
      <c r="E2437" t="s">
        <v>6</v>
      </c>
      <c r="F2437" s="2">
        <v>46023</v>
      </c>
      <c r="G2437">
        <v>3072.69</v>
      </c>
      <c r="H2437" s="1">
        <f>AVERAGEIF(Table1[Customer_ID], Table1[[#This Row],[Customer_ID]], Table1[Transaction_Amount])</f>
        <v>4676.4329411764738</v>
      </c>
      <c r="I2437" t="s">
        <v>2042</v>
      </c>
      <c r="J2437" t="s">
        <v>36</v>
      </c>
      <c r="K2437" t="s">
        <v>8</v>
      </c>
      <c r="L2437">
        <v>2</v>
      </c>
      <c r="M2437" t="s">
        <v>47</v>
      </c>
      <c r="N2437" t="s">
        <v>33</v>
      </c>
      <c r="O2437" t="s">
        <v>393</v>
      </c>
      <c r="P2437" s="6" t="str">
        <f>IF(Table1[[#This Row],[Transaction_Amount]]&lt;=Table1[[#This Row],[avg_transaction_amount]], "usual transaction", "unusual transaction")</f>
        <v>usual transaction</v>
      </c>
      <c r="Q2437" s="6" t="str">
        <f>IF(AND(Table1[[#This Row],[Country_of_Residence]]&lt;&gt;Table1[[#This Row],[Country_of_Transaction]], OR(Table1[[#This Row],[Authentication_Type]]="Biometric", Table1[[#This Row],[Authentication_Type]]="OTP")), "safe location transaction", "unsafe location transaction")</f>
        <v>safe location transaction</v>
      </c>
      <c r="R2437" s="6" t="str">
        <f>IF(AND(Table1[[#This Row],[Country_of_Residence]]&lt;&gt;Table1[[#This Row],[Country_of_Transaction]], OR(Table1[[#This Row],[Merchant_Category]]="Electronics", Table1[[#This Row],[Merchant_Category]]="Travel")), "unsafe merchant transaction", "safe merchant transaction")</f>
        <v>safe merchant transaction</v>
      </c>
    </row>
    <row r="2438" spans="1:18">
      <c r="A2438" t="s">
        <v>4571</v>
      </c>
      <c r="B2438" t="s">
        <v>347</v>
      </c>
      <c r="C2438">
        <v>1</v>
      </c>
      <c r="D2438" t="s">
        <v>9</v>
      </c>
      <c r="E2438" t="s">
        <v>5</v>
      </c>
      <c r="F2438" s="2">
        <v>45832</v>
      </c>
      <c r="G2438">
        <v>8993.0400000000009</v>
      </c>
      <c r="H2438" s="1">
        <f>AVERAGEIF(Table1[Customer_ID], Table1[[#This Row],[Customer_ID]], Table1[Transaction_Amount])</f>
        <v>4676.4329411764738</v>
      </c>
      <c r="I2438" t="s">
        <v>2044</v>
      </c>
      <c r="J2438" t="s">
        <v>50</v>
      </c>
      <c r="K2438" t="s">
        <v>8</v>
      </c>
      <c r="L2438">
        <v>5</v>
      </c>
      <c r="M2438" t="s">
        <v>412</v>
      </c>
      <c r="N2438" t="s">
        <v>51</v>
      </c>
      <c r="O2438" t="s">
        <v>392</v>
      </c>
      <c r="P2438" s="6" t="str">
        <f>IF(Table1[[#This Row],[Transaction_Amount]]&lt;=Table1[[#This Row],[avg_transaction_amount]], "usual transaction", "unusual transaction")</f>
        <v>unusual transaction</v>
      </c>
      <c r="Q2438" s="6" t="str">
        <f>IF(AND(Table1[[#This Row],[Country_of_Residence]]&lt;&gt;Table1[[#This Row],[Country_of_Transaction]], OR(Table1[[#This Row],[Authentication_Type]]="Biometric", Table1[[#This Row],[Authentication_Type]]="OTP")), "safe location transaction", "unsafe location transaction")</f>
        <v>safe location transaction</v>
      </c>
      <c r="R2438" s="6" t="str">
        <f>IF(AND(Table1[[#This Row],[Country_of_Residence]]&lt;&gt;Table1[[#This Row],[Country_of_Transaction]], OR(Table1[[#This Row],[Merchant_Category]]="Electronics", Table1[[#This Row],[Merchant_Category]]="Travel")), "unsafe merchant transaction", "safe merchant transaction")</f>
        <v>unsafe merchant transaction</v>
      </c>
    </row>
    <row r="2439" spans="1:18">
      <c r="A2439" t="s">
        <v>4603</v>
      </c>
      <c r="B2439" t="s">
        <v>347</v>
      </c>
      <c r="C2439">
        <v>1</v>
      </c>
      <c r="D2439" t="s">
        <v>15</v>
      </c>
      <c r="E2439" t="s">
        <v>3</v>
      </c>
      <c r="F2439" s="2">
        <v>45706</v>
      </c>
      <c r="G2439">
        <v>1802.2</v>
      </c>
      <c r="H2439" s="1">
        <f>AVERAGEIF(Table1[Customer_ID], Table1[[#This Row],[Customer_ID]], Table1[Transaction_Amount])</f>
        <v>4676.4329411764738</v>
      </c>
      <c r="I2439" t="s">
        <v>2070</v>
      </c>
      <c r="J2439" t="s">
        <v>31</v>
      </c>
      <c r="K2439" t="s">
        <v>10</v>
      </c>
      <c r="L2439">
        <v>1</v>
      </c>
      <c r="M2439" t="s">
        <v>37</v>
      </c>
      <c r="N2439" t="s">
        <v>33</v>
      </c>
      <c r="O2439" t="s">
        <v>393</v>
      </c>
      <c r="P2439" s="6" t="str">
        <f>IF(Table1[[#This Row],[Transaction_Amount]]&lt;=Table1[[#This Row],[avg_transaction_amount]], "usual transaction", "unusual transaction")</f>
        <v>usual transaction</v>
      </c>
      <c r="Q2439" s="6" t="str">
        <f>IF(AND(Table1[[#This Row],[Country_of_Residence]]&lt;&gt;Table1[[#This Row],[Country_of_Transaction]], OR(Table1[[#This Row],[Authentication_Type]]="Biometric", Table1[[#This Row],[Authentication_Type]]="OTP")), "safe location transaction", "unsafe location transaction")</f>
        <v>safe location transaction</v>
      </c>
      <c r="R2439" s="6" t="str">
        <f>IF(AND(Table1[[#This Row],[Country_of_Residence]]&lt;&gt;Table1[[#This Row],[Country_of_Transaction]], OR(Table1[[#This Row],[Merchant_Category]]="Electronics", Table1[[#This Row],[Merchant_Category]]="Travel")), "unsafe merchant transaction", "safe merchant transaction")</f>
        <v>safe merchant transaction</v>
      </c>
    </row>
    <row r="2440" spans="1:18">
      <c r="A2440" t="s">
        <v>4618</v>
      </c>
      <c r="B2440" t="s">
        <v>347</v>
      </c>
      <c r="C2440">
        <v>1</v>
      </c>
      <c r="D2440" t="s">
        <v>9</v>
      </c>
      <c r="E2440" t="s">
        <v>5</v>
      </c>
      <c r="F2440" s="2">
        <v>45948</v>
      </c>
      <c r="G2440">
        <v>1142.8800000000001</v>
      </c>
      <c r="H2440" s="1">
        <f>AVERAGEIF(Table1[Customer_ID], Table1[[#This Row],[Customer_ID]], Table1[Transaction_Amount])</f>
        <v>4676.4329411764738</v>
      </c>
      <c r="I2440" t="s">
        <v>2082</v>
      </c>
      <c r="J2440" t="s">
        <v>41</v>
      </c>
      <c r="K2440" t="s">
        <v>8</v>
      </c>
      <c r="L2440">
        <v>3</v>
      </c>
      <c r="M2440" t="s">
        <v>412</v>
      </c>
      <c r="N2440" t="s">
        <v>56</v>
      </c>
      <c r="O2440" t="s">
        <v>392</v>
      </c>
      <c r="P2440" s="6" t="str">
        <f>IF(Table1[[#This Row],[Transaction_Amount]]&lt;=Table1[[#This Row],[avg_transaction_amount]], "usual transaction", "unusual transaction")</f>
        <v>usual transaction</v>
      </c>
      <c r="Q2440" s="6" t="str">
        <f>IF(AND(Table1[[#This Row],[Country_of_Residence]]&lt;&gt;Table1[[#This Row],[Country_of_Transaction]], OR(Table1[[#This Row],[Authentication_Type]]="Biometric", Table1[[#This Row],[Authentication_Type]]="OTP")), "safe location transaction", "unsafe location transaction")</f>
        <v>safe location transaction</v>
      </c>
      <c r="R2440" s="6" t="str">
        <f>IF(AND(Table1[[#This Row],[Country_of_Residence]]&lt;&gt;Table1[[#This Row],[Country_of_Transaction]], OR(Table1[[#This Row],[Merchant_Category]]="Electronics", Table1[[#This Row],[Merchant_Category]]="Travel")), "unsafe merchant transaction", "safe merchant transaction")</f>
        <v>safe merchant transaction</v>
      </c>
    </row>
    <row r="2441" spans="1:18">
      <c r="A2441" t="s">
        <v>4627</v>
      </c>
      <c r="B2441" t="s">
        <v>347</v>
      </c>
      <c r="C2441">
        <v>1</v>
      </c>
      <c r="D2441" t="s">
        <v>15</v>
      </c>
      <c r="E2441" t="s">
        <v>5</v>
      </c>
      <c r="F2441" s="2">
        <v>45705</v>
      </c>
      <c r="G2441">
        <v>8680.9500000000007</v>
      </c>
      <c r="H2441" s="1">
        <f>AVERAGEIF(Table1[Customer_ID], Table1[[#This Row],[Customer_ID]], Table1[Transaction_Amount])</f>
        <v>4676.4329411764738</v>
      </c>
      <c r="I2441" t="s">
        <v>2090</v>
      </c>
      <c r="J2441" t="s">
        <v>41</v>
      </c>
      <c r="K2441" t="s">
        <v>8</v>
      </c>
      <c r="L2441">
        <v>5</v>
      </c>
      <c r="M2441" t="s">
        <v>37</v>
      </c>
      <c r="N2441" t="s">
        <v>51</v>
      </c>
      <c r="O2441" t="s">
        <v>392</v>
      </c>
      <c r="P2441" s="6" t="str">
        <f>IF(Table1[[#This Row],[Transaction_Amount]]&lt;=Table1[[#This Row],[avg_transaction_amount]], "usual transaction", "unusual transaction")</f>
        <v>unusual transaction</v>
      </c>
      <c r="Q2441" s="6" t="str">
        <f>IF(AND(Table1[[#This Row],[Country_of_Residence]]&lt;&gt;Table1[[#This Row],[Country_of_Transaction]], OR(Table1[[#This Row],[Authentication_Type]]="Biometric", Table1[[#This Row],[Authentication_Type]]="OTP")), "safe location transaction", "unsafe location transaction")</f>
        <v>safe location transaction</v>
      </c>
      <c r="R2441" s="6" t="str">
        <f>IF(AND(Table1[[#This Row],[Country_of_Residence]]&lt;&gt;Table1[[#This Row],[Country_of_Transaction]], OR(Table1[[#This Row],[Merchant_Category]]="Electronics", Table1[[#This Row],[Merchant_Category]]="Travel")), "unsafe merchant transaction", "safe merchant transaction")</f>
        <v>safe merchant transaction</v>
      </c>
    </row>
    <row r="2442" spans="1:18">
      <c r="A2442" t="s">
        <v>4631</v>
      </c>
      <c r="B2442" t="s">
        <v>347</v>
      </c>
      <c r="C2442">
        <v>1</v>
      </c>
      <c r="D2442" t="s">
        <v>9</v>
      </c>
      <c r="E2442" t="s">
        <v>5</v>
      </c>
      <c r="F2442" s="2">
        <v>45830</v>
      </c>
      <c r="G2442">
        <v>1896.18</v>
      </c>
      <c r="H2442" s="1">
        <f>AVERAGEIF(Table1[Customer_ID], Table1[[#This Row],[Customer_ID]], Table1[Transaction_Amount])</f>
        <v>4676.4329411764738</v>
      </c>
      <c r="I2442" t="s">
        <v>2094</v>
      </c>
      <c r="J2442" t="s">
        <v>46</v>
      </c>
      <c r="K2442" t="s">
        <v>8</v>
      </c>
      <c r="L2442">
        <v>5</v>
      </c>
      <c r="M2442" t="s">
        <v>37</v>
      </c>
      <c r="N2442" t="s">
        <v>32</v>
      </c>
      <c r="O2442" t="s">
        <v>392</v>
      </c>
      <c r="P2442" s="6" t="str">
        <f>IF(Table1[[#This Row],[Transaction_Amount]]&lt;=Table1[[#This Row],[avg_transaction_amount]], "usual transaction", "unusual transaction")</f>
        <v>usual transaction</v>
      </c>
      <c r="Q2442" s="6" t="str">
        <f>IF(AND(Table1[[#This Row],[Country_of_Residence]]&lt;&gt;Table1[[#This Row],[Country_of_Transaction]], OR(Table1[[#This Row],[Authentication_Type]]="Biometric", Table1[[#This Row],[Authentication_Type]]="OTP")), "safe location transaction", "unsafe location transaction")</f>
        <v>safe location transaction</v>
      </c>
      <c r="R2442" s="6" t="str">
        <f>IF(AND(Table1[[#This Row],[Country_of_Residence]]&lt;&gt;Table1[[#This Row],[Country_of_Transaction]], OR(Table1[[#This Row],[Merchant_Category]]="Electronics", Table1[[#This Row],[Merchant_Category]]="Travel")), "unsafe merchant transaction", "safe merchant transaction")</f>
        <v>safe merchant transaction</v>
      </c>
    </row>
    <row r="2443" spans="1:18">
      <c r="A2443" t="s">
        <v>4645</v>
      </c>
      <c r="B2443" t="s">
        <v>347</v>
      </c>
      <c r="C2443">
        <v>1</v>
      </c>
      <c r="D2443" t="s">
        <v>9</v>
      </c>
      <c r="E2443" t="s">
        <v>5</v>
      </c>
      <c r="F2443" s="2">
        <v>45780</v>
      </c>
      <c r="G2443">
        <v>6224.62</v>
      </c>
      <c r="H2443" s="1">
        <f>AVERAGEIF(Table1[Customer_ID], Table1[[#This Row],[Customer_ID]], Table1[Transaction_Amount])</f>
        <v>4676.4329411764738</v>
      </c>
      <c r="I2443" t="s">
        <v>1789</v>
      </c>
      <c r="J2443" t="s">
        <v>41</v>
      </c>
      <c r="K2443" t="s">
        <v>10</v>
      </c>
      <c r="L2443">
        <v>2</v>
      </c>
      <c r="M2443" t="s">
        <v>51</v>
      </c>
      <c r="N2443" t="s">
        <v>33</v>
      </c>
      <c r="O2443" t="s">
        <v>393</v>
      </c>
      <c r="P2443" s="6" t="str">
        <f>IF(Table1[[#This Row],[Transaction_Amount]]&lt;=Table1[[#This Row],[avg_transaction_amount]], "usual transaction", "unusual transaction")</f>
        <v>unusual transaction</v>
      </c>
      <c r="Q2443" s="6" t="str">
        <f>IF(AND(Table1[[#This Row],[Country_of_Residence]]&lt;&gt;Table1[[#This Row],[Country_of_Transaction]], OR(Table1[[#This Row],[Authentication_Type]]="Biometric", Table1[[#This Row],[Authentication_Type]]="OTP")), "safe location transaction", "unsafe location transaction")</f>
        <v>safe location transaction</v>
      </c>
      <c r="R2443" s="6" t="str">
        <f>IF(AND(Table1[[#This Row],[Country_of_Residence]]&lt;&gt;Table1[[#This Row],[Country_of_Transaction]], OR(Table1[[#This Row],[Merchant_Category]]="Electronics", Table1[[#This Row],[Merchant_Category]]="Travel")), "unsafe merchant transaction", "safe merchant transaction")</f>
        <v>safe merchant transaction</v>
      </c>
    </row>
    <row r="2444" spans="1:18">
      <c r="A2444" t="s">
        <v>4663</v>
      </c>
      <c r="B2444" t="s">
        <v>347</v>
      </c>
      <c r="C2444">
        <v>1</v>
      </c>
      <c r="D2444" t="s">
        <v>9</v>
      </c>
      <c r="E2444" t="s">
        <v>420</v>
      </c>
      <c r="F2444" s="2">
        <v>45832</v>
      </c>
      <c r="G2444">
        <v>4541.03</v>
      </c>
      <c r="H2444" s="1">
        <f>AVERAGEIF(Table1[Customer_ID], Table1[[#This Row],[Customer_ID]], Table1[Transaction_Amount])</f>
        <v>4676.4329411764738</v>
      </c>
      <c r="I2444" t="s">
        <v>2121</v>
      </c>
      <c r="J2444" t="s">
        <v>46</v>
      </c>
      <c r="K2444" t="s">
        <v>8</v>
      </c>
      <c r="L2444">
        <v>5</v>
      </c>
      <c r="M2444" t="s">
        <v>56</v>
      </c>
      <c r="N2444" t="s">
        <v>32</v>
      </c>
      <c r="O2444" t="s">
        <v>392</v>
      </c>
      <c r="P2444" s="6" t="str">
        <f>IF(Table1[[#This Row],[Transaction_Amount]]&lt;=Table1[[#This Row],[avg_transaction_amount]], "usual transaction", "unusual transaction")</f>
        <v>usual transaction</v>
      </c>
      <c r="Q2444" s="6" t="str">
        <f>IF(AND(Table1[[#This Row],[Country_of_Residence]]&lt;&gt;Table1[[#This Row],[Country_of_Transaction]], OR(Table1[[#This Row],[Authentication_Type]]="Biometric", Table1[[#This Row],[Authentication_Type]]="OTP")), "safe location transaction", "unsafe location transaction")</f>
        <v>safe location transaction</v>
      </c>
      <c r="R2444" s="6" t="str">
        <f>IF(AND(Table1[[#This Row],[Country_of_Residence]]&lt;&gt;Table1[[#This Row],[Country_of_Transaction]], OR(Table1[[#This Row],[Merchant_Category]]="Electronics", Table1[[#This Row],[Merchant_Category]]="Travel")), "unsafe merchant transaction", "safe merchant transaction")</f>
        <v>safe merchant transaction</v>
      </c>
    </row>
    <row r="2445" spans="1:18">
      <c r="A2445" t="s">
        <v>4676</v>
      </c>
      <c r="B2445" t="s">
        <v>347</v>
      </c>
      <c r="C2445">
        <v>1</v>
      </c>
      <c r="D2445" t="s">
        <v>15</v>
      </c>
      <c r="E2445" t="s">
        <v>6</v>
      </c>
      <c r="F2445" s="2">
        <v>45807</v>
      </c>
      <c r="G2445">
        <v>3743.92</v>
      </c>
      <c r="H2445" s="1">
        <f>AVERAGEIF(Table1[Customer_ID], Table1[[#This Row],[Customer_ID]], Table1[Transaction_Amount])</f>
        <v>4676.4329411764738</v>
      </c>
      <c r="I2445" t="s">
        <v>1848</v>
      </c>
      <c r="J2445" t="s">
        <v>41</v>
      </c>
      <c r="K2445" t="s">
        <v>10</v>
      </c>
      <c r="L2445">
        <v>2</v>
      </c>
      <c r="M2445" t="s">
        <v>51</v>
      </c>
      <c r="N2445" t="s">
        <v>47</v>
      </c>
      <c r="O2445" t="s">
        <v>393</v>
      </c>
      <c r="P2445" s="6" t="str">
        <f>IF(Table1[[#This Row],[Transaction_Amount]]&lt;=Table1[[#This Row],[avg_transaction_amount]], "usual transaction", "unusual transaction")</f>
        <v>usual transaction</v>
      </c>
      <c r="Q2445" s="6" t="str">
        <f>IF(AND(Table1[[#This Row],[Country_of_Residence]]&lt;&gt;Table1[[#This Row],[Country_of_Transaction]], OR(Table1[[#This Row],[Authentication_Type]]="Biometric", Table1[[#This Row],[Authentication_Type]]="OTP")), "safe location transaction", "unsafe location transaction")</f>
        <v>safe location transaction</v>
      </c>
      <c r="R2445" s="6" t="str">
        <f>IF(AND(Table1[[#This Row],[Country_of_Residence]]&lt;&gt;Table1[[#This Row],[Country_of_Transaction]], OR(Table1[[#This Row],[Merchant_Category]]="Electronics", Table1[[#This Row],[Merchant_Category]]="Travel")), "unsafe merchant transaction", "safe merchant transaction")</f>
        <v>safe merchant transaction</v>
      </c>
    </row>
    <row r="2446" spans="1:18">
      <c r="A2446" t="s">
        <v>4688</v>
      </c>
      <c r="B2446" t="s">
        <v>347</v>
      </c>
      <c r="C2446">
        <v>1</v>
      </c>
      <c r="D2446" t="s">
        <v>15</v>
      </c>
      <c r="E2446" t="s">
        <v>420</v>
      </c>
      <c r="F2446" s="2">
        <v>46017</v>
      </c>
      <c r="G2446">
        <v>1071.94</v>
      </c>
      <c r="H2446" s="1">
        <f>AVERAGEIF(Table1[Customer_ID], Table1[[#This Row],[Customer_ID]], Table1[Transaction_Amount])</f>
        <v>4676.4329411764738</v>
      </c>
      <c r="I2446" t="s">
        <v>2138</v>
      </c>
      <c r="J2446" t="s">
        <v>31</v>
      </c>
      <c r="K2446" t="s">
        <v>10</v>
      </c>
      <c r="L2446">
        <v>2</v>
      </c>
      <c r="M2446" t="s">
        <v>33</v>
      </c>
      <c r="N2446" t="s">
        <v>56</v>
      </c>
      <c r="O2446" t="s">
        <v>393</v>
      </c>
      <c r="P2446" s="6" t="str">
        <f>IF(Table1[[#This Row],[Transaction_Amount]]&lt;=Table1[[#This Row],[avg_transaction_amount]], "usual transaction", "unusual transaction")</f>
        <v>usual transaction</v>
      </c>
      <c r="Q2446" s="6" t="str">
        <f>IF(AND(Table1[[#This Row],[Country_of_Residence]]&lt;&gt;Table1[[#This Row],[Country_of_Transaction]], OR(Table1[[#This Row],[Authentication_Type]]="Biometric", Table1[[#This Row],[Authentication_Type]]="OTP")), "safe location transaction", "unsafe location transaction")</f>
        <v>safe location transaction</v>
      </c>
      <c r="R2446" s="6" t="str">
        <f>IF(AND(Table1[[#This Row],[Country_of_Residence]]&lt;&gt;Table1[[#This Row],[Country_of_Transaction]], OR(Table1[[#This Row],[Merchant_Category]]="Electronics", Table1[[#This Row],[Merchant_Category]]="Travel")), "unsafe merchant transaction", "safe merchant transaction")</f>
        <v>safe merchant transaction</v>
      </c>
    </row>
    <row r="2447" spans="1:18">
      <c r="A2447" t="s">
        <v>4708</v>
      </c>
      <c r="B2447" t="s">
        <v>347</v>
      </c>
      <c r="C2447">
        <v>1</v>
      </c>
      <c r="D2447" t="s">
        <v>9</v>
      </c>
      <c r="E2447" t="s">
        <v>3</v>
      </c>
      <c r="F2447" s="2">
        <v>45821</v>
      </c>
      <c r="G2447">
        <v>543.80999999999995</v>
      </c>
      <c r="H2447" s="1">
        <f>AVERAGEIF(Table1[Customer_ID], Table1[[#This Row],[Customer_ID]], Table1[Transaction_Amount])</f>
        <v>4676.4329411764738</v>
      </c>
      <c r="I2447" t="s">
        <v>2154</v>
      </c>
      <c r="J2447" t="s">
        <v>41</v>
      </c>
      <c r="K2447" t="s">
        <v>14</v>
      </c>
      <c r="L2447">
        <v>2</v>
      </c>
      <c r="M2447" t="s">
        <v>55</v>
      </c>
      <c r="N2447" t="s">
        <v>42</v>
      </c>
      <c r="O2447" t="s">
        <v>393</v>
      </c>
      <c r="P2447" s="6" t="str">
        <f>IF(Table1[[#This Row],[Transaction_Amount]]&lt;=Table1[[#This Row],[avg_transaction_amount]], "usual transaction", "unusual transaction")</f>
        <v>usual transaction</v>
      </c>
      <c r="Q2447" s="6" t="str">
        <f>IF(AND(Table1[[#This Row],[Country_of_Residence]]&lt;&gt;Table1[[#This Row],[Country_of_Transaction]], OR(Table1[[#This Row],[Authentication_Type]]="Biometric", Table1[[#This Row],[Authentication_Type]]="OTP")), "safe location transaction", "unsafe location transaction")</f>
        <v>unsafe location transaction</v>
      </c>
      <c r="R2447" s="6" t="str">
        <f>IF(AND(Table1[[#This Row],[Country_of_Residence]]&lt;&gt;Table1[[#This Row],[Country_of_Transaction]], OR(Table1[[#This Row],[Merchant_Category]]="Electronics", Table1[[#This Row],[Merchant_Category]]="Travel")), "unsafe merchant transaction", "safe merchant transaction")</f>
        <v>safe merchant transaction</v>
      </c>
    </row>
    <row r="2448" spans="1:18">
      <c r="A2448" t="s">
        <v>4808</v>
      </c>
      <c r="B2448" t="s">
        <v>347</v>
      </c>
      <c r="C2448">
        <v>1</v>
      </c>
      <c r="D2448" t="s">
        <v>15</v>
      </c>
      <c r="E2448" t="s">
        <v>6</v>
      </c>
      <c r="F2448" s="2">
        <v>45803</v>
      </c>
      <c r="G2448">
        <v>2960.69</v>
      </c>
      <c r="H2448" s="1">
        <f>AVERAGEIF(Table1[Customer_ID], Table1[[#This Row],[Customer_ID]], Table1[Transaction_Amount])</f>
        <v>4676.4329411764738</v>
      </c>
      <c r="I2448" t="s">
        <v>2229</v>
      </c>
      <c r="J2448" t="s">
        <v>50</v>
      </c>
      <c r="K2448" t="s">
        <v>8</v>
      </c>
      <c r="L2448">
        <v>4</v>
      </c>
      <c r="M2448" t="s">
        <v>33</v>
      </c>
      <c r="N2448" t="s">
        <v>51</v>
      </c>
      <c r="O2448" t="s">
        <v>392</v>
      </c>
      <c r="P2448" s="6" t="str">
        <f>IF(Table1[[#This Row],[Transaction_Amount]]&lt;=Table1[[#This Row],[avg_transaction_amount]], "usual transaction", "unusual transaction")</f>
        <v>usual transaction</v>
      </c>
      <c r="Q2448" s="6" t="str">
        <f>IF(AND(Table1[[#This Row],[Country_of_Residence]]&lt;&gt;Table1[[#This Row],[Country_of_Transaction]], OR(Table1[[#This Row],[Authentication_Type]]="Biometric", Table1[[#This Row],[Authentication_Type]]="OTP")), "safe location transaction", "unsafe location transaction")</f>
        <v>safe location transaction</v>
      </c>
      <c r="R2448" s="6" t="str">
        <f>IF(AND(Table1[[#This Row],[Country_of_Residence]]&lt;&gt;Table1[[#This Row],[Country_of_Transaction]], OR(Table1[[#This Row],[Merchant_Category]]="Electronics", Table1[[#This Row],[Merchant_Category]]="Travel")), "unsafe merchant transaction", "safe merchant transaction")</f>
        <v>unsafe merchant transaction</v>
      </c>
    </row>
    <row r="2449" spans="1:18">
      <c r="A2449" t="s">
        <v>4853</v>
      </c>
      <c r="B2449" t="s">
        <v>347</v>
      </c>
      <c r="C2449">
        <v>1</v>
      </c>
      <c r="D2449" t="s">
        <v>15</v>
      </c>
      <c r="E2449" t="s">
        <v>3</v>
      </c>
      <c r="F2449" s="2">
        <v>45767</v>
      </c>
      <c r="G2449">
        <v>7544.7</v>
      </c>
      <c r="H2449" s="1">
        <f>AVERAGEIF(Table1[Customer_ID], Table1[[#This Row],[Customer_ID]], Table1[Transaction_Amount])</f>
        <v>4676.4329411764738</v>
      </c>
      <c r="I2449" t="s">
        <v>1335</v>
      </c>
      <c r="J2449" t="s">
        <v>46</v>
      </c>
      <c r="K2449" t="s">
        <v>14</v>
      </c>
      <c r="L2449">
        <v>0</v>
      </c>
      <c r="M2449" t="s">
        <v>37</v>
      </c>
      <c r="N2449" t="s">
        <v>33</v>
      </c>
      <c r="O2449" t="s">
        <v>393</v>
      </c>
      <c r="P2449" s="6" t="str">
        <f>IF(Table1[[#This Row],[Transaction_Amount]]&lt;=Table1[[#This Row],[avg_transaction_amount]], "usual transaction", "unusual transaction")</f>
        <v>unusual transaction</v>
      </c>
      <c r="Q2449" s="6" t="str">
        <f>IF(AND(Table1[[#This Row],[Country_of_Residence]]&lt;&gt;Table1[[#This Row],[Country_of_Transaction]], OR(Table1[[#This Row],[Authentication_Type]]="Biometric", Table1[[#This Row],[Authentication_Type]]="OTP")), "safe location transaction", "unsafe location transaction")</f>
        <v>unsafe location transaction</v>
      </c>
      <c r="R2449" s="6" t="str">
        <f>IF(AND(Table1[[#This Row],[Country_of_Residence]]&lt;&gt;Table1[[#This Row],[Country_of_Transaction]], OR(Table1[[#This Row],[Merchant_Category]]="Electronics", Table1[[#This Row],[Merchant_Category]]="Travel")), "unsafe merchant transaction", "safe merchant transaction")</f>
        <v>safe merchant transaction</v>
      </c>
    </row>
    <row r="2450" spans="1:18">
      <c r="A2450" t="s">
        <v>4902</v>
      </c>
      <c r="B2450" t="s">
        <v>347</v>
      </c>
      <c r="C2450">
        <v>1</v>
      </c>
      <c r="D2450" t="s">
        <v>9</v>
      </c>
      <c r="E2450" t="s">
        <v>420</v>
      </c>
      <c r="F2450" s="2">
        <v>45789</v>
      </c>
      <c r="G2450">
        <v>1660.26</v>
      </c>
      <c r="H2450" s="1">
        <f>AVERAGEIF(Table1[Customer_ID], Table1[[#This Row],[Customer_ID]], Table1[Transaction_Amount])</f>
        <v>4676.4329411764738</v>
      </c>
      <c r="I2450" t="s">
        <v>2302</v>
      </c>
      <c r="J2450" t="s">
        <v>36</v>
      </c>
      <c r="K2450" t="s">
        <v>14</v>
      </c>
      <c r="L2450">
        <v>0</v>
      </c>
      <c r="M2450" t="s">
        <v>32</v>
      </c>
      <c r="N2450" t="s">
        <v>56</v>
      </c>
      <c r="O2450" t="s">
        <v>392</v>
      </c>
      <c r="P2450" s="6" t="str">
        <f>IF(Table1[[#This Row],[Transaction_Amount]]&lt;=Table1[[#This Row],[avg_transaction_amount]], "usual transaction", "unusual transaction")</f>
        <v>usual transaction</v>
      </c>
      <c r="Q2450" s="6" t="str">
        <f>IF(AND(Table1[[#This Row],[Country_of_Residence]]&lt;&gt;Table1[[#This Row],[Country_of_Transaction]], OR(Table1[[#This Row],[Authentication_Type]]="Biometric", Table1[[#This Row],[Authentication_Type]]="OTP")), "safe location transaction", "unsafe location transaction")</f>
        <v>unsafe location transaction</v>
      </c>
      <c r="R2450" s="6" t="str">
        <f>IF(AND(Table1[[#This Row],[Country_of_Residence]]&lt;&gt;Table1[[#This Row],[Country_of_Transaction]], OR(Table1[[#This Row],[Merchant_Category]]="Electronics", Table1[[#This Row],[Merchant_Category]]="Travel")), "unsafe merchant transaction", "safe merchant transaction")</f>
        <v>safe merchant transaction</v>
      </c>
    </row>
    <row r="2451" spans="1:18">
      <c r="A2451" t="s">
        <v>4967</v>
      </c>
      <c r="B2451" t="s">
        <v>347</v>
      </c>
      <c r="C2451">
        <v>1</v>
      </c>
      <c r="D2451" t="s">
        <v>9</v>
      </c>
      <c r="E2451" t="s">
        <v>3</v>
      </c>
      <c r="F2451" s="2">
        <v>45814</v>
      </c>
      <c r="G2451">
        <v>6538.7</v>
      </c>
      <c r="H2451" s="1">
        <f>AVERAGEIF(Table1[Customer_ID], Table1[[#This Row],[Customer_ID]], Table1[Transaction_Amount])</f>
        <v>4676.4329411764738</v>
      </c>
      <c r="I2451" t="s">
        <v>2353</v>
      </c>
      <c r="J2451" t="s">
        <v>36</v>
      </c>
      <c r="K2451" t="s">
        <v>10</v>
      </c>
      <c r="L2451">
        <v>4</v>
      </c>
      <c r="M2451" t="s">
        <v>412</v>
      </c>
      <c r="N2451" t="s">
        <v>412</v>
      </c>
      <c r="O2451" t="s">
        <v>392</v>
      </c>
      <c r="P2451" s="6" t="str">
        <f>IF(Table1[[#This Row],[Transaction_Amount]]&lt;=Table1[[#This Row],[avg_transaction_amount]], "usual transaction", "unusual transaction")</f>
        <v>unusual transaction</v>
      </c>
      <c r="Q2451" s="6" t="str">
        <f>IF(AND(Table1[[#This Row],[Country_of_Residence]]&lt;&gt;Table1[[#This Row],[Country_of_Transaction]], OR(Table1[[#This Row],[Authentication_Type]]="Biometric", Table1[[#This Row],[Authentication_Type]]="OTP")), "safe location transaction", "unsafe location transaction")</f>
        <v>unsafe location transaction</v>
      </c>
      <c r="R2451" s="6" t="str">
        <f>IF(AND(Table1[[#This Row],[Country_of_Residence]]&lt;&gt;Table1[[#This Row],[Country_of_Transaction]], OR(Table1[[#This Row],[Merchant_Category]]="Electronics", Table1[[#This Row],[Merchant_Category]]="Travel")), "unsafe merchant transaction", "safe merchant transaction")</f>
        <v>safe merchant transaction</v>
      </c>
    </row>
    <row r="2452" spans="1:18">
      <c r="A2452" t="s">
        <v>4980</v>
      </c>
      <c r="B2452" t="s">
        <v>347</v>
      </c>
      <c r="C2452">
        <v>1</v>
      </c>
      <c r="D2452" t="s">
        <v>15</v>
      </c>
      <c r="E2452" t="s">
        <v>420</v>
      </c>
      <c r="F2452" s="2">
        <v>45863</v>
      </c>
      <c r="G2452">
        <v>5657.67</v>
      </c>
      <c r="H2452" s="1">
        <f>AVERAGEIF(Table1[Customer_ID], Table1[[#This Row],[Customer_ID]], Table1[Transaction_Amount])</f>
        <v>4676.4329411764738</v>
      </c>
      <c r="I2452" t="s">
        <v>2364</v>
      </c>
      <c r="J2452" t="s">
        <v>46</v>
      </c>
      <c r="K2452" t="s">
        <v>8</v>
      </c>
      <c r="L2452">
        <v>1</v>
      </c>
      <c r="M2452" t="s">
        <v>37</v>
      </c>
      <c r="N2452" t="s">
        <v>56</v>
      </c>
      <c r="O2452" t="s">
        <v>392</v>
      </c>
      <c r="P2452" s="6" t="str">
        <f>IF(Table1[[#This Row],[Transaction_Amount]]&lt;=Table1[[#This Row],[avg_transaction_amount]], "usual transaction", "unusual transaction")</f>
        <v>unusual transaction</v>
      </c>
      <c r="Q2452" s="6" t="str">
        <f>IF(AND(Table1[[#This Row],[Country_of_Residence]]&lt;&gt;Table1[[#This Row],[Country_of_Transaction]], OR(Table1[[#This Row],[Authentication_Type]]="Biometric", Table1[[#This Row],[Authentication_Type]]="OTP")), "safe location transaction", "unsafe location transaction")</f>
        <v>safe location transaction</v>
      </c>
      <c r="R2452" s="6" t="str">
        <f>IF(AND(Table1[[#This Row],[Country_of_Residence]]&lt;&gt;Table1[[#This Row],[Country_of_Transaction]], OR(Table1[[#This Row],[Merchant_Category]]="Electronics", Table1[[#This Row],[Merchant_Category]]="Travel")), "unsafe merchant transaction", "safe merchant transaction")</f>
        <v>safe merchant transaction</v>
      </c>
    </row>
    <row r="2453" spans="1:18">
      <c r="A2453" t="s">
        <v>4996</v>
      </c>
      <c r="B2453" t="s">
        <v>347</v>
      </c>
      <c r="C2453">
        <v>1</v>
      </c>
      <c r="D2453" t="s">
        <v>15</v>
      </c>
      <c r="E2453" t="s">
        <v>420</v>
      </c>
      <c r="F2453" s="2">
        <v>45795</v>
      </c>
      <c r="G2453">
        <v>9768.33</v>
      </c>
      <c r="H2453" s="1">
        <f>AVERAGEIF(Table1[Customer_ID], Table1[[#This Row],[Customer_ID]], Table1[Transaction_Amount])</f>
        <v>4676.4329411764738</v>
      </c>
      <c r="I2453" t="s">
        <v>2378</v>
      </c>
      <c r="J2453" t="s">
        <v>46</v>
      </c>
      <c r="K2453" t="s">
        <v>8</v>
      </c>
      <c r="L2453">
        <v>2</v>
      </c>
      <c r="M2453" t="s">
        <v>37</v>
      </c>
      <c r="N2453" t="s">
        <v>33</v>
      </c>
      <c r="O2453" t="s">
        <v>393</v>
      </c>
      <c r="P2453" s="6" t="str">
        <f>IF(Table1[[#This Row],[Transaction_Amount]]&lt;=Table1[[#This Row],[avg_transaction_amount]], "usual transaction", "unusual transaction")</f>
        <v>unusual transaction</v>
      </c>
      <c r="Q2453" s="6" t="str">
        <f>IF(AND(Table1[[#This Row],[Country_of_Residence]]&lt;&gt;Table1[[#This Row],[Country_of_Transaction]], OR(Table1[[#This Row],[Authentication_Type]]="Biometric", Table1[[#This Row],[Authentication_Type]]="OTP")), "safe location transaction", "unsafe location transaction")</f>
        <v>safe location transaction</v>
      </c>
      <c r="R2453" s="6" t="str">
        <f>IF(AND(Table1[[#This Row],[Country_of_Residence]]&lt;&gt;Table1[[#This Row],[Country_of_Transaction]], OR(Table1[[#This Row],[Merchant_Category]]="Electronics", Table1[[#This Row],[Merchant_Category]]="Travel")), "unsafe merchant transaction", "safe merchant transaction")</f>
        <v>safe merchant transaction</v>
      </c>
    </row>
    <row r="2454" spans="1:18">
      <c r="A2454" t="s">
        <v>5005</v>
      </c>
      <c r="B2454" t="s">
        <v>347</v>
      </c>
      <c r="C2454">
        <v>1</v>
      </c>
      <c r="D2454" t="s">
        <v>9</v>
      </c>
      <c r="E2454" t="s">
        <v>5</v>
      </c>
      <c r="F2454" s="2">
        <v>45740</v>
      </c>
      <c r="G2454">
        <v>5668.21</v>
      </c>
      <c r="H2454" s="1">
        <f>AVERAGEIF(Table1[Customer_ID], Table1[[#This Row],[Customer_ID]], Table1[Transaction_Amount])</f>
        <v>4676.4329411764738</v>
      </c>
      <c r="I2454" t="s">
        <v>2386</v>
      </c>
      <c r="J2454" t="s">
        <v>36</v>
      </c>
      <c r="K2454" t="s">
        <v>10</v>
      </c>
      <c r="L2454">
        <v>1</v>
      </c>
      <c r="M2454" t="s">
        <v>55</v>
      </c>
      <c r="N2454" t="s">
        <v>51</v>
      </c>
      <c r="O2454" t="s">
        <v>392</v>
      </c>
      <c r="P2454" s="6" t="str">
        <f>IF(Table1[[#This Row],[Transaction_Amount]]&lt;=Table1[[#This Row],[avg_transaction_amount]], "usual transaction", "unusual transaction")</f>
        <v>unusual transaction</v>
      </c>
      <c r="Q2454" s="6" t="str">
        <f>IF(AND(Table1[[#This Row],[Country_of_Residence]]&lt;&gt;Table1[[#This Row],[Country_of_Transaction]], OR(Table1[[#This Row],[Authentication_Type]]="Biometric", Table1[[#This Row],[Authentication_Type]]="OTP")), "safe location transaction", "unsafe location transaction")</f>
        <v>safe location transaction</v>
      </c>
      <c r="R2454" s="6" t="str">
        <f>IF(AND(Table1[[#This Row],[Country_of_Residence]]&lt;&gt;Table1[[#This Row],[Country_of_Transaction]], OR(Table1[[#This Row],[Merchant_Category]]="Electronics", Table1[[#This Row],[Merchant_Category]]="Travel")), "unsafe merchant transaction", "safe merchant transaction")</f>
        <v>safe merchant transaction</v>
      </c>
    </row>
    <row r="2455" spans="1:18">
      <c r="A2455" t="s">
        <v>5016</v>
      </c>
      <c r="B2455" t="s">
        <v>347</v>
      </c>
      <c r="C2455">
        <v>1</v>
      </c>
      <c r="D2455" t="s">
        <v>15</v>
      </c>
      <c r="E2455" t="s">
        <v>420</v>
      </c>
      <c r="F2455" s="2">
        <v>45902</v>
      </c>
      <c r="G2455">
        <v>9716.56</v>
      </c>
      <c r="H2455" s="1">
        <f>AVERAGEIF(Table1[Customer_ID], Table1[[#This Row],[Customer_ID]], Table1[Transaction_Amount])</f>
        <v>4676.4329411764738</v>
      </c>
      <c r="I2455" t="s">
        <v>2393</v>
      </c>
      <c r="J2455" t="s">
        <v>46</v>
      </c>
      <c r="K2455" t="s">
        <v>10</v>
      </c>
      <c r="L2455">
        <v>0</v>
      </c>
      <c r="M2455" t="s">
        <v>37</v>
      </c>
      <c r="N2455" t="s">
        <v>37</v>
      </c>
      <c r="O2455" t="s">
        <v>392</v>
      </c>
      <c r="P2455" s="6" t="str">
        <f>IF(Table1[[#This Row],[Transaction_Amount]]&lt;=Table1[[#This Row],[avg_transaction_amount]], "usual transaction", "unusual transaction")</f>
        <v>unusual transaction</v>
      </c>
      <c r="Q2455" s="6" t="str">
        <f>IF(AND(Table1[[#This Row],[Country_of_Residence]]&lt;&gt;Table1[[#This Row],[Country_of_Transaction]], OR(Table1[[#This Row],[Authentication_Type]]="Biometric", Table1[[#This Row],[Authentication_Type]]="OTP")), "safe location transaction", "unsafe location transaction")</f>
        <v>unsafe location transaction</v>
      </c>
      <c r="R2455" s="6" t="str">
        <f>IF(AND(Table1[[#This Row],[Country_of_Residence]]&lt;&gt;Table1[[#This Row],[Country_of_Transaction]], OR(Table1[[#This Row],[Merchant_Category]]="Electronics", Table1[[#This Row],[Merchant_Category]]="Travel")), "unsafe merchant transaction", "safe merchant transaction")</f>
        <v>safe merchant transaction</v>
      </c>
    </row>
    <row r="2456" spans="1:18">
      <c r="A2456" t="s">
        <v>5021</v>
      </c>
      <c r="B2456" t="s">
        <v>347</v>
      </c>
      <c r="C2456">
        <v>1</v>
      </c>
      <c r="D2456" t="s">
        <v>15</v>
      </c>
      <c r="E2456" t="s">
        <v>420</v>
      </c>
      <c r="F2456" s="2">
        <v>45890</v>
      </c>
      <c r="G2456">
        <v>1837.86</v>
      </c>
      <c r="H2456" s="1">
        <f>AVERAGEIF(Table1[Customer_ID], Table1[[#This Row],[Customer_ID]], Table1[Transaction_Amount])</f>
        <v>4676.4329411764738</v>
      </c>
      <c r="I2456" t="s">
        <v>2397</v>
      </c>
      <c r="J2456" t="s">
        <v>36</v>
      </c>
      <c r="K2456" t="s">
        <v>12</v>
      </c>
      <c r="L2456">
        <v>3</v>
      </c>
      <c r="M2456" t="s">
        <v>37</v>
      </c>
      <c r="N2456" t="s">
        <v>51</v>
      </c>
      <c r="O2456" t="s">
        <v>392</v>
      </c>
      <c r="P2456" s="6" t="str">
        <f>IF(Table1[[#This Row],[Transaction_Amount]]&lt;=Table1[[#This Row],[avg_transaction_amount]], "usual transaction", "unusual transaction")</f>
        <v>usual transaction</v>
      </c>
      <c r="Q2456" s="6" t="str">
        <f>IF(AND(Table1[[#This Row],[Country_of_Residence]]&lt;&gt;Table1[[#This Row],[Country_of_Transaction]], OR(Table1[[#This Row],[Authentication_Type]]="Biometric", Table1[[#This Row],[Authentication_Type]]="OTP")), "safe location transaction", "unsafe location transaction")</f>
        <v>unsafe location transaction</v>
      </c>
      <c r="R2456" s="6" t="str">
        <f>IF(AND(Table1[[#This Row],[Country_of_Residence]]&lt;&gt;Table1[[#This Row],[Country_of_Transaction]], OR(Table1[[#This Row],[Merchant_Category]]="Electronics", Table1[[#This Row],[Merchant_Category]]="Travel")), "unsafe merchant transaction", "safe merchant transaction")</f>
        <v>safe merchant transaction</v>
      </c>
    </row>
    <row r="2457" spans="1:18">
      <c r="A2457" t="s">
        <v>5060</v>
      </c>
      <c r="B2457" t="s">
        <v>347</v>
      </c>
      <c r="C2457">
        <v>1</v>
      </c>
      <c r="D2457" t="s">
        <v>9</v>
      </c>
      <c r="E2457" t="s">
        <v>6</v>
      </c>
      <c r="F2457" s="2">
        <v>45856</v>
      </c>
      <c r="G2457">
        <v>304.13</v>
      </c>
      <c r="H2457" s="1">
        <f>AVERAGEIF(Table1[Customer_ID], Table1[[#This Row],[Customer_ID]], Table1[Transaction_Amount])</f>
        <v>4676.4329411764738</v>
      </c>
      <c r="I2457" t="s">
        <v>2422</v>
      </c>
      <c r="J2457" t="s">
        <v>46</v>
      </c>
      <c r="K2457" t="s">
        <v>12</v>
      </c>
      <c r="L2457">
        <v>1</v>
      </c>
      <c r="M2457" t="s">
        <v>33</v>
      </c>
      <c r="N2457" t="s">
        <v>51</v>
      </c>
      <c r="O2457" t="s">
        <v>393</v>
      </c>
      <c r="P2457" s="6" t="str">
        <f>IF(Table1[[#This Row],[Transaction_Amount]]&lt;=Table1[[#This Row],[avg_transaction_amount]], "usual transaction", "unusual transaction")</f>
        <v>usual transaction</v>
      </c>
      <c r="Q2457" s="6" t="str">
        <f>IF(AND(Table1[[#This Row],[Country_of_Residence]]&lt;&gt;Table1[[#This Row],[Country_of_Transaction]], OR(Table1[[#This Row],[Authentication_Type]]="Biometric", Table1[[#This Row],[Authentication_Type]]="OTP")), "safe location transaction", "unsafe location transaction")</f>
        <v>unsafe location transaction</v>
      </c>
      <c r="R2457" s="6" t="str">
        <f>IF(AND(Table1[[#This Row],[Country_of_Residence]]&lt;&gt;Table1[[#This Row],[Country_of_Transaction]], OR(Table1[[#This Row],[Merchant_Category]]="Electronics", Table1[[#This Row],[Merchant_Category]]="Travel")), "unsafe merchant transaction", "safe merchant transaction")</f>
        <v>safe merchant transaction</v>
      </c>
    </row>
    <row r="2458" spans="1:18">
      <c r="A2458" t="s">
        <v>5097</v>
      </c>
      <c r="B2458" t="s">
        <v>347</v>
      </c>
      <c r="C2458">
        <v>1</v>
      </c>
      <c r="D2458" t="s">
        <v>9</v>
      </c>
      <c r="E2458" t="s">
        <v>3</v>
      </c>
      <c r="F2458" s="2">
        <v>45678</v>
      </c>
      <c r="G2458">
        <v>4566.8999999999996</v>
      </c>
      <c r="H2458" s="1">
        <f>AVERAGEIF(Table1[Customer_ID], Table1[[#This Row],[Customer_ID]], Table1[Transaction_Amount])</f>
        <v>4676.4329411764738</v>
      </c>
      <c r="I2458" t="s">
        <v>2447</v>
      </c>
      <c r="J2458" t="s">
        <v>36</v>
      </c>
      <c r="K2458" t="s">
        <v>14</v>
      </c>
      <c r="L2458">
        <v>1</v>
      </c>
      <c r="M2458" t="s">
        <v>51</v>
      </c>
      <c r="N2458" t="s">
        <v>47</v>
      </c>
      <c r="O2458" t="s">
        <v>392</v>
      </c>
      <c r="P2458" s="6" t="str">
        <f>IF(Table1[[#This Row],[Transaction_Amount]]&lt;=Table1[[#This Row],[avg_transaction_amount]], "usual transaction", "unusual transaction")</f>
        <v>usual transaction</v>
      </c>
      <c r="Q2458" s="6" t="str">
        <f>IF(AND(Table1[[#This Row],[Country_of_Residence]]&lt;&gt;Table1[[#This Row],[Country_of_Transaction]], OR(Table1[[#This Row],[Authentication_Type]]="Biometric", Table1[[#This Row],[Authentication_Type]]="OTP")), "safe location transaction", "unsafe location transaction")</f>
        <v>unsafe location transaction</v>
      </c>
      <c r="R2458" s="6" t="str">
        <f>IF(AND(Table1[[#This Row],[Country_of_Residence]]&lt;&gt;Table1[[#This Row],[Country_of_Transaction]], OR(Table1[[#This Row],[Merchant_Category]]="Electronics", Table1[[#This Row],[Merchant_Category]]="Travel")), "unsafe merchant transaction", "safe merchant transaction")</f>
        <v>safe merchant transaction</v>
      </c>
    </row>
    <row r="2459" spans="1:18">
      <c r="A2459" t="s">
        <v>5110</v>
      </c>
      <c r="B2459" t="s">
        <v>347</v>
      </c>
      <c r="C2459">
        <v>1</v>
      </c>
      <c r="D2459" t="s">
        <v>9</v>
      </c>
      <c r="E2459" t="s">
        <v>3</v>
      </c>
      <c r="F2459" s="2">
        <v>45819</v>
      </c>
      <c r="G2459">
        <v>5256.95</v>
      </c>
      <c r="H2459" s="1">
        <f>AVERAGEIF(Table1[Customer_ID], Table1[[#This Row],[Customer_ID]], Table1[Transaction_Amount])</f>
        <v>4676.4329411764738</v>
      </c>
      <c r="I2459" t="s">
        <v>2458</v>
      </c>
      <c r="J2459" t="s">
        <v>36</v>
      </c>
      <c r="K2459" t="s">
        <v>14</v>
      </c>
      <c r="L2459">
        <v>1</v>
      </c>
      <c r="M2459" t="s">
        <v>33</v>
      </c>
      <c r="N2459" t="s">
        <v>33</v>
      </c>
      <c r="O2459" t="s">
        <v>392</v>
      </c>
      <c r="P2459" s="6" t="str">
        <f>IF(Table1[[#This Row],[Transaction_Amount]]&lt;=Table1[[#This Row],[avg_transaction_amount]], "usual transaction", "unusual transaction")</f>
        <v>unusual transaction</v>
      </c>
      <c r="Q2459" s="6" t="str">
        <f>IF(AND(Table1[[#This Row],[Country_of_Residence]]&lt;&gt;Table1[[#This Row],[Country_of_Transaction]], OR(Table1[[#This Row],[Authentication_Type]]="Biometric", Table1[[#This Row],[Authentication_Type]]="OTP")), "safe location transaction", "unsafe location transaction")</f>
        <v>unsafe location transaction</v>
      </c>
      <c r="R2459" s="6" t="str">
        <f>IF(AND(Table1[[#This Row],[Country_of_Residence]]&lt;&gt;Table1[[#This Row],[Country_of_Transaction]], OR(Table1[[#This Row],[Merchant_Category]]="Electronics", Table1[[#This Row],[Merchant_Category]]="Travel")), "unsafe merchant transaction", "safe merchant transaction")</f>
        <v>safe merchant transaction</v>
      </c>
    </row>
    <row r="2460" spans="1:18">
      <c r="A2460" t="s">
        <v>5115</v>
      </c>
      <c r="B2460" t="s">
        <v>347</v>
      </c>
      <c r="C2460">
        <v>1</v>
      </c>
      <c r="D2460" t="s">
        <v>9</v>
      </c>
      <c r="E2460" t="s">
        <v>5</v>
      </c>
      <c r="F2460" s="2">
        <v>45983</v>
      </c>
      <c r="G2460">
        <v>5392.59</v>
      </c>
      <c r="H2460" s="1">
        <f>AVERAGEIF(Table1[Customer_ID], Table1[[#This Row],[Customer_ID]], Table1[Transaction_Amount])</f>
        <v>4676.4329411764738</v>
      </c>
      <c r="I2460" t="s">
        <v>2462</v>
      </c>
      <c r="J2460" t="s">
        <v>36</v>
      </c>
      <c r="K2460" t="s">
        <v>12</v>
      </c>
      <c r="L2460">
        <v>2</v>
      </c>
      <c r="M2460" t="s">
        <v>56</v>
      </c>
      <c r="N2460" t="s">
        <v>42</v>
      </c>
      <c r="O2460" t="s">
        <v>392</v>
      </c>
      <c r="P2460" s="6" t="str">
        <f>IF(Table1[[#This Row],[Transaction_Amount]]&lt;=Table1[[#This Row],[avg_transaction_amount]], "usual transaction", "unusual transaction")</f>
        <v>unusual transaction</v>
      </c>
      <c r="Q2460" s="6" t="str">
        <f>IF(AND(Table1[[#This Row],[Country_of_Residence]]&lt;&gt;Table1[[#This Row],[Country_of_Transaction]], OR(Table1[[#This Row],[Authentication_Type]]="Biometric", Table1[[#This Row],[Authentication_Type]]="OTP")), "safe location transaction", "unsafe location transaction")</f>
        <v>unsafe location transaction</v>
      </c>
      <c r="R2460" s="6" t="str">
        <f>IF(AND(Table1[[#This Row],[Country_of_Residence]]&lt;&gt;Table1[[#This Row],[Country_of_Transaction]], OR(Table1[[#This Row],[Merchant_Category]]="Electronics", Table1[[#This Row],[Merchant_Category]]="Travel")), "unsafe merchant transaction", "safe merchant transaction")</f>
        <v>safe merchant transaction</v>
      </c>
    </row>
    <row r="2461" spans="1:18">
      <c r="A2461" t="s">
        <v>5126</v>
      </c>
      <c r="B2461" t="s">
        <v>347</v>
      </c>
      <c r="C2461">
        <v>1</v>
      </c>
      <c r="D2461" t="s">
        <v>9</v>
      </c>
      <c r="E2461" t="s">
        <v>5</v>
      </c>
      <c r="F2461" s="2">
        <v>45911</v>
      </c>
      <c r="G2461">
        <v>6228.9</v>
      </c>
      <c r="H2461" s="1">
        <f>AVERAGEIF(Table1[Customer_ID], Table1[[#This Row],[Customer_ID]], Table1[Transaction_Amount])</f>
        <v>4676.4329411764738</v>
      </c>
      <c r="I2461" t="s">
        <v>2470</v>
      </c>
      <c r="J2461" t="s">
        <v>41</v>
      </c>
      <c r="K2461" t="s">
        <v>14</v>
      </c>
      <c r="L2461">
        <v>2</v>
      </c>
      <c r="M2461" t="s">
        <v>412</v>
      </c>
      <c r="N2461" t="s">
        <v>51</v>
      </c>
      <c r="O2461" t="s">
        <v>393</v>
      </c>
      <c r="P2461" s="6" t="str">
        <f>IF(Table1[[#This Row],[Transaction_Amount]]&lt;=Table1[[#This Row],[avg_transaction_amount]], "usual transaction", "unusual transaction")</f>
        <v>unusual transaction</v>
      </c>
      <c r="Q2461" s="6" t="str">
        <f>IF(AND(Table1[[#This Row],[Country_of_Residence]]&lt;&gt;Table1[[#This Row],[Country_of_Transaction]], OR(Table1[[#This Row],[Authentication_Type]]="Biometric", Table1[[#This Row],[Authentication_Type]]="OTP")), "safe location transaction", "unsafe location transaction")</f>
        <v>unsafe location transaction</v>
      </c>
      <c r="R2461" s="6" t="str">
        <f>IF(AND(Table1[[#This Row],[Country_of_Residence]]&lt;&gt;Table1[[#This Row],[Country_of_Transaction]], OR(Table1[[#This Row],[Merchant_Category]]="Electronics", Table1[[#This Row],[Merchant_Category]]="Travel")), "unsafe merchant transaction", "safe merchant transaction")</f>
        <v>safe merchant transaction</v>
      </c>
    </row>
    <row r="2462" spans="1:18">
      <c r="A2462" t="s">
        <v>5297</v>
      </c>
      <c r="B2462" t="s">
        <v>347</v>
      </c>
      <c r="C2462">
        <v>1</v>
      </c>
      <c r="D2462" t="s">
        <v>15</v>
      </c>
      <c r="E2462" t="s">
        <v>420</v>
      </c>
      <c r="F2462" s="2">
        <v>45922</v>
      </c>
      <c r="G2462">
        <v>9476.34</v>
      </c>
      <c r="H2462" s="1">
        <f>AVERAGEIF(Table1[Customer_ID], Table1[[#This Row],[Customer_ID]], Table1[Transaction_Amount])</f>
        <v>4676.4329411764738</v>
      </c>
      <c r="I2462" t="s">
        <v>2602</v>
      </c>
      <c r="J2462" t="s">
        <v>50</v>
      </c>
      <c r="K2462" t="s">
        <v>10</v>
      </c>
      <c r="L2462">
        <v>5</v>
      </c>
      <c r="M2462" t="s">
        <v>412</v>
      </c>
      <c r="N2462" t="s">
        <v>55</v>
      </c>
      <c r="O2462" t="s">
        <v>392</v>
      </c>
      <c r="P2462" s="6" t="str">
        <f>IF(Table1[[#This Row],[Transaction_Amount]]&lt;=Table1[[#This Row],[avg_transaction_amount]], "usual transaction", "unusual transaction")</f>
        <v>unusual transaction</v>
      </c>
      <c r="Q2462" s="6" t="str">
        <f>IF(AND(Table1[[#This Row],[Country_of_Residence]]&lt;&gt;Table1[[#This Row],[Country_of_Transaction]], OR(Table1[[#This Row],[Authentication_Type]]="Biometric", Table1[[#This Row],[Authentication_Type]]="OTP")), "safe location transaction", "unsafe location transaction")</f>
        <v>safe location transaction</v>
      </c>
      <c r="R2462" s="6" t="str">
        <f>IF(AND(Table1[[#This Row],[Country_of_Residence]]&lt;&gt;Table1[[#This Row],[Country_of_Transaction]], OR(Table1[[#This Row],[Merchant_Category]]="Electronics", Table1[[#This Row],[Merchant_Category]]="Travel")), "unsafe merchant transaction", "safe merchant transaction")</f>
        <v>unsafe merchant transaction</v>
      </c>
    </row>
    <row r="2463" spans="1:18">
      <c r="A2463" t="s">
        <v>5324</v>
      </c>
      <c r="B2463" t="s">
        <v>347</v>
      </c>
      <c r="C2463">
        <v>1</v>
      </c>
      <c r="D2463" t="s">
        <v>15</v>
      </c>
      <c r="E2463" t="s">
        <v>6</v>
      </c>
      <c r="F2463" s="2">
        <v>45782</v>
      </c>
      <c r="G2463">
        <v>9864.2099999999991</v>
      </c>
      <c r="H2463" s="1">
        <f>AVERAGEIF(Table1[Customer_ID], Table1[[#This Row],[Customer_ID]], Table1[Transaction_Amount])</f>
        <v>4676.4329411764738</v>
      </c>
      <c r="I2463" t="s">
        <v>2622</v>
      </c>
      <c r="J2463" t="s">
        <v>50</v>
      </c>
      <c r="K2463" t="s">
        <v>8</v>
      </c>
      <c r="L2463">
        <v>4</v>
      </c>
      <c r="M2463" t="s">
        <v>47</v>
      </c>
      <c r="N2463" t="s">
        <v>42</v>
      </c>
      <c r="O2463" t="s">
        <v>392</v>
      </c>
      <c r="P2463" s="6" t="str">
        <f>IF(Table1[[#This Row],[Transaction_Amount]]&lt;=Table1[[#This Row],[avg_transaction_amount]], "usual transaction", "unusual transaction")</f>
        <v>unusual transaction</v>
      </c>
      <c r="Q2463" s="6" t="str">
        <f>IF(AND(Table1[[#This Row],[Country_of_Residence]]&lt;&gt;Table1[[#This Row],[Country_of_Transaction]], OR(Table1[[#This Row],[Authentication_Type]]="Biometric", Table1[[#This Row],[Authentication_Type]]="OTP")), "safe location transaction", "unsafe location transaction")</f>
        <v>safe location transaction</v>
      </c>
      <c r="R2463" s="6" t="str">
        <f>IF(AND(Table1[[#This Row],[Country_of_Residence]]&lt;&gt;Table1[[#This Row],[Country_of_Transaction]], OR(Table1[[#This Row],[Merchant_Category]]="Electronics", Table1[[#This Row],[Merchant_Category]]="Travel")), "unsafe merchant transaction", "safe merchant transaction")</f>
        <v>unsafe merchant transaction</v>
      </c>
    </row>
    <row r="2464" spans="1:18">
      <c r="A2464" t="s">
        <v>5381</v>
      </c>
      <c r="B2464" t="s">
        <v>347</v>
      </c>
      <c r="C2464">
        <v>1</v>
      </c>
      <c r="D2464" t="s">
        <v>9</v>
      </c>
      <c r="E2464" t="s">
        <v>5</v>
      </c>
      <c r="F2464" s="2">
        <v>45720</v>
      </c>
      <c r="G2464">
        <v>8308.51</v>
      </c>
      <c r="H2464" s="1">
        <f>AVERAGEIF(Table1[Customer_ID], Table1[[#This Row],[Customer_ID]], Table1[Transaction_Amount])</f>
        <v>4676.4329411764738</v>
      </c>
      <c r="I2464" t="s">
        <v>2665</v>
      </c>
      <c r="J2464" t="s">
        <v>46</v>
      </c>
      <c r="K2464" t="s">
        <v>8</v>
      </c>
      <c r="L2464">
        <v>3</v>
      </c>
      <c r="M2464" t="s">
        <v>51</v>
      </c>
      <c r="N2464" t="s">
        <v>412</v>
      </c>
      <c r="O2464" t="s">
        <v>392</v>
      </c>
      <c r="P2464" s="6" t="str">
        <f>IF(Table1[[#This Row],[Transaction_Amount]]&lt;=Table1[[#This Row],[avg_transaction_amount]], "usual transaction", "unusual transaction")</f>
        <v>unusual transaction</v>
      </c>
      <c r="Q2464" s="6" t="str">
        <f>IF(AND(Table1[[#This Row],[Country_of_Residence]]&lt;&gt;Table1[[#This Row],[Country_of_Transaction]], OR(Table1[[#This Row],[Authentication_Type]]="Biometric", Table1[[#This Row],[Authentication_Type]]="OTP")), "safe location transaction", "unsafe location transaction")</f>
        <v>safe location transaction</v>
      </c>
      <c r="R2464" s="6" t="str">
        <f>IF(AND(Table1[[#This Row],[Country_of_Residence]]&lt;&gt;Table1[[#This Row],[Country_of_Transaction]], OR(Table1[[#This Row],[Merchant_Category]]="Electronics", Table1[[#This Row],[Merchant_Category]]="Travel")), "unsafe merchant transaction", "safe merchant transaction")</f>
        <v>safe merchant transaction</v>
      </c>
    </row>
    <row r="2465" spans="1:18">
      <c r="A2465" t="s">
        <v>5428</v>
      </c>
      <c r="B2465" t="s">
        <v>347</v>
      </c>
      <c r="C2465">
        <v>1</v>
      </c>
      <c r="D2465" t="s">
        <v>15</v>
      </c>
      <c r="E2465" t="s">
        <v>6</v>
      </c>
      <c r="F2465" s="2">
        <v>45985</v>
      </c>
      <c r="G2465">
        <v>8926.81</v>
      </c>
      <c r="H2465" s="1">
        <f>AVERAGEIF(Table1[Customer_ID], Table1[[#This Row],[Customer_ID]], Table1[Transaction_Amount])</f>
        <v>4676.4329411764738</v>
      </c>
      <c r="I2465" t="s">
        <v>2699</v>
      </c>
      <c r="J2465" t="s">
        <v>46</v>
      </c>
      <c r="K2465" t="s">
        <v>10</v>
      </c>
      <c r="L2465">
        <v>3</v>
      </c>
      <c r="M2465" t="s">
        <v>47</v>
      </c>
      <c r="N2465" t="s">
        <v>33</v>
      </c>
      <c r="O2465" t="s">
        <v>392</v>
      </c>
      <c r="P2465" s="6" t="str">
        <f>IF(Table1[[#This Row],[Transaction_Amount]]&lt;=Table1[[#This Row],[avg_transaction_amount]], "usual transaction", "unusual transaction")</f>
        <v>unusual transaction</v>
      </c>
      <c r="Q2465" s="6" t="str">
        <f>IF(AND(Table1[[#This Row],[Country_of_Residence]]&lt;&gt;Table1[[#This Row],[Country_of_Transaction]], OR(Table1[[#This Row],[Authentication_Type]]="Biometric", Table1[[#This Row],[Authentication_Type]]="OTP")), "safe location transaction", "unsafe location transaction")</f>
        <v>safe location transaction</v>
      </c>
      <c r="R2465" s="6" t="str">
        <f>IF(AND(Table1[[#This Row],[Country_of_Residence]]&lt;&gt;Table1[[#This Row],[Country_of_Transaction]], OR(Table1[[#This Row],[Merchant_Category]]="Electronics", Table1[[#This Row],[Merchant_Category]]="Travel")), "unsafe merchant transaction", "safe merchant transaction")</f>
        <v>safe merchant transaction</v>
      </c>
    </row>
    <row r="2466" spans="1:18">
      <c r="A2466" t="s">
        <v>5492</v>
      </c>
      <c r="B2466" t="s">
        <v>347</v>
      </c>
      <c r="C2466">
        <v>1</v>
      </c>
      <c r="D2466" t="s">
        <v>9</v>
      </c>
      <c r="E2466" t="s">
        <v>420</v>
      </c>
      <c r="F2466" s="2">
        <v>45974</v>
      </c>
      <c r="G2466">
        <v>2453.2800000000002</v>
      </c>
      <c r="H2466" s="1">
        <f>AVERAGEIF(Table1[Customer_ID], Table1[[#This Row],[Customer_ID]], Table1[Transaction_Amount])</f>
        <v>4676.4329411764738</v>
      </c>
      <c r="I2466" t="s">
        <v>2749</v>
      </c>
      <c r="J2466" t="s">
        <v>46</v>
      </c>
      <c r="K2466" t="s">
        <v>14</v>
      </c>
      <c r="L2466">
        <v>5</v>
      </c>
      <c r="M2466" t="s">
        <v>33</v>
      </c>
      <c r="N2466" t="s">
        <v>56</v>
      </c>
      <c r="O2466" t="s">
        <v>393</v>
      </c>
      <c r="P2466" s="6" t="str">
        <f>IF(Table1[[#This Row],[Transaction_Amount]]&lt;=Table1[[#This Row],[avg_transaction_amount]], "usual transaction", "unusual transaction")</f>
        <v>usual transaction</v>
      </c>
      <c r="Q2466" s="6" t="str">
        <f>IF(AND(Table1[[#This Row],[Country_of_Residence]]&lt;&gt;Table1[[#This Row],[Country_of_Transaction]], OR(Table1[[#This Row],[Authentication_Type]]="Biometric", Table1[[#This Row],[Authentication_Type]]="OTP")), "safe location transaction", "unsafe location transaction")</f>
        <v>unsafe location transaction</v>
      </c>
      <c r="R2466" s="6" t="str">
        <f>IF(AND(Table1[[#This Row],[Country_of_Residence]]&lt;&gt;Table1[[#This Row],[Country_of_Transaction]], OR(Table1[[#This Row],[Merchant_Category]]="Electronics", Table1[[#This Row],[Merchant_Category]]="Travel")), "unsafe merchant transaction", "safe merchant transaction")</f>
        <v>safe merchant transaction</v>
      </c>
    </row>
    <row r="2467" spans="1:18">
      <c r="A2467" t="s">
        <v>5513</v>
      </c>
      <c r="B2467" t="s">
        <v>347</v>
      </c>
      <c r="C2467">
        <v>1</v>
      </c>
      <c r="D2467" t="s">
        <v>15</v>
      </c>
      <c r="E2467" t="s">
        <v>5</v>
      </c>
      <c r="F2467" s="2">
        <v>45921</v>
      </c>
      <c r="G2467">
        <v>4258.8100000000004</v>
      </c>
      <c r="H2467" s="1">
        <f>AVERAGEIF(Table1[Customer_ID], Table1[[#This Row],[Customer_ID]], Table1[Transaction_Amount])</f>
        <v>4676.4329411764738</v>
      </c>
      <c r="I2467" t="s">
        <v>1255</v>
      </c>
      <c r="J2467" t="s">
        <v>36</v>
      </c>
      <c r="K2467" t="s">
        <v>8</v>
      </c>
      <c r="L2467">
        <v>2</v>
      </c>
      <c r="M2467" t="s">
        <v>37</v>
      </c>
      <c r="N2467" t="s">
        <v>56</v>
      </c>
      <c r="O2467" t="s">
        <v>393</v>
      </c>
      <c r="P2467" s="6" t="str">
        <f>IF(Table1[[#This Row],[Transaction_Amount]]&lt;=Table1[[#This Row],[avg_transaction_amount]], "usual transaction", "unusual transaction")</f>
        <v>usual transaction</v>
      </c>
      <c r="Q2467" s="6" t="str">
        <f>IF(AND(Table1[[#This Row],[Country_of_Residence]]&lt;&gt;Table1[[#This Row],[Country_of_Transaction]], OR(Table1[[#This Row],[Authentication_Type]]="Biometric", Table1[[#This Row],[Authentication_Type]]="OTP")), "safe location transaction", "unsafe location transaction")</f>
        <v>safe location transaction</v>
      </c>
      <c r="R2467" s="6" t="str">
        <f>IF(AND(Table1[[#This Row],[Country_of_Residence]]&lt;&gt;Table1[[#This Row],[Country_of_Transaction]], OR(Table1[[#This Row],[Merchant_Category]]="Electronics", Table1[[#This Row],[Merchant_Category]]="Travel")), "unsafe merchant transaction", "safe merchant transaction")</f>
        <v>safe merchant transaction</v>
      </c>
    </row>
    <row r="2468" spans="1:18">
      <c r="A2468" t="s">
        <v>354</v>
      </c>
      <c r="B2468" t="s">
        <v>351</v>
      </c>
      <c r="C2468">
        <v>1</v>
      </c>
      <c r="D2468" t="s">
        <v>11</v>
      </c>
      <c r="E2468" t="s">
        <v>3</v>
      </c>
      <c r="F2468" s="2">
        <v>45849.211111111101</v>
      </c>
      <c r="G2468">
        <v>9882.01</v>
      </c>
      <c r="H2468" s="1">
        <f>AVERAGEIF(Table1[Customer_ID], Table1[[#This Row],[Customer_ID]], Table1[Transaction_Amount])</f>
        <v>5144.2722807017544</v>
      </c>
      <c r="I2468" t="s">
        <v>355</v>
      </c>
      <c r="J2468" t="s">
        <v>41</v>
      </c>
      <c r="K2468" t="s">
        <v>12</v>
      </c>
      <c r="L2468">
        <v>4</v>
      </c>
      <c r="M2468" t="s">
        <v>190</v>
      </c>
      <c r="N2468" t="s">
        <v>56</v>
      </c>
      <c r="O2468" t="s">
        <v>392</v>
      </c>
      <c r="P2468" t="str">
        <f>IF(Table1[[#This Row],[Transaction_Amount]]&lt;=Table1[[#This Row],[avg_transaction_amount]], "usual transaction", "unusual transaction")</f>
        <v>unusual transaction</v>
      </c>
      <c r="Q2468" t="str">
        <f>IF(AND(Table1[[#This Row],[Country_of_Residence]]&lt;&gt;Table1[[#This Row],[Country_of_Transaction]], OR(Table1[[#This Row],[Authentication_Type]]="Biometric", Table1[[#This Row],[Authentication_Type]]="OTP")), "safe location transaction", "unsafe location transaction")</f>
        <v>unsafe location transaction</v>
      </c>
      <c r="R2468" t="str">
        <f>IF(AND(Table1[[#This Row],[Country_of_Residence]]&lt;&gt;Table1[[#This Row],[Country_of_Transaction]], OR(Table1[[#This Row],[Merchant_Category]]="Electronics", Table1[[#This Row],[Merchant_Category]]="Travel")), "unsafe merchant transaction", "safe merchant transaction")</f>
        <v>safe merchant transaction</v>
      </c>
    </row>
    <row r="2469" spans="1:18">
      <c r="A2469" t="s">
        <v>350</v>
      </c>
      <c r="B2469" t="s">
        <v>351</v>
      </c>
      <c r="C2469">
        <v>1</v>
      </c>
      <c r="D2469" t="s">
        <v>11</v>
      </c>
      <c r="E2469" t="s">
        <v>5</v>
      </c>
      <c r="F2469" s="2">
        <v>45710.1118055556</v>
      </c>
      <c r="G2469">
        <v>390.63</v>
      </c>
      <c r="H2469" s="1">
        <f>AVERAGEIF(Table1[Customer_ID], Table1[[#This Row],[Customer_ID]], Table1[Transaction_Amount])</f>
        <v>5144.2722807017544</v>
      </c>
      <c r="I2469" t="s">
        <v>352</v>
      </c>
      <c r="J2469" t="s">
        <v>50</v>
      </c>
      <c r="K2469" t="s">
        <v>8</v>
      </c>
      <c r="L2469">
        <v>0</v>
      </c>
      <c r="M2469" t="s">
        <v>190</v>
      </c>
      <c r="N2469" t="s">
        <v>353</v>
      </c>
      <c r="O2469" t="s">
        <v>393</v>
      </c>
      <c r="P2469" t="str">
        <f>IF(Table1[[#This Row],[Transaction_Amount]]&lt;=Table1[[#This Row],[avg_transaction_amount]], "usual transaction", "unusual transaction")</f>
        <v>usual transaction</v>
      </c>
      <c r="Q2469" t="str">
        <f>IF(AND(Table1[[#This Row],[Country_of_Residence]]&lt;&gt;Table1[[#This Row],[Country_of_Transaction]], OR(Table1[[#This Row],[Authentication_Type]]="Biometric", Table1[[#This Row],[Authentication_Type]]="OTP")), "safe location transaction", "unsafe location transaction")</f>
        <v>safe location transaction</v>
      </c>
      <c r="R2469" t="str">
        <f>IF(AND(Table1[[#This Row],[Country_of_Residence]]&lt;&gt;Table1[[#This Row],[Country_of_Transaction]], OR(Table1[[#This Row],[Merchant_Category]]="Electronics", Table1[[#This Row],[Merchant_Category]]="Travel")), "unsafe merchant transaction", "safe merchant transaction")</f>
        <v>unsafe merchant transaction</v>
      </c>
    </row>
    <row r="2470" spans="1:18">
      <c r="A2470" t="s">
        <v>2906</v>
      </c>
      <c r="B2470" t="s">
        <v>351</v>
      </c>
      <c r="C2470">
        <v>1</v>
      </c>
      <c r="D2470" t="s">
        <v>9</v>
      </c>
      <c r="E2470" t="s">
        <v>3</v>
      </c>
      <c r="F2470" s="2">
        <v>45963</v>
      </c>
      <c r="G2470">
        <v>1140.57</v>
      </c>
      <c r="H2470" s="1">
        <f>AVERAGEIF(Table1[Customer_ID], Table1[[#This Row],[Customer_ID]], Table1[Transaction_Amount])</f>
        <v>5144.2722807017544</v>
      </c>
      <c r="I2470" t="s">
        <v>556</v>
      </c>
      <c r="J2470" t="s">
        <v>41</v>
      </c>
      <c r="K2470" t="s">
        <v>12</v>
      </c>
      <c r="L2470">
        <v>5</v>
      </c>
      <c r="M2470" t="s">
        <v>412</v>
      </c>
      <c r="N2470" t="s">
        <v>47</v>
      </c>
      <c r="O2470" t="s">
        <v>392</v>
      </c>
      <c r="P2470" s="6" t="str">
        <f>IF(Table1[[#This Row],[Transaction_Amount]]&lt;=Table1[[#This Row],[avg_transaction_amount]], "usual transaction", "unusual transaction")</f>
        <v>usual transaction</v>
      </c>
      <c r="Q2470" s="6" t="str">
        <f>IF(AND(Table1[[#This Row],[Country_of_Residence]]&lt;&gt;Table1[[#This Row],[Country_of_Transaction]], OR(Table1[[#This Row],[Authentication_Type]]="Biometric", Table1[[#This Row],[Authentication_Type]]="OTP")), "safe location transaction", "unsafe location transaction")</f>
        <v>unsafe location transaction</v>
      </c>
      <c r="R2470" s="6" t="str">
        <f>IF(AND(Table1[[#This Row],[Country_of_Residence]]&lt;&gt;Table1[[#This Row],[Country_of_Transaction]], OR(Table1[[#This Row],[Merchant_Category]]="Electronics", Table1[[#This Row],[Merchant_Category]]="Travel")), "unsafe merchant transaction", "safe merchant transaction")</f>
        <v>safe merchant transaction</v>
      </c>
    </row>
    <row r="2471" spans="1:18">
      <c r="A2471" t="s">
        <v>2949</v>
      </c>
      <c r="B2471" t="s">
        <v>351</v>
      </c>
      <c r="C2471">
        <v>1</v>
      </c>
      <c r="D2471" t="s">
        <v>9</v>
      </c>
      <c r="E2471" t="s">
        <v>5</v>
      </c>
      <c r="F2471" s="2">
        <v>45910</v>
      </c>
      <c r="G2471">
        <v>3838.28</v>
      </c>
      <c r="H2471" s="1">
        <f>AVERAGEIF(Table1[Customer_ID], Table1[[#This Row],[Customer_ID]], Table1[Transaction_Amount])</f>
        <v>5144.2722807017544</v>
      </c>
      <c r="I2471" t="s">
        <v>597</v>
      </c>
      <c r="J2471" t="s">
        <v>46</v>
      </c>
      <c r="K2471" t="s">
        <v>8</v>
      </c>
      <c r="L2471">
        <v>2</v>
      </c>
      <c r="M2471" t="s">
        <v>56</v>
      </c>
      <c r="N2471" t="s">
        <v>37</v>
      </c>
      <c r="O2471" t="s">
        <v>393</v>
      </c>
      <c r="P2471" s="6" t="str">
        <f>IF(Table1[[#This Row],[Transaction_Amount]]&lt;=Table1[[#This Row],[avg_transaction_amount]], "usual transaction", "unusual transaction")</f>
        <v>usual transaction</v>
      </c>
      <c r="Q2471" s="6" t="str">
        <f>IF(AND(Table1[[#This Row],[Country_of_Residence]]&lt;&gt;Table1[[#This Row],[Country_of_Transaction]], OR(Table1[[#This Row],[Authentication_Type]]="Biometric", Table1[[#This Row],[Authentication_Type]]="OTP")), "safe location transaction", "unsafe location transaction")</f>
        <v>safe location transaction</v>
      </c>
      <c r="R2471" s="6" t="str">
        <f>IF(AND(Table1[[#This Row],[Country_of_Residence]]&lt;&gt;Table1[[#This Row],[Country_of_Transaction]], OR(Table1[[#This Row],[Merchant_Category]]="Electronics", Table1[[#This Row],[Merchant_Category]]="Travel")), "unsafe merchant transaction", "safe merchant transaction")</f>
        <v>safe merchant transaction</v>
      </c>
    </row>
    <row r="2472" spans="1:18">
      <c r="A2472" t="s">
        <v>2953</v>
      </c>
      <c r="B2472" t="s">
        <v>351</v>
      </c>
      <c r="C2472">
        <v>1</v>
      </c>
      <c r="D2472" t="s">
        <v>9</v>
      </c>
      <c r="E2472" t="s">
        <v>6</v>
      </c>
      <c r="F2472" s="2">
        <v>45882</v>
      </c>
      <c r="G2472">
        <v>7687.8</v>
      </c>
      <c r="H2472" s="1">
        <f>AVERAGEIF(Table1[Customer_ID], Table1[[#This Row],[Customer_ID]], Table1[Transaction_Amount])</f>
        <v>5144.2722807017544</v>
      </c>
      <c r="I2472" t="s">
        <v>601</v>
      </c>
      <c r="J2472" t="s">
        <v>36</v>
      </c>
      <c r="K2472" t="s">
        <v>8</v>
      </c>
      <c r="L2472">
        <v>1</v>
      </c>
      <c r="M2472" t="s">
        <v>37</v>
      </c>
      <c r="N2472" t="s">
        <v>55</v>
      </c>
      <c r="O2472" t="s">
        <v>393</v>
      </c>
      <c r="P2472" s="6" t="str">
        <f>IF(Table1[[#This Row],[Transaction_Amount]]&lt;=Table1[[#This Row],[avg_transaction_amount]], "usual transaction", "unusual transaction")</f>
        <v>unusual transaction</v>
      </c>
      <c r="Q2472" s="6" t="str">
        <f>IF(AND(Table1[[#This Row],[Country_of_Residence]]&lt;&gt;Table1[[#This Row],[Country_of_Transaction]], OR(Table1[[#This Row],[Authentication_Type]]="Biometric", Table1[[#This Row],[Authentication_Type]]="OTP")), "safe location transaction", "unsafe location transaction")</f>
        <v>safe location transaction</v>
      </c>
      <c r="R2472" s="6" t="str">
        <f>IF(AND(Table1[[#This Row],[Country_of_Residence]]&lt;&gt;Table1[[#This Row],[Country_of_Transaction]], OR(Table1[[#This Row],[Merchant_Category]]="Electronics", Table1[[#This Row],[Merchant_Category]]="Travel")), "unsafe merchant transaction", "safe merchant transaction")</f>
        <v>safe merchant transaction</v>
      </c>
    </row>
    <row r="2473" spans="1:18">
      <c r="A2473" t="s">
        <v>2962</v>
      </c>
      <c r="B2473" t="s">
        <v>351</v>
      </c>
      <c r="C2473">
        <v>1</v>
      </c>
      <c r="D2473" t="s">
        <v>15</v>
      </c>
      <c r="E2473" t="s">
        <v>6</v>
      </c>
      <c r="F2473" s="2">
        <v>45818</v>
      </c>
      <c r="G2473">
        <v>7074.58</v>
      </c>
      <c r="H2473" s="1">
        <f>AVERAGEIF(Table1[Customer_ID], Table1[[#This Row],[Customer_ID]], Table1[Transaction_Amount])</f>
        <v>5144.2722807017544</v>
      </c>
      <c r="I2473" t="s">
        <v>610</v>
      </c>
      <c r="J2473" t="s">
        <v>50</v>
      </c>
      <c r="K2473" t="s">
        <v>10</v>
      </c>
      <c r="L2473">
        <v>1</v>
      </c>
      <c r="M2473" t="s">
        <v>51</v>
      </c>
      <c r="N2473" t="s">
        <v>42</v>
      </c>
      <c r="O2473" t="s">
        <v>393</v>
      </c>
      <c r="P2473" s="6" t="str">
        <f>IF(Table1[[#This Row],[Transaction_Amount]]&lt;=Table1[[#This Row],[avg_transaction_amount]], "usual transaction", "unusual transaction")</f>
        <v>unusual transaction</v>
      </c>
      <c r="Q2473" s="6" t="str">
        <f>IF(AND(Table1[[#This Row],[Country_of_Residence]]&lt;&gt;Table1[[#This Row],[Country_of_Transaction]], OR(Table1[[#This Row],[Authentication_Type]]="Biometric", Table1[[#This Row],[Authentication_Type]]="OTP")), "safe location transaction", "unsafe location transaction")</f>
        <v>safe location transaction</v>
      </c>
      <c r="R2473" s="6" t="str">
        <f>IF(AND(Table1[[#This Row],[Country_of_Residence]]&lt;&gt;Table1[[#This Row],[Country_of_Transaction]], OR(Table1[[#This Row],[Merchant_Category]]="Electronics", Table1[[#This Row],[Merchant_Category]]="Travel")), "unsafe merchant transaction", "safe merchant transaction")</f>
        <v>unsafe merchant transaction</v>
      </c>
    </row>
    <row r="2474" spans="1:18">
      <c r="A2474" t="s">
        <v>3102</v>
      </c>
      <c r="B2474" t="s">
        <v>351</v>
      </c>
      <c r="C2474">
        <v>1</v>
      </c>
      <c r="D2474" t="s">
        <v>9</v>
      </c>
      <c r="E2474" t="s">
        <v>5</v>
      </c>
      <c r="F2474" s="2">
        <v>45922</v>
      </c>
      <c r="G2474">
        <v>7026.7</v>
      </c>
      <c r="H2474" s="1">
        <f>AVERAGEIF(Table1[Customer_ID], Table1[[#This Row],[Customer_ID]], Table1[Transaction_Amount])</f>
        <v>5144.2722807017544</v>
      </c>
      <c r="I2474" t="s">
        <v>746</v>
      </c>
      <c r="J2474" t="s">
        <v>50</v>
      </c>
      <c r="K2474" t="s">
        <v>12</v>
      </c>
      <c r="L2474">
        <v>2</v>
      </c>
      <c r="M2474" t="s">
        <v>32</v>
      </c>
      <c r="N2474" t="s">
        <v>56</v>
      </c>
      <c r="O2474" t="s">
        <v>393</v>
      </c>
      <c r="P2474" s="6" t="str">
        <f>IF(Table1[[#This Row],[Transaction_Amount]]&lt;=Table1[[#This Row],[avg_transaction_amount]], "usual transaction", "unusual transaction")</f>
        <v>unusual transaction</v>
      </c>
      <c r="Q2474" s="6" t="str">
        <f>IF(AND(Table1[[#This Row],[Country_of_Residence]]&lt;&gt;Table1[[#This Row],[Country_of_Transaction]], OR(Table1[[#This Row],[Authentication_Type]]="Biometric", Table1[[#This Row],[Authentication_Type]]="OTP")), "safe location transaction", "unsafe location transaction")</f>
        <v>unsafe location transaction</v>
      </c>
      <c r="R2474" s="6" t="str">
        <f>IF(AND(Table1[[#This Row],[Country_of_Residence]]&lt;&gt;Table1[[#This Row],[Country_of_Transaction]], OR(Table1[[#This Row],[Merchant_Category]]="Electronics", Table1[[#This Row],[Merchant_Category]]="Travel")), "unsafe merchant transaction", "safe merchant transaction")</f>
        <v>unsafe merchant transaction</v>
      </c>
    </row>
    <row r="2475" spans="1:18">
      <c r="A2475" t="s">
        <v>3191</v>
      </c>
      <c r="B2475" t="s">
        <v>351</v>
      </c>
      <c r="C2475">
        <v>1</v>
      </c>
      <c r="D2475" t="s">
        <v>9</v>
      </c>
      <c r="E2475" t="s">
        <v>420</v>
      </c>
      <c r="F2475" s="2">
        <v>45834</v>
      </c>
      <c r="G2475">
        <v>8780.3799999999992</v>
      </c>
      <c r="H2475" s="1">
        <f>AVERAGEIF(Table1[Customer_ID], Table1[[#This Row],[Customer_ID]], Table1[Transaction_Amount])</f>
        <v>5144.2722807017544</v>
      </c>
      <c r="I2475" t="s">
        <v>826</v>
      </c>
      <c r="J2475" t="s">
        <v>41</v>
      </c>
      <c r="K2475" t="s">
        <v>8</v>
      </c>
      <c r="L2475">
        <v>1</v>
      </c>
      <c r="M2475" t="s">
        <v>37</v>
      </c>
      <c r="N2475" t="s">
        <v>412</v>
      </c>
      <c r="O2475" t="s">
        <v>393</v>
      </c>
      <c r="P2475" s="6" t="str">
        <f>IF(Table1[[#This Row],[Transaction_Amount]]&lt;=Table1[[#This Row],[avg_transaction_amount]], "usual transaction", "unusual transaction")</f>
        <v>unusual transaction</v>
      </c>
      <c r="Q2475" s="6" t="str">
        <f>IF(AND(Table1[[#This Row],[Country_of_Residence]]&lt;&gt;Table1[[#This Row],[Country_of_Transaction]], OR(Table1[[#This Row],[Authentication_Type]]="Biometric", Table1[[#This Row],[Authentication_Type]]="OTP")), "safe location transaction", "unsafe location transaction")</f>
        <v>safe location transaction</v>
      </c>
      <c r="R2475" s="6" t="str">
        <f>IF(AND(Table1[[#This Row],[Country_of_Residence]]&lt;&gt;Table1[[#This Row],[Country_of_Transaction]], OR(Table1[[#This Row],[Merchant_Category]]="Electronics", Table1[[#This Row],[Merchant_Category]]="Travel")), "unsafe merchant transaction", "safe merchant transaction")</f>
        <v>safe merchant transaction</v>
      </c>
    </row>
    <row r="2476" spans="1:18">
      <c r="A2476" t="s">
        <v>3246</v>
      </c>
      <c r="B2476" t="s">
        <v>351</v>
      </c>
      <c r="C2476">
        <v>1</v>
      </c>
      <c r="D2476" t="s">
        <v>9</v>
      </c>
      <c r="E2476" t="s">
        <v>6</v>
      </c>
      <c r="F2476" s="2">
        <v>45886</v>
      </c>
      <c r="G2476">
        <v>5532.05</v>
      </c>
      <c r="H2476" s="1">
        <f>AVERAGEIF(Table1[Customer_ID], Table1[[#This Row],[Customer_ID]], Table1[Transaction_Amount])</f>
        <v>5144.2722807017544</v>
      </c>
      <c r="I2476" t="s">
        <v>877</v>
      </c>
      <c r="J2476" t="s">
        <v>50</v>
      </c>
      <c r="K2476" t="s">
        <v>10</v>
      </c>
      <c r="L2476">
        <v>4</v>
      </c>
      <c r="M2476" t="s">
        <v>55</v>
      </c>
      <c r="N2476" t="s">
        <v>33</v>
      </c>
      <c r="O2476" t="s">
        <v>392</v>
      </c>
      <c r="P2476" s="6" t="str">
        <f>IF(Table1[[#This Row],[Transaction_Amount]]&lt;=Table1[[#This Row],[avg_transaction_amount]], "usual transaction", "unusual transaction")</f>
        <v>unusual transaction</v>
      </c>
      <c r="Q2476" s="6" t="str">
        <f>IF(AND(Table1[[#This Row],[Country_of_Residence]]&lt;&gt;Table1[[#This Row],[Country_of_Transaction]], OR(Table1[[#This Row],[Authentication_Type]]="Biometric", Table1[[#This Row],[Authentication_Type]]="OTP")), "safe location transaction", "unsafe location transaction")</f>
        <v>safe location transaction</v>
      </c>
      <c r="R2476" s="6" t="str">
        <f>IF(AND(Table1[[#This Row],[Country_of_Residence]]&lt;&gt;Table1[[#This Row],[Country_of_Transaction]], OR(Table1[[#This Row],[Merchant_Category]]="Electronics", Table1[[#This Row],[Merchant_Category]]="Travel")), "unsafe merchant transaction", "safe merchant transaction")</f>
        <v>unsafe merchant transaction</v>
      </c>
    </row>
    <row r="2477" spans="1:18">
      <c r="A2477" t="s">
        <v>3298</v>
      </c>
      <c r="B2477" t="s">
        <v>351</v>
      </c>
      <c r="C2477">
        <v>1</v>
      </c>
      <c r="D2477" t="s">
        <v>9</v>
      </c>
      <c r="E2477" t="s">
        <v>5</v>
      </c>
      <c r="F2477" s="2">
        <v>45695</v>
      </c>
      <c r="G2477">
        <v>2161.5700000000002</v>
      </c>
      <c r="H2477" s="1">
        <f>AVERAGEIF(Table1[Customer_ID], Table1[[#This Row],[Customer_ID]], Table1[Transaction_Amount])</f>
        <v>5144.2722807017544</v>
      </c>
      <c r="I2477" t="s">
        <v>926</v>
      </c>
      <c r="J2477" t="s">
        <v>31</v>
      </c>
      <c r="K2477" t="s">
        <v>14</v>
      </c>
      <c r="L2477">
        <v>1</v>
      </c>
      <c r="M2477" t="s">
        <v>47</v>
      </c>
      <c r="N2477" t="s">
        <v>51</v>
      </c>
      <c r="O2477" t="s">
        <v>392</v>
      </c>
      <c r="P2477" s="6" t="str">
        <f>IF(Table1[[#This Row],[Transaction_Amount]]&lt;=Table1[[#This Row],[avg_transaction_amount]], "usual transaction", "unusual transaction")</f>
        <v>usual transaction</v>
      </c>
      <c r="Q2477" s="6" t="str">
        <f>IF(AND(Table1[[#This Row],[Country_of_Residence]]&lt;&gt;Table1[[#This Row],[Country_of_Transaction]], OR(Table1[[#This Row],[Authentication_Type]]="Biometric", Table1[[#This Row],[Authentication_Type]]="OTP")), "safe location transaction", "unsafe location transaction")</f>
        <v>unsafe location transaction</v>
      </c>
      <c r="R2477" s="6" t="str">
        <f>IF(AND(Table1[[#This Row],[Country_of_Residence]]&lt;&gt;Table1[[#This Row],[Country_of_Transaction]], OR(Table1[[#This Row],[Merchant_Category]]="Electronics", Table1[[#This Row],[Merchant_Category]]="Travel")), "unsafe merchant transaction", "safe merchant transaction")</f>
        <v>safe merchant transaction</v>
      </c>
    </row>
    <row r="2478" spans="1:18">
      <c r="A2478" t="s">
        <v>3311</v>
      </c>
      <c r="B2478" t="s">
        <v>351</v>
      </c>
      <c r="C2478">
        <v>1</v>
      </c>
      <c r="D2478" t="s">
        <v>15</v>
      </c>
      <c r="E2478" t="s">
        <v>420</v>
      </c>
      <c r="F2478" s="2">
        <v>45927</v>
      </c>
      <c r="G2478">
        <v>2281.09</v>
      </c>
      <c r="H2478" s="1">
        <f>AVERAGEIF(Table1[Customer_ID], Table1[[#This Row],[Customer_ID]], Table1[Transaction_Amount])</f>
        <v>5144.2722807017544</v>
      </c>
      <c r="I2478" t="s">
        <v>938</v>
      </c>
      <c r="J2478" t="s">
        <v>31</v>
      </c>
      <c r="K2478" t="s">
        <v>14</v>
      </c>
      <c r="L2478">
        <v>3</v>
      </c>
      <c r="M2478" t="s">
        <v>56</v>
      </c>
      <c r="N2478" t="s">
        <v>32</v>
      </c>
      <c r="O2478" t="s">
        <v>393</v>
      </c>
      <c r="P2478" s="6" t="str">
        <f>IF(Table1[[#This Row],[Transaction_Amount]]&lt;=Table1[[#This Row],[avg_transaction_amount]], "usual transaction", "unusual transaction")</f>
        <v>usual transaction</v>
      </c>
      <c r="Q2478" s="6" t="str">
        <f>IF(AND(Table1[[#This Row],[Country_of_Residence]]&lt;&gt;Table1[[#This Row],[Country_of_Transaction]], OR(Table1[[#This Row],[Authentication_Type]]="Biometric", Table1[[#This Row],[Authentication_Type]]="OTP")), "safe location transaction", "unsafe location transaction")</f>
        <v>unsafe location transaction</v>
      </c>
      <c r="R2478" s="6" t="str">
        <f>IF(AND(Table1[[#This Row],[Country_of_Residence]]&lt;&gt;Table1[[#This Row],[Country_of_Transaction]], OR(Table1[[#This Row],[Merchant_Category]]="Electronics", Table1[[#This Row],[Merchant_Category]]="Travel")), "unsafe merchant transaction", "safe merchant transaction")</f>
        <v>safe merchant transaction</v>
      </c>
    </row>
    <row r="2479" spans="1:18">
      <c r="A2479" t="s">
        <v>3338</v>
      </c>
      <c r="B2479" t="s">
        <v>351</v>
      </c>
      <c r="C2479">
        <v>1</v>
      </c>
      <c r="D2479" t="s">
        <v>9</v>
      </c>
      <c r="E2479" t="s">
        <v>5</v>
      </c>
      <c r="F2479" s="2">
        <v>45957</v>
      </c>
      <c r="G2479">
        <v>5286.24</v>
      </c>
      <c r="H2479" s="1">
        <f>AVERAGEIF(Table1[Customer_ID], Table1[[#This Row],[Customer_ID]], Table1[Transaction_Amount])</f>
        <v>5144.2722807017544</v>
      </c>
      <c r="I2479" t="s">
        <v>962</v>
      </c>
      <c r="J2479" t="s">
        <v>36</v>
      </c>
      <c r="K2479" t="s">
        <v>8</v>
      </c>
      <c r="L2479">
        <v>5</v>
      </c>
      <c r="M2479" t="s">
        <v>56</v>
      </c>
      <c r="N2479" t="s">
        <v>42</v>
      </c>
      <c r="O2479" t="s">
        <v>392</v>
      </c>
      <c r="P2479" s="6" t="str">
        <f>IF(Table1[[#This Row],[Transaction_Amount]]&lt;=Table1[[#This Row],[avg_transaction_amount]], "usual transaction", "unusual transaction")</f>
        <v>unusual transaction</v>
      </c>
      <c r="Q2479" s="6" t="str">
        <f>IF(AND(Table1[[#This Row],[Country_of_Residence]]&lt;&gt;Table1[[#This Row],[Country_of_Transaction]], OR(Table1[[#This Row],[Authentication_Type]]="Biometric", Table1[[#This Row],[Authentication_Type]]="OTP")), "safe location transaction", "unsafe location transaction")</f>
        <v>safe location transaction</v>
      </c>
      <c r="R2479" s="6" t="str">
        <f>IF(AND(Table1[[#This Row],[Country_of_Residence]]&lt;&gt;Table1[[#This Row],[Country_of_Transaction]], OR(Table1[[#This Row],[Merchant_Category]]="Electronics", Table1[[#This Row],[Merchant_Category]]="Travel")), "unsafe merchant transaction", "safe merchant transaction")</f>
        <v>safe merchant transaction</v>
      </c>
    </row>
    <row r="2480" spans="1:18">
      <c r="A2480" t="s">
        <v>3353</v>
      </c>
      <c r="B2480" t="s">
        <v>351</v>
      </c>
      <c r="C2480">
        <v>1</v>
      </c>
      <c r="D2480" t="s">
        <v>15</v>
      </c>
      <c r="E2480" t="s">
        <v>5</v>
      </c>
      <c r="F2480" s="2">
        <v>45681</v>
      </c>
      <c r="G2480">
        <v>3832.53</v>
      </c>
      <c r="H2480" s="1">
        <f>AVERAGEIF(Table1[Customer_ID], Table1[[#This Row],[Customer_ID]], Table1[Transaction_Amount])</f>
        <v>5144.2722807017544</v>
      </c>
      <c r="I2480" t="s">
        <v>977</v>
      </c>
      <c r="J2480" t="s">
        <v>41</v>
      </c>
      <c r="K2480" t="s">
        <v>10</v>
      </c>
      <c r="L2480">
        <v>2</v>
      </c>
      <c r="M2480" t="s">
        <v>32</v>
      </c>
      <c r="N2480" t="s">
        <v>56</v>
      </c>
      <c r="O2480" t="s">
        <v>392</v>
      </c>
      <c r="P2480" s="6" t="str">
        <f>IF(Table1[[#This Row],[Transaction_Amount]]&lt;=Table1[[#This Row],[avg_transaction_amount]], "usual transaction", "unusual transaction")</f>
        <v>usual transaction</v>
      </c>
      <c r="Q2480" s="6" t="str">
        <f>IF(AND(Table1[[#This Row],[Country_of_Residence]]&lt;&gt;Table1[[#This Row],[Country_of_Transaction]], OR(Table1[[#This Row],[Authentication_Type]]="Biometric", Table1[[#This Row],[Authentication_Type]]="OTP")), "safe location transaction", "unsafe location transaction")</f>
        <v>safe location transaction</v>
      </c>
      <c r="R2480" s="6" t="str">
        <f>IF(AND(Table1[[#This Row],[Country_of_Residence]]&lt;&gt;Table1[[#This Row],[Country_of_Transaction]], OR(Table1[[#This Row],[Merchant_Category]]="Electronics", Table1[[#This Row],[Merchant_Category]]="Travel")), "unsafe merchant transaction", "safe merchant transaction")</f>
        <v>safe merchant transaction</v>
      </c>
    </row>
    <row r="2481" spans="1:18">
      <c r="A2481" t="s">
        <v>3358</v>
      </c>
      <c r="B2481" t="s">
        <v>351</v>
      </c>
      <c r="C2481">
        <v>1</v>
      </c>
      <c r="D2481" t="s">
        <v>15</v>
      </c>
      <c r="E2481" t="s">
        <v>5</v>
      </c>
      <c r="F2481" s="2">
        <v>45771</v>
      </c>
      <c r="G2481">
        <v>9217.92</v>
      </c>
      <c r="H2481" s="1">
        <f>AVERAGEIF(Table1[Customer_ID], Table1[[#This Row],[Customer_ID]], Table1[Transaction_Amount])</f>
        <v>5144.2722807017544</v>
      </c>
      <c r="I2481" t="s">
        <v>982</v>
      </c>
      <c r="J2481" t="s">
        <v>50</v>
      </c>
      <c r="K2481" t="s">
        <v>10</v>
      </c>
      <c r="L2481">
        <v>2</v>
      </c>
      <c r="M2481" t="s">
        <v>47</v>
      </c>
      <c r="N2481" t="s">
        <v>55</v>
      </c>
      <c r="O2481" t="s">
        <v>392</v>
      </c>
      <c r="P2481" s="6" t="str">
        <f>IF(Table1[[#This Row],[Transaction_Amount]]&lt;=Table1[[#This Row],[avg_transaction_amount]], "usual transaction", "unusual transaction")</f>
        <v>unusual transaction</v>
      </c>
      <c r="Q2481" s="6" t="str">
        <f>IF(AND(Table1[[#This Row],[Country_of_Residence]]&lt;&gt;Table1[[#This Row],[Country_of_Transaction]], OR(Table1[[#This Row],[Authentication_Type]]="Biometric", Table1[[#This Row],[Authentication_Type]]="OTP")), "safe location transaction", "unsafe location transaction")</f>
        <v>safe location transaction</v>
      </c>
      <c r="R2481" s="6" t="str">
        <f>IF(AND(Table1[[#This Row],[Country_of_Residence]]&lt;&gt;Table1[[#This Row],[Country_of_Transaction]], OR(Table1[[#This Row],[Merchant_Category]]="Electronics", Table1[[#This Row],[Merchant_Category]]="Travel")), "unsafe merchant transaction", "safe merchant transaction")</f>
        <v>unsafe merchant transaction</v>
      </c>
    </row>
    <row r="2482" spans="1:18">
      <c r="A2482" t="s">
        <v>3375</v>
      </c>
      <c r="B2482" t="s">
        <v>351</v>
      </c>
      <c r="C2482">
        <v>1</v>
      </c>
      <c r="D2482" t="s">
        <v>15</v>
      </c>
      <c r="E2482" t="s">
        <v>5</v>
      </c>
      <c r="F2482" s="2">
        <v>45765</v>
      </c>
      <c r="G2482">
        <v>1415.57</v>
      </c>
      <c r="H2482" s="1">
        <f>AVERAGEIF(Table1[Customer_ID], Table1[[#This Row],[Customer_ID]], Table1[Transaction_Amount])</f>
        <v>5144.2722807017544</v>
      </c>
      <c r="I2482" t="s">
        <v>850</v>
      </c>
      <c r="J2482" t="s">
        <v>46</v>
      </c>
      <c r="K2482" t="s">
        <v>14</v>
      </c>
      <c r="L2482">
        <v>2</v>
      </c>
      <c r="M2482" t="s">
        <v>42</v>
      </c>
      <c r="N2482" t="s">
        <v>33</v>
      </c>
      <c r="O2482" t="s">
        <v>393</v>
      </c>
      <c r="P2482" s="6" t="str">
        <f>IF(Table1[[#This Row],[Transaction_Amount]]&lt;=Table1[[#This Row],[avg_transaction_amount]], "usual transaction", "unusual transaction")</f>
        <v>usual transaction</v>
      </c>
      <c r="Q2482" s="6" t="str">
        <f>IF(AND(Table1[[#This Row],[Country_of_Residence]]&lt;&gt;Table1[[#This Row],[Country_of_Transaction]], OR(Table1[[#This Row],[Authentication_Type]]="Biometric", Table1[[#This Row],[Authentication_Type]]="OTP")), "safe location transaction", "unsafe location transaction")</f>
        <v>unsafe location transaction</v>
      </c>
      <c r="R2482" s="6" t="str">
        <f>IF(AND(Table1[[#This Row],[Country_of_Residence]]&lt;&gt;Table1[[#This Row],[Country_of_Transaction]], OR(Table1[[#This Row],[Merchant_Category]]="Electronics", Table1[[#This Row],[Merchant_Category]]="Travel")), "unsafe merchant transaction", "safe merchant transaction")</f>
        <v>safe merchant transaction</v>
      </c>
    </row>
    <row r="2483" spans="1:18">
      <c r="A2483" t="s">
        <v>3387</v>
      </c>
      <c r="B2483" t="s">
        <v>351</v>
      </c>
      <c r="C2483">
        <v>1</v>
      </c>
      <c r="D2483" t="s">
        <v>9</v>
      </c>
      <c r="E2483" t="s">
        <v>5</v>
      </c>
      <c r="F2483" s="2">
        <v>45958</v>
      </c>
      <c r="G2483">
        <v>7538.63</v>
      </c>
      <c r="H2483" s="1">
        <f>AVERAGEIF(Table1[Customer_ID], Table1[[#This Row],[Customer_ID]], Table1[Transaction_Amount])</f>
        <v>5144.2722807017544</v>
      </c>
      <c r="I2483" t="s">
        <v>1008</v>
      </c>
      <c r="J2483" t="s">
        <v>46</v>
      </c>
      <c r="K2483" t="s">
        <v>12</v>
      </c>
      <c r="L2483">
        <v>2</v>
      </c>
      <c r="M2483" t="s">
        <v>56</v>
      </c>
      <c r="N2483" t="s">
        <v>56</v>
      </c>
      <c r="O2483" t="s">
        <v>392</v>
      </c>
      <c r="P2483" s="6" t="str">
        <f>IF(Table1[[#This Row],[Transaction_Amount]]&lt;=Table1[[#This Row],[avg_transaction_amount]], "usual transaction", "unusual transaction")</f>
        <v>unusual transaction</v>
      </c>
      <c r="Q2483" s="6" t="str">
        <f>IF(AND(Table1[[#This Row],[Country_of_Residence]]&lt;&gt;Table1[[#This Row],[Country_of_Transaction]], OR(Table1[[#This Row],[Authentication_Type]]="Biometric", Table1[[#This Row],[Authentication_Type]]="OTP")), "safe location transaction", "unsafe location transaction")</f>
        <v>unsafe location transaction</v>
      </c>
      <c r="R2483" s="6" t="str">
        <f>IF(AND(Table1[[#This Row],[Country_of_Residence]]&lt;&gt;Table1[[#This Row],[Country_of_Transaction]], OR(Table1[[#This Row],[Merchant_Category]]="Electronics", Table1[[#This Row],[Merchant_Category]]="Travel")), "unsafe merchant transaction", "safe merchant transaction")</f>
        <v>safe merchant transaction</v>
      </c>
    </row>
    <row r="2484" spans="1:18">
      <c r="A2484" t="s">
        <v>3409</v>
      </c>
      <c r="B2484" t="s">
        <v>351</v>
      </c>
      <c r="C2484">
        <v>1</v>
      </c>
      <c r="D2484" t="s">
        <v>9</v>
      </c>
      <c r="E2484" t="s">
        <v>5</v>
      </c>
      <c r="F2484" s="2">
        <v>45751</v>
      </c>
      <c r="G2484">
        <v>6977.97</v>
      </c>
      <c r="H2484" s="1">
        <f>AVERAGEIF(Table1[Customer_ID], Table1[[#This Row],[Customer_ID]], Table1[Transaction_Amount])</f>
        <v>5144.2722807017544</v>
      </c>
      <c r="I2484" t="s">
        <v>1029</v>
      </c>
      <c r="J2484" t="s">
        <v>31</v>
      </c>
      <c r="K2484" t="s">
        <v>8</v>
      </c>
      <c r="L2484">
        <v>0</v>
      </c>
      <c r="M2484" t="s">
        <v>55</v>
      </c>
      <c r="N2484" t="s">
        <v>412</v>
      </c>
      <c r="O2484" t="s">
        <v>392</v>
      </c>
      <c r="P2484" s="6" t="str">
        <f>IF(Table1[[#This Row],[Transaction_Amount]]&lt;=Table1[[#This Row],[avg_transaction_amount]], "usual transaction", "unusual transaction")</f>
        <v>unusual transaction</v>
      </c>
      <c r="Q2484" s="6" t="str">
        <f>IF(AND(Table1[[#This Row],[Country_of_Residence]]&lt;&gt;Table1[[#This Row],[Country_of_Transaction]], OR(Table1[[#This Row],[Authentication_Type]]="Biometric", Table1[[#This Row],[Authentication_Type]]="OTP")), "safe location transaction", "unsafe location transaction")</f>
        <v>safe location transaction</v>
      </c>
      <c r="R2484" s="6" t="str">
        <f>IF(AND(Table1[[#This Row],[Country_of_Residence]]&lt;&gt;Table1[[#This Row],[Country_of_Transaction]], OR(Table1[[#This Row],[Merchant_Category]]="Electronics", Table1[[#This Row],[Merchant_Category]]="Travel")), "unsafe merchant transaction", "safe merchant transaction")</f>
        <v>safe merchant transaction</v>
      </c>
    </row>
    <row r="2485" spans="1:18">
      <c r="A2485" t="s">
        <v>3438</v>
      </c>
      <c r="B2485" t="s">
        <v>351</v>
      </c>
      <c r="C2485">
        <v>1</v>
      </c>
      <c r="D2485" t="s">
        <v>9</v>
      </c>
      <c r="E2485" t="s">
        <v>420</v>
      </c>
      <c r="F2485" s="2">
        <v>46005</v>
      </c>
      <c r="G2485">
        <v>7865.72</v>
      </c>
      <c r="H2485" s="1">
        <f>AVERAGEIF(Table1[Customer_ID], Table1[[#This Row],[Customer_ID]], Table1[Transaction_Amount])</f>
        <v>5144.2722807017544</v>
      </c>
      <c r="I2485" t="s">
        <v>1057</v>
      </c>
      <c r="J2485" t="s">
        <v>31</v>
      </c>
      <c r="K2485" t="s">
        <v>14</v>
      </c>
      <c r="L2485">
        <v>3</v>
      </c>
      <c r="M2485" t="s">
        <v>42</v>
      </c>
      <c r="N2485" t="s">
        <v>412</v>
      </c>
      <c r="O2485" t="s">
        <v>392</v>
      </c>
      <c r="P2485" s="6" t="str">
        <f>IF(Table1[[#This Row],[Transaction_Amount]]&lt;=Table1[[#This Row],[avg_transaction_amount]], "usual transaction", "unusual transaction")</f>
        <v>unusual transaction</v>
      </c>
      <c r="Q2485" s="6" t="str">
        <f>IF(AND(Table1[[#This Row],[Country_of_Residence]]&lt;&gt;Table1[[#This Row],[Country_of_Transaction]], OR(Table1[[#This Row],[Authentication_Type]]="Biometric", Table1[[#This Row],[Authentication_Type]]="OTP")), "safe location transaction", "unsafe location transaction")</f>
        <v>unsafe location transaction</v>
      </c>
      <c r="R2485" s="6" t="str">
        <f>IF(AND(Table1[[#This Row],[Country_of_Residence]]&lt;&gt;Table1[[#This Row],[Country_of_Transaction]], OR(Table1[[#This Row],[Merchant_Category]]="Electronics", Table1[[#This Row],[Merchant_Category]]="Travel")), "unsafe merchant transaction", "safe merchant transaction")</f>
        <v>safe merchant transaction</v>
      </c>
    </row>
    <row r="2486" spans="1:18">
      <c r="A2486" t="s">
        <v>3448</v>
      </c>
      <c r="B2486" t="s">
        <v>351</v>
      </c>
      <c r="C2486">
        <v>1</v>
      </c>
      <c r="D2486" t="s">
        <v>15</v>
      </c>
      <c r="E2486" t="s">
        <v>3</v>
      </c>
      <c r="F2486" s="2">
        <v>45980</v>
      </c>
      <c r="G2486">
        <v>4282.17</v>
      </c>
      <c r="H2486" s="1">
        <f>AVERAGEIF(Table1[Customer_ID], Table1[[#This Row],[Customer_ID]], Table1[Transaction_Amount])</f>
        <v>5144.2722807017544</v>
      </c>
      <c r="I2486" t="s">
        <v>1067</v>
      </c>
      <c r="J2486" t="s">
        <v>46</v>
      </c>
      <c r="K2486" t="s">
        <v>14</v>
      </c>
      <c r="L2486">
        <v>4</v>
      </c>
      <c r="M2486" t="s">
        <v>33</v>
      </c>
      <c r="N2486" t="s">
        <v>42</v>
      </c>
      <c r="O2486" t="s">
        <v>393</v>
      </c>
      <c r="P2486" s="6" t="str">
        <f>IF(Table1[[#This Row],[Transaction_Amount]]&lt;=Table1[[#This Row],[avg_transaction_amount]], "usual transaction", "unusual transaction")</f>
        <v>usual transaction</v>
      </c>
      <c r="Q2486" s="6" t="str">
        <f>IF(AND(Table1[[#This Row],[Country_of_Residence]]&lt;&gt;Table1[[#This Row],[Country_of_Transaction]], OR(Table1[[#This Row],[Authentication_Type]]="Biometric", Table1[[#This Row],[Authentication_Type]]="OTP")), "safe location transaction", "unsafe location transaction")</f>
        <v>unsafe location transaction</v>
      </c>
      <c r="R2486" s="6" t="str">
        <f>IF(AND(Table1[[#This Row],[Country_of_Residence]]&lt;&gt;Table1[[#This Row],[Country_of_Transaction]], OR(Table1[[#This Row],[Merchant_Category]]="Electronics", Table1[[#This Row],[Merchant_Category]]="Travel")), "unsafe merchant transaction", "safe merchant transaction")</f>
        <v>safe merchant transaction</v>
      </c>
    </row>
    <row r="2487" spans="1:18">
      <c r="A2487" t="s">
        <v>3562</v>
      </c>
      <c r="B2487" t="s">
        <v>351</v>
      </c>
      <c r="C2487">
        <v>1</v>
      </c>
      <c r="D2487" t="s">
        <v>15</v>
      </c>
      <c r="E2487" t="s">
        <v>5</v>
      </c>
      <c r="F2487" s="2">
        <v>45907</v>
      </c>
      <c r="G2487">
        <v>1544.77</v>
      </c>
      <c r="H2487" s="1">
        <f>AVERAGEIF(Table1[Customer_ID], Table1[[#This Row],[Customer_ID]], Table1[Transaction_Amount])</f>
        <v>5144.2722807017544</v>
      </c>
      <c r="I2487" t="s">
        <v>1175</v>
      </c>
      <c r="J2487" t="s">
        <v>50</v>
      </c>
      <c r="K2487" t="s">
        <v>10</v>
      </c>
      <c r="L2487">
        <v>3</v>
      </c>
      <c r="M2487" t="s">
        <v>412</v>
      </c>
      <c r="N2487" t="s">
        <v>55</v>
      </c>
      <c r="O2487" t="s">
        <v>393</v>
      </c>
      <c r="P2487" s="6" t="str">
        <f>IF(Table1[[#This Row],[Transaction_Amount]]&lt;=Table1[[#This Row],[avg_transaction_amount]], "usual transaction", "unusual transaction")</f>
        <v>usual transaction</v>
      </c>
      <c r="Q2487" s="6" t="str">
        <f>IF(AND(Table1[[#This Row],[Country_of_Residence]]&lt;&gt;Table1[[#This Row],[Country_of_Transaction]], OR(Table1[[#This Row],[Authentication_Type]]="Biometric", Table1[[#This Row],[Authentication_Type]]="OTP")), "safe location transaction", "unsafe location transaction")</f>
        <v>safe location transaction</v>
      </c>
      <c r="R2487" s="6" t="str">
        <f>IF(AND(Table1[[#This Row],[Country_of_Residence]]&lt;&gt;Table1[[#This Row],[Country_of_Transaction]], OR(Table1[[#This Row],[Merchant_Category]]="Electronics", Table1[[#This Row],[Merchant_Category]]="Travel")), "unsafe merchant transaction", "safe merchant transaction")</f>
        <v>unsafe merchant transaction</v>
      </c>
    </row>
    <row r="2488" spans="1:18">
      <c r="A2488" t="s">
        <v>3603</v>
      </c>
      <c r="B2488" t="s">
        <v>351</v>
      </c>
      <c r="C2488">
        <v>1</v>
      </c>
      <c r="D2488" t="s">
        <v>9</v>
      </c>
      <c r="E2488" t="s">
        <v>3</v>
      </c>
      <c r="F2488" s="2">
        <v>45941</v>
      </c>
      <c r="G2488">
        <v>5091.8599999999997</v>
      </c>
      <c r="H2488" s="1">
        <f>AVERAGEIF(Table1[Customer_ID], Table1[[#This Row],[Customer_ID]], Table1[Transaction_Amount])</f>
        <v>5144.2722807017544</v>
      </c>
      <c r="I2488" t="s">
        <v>1212</v>
      </c>
      <c r="J2488" t="s">
        <v>31</v>
      </c>
      <c r="K2488" t="s">
        <v>14</v>
      </c>
      <c r="L2488">
        <v>2</v>
      </c>
      <c r="M2488" t="s">
        <v>412</v>
      </c>
      <c r="N2488" t="s">
        <v>51</v>
      </c>
      <c r="O2488" t="s">
        <v>392</v>
      </c>
      <c r="P2488" s="6" t="str">
        <f>IF(Table1[[#This Row],[Transaction_Amount]]&lt;=Table1[[#This Row],[avg_transaction_amount]], "usual transaction", "unusual transaction")</f>
        <v>usual transaction</v>
      </c>
      <c r="Q2488" s="6" t="str">
        <f>IF(AND(Table1[[#This Row],[Country_of_Residence]]&lt;&gt;Table1[[#This Row],[Country_of_Transaction]], OR(Table1[[#This Row],[Authentication_Type]]="Biometric", Table1[[#This Row],[Authentication_Type]]="OTP")), "safe location transaction", "unsafe location transaction")</f>
        <v>unsafe location transaction</v>
      </c>
      <c r="R2488" s="6" t="str">
        <f>IF(AND(Table1[[#This Row],[Country_of_Residence]]&lt;&gt;Table1[[#This Row],[Country_of_Transaction]], OR(Table1[[#This Row],[Merchant_Category]]="Electronics", Table1[[#This Row],[Merchant_Category]]="Travel")), "unsafe merchant transaction", "safe merchant transaction")</f>
        <v>safe merchant transaction</v>
      </c>
    </row>
    <row r="2489" spans="1:18">
      <c r="A2489" t="s">
        <v>3673</v>
      </c>
      <c r="B2489" t="s">
        <v>351</v>
      </c>
      <c r="C2489">
        <v>1</v>
      </c>
      <c r="D2489" t="s">
        <v>9</v>
      </c>
      <c r="E2489" t="s">
        <v>420</v>
      </c>
      <c r="F2489" s="2">
        <v>45685</v>
      </c>
      <c r="G2489">
        <v>4574.1899999999996</v>
      </c>
      <c r="H2489" s="1">
        <f>AVERAGEIF(Table1[Customer_ID], Table1[[#This Row],[Customer_ID]], Table1[Transaction_Amount])</f>
        <v>5144.2722807017544</v>
      </c>
      <c r="I2489" t="s">
        <v>1274</v>
      </c>
      <c r="J2489" t="s">
        <v>50</v>
      </c>
      <c r="K2489" t="s">
        <v>10</v>
      </c>
      <c r="L2489">
        <v>4</v>
      </c>
      <c r="M2489" t="s">
        <v>47</v>
      </c>
      <c r="N2489" t="s">
        <v>33</v>
      </c>
      <c r="O2489" t="s">
        <v>393</v>
      </c>
      <c r="P2489" s="6" t="str">
        <f>IF(Table1[[#This Row],[Transaction_Amount]]&lt;=Table1[[#This Row],[avg_transaction_amount]], "usual transaction", "unusual transaction")</f>
        <v>usual transaction</v>
      </c>
      <c r="Q2489" s="6" t="str">
        <f>IF(AND(Table1[[#This Row],[Country_of_Residence]]&lt;&gt;Table1[[#This Row],[Country_of_Transaction]], OR(Table1[[#This Row],[Authentication_Type]]="Biometric", Table1[[#This Row],[Authentication_Type]]="OTP")), "safe location transaction", "unsafe location transaction")</f>
        <v>safe location transaction</v>
      </c>
      <c r="R2489" s="6" t="str">
        <f>IF(AND(Table1[[#This Row],[Country_of_Residence]]&lt;&gt;Table1[[#This Row],[Country_of_Transaction]], OR(Table1[[#This Row],[Merchant_Category]]="Electronics", Table1[[#This Row],[Merchant_Category]]="Travel")), "unsafe merchant transaction", "safe merchant transaction")</f>
        <v>unsafe merchant transaction</v>
      </c>
    </row>
    <row r="2490" spans="1:18">
      <c r="A2490" t="s">
        <v>3719</v>
      </c>
      <c r="B2490" t="s">
        <v>351</v>
      </c>
      <c r="C2490">
        <v>1</v>
      </c>
      <c r="D2490" t="s">
        <v>15</v>
      </c>
      <c r="E2490" t="s">
        <v>6</v>
      </c>
      <c r="F2490" s="2">
        <v>45719</v>
      </c>
      <c r="G2490">
        <v>9715.81</v>
      </c>
      <c r="H2490" s="1">
        <f>AVERAGEIF(Table1[Customer_ID], Table1[[#This Row],[Customer_ID]], Table1[Transaction_Amount])</f>
        <v>5144.2722807017544</v>
      </c>
      <c r="I2490" t="s">
        <v>1315</v>
      </c>
      <c r="J2490" t="s">
        <v>36</v>
      </c>
      <c r="K2490" t="s">
        <v>8</v>
      </c>
      <c r="L2490">
        <v>3</v>
      </c>
      <c r="M2490" t="s">
        <v>412</v>
      </c>
      <c r="N2490" t="s">
        <v>33</v>
      </c>
      <c r="O2490" t="s">
        <v>392</v>
      </c>
      <c r="P2490" s="6" t="str">
        <f>IF(Table1[[#This Row],[Transaction_Amount]]&lt;=Table1[[#This Row],[avg_transaction_amount]], "usual transaction", "unusual transaction")</f>
        <v>unusual transaction</v>
      </c>
      <c r="Q2490" s="6" t="str">
        <f>IF(AND(Table1[[#This Row],[Country_of_Residence]]&lt;&gt;Table1[[#This Row],[Country_of_Transaction]], OR(Table1[[#This Row],[Authentication_Type]]="Biometric", Table1[[#This Row],[Authentication_Type]]="OTP")), "safe location transaction", "unsafe location transaction")</f>
        <v>safe location transaction</v>
      </c>
      <c r="R2490" s="6" t="str">
        <f>IF(AND(Table1[[#This Row],[Country_of_Residence]]&lt;&gt;Table1[[#This Row],[Country_of_Transaction]], OR(Table1[[#This Row],[Merchant_Category]]="Electronics", Table1[[#This Row],[Merchant_Category]]="Travel")), "unsafe merchant transaction", "safe merchant transaction")</f>
        <v>safe merchant transaction</v>
      </c>
    </row>
    <row r="2491" spans="1:18">
      <c r="A2491" t="s">
        <v>3765</v>
      </c>
      <c r="B2491" t="s">
        <v>351</v>
      </c>
      <c r="C2491">
        <v>1</v>
      </c>
      <c r="D2491" t="s">
        <v>9</v>
      </c>
      <c r="E2491" t="s">
        <v>5</v>
      </c>
      <c r="F2491" s="2">
        <v>45672</v>
      </c>
      <c r="G2491">
        <v>3576.4</v>
      </c>
      <c r="H2491" s="1">
        <f>AVERAGEIF(Table1[Customer_ID], Table1[[#This Row],[Customer_ID]], Table1[Transaction_Amount])</f>
        <v>5144.2722807017544</v>
      </c>
      <c r="I2491" t="s">
        <v>1356</v>
      </c>
      <c r="J2491" t="s">
        <v>36</v>
      </c>
      <c r="K2491" t="s">
        <v>12</v>
      </c>
      <c r="L2491">
        <v>3</v>
      </c>
      <c r="M2491" t="s">
        <v>55</v>
      </c>
      <c r="N2491" t="s">
        <v>47</v>
      </c>
      <c r="O2491" t="s">
        <v>393</v>
      </c>
      <c r="P2491" s="6" t="str">
        <f>IF(Table1[[#This Row],[Transaction_Amount]]&lt;=Table1[[#This Row],[avg_transaction_amount]], "usual transaction", "unusual transaction")</f>
        <v>usual transaction</v>
      </c>
      <c r="Q2491" s="6" t="str">
        <f>IF(AND(Table1[[#This Row],[Country_of_Residence]]&lt;&gt;Table1[[#This Row],[Country_of_Transaction]], OR(Table1[[#This Row],[Authentication_Type]]="Biometric", Table1[[#This Row],[Authentication_Type]]="OTP")), "safe location transaction", "unsafe location transaction")</f>
        <v>unsafe location transaction</v>
      </c>
      <c r="R2491" s="6" t="str">
        <f>IF(AND(Table1[[#This Row],[Country_of_Residence]]&lt;&gt;Table1[[#This Row],[Country_of_Transaction]], OR(Table1[[#This Row],[Merchant_Category]]="Electronics", Table1[[#This Row],[Merchant_Category]]="Travel")), "unsafe merchant transaction", "safe merchant transaction")</f>
        <v>safe merchant transaction</v>
      </c>
    </row>
    <row r="2492" spans="1:18">
      <c r="A2492" t="s">
        <v>3773</v>
      </c>
      <c r="B2492" t="s">
        <v>351</v>
      </c>
      <c r="C2492">
        <v>1</v>
      </c>
      <c r="D2492" t="s">
        <v>15</v>
      </c>
      <c r="E2492" t="s">
        <v>420</v>
      </c>
      <c r="F2492" s="2">
        <v>45756</v>
      </c>
      <c r="G2492">
        <v>1845.15</v>
      </c>
      <c r="H2492" s="1">
        <f>AVERAGEIF(Table1[Customer_ID], Table1[[#This Row],[Customer_ID]], Table1[Transaction_Amount])</f>
        <v>5144.2722807017544</v>
      </c>
      <c r="I2492" t="s">
        <v>1363</v>
      </c>
      <c r="J2492" t="s">
        <v>41</v>
      </c>
      <c r="K2492" t="s">
        <v>14</v>
      </c>
      <c r="L2492">
        <v>3</v>
      </c>
      <c r="M2492" t="s">
        <v>33</v>
      </c>
      <c r="N2492" t="s">
        <v>56</v>
      </c>
      <c r="O2492" t="s">
        <v>393</v>
      </c>
      <c r="P2492" s="6" t="str">
        <f>IF(Table1[[#This Row],[Transaction_Amount]]&lt;=Table1[[#This Row],[avg_transaction_amount]], "usual transaction", "unusual transaction")</f>
        <v>usual transaction</v>
      </c>
      <c r="Q2492" s="6" t="str">
        <f>IF(AND(Table1[[#This Row],[Country_of_Residence]]&lt;&gt;Table1[[#This Row],[Country_of_Transaction]], OR(Table1[[#This Row],[Authentication_Type]]="Biometric", Table1[[#This Row],[Authentication_Type]]="OTP")), "safe location transaction", "unsafe location transaction")</f>
        <v>unsafe location transaction</v>
      </c>
      <c r="R2492" s="6" t="str">
        <f>IF(AND(Table1[[#This Row],[Country_of_Residence]]&lt;&gt;Table1[[#This Row],[Country_of_Transaction]], OR(Table1[[#This Row],[Merchant_Category]]="Electronics", Table1[[#This Row],[Merchant_Category]]="Travel")), "unsafe merchant transaction", "safe merchant transaction")</f>
        <v>safe merchant transaction</v>
      </c>
    </row>
    <row r="2493" spans="1:18">
      <c r="A2493" t="s">
        <v>3815</v>
      </c>
      <c r="B2493" t="s">
        <v>351</v>
      </c>
      <c r="C2493">
        <v>1</v>
      </c>
      <c r="D2493" t="s">
        <v>15</v>
      </c>
      <c r="E2493" t="s">
        <v>3</v>
      </c>
      <c r="F2493" s="2">
        <v>45821</v>
      </c>
      <c r="G2493">
        <v>7656.12</v>
      </c>
      <c r="H2493" s="1">
        <f>AVERAGEIF(Table1[Customer_ID], Table1[[#This Row],[Customer_ID]], Table1[Transaction_Amount])</f>
        <v>5144.2722807017544</v>
      </c>
      <c r="I2493" t="s">
        <v>1397</v>
      </c>
      <c r="J2493" t="s">
        <v>41</v>
      </c>
      <c r="K2493" t="s">
        <v>10</v>
      </c>
      <c r="L2493">
        <v>4</v>
      </c>
      <c r="M2493" t="s">
        <v>37</v>
      </c>
      <c r="N2493" t="s">
        <v>51</v>
      </c>
      <c r="O2493" t="s">
        <v>393</v>
      </c>
      <c r="P2493" s="6" t="str">
        <f>IF(Table1[[#This Row],[Transaction_Amount]]&lt;=Table1[[#This Row],[avg_transaction_amount]], "usual transaction", "unusual transaction")</f>
        <v>unusual transaction</v>
      </c>
      <c r="Q2493" s="6" t="str">
        <f>IF(AND(Table1[[#This Row],[Country_of_Residence]]&lt;&gt;Table1[[#This Row],[Country_of_Transaction]], OR(Table1[[#This Row],[Authentication_Type]]="Biometric", Table1[[#This Row],[Authentication_Type]]="OTP")), "safe location transaction", "unsafe location transaction")</f>
        <v>safe location transaction</v>
      </c>
      <c r="R2493" s="6" t="str">
        <f>IF(AND(Table1[[#This Row],[Country_of_Residence]]&lt;&gt;Table1[[#This Row],[Country_of_Transaction]], OR(Table1[[#This Row],[Merchant_Category]]="Electronics", Table1[[#This Row],[Merchant_Category]]="Travel")), "unsafe merchant transaction", "safe merchant transaction")</f>
        <v>safe merchant transaction</v>
      </c>
    </row>
    <row r="2494" spans="1:18">
      <c r="A2494" t="s">
        <v>3861</v>
      </c>
      <c r="B2494" t="s">
        <v>351</v>
      </c>
      <c r="C2494">
        <v>1</v>
      </c>
      <c r="D2494" t="s">
        <v>15</v>
      </c>
      <c r="E2494" t="s">
        <v>420</v>
      </c>
      <c r="F2494" s="2">
        <v>45906</v>
      </c>
      <c r="G2494">
        <v>1590.22</v>
      </c>
      <c r="H2494" s="1">
        <f>AVERAGEIF(Table1[Customer_ID], Table1[[#This Row],[Customer_ID]], Table1[Transaction_Amount])</f>
        <v>5144.2722807017544</v>
      </c>
      <c r="I2494" t="s">
        <v>1435</v>
      </c>
      <c r="J2494" t="s">
        <v>36</v>
      </c>
      <c r="K2494" t="s">
        <v>12</v>
      </c>
      <c r="L2494">
        <v>3</v>
      </c>
      <c r="M2494" t="s">
        <v>412</v>
      </c>
      <c r="N2494" t="s">
        <v>37</v>
      </c>
      <c r="O2494" t="s">
        <v>392</v>
      </c>
      <c r="P2494" s="6" t="str">
        <f>IF(Table1[[#This Row],[Transaction_Amount]]&lt;=Table1[[#This Row],[avg_transaction_amount]], "usual transaction", "unusual transaction")</f>
        <v>usual transaction</v>
      </c>
      <c r="Q2494" s="6" t="str">
        <f>IF(AND(Table1[[#This Row],[Country_of_Residence]]&lt;&gt;Table1[[#This Row],[Country_of_Transaction]], OR(Table1[[#This Row],[Authentication_Type]]="Biometric", Table1[[#This Row],[Authentication_Type]]="OTP")), "safe location transaction", "unsafe location transaction")</f>
        <v>unsafe location transaction</v>
      </c>
      <c r="R2494" s="6" t="str">
        <f>IF(AND(Table1[[#This Row],[Country_of_Residence]]&lt;&gt;Table1[[#This Row],[Country_of_Transaction]], OR(Table1[[#This Row],[Merchant_Category]]="Electronics", Table1[[#This Row],[Merchant_Category]]="Travel")), "unsafe merchant transaction", "safe merchant transaction")</f>
        <v>safe merchant transaction</v>
      </c>
    </row>
    <row r="2495" spans="1:18">
      <c r="A2495" t="s">
        <v>4028</v>
      </c>
      <c r="B2495" t="s">
        <v>351</v>
      </c>
      <c r="C2495">
        <v>1</v>
      </c>
      <c r="D2495" t="s">
        <v>15</v>
      </c>
      <c r="E2495" t="s">
        <v>6</v>
      </c>
      <c r="F2495" s="2">
        <v>45846</v>
      </c>
      <c r="G2495">
        <v>5267.65</v>
      </c>
      <c r="H2495" s="1">
        <f>AVERAGEIF(Table1[Customer_ID], Table1[[#This Row],[Customer_ID]], Table1[Transaction_Amount])</f>
        <v>5144.2722807017544</v>
      </c>
      <c r="I2495" t="s">
        <v>1584</v>
      </c>
      <c r="J2495" t="s">
        <v>31</v>
      </c>
      <c r="K2495" t="s">
        <v>14</v>
      </c>
      <c r="L2495">
        <v>3</v>
      </c>
      <c r="M2495" t="s">
        <v>56</v>
      </c>
      <c r="N2495" t="s">
        <v>51</v>
      </c>
      <c r="O2495" t="s">
        <v>393</v>
      </c>
      <c r="P2495" s="6" t="str">
        <f>IF(Table1[[#This Row],[Transaction_Amount]]&lt;=Table1[[#This Row],[avg_transaction_amount]], "usual transaction", "unusual transaction")</f>
        <v>unusual transaction</v>
      </c>
      <c r="Q2495" s="6" t="str">
        <f>IF(AND(Table1[[#This Row],[Country_of_Residence]]&lt;&gt;Table1[[#This Row],[Country_of_Transaction]], OR(Table1[[#This Row],[Authentication_Type]]="Biometric", Table1[[#This Row],[Authentication_Type]]="OTP")), "safe location transaction", "unsafe location transaction")</f>
        <v>unsafe location transaction</v>
      </c>
      <c r="R2495" s="6" t="str">
        <f>IF(AND(Table1[[#This Row],[Country_of_Residence]]&lt;&gt;Table1[[#This Row],[Country_of_Transaction]], OR(Table1[[#This Row],[Merchant_Category]]="Electronics", Table1[[#This Row],[Merchant_Category]]="Travel")), "unsafe merchant transaction", "safe merchant transaction")</f>
        <v>safe merchant transaction</v>
      </c>
    </row>
    <row r="2496" spans="1:18">
      <c r="A2496" t="s">
        <v>4120</v>
      </c>
      <c r="B2496" t="s">
        <v>351</v>
      </c>
      <c r="C2496">
        <v>1</v>
      </c>
      <c r="D2496" t="s">
        <v>9</v>
      </c>
      <c r="E2496" t="s">
        <v>5</v>
      </c>
      <c r="F2496" s="2">
        <v>46023</v>
      </c>
      <c r="G2496">
        <v>1738.67</v>
      </c>
      <c r="H2496" s="1">
        <f>AVERAGEIF(Table1[Customer_ID], Table1[[#This Row],[Customer_ID]], Table1[Transaction_Amount])</f>
        <v>5144.2722807017544</v>
      </c>
      <c r="I2496" t="s">
        <v>1654</v>
      </c>
      <c r="J2496" t="s">
        <v>31</v>
      </c>
      <c r="K2496" t="s">
        <v>10</v>
      </c>
      <c r="L2496">
        <v>4</v>
      </c>
      <c r="M2496" t="s">
        <v>56</v>
      </c>
      <c r="N2496" t="s">
        <v>55</v>
      </c>
      <c r="O2496" t="s">
        <v>392</v>
      </c>
      <c r="P2496" s="6" t="str">
        <f>IF(Table1[[#This Row],[Transaction_Amount]]&lt;=Table1[[#This Row],[avg_transaction_amount]], "usual transaction", "unusual transaction")</f>
        <v>usual transaction</v>
      </c>
      <c r="Q2496" s="6" t="str">
        <f>IF(AND(Table1[[#This Row],[Country_of_Residence]]&lt;&gt;Table1[[#This Row],[Country_of_Transaction]], OR(Table1[[#This Row],[Authentication_Type]]="Biometric", Table1[[#This Row],[Authentication_Type]]="OTP")), "safe location transaction", "unsafe location transaction")</f>
        <v>safe location transaction</v>
      </c>
      <c r="R2496" s="6" t="str">
        <f>IF(AND(Table1[[#This Row],[Country_of_Residence]]&lt;&gt;Table1[[#This Row],[Country_of_Transaction]], OR(Table1[[#This Row],[Merchant_Category]]="Electronics", Table1[[#This Row],[Merchant_Category]]="Travel")), "unsafe merchant transaction", "safe merchant transaction")</f>
        <v>safe merchant transaction</v>
      </c>
    </row>
    <row r="2497" spans="1:18">
      <c r="A2497" t="s">
        <v>4149</v>
      </c>
      <c r="B2497" t="s">
        <v>351</v>
      </c>
      <c r="C2497">
        <v>1</v>
      </c>
      <c r="D2497" t="s">
        <v>9</v>
      </c>
      <c r="E2497" t="s">
        <v>3</v>
      </c>
      <c r="F2497" s="2">
        <v>45916</v>
      </c>
      <c r="G2497">
        <v>196.32</v>
      </c>
      <c r="H2497" s="1">
        <f>AVERAGEIF(Table1[Customer_ID], Table1[[#This Row],[Customer_ID]], Table1[Transaction_Amount])</f>
        <v>5144.2722807017544</v>
      </c>
      <c r="I2497" t="s">
        <v>1677</v>
      </c>
      <c r="J2497" t="s">
        <v>41</v>
      </c>
      <c r="K2497" t="s">
        <v>14</v>
      </c>
      <c r="L2497">
        <v>5</v>
      </c>
      <c r="M2497" t="s">
        <v>37</v>
      </c>
      <c r="N2497" t="s">
        <v>55</v>
      </c>
      <c r="O2497" t="s">
        <v>392</v>
      </c>
      <c r="P2497" s="6" t="str">
        <f>IF(Table1[[#This Row],[Transaction_Amount]]&lt;=Table1[[#This Row],[avg_transaction_amount]], "usual transaction", "unusual transaction")</f>
        <v>usual transaction</v>
      </c>
      <c r="Q2497" s="6" t="str">
        <f>IF(AND(Table1[[#This Row],[Country_of_Residence]]&lt;&gt;Table1[[#This Row],[Country_of_Transaction]], OR(Table1[[#This Row],[Authentication_Type]]="Biometric", Table1[[#This Row],[Authentication_Type]]="OTP")), "safe location transaction", "unsafe location transaction")</f>
        <v>unsafe location transaction</v>
      </c>
      <c r="R2497" s="6" t="str">
        <f>IF(AND(Table1[[#This Row],[Country_of_Residence]]&lt;&gt;Table1[[#This Row],[Country_of_Transaction]], OR(Table1[[#This Row],[Merchant_Category]]="Electronics", Table1[[#This Row],[Merchant_Category]]="Travel")), "unsafe merchant transaction", "safe merchant transaction")</f>
        <v>safe merchant transaction</v>
      </c>
    </row>
    <row r="2498" spans="1:18">
      <c r="A2498" t="s">
        <v>4158</v>
      </c>
      <c r="B2498" t="s">
        <v>351</v>
      </c>
      <c r="C2498">
        <v>1</v>
      </c>
      <c r="D2498" t="s">
        <v>15</v>
      </c>
      <c r="E2498" t="s">
        <v>420</v>
      </c>
      <c r="F2498" s="2">
        <v>45975</v>
      </c>
      <c r="G2498">
        <v>7041.84</v>
      </c>
      <c r="H2498" s="1">
        <f>AVERAGEIF(Table1[Customer_ID], Table1[[#This Row],[Customer_ID]], Table1[Transaction_Amount])</f>
        <v>5144.2722807017544</v>
      </c>
      <c r="I2498" t="s">
        <v>1685</v>
      </c>
      <c r="J2498" t="s">
        <v>50</v>
      </c>
      <c r="K2498" t="s">
        <v>14</v>
      </c>
      <c r="L2498">
        <v>5</v>
      </c>
      <c r="M2498" t="s">
        <v>32</v>
      </c>
      <c r="N2498" t="s">
        <v>42</v>
      </c>
      <c r="O2498" t="s">
        <v>392</v>
      </c>
      <c r="P2498" s="6" t="str">
        <f>IF(Table1[[#This Row],[Transaction_Amount]]&lt;=Table1[[#This Row],[avg_transaction_amount]], "usual transaction", "unusual transaction")</f>
        <v>unusual transaction</v>
      </c>
      <c r="Q2498" s="6" t="str">
        <f>IF(AND(Table1[[#This Row],[Country_of_Residence]]&lt;&gt;Table1[[#This Row],[Country_of_Transaction]], OR(Table1[[#This Row],[Authentication_Type]]="Biometric", Table1[[#This Row],[Authentication_Type]]="OTP")), "safe location transaction", "unsafe location transaction")</f>
        <v>unsafe location transaction</v>
      </c>
      <c r="R2498" s="6" t="str">
        <f>IF(AND(Table1[[#This Row],[Country_of_Residence]]&lt;&gt;Table1[[#This Row],[Country_of_Transaction]], OR(Table1[[#This Row],[Merchant_Category]]="Electronics", Table1[[#This Row],[Merchant_Category]]="Travel")), "unsafe merchant transaction", "safe merchant transaction")</f>
        <v>unsafe merchant transaction</v>
      </c>
    </row>
    <row r="2499" spans="1:18">
      <c r="A2499" t="s">
        <v>4170</v>
      </c>
      <c r="B2499" t="s">
        <v>351</v>
      </c>
      <c r="C2499">
        <v>1</v>
      </c>
      <c r="D2499" t="s">
        <v>9</v>
      </c>
      <c r="E2499" t="s">
        <v>5</v>
      </c>
      <c r="F2499" s="2">
        <v>45782</v>
      </c>
      <c r="G2499">
        <v>511.63</v>
      </c>
      <c r="H2499" s="1">
        <f>AVERAGEIF(Table1[Customer_ID], Table1[[#This Row],[Customer_ID]], Table1[Transaction_Amount])</f>
        <v>5144.2722807017544</v>
      </c>
      <c r="I2499" t="s">
        <v>1228</v>
      </c>
      <c r="J2499" t="s">
        <v>31</v>
      </c>
      <c r="K2499" t="s">
        <v>10</v>
      </c>
      <c r="L2499">
        <v>3</v>
      </c>
      <c r="M2499" t="s">
        <v>56</v>
      </c>
      <c r="N2499" t="s">
        <v>47</v>
      </c>
      <c r="O2499" t="s">
        <v>392</v>
      </c>
      <c r="P2499" s="6" t="str">
        <f>IF(Table1[[#This Row],[Transaction_Amount]]&lt;=Table1[[#This Row],[avg_transaction_amount]], "usual transaction", "unusual transaction")</f>
        <v>usual transaction</v>
      </c>
      <c r="Q2499" s="6" t="str">
        <f>IF(AND(Table1[[#This Row],[Country_of_Residence]]&lt;&gt;Table1[[#This Row],[Country_of_Transaction]], OR(Table1[[#This Row],[Authentication_Type]]="Biometric", Table1[[#This Row],[Authentication_Type]]="OTP")), "safe location transaction", "unsafe location transaction")</f>
        <v>safe location transaction</v>
      </c>
      <c r="R2499" s="6" t="str">
        <f>IF(AND(Table1[[#This Row],[Country_of_Residence]]&lt;&gt;Table1[[#This Row],[Country_of_Transaction]], OR(Table1[[#This Row],[Merchant_Category]]="Electronics", Table1[[#This Row],[Merchant_Category]]="Travel")), "unsafe merchant transaction", "safe merchant transaction")</f>
        <v>safe merchant transaction</v>
      </c>
    </row>
    <row r="2500" spans="1:18">
      <c r="A2500" t="s">
        <v>4465</v>
      </c>
      <c r="B2500" t="s">
        <v>351</v>
      </c>
      <c r="C2500">
        <v>1</v>
      </c>
      <c r="D2500" t="s">
        <v>15</v>
      </c>
      <c r="E2500" t="s">
        <v>3</v>
      </c>
      <c r="F2500" s="2">
        <v>45802</v>
      </c>
      <c r="G2500">
        <v>9896.19</v>
      </c>
      <c r="H2500" s="1">
        <f>AVERAGEIF(Table1[Customer_ID], Table1[[#This Row],[Customer_ID]], Table1[Transaction_Amount])</f>
        <v>5144.2722807017544</v>
      </c>
      <c r="I2500" t="s">
        <v>88</v>
      </c>
      <c r="J2500" t="s">
        <v>36</v>
      </c>
      <c r="K2500" t="s">
        <v>10</v>
      </c>
      <c r="L2500">
        <v>3</v>
      </c>
      <c r="M2500" t="s">
        <v>42</v>
      </c>
      <c r="N2500" t="s">
        <v>32</v>
      </c>
      <c r="O2500" t="s">
        <v>393</v>
      </c>
      <c r="P2500" s="6" t="str">
        <f>IF(Table1[[#This Row],[Transaction_Amount]]&lt;=Table1[[#This Row],[avg_transaction_amount]], "usual transaction", "unusual transaction")</f>
        <v>unusual transaction</v>
      </c>
      <c r="Q2500" s="6" t="str">
        <f>IF(AND(Table1[[#This Row],[Country_of_Residence]]&lt;&gt;Table1[[#This Row],[Country_of_Transaction]], OR(Table1[[#This Row],[Authentication_Type]]="Biometric", Table1[[#This Row],[Authentication_Type]]="OTP")), "safe location transaction", "unsafe location transaction")</f>
        <v>safe location transaction</v>
      </c>
      <c r="R2500" s="6" t="str">
        <f>IF(AND(Table1[[#This Row],[Country_of_Residence]]&lt;&gt;Table1[[#This Row],[Country_of_Transaction]], OR(Table1[[#This Row],[Merchant_Category]]="Electronics", Table1[[#This Row],[Merchant_Category]]="Travel")), "unsafe merchant transaction", "safe merchant transaction")</f>
        <v>safe merchant transaction</v>
      </c>
    </row>
    <row r="2501" spans="1:18">
      <c r="A2501" t="s">
        <v>4562</v>
      </c>
      <c r="B2501" t="s">
        <v>351</v>
      </c>
      <c r="C2501">
        <v>1</v>
      </c>
      <c r="D2501" t="s">
        <v>9</v>
      </c>
      <c r="E2501" t="s">
        <v>5</v>
      </c>
      <c r="F2501" s="2">
        <v>45797</v>
      </c>
      <c r="G2501">
        <v>8283.8700000000008</v>
      </c>
      <c r="H2501" s="1">
        <f>AVERAGEIF(Table1[Customer_ID], Table1[[#This Row],[Customer_ID]], Table1[Transaction_Amount])</f>
        <v>5144.2722807017544</v>
      </c>
      <c r="I2501" t="s">
        <v>541</v>
      </c>
      <c r="J2501" t="s">
        <v>36</v>
      </c>
      <c r="K2501" t="s">
        <v>10</v>
      </c>
      <c r="L2501">
        <v>5</v>
      </c>
      <c r="M2501" t="s">
        <v>33</v>
      </c>
      <c r="N2501" t="s">
        <v>37</v>
      </c>
      <c r="O2501" t="s">
        <v>393</v>
      </c>
      <c r="P2501" s="6" t="str">
        <f>IF(Table1[[#This Row],[Transaction_Amount]]&lt;=Table1[[#This Row],[avg_transaction_amount]], "usual transaction", "unusual transaction")</f>
        <v>unusual transaction</v>
      </c>
      <c r="Q2501" s="6" t="str">
        <f>IF(AND(Table1[[#This Row],[Country_of_Residence]]&lt;&gt;Table1[[#This Row],[Country_of_Transaction]], OR(Table1[[#This Row],[Authentication_Type]]="Biometric", Table1[[#This Row],[Authentication_Type]]="OTP")), "safe location transaction", "unsafe location transaction")</f>
        <v>safe location transaction</v>
      </c>
      <c r="R2501" s="6" t="str">
        <f>IF(AND(Table1[[#This Row],[Country_of_Residence]]&lt;&gt;Table1[[#This Row],[Country_of_Transaction]], OR(Table1[[#This Row],[Merchant_Category]]="Electronics", Table1[[#This Row],[Merchant_Category]]="Travel")), "unsafe merchant transaction", "safe merchant transaction")</f>
        <v>safe merchant transaction</v>
      </c>
    </row>
    <row r="2502" spans="1:18">
      <c r="A2502" t="s">
        <v>4592</v>
      </c>
      <c r="B2502" t="s">
        <v>351</v>
      </c>
      <c r="C2502">
        <v>1</v>
      </c>
      <c r="D2502" t="s">
        <v>9</v>
      </c>
      <c r="E2502" t="s">
        <v>6</v>
      </c>
      <c r="F2502" s="2">
        <v>45750</v>
      </c>
      <c r="G2502">
        <v>2595.39</v>
      </c>
      <c r="H2502" s="1">
        <f>AVERAGEIF(Table1[Customer_ID], Table1[[#This Row],[Customer_ID]], Table1[Transaction_Amount])</f>
        <v>5144.2722807017544</v>
      </c>
      <c r="I2502" t="s">
        <v>2060</v>
      </c>
      <c r="J2502" t="s">
        <v>46</v>
      </c>
      <c r="K2502" t="s">
        <v>10</v>
      </c>
      <c r="L2502">
        <v>2</v>
      </c>
      <c r="M2502" t="s">
        <v>47</v>
      </c>
      <c r="N2502" t="s">
        <v>55</v>
      </c>
      <c r="O2502" t="s">
        <v>392</v>
      </c>
      <c r="P2502" s="6" t="str">
        <f>IF(Table1[[#This Row],[Transaction_Amount]]&lt;=Table1[[#This Row],[avg_transaction_amount]], "usual transaction", "unusual transaction")</f>
        <v>usual transaction</v>
      </c>
      <c r="Q2502" s="6" t="str">
        <f>IF(AND(Table1[[#This Row],[Country_of_Residence]]&lt;&gt;Table1[[#This Row],[Country_of_Transaction]], OR(Table1[[#This Row],[Authentication_Type]]="Biometric", Table1[[#This Row],[Authentication_Type]]="OTP")), "safe location transaction", "unsafe location transaction")</f>
        <v>safe location transaction</v>
      </c>
      <c r="R2502" s="6" t="str">
        <f>IF(AND(Table1[[#This Row],[Country_of_Residence]]&lt;&gt;Table1[[#This Row],[Country_of_Transaction]], OR(Table1[[#This Row],[Merchant_Category]]="Electronics", Table1[[#This Row],[Merchant_Category]]="Travel")), "unsafe merchant transaction", "safe merchant transaction")</f>
        <v>safe merchant transaction</v>
      </c>
    </row>
    <row r="2503" spans="1:18">
      <c r="A2503" t="s">
        <v>4621</v>
      </c>
      <c r="B2503" t="s">
        <v>351</v>
      </c>
      <c r="C2503">
        <v>1</v>
      </c>
      <c r="D2503" t="s">
        <v>9</v>
      </c>
      <c r="E2503" t="s">
        <v>3</v>
      </c>
      <c r="F2503" s="2">
        <v>45946</v>
      </c>
      <c r="G2503">
        <v>2772.64</v>
      </c>
      <c r="H2503" s="1">
        <f>AVERAGEIF(Table1[Customer_ID], Table1[[#This Row],[Customer_ID]], Table1[Transaction_Amount])</f>
        <v>5144.2722807017544</v>
      </c>
      <c r="I2503" t="s">
        <v>2085</v>
      </c>
      <c r="J2503" t="s">
        <v>31</v>
      </c>
      <c r="K2503" t="s">
        <v>10</v>
      </c>
      <c r="L2503">
        <v>0</v>
      </c>
      <c r="M2503" t="s">
        <v>56</v>
      </c>
      <c r="N2503" t="s">
        <v>47</v>
      </c>
      <c r="O2503" t="s">
        <v>392</v>
      </c>
      <c r="P2503" s="6" t="str">
        <f>IF(Table1[[#This Row],[Transaction_Amount]]&lt;=Table1[[#This Row],[avg_transaction_amount]], "usual transaction", "unusual transaction")</f>
        <v>usual transaction</v>
      </c>
      <c r="Q2503" s="6" t="str">
        <f>IF(AND(Table1[[#This Row],[Country_of_Residence]]&lt;&gt;Table1[[#This Row],[Country_of_Transaction]], OR(Table1[[#This Row],[Authentication_Type]]="Biometric", Table1[[#This Row],[Authentication_Type]]="OTP")), "safe location transaction", "unsafe location transaction")</f>
        <v>safe location transaction</v>
      </c>
      <c r="R2503" s="6" t="str">
        <f>IF(AND(Table1[[#This Row],[Country_of_Residence]]&lt;&gt;Table1[[#This Row],[Country_of_Transaction]], OR(Table1[[#This Row],[Merchant_Category]]="Electronics", Table1[[#This Row],[Merchant_Category]]="Travel")), "unsafe merchant transaction", "safe merchant transaction")</f>
        <v>safe merchant transaction</v>
      </c>
    </row>
    <row r="2504" spans="1:18">
      <c r="A2504" t="s">
        <v>4654</v>
      </c>
      <c r="B2504" t="s">
        <v>351</v>
      </c>
      <c r="C2504">
        <v>1</v>
      </c>
      <c r="D2504" t="s">
        <v>15</v>
      </c>
      <c r="E2504" t="s">
        <v>3</v>
      </c>
      <c r="F2504" s="2">
        <v>45822</v>
      </c>
      <c r="G2504">
        <v>6017.85</v>
      </c>
      <c r="H2504" s="1">
        <f>AVERAGEIF(Table1[Customer_ID], Table1[[#This Row],[Customer_ID]], Table1[Transaction_Amount])</f>
        <v>5144.2722807017544</v>
      </c>
      <c r="I2504" t="s">
        <v>2113</v>
      </c>
      <c r="J2504" t="s">
        <v>46</v>
      </c>
      <c r="K2504" t="s">
        <v>8</v>
      </c>
      <c r="L2504">
        <v>1</v>
      </c>
      <c r="M2504" t="s">
        <v>412</v>
      </c>
      <c r="N2504" t="s">
        <v>37</v>
      </c>
      <c r="O2504" t="s">
        <v>392</v>
      </c>
      <c r="P2504" s="6" t="str">
        <f>IF(Table1[[#This Row],[Transaction_Amount]]&lt;=Table1[[#This Row],[avg_transaction_amount]], "usual transaction", "unusual transaction")</f>
        <v>unusual transaction</v>
      </c>
      <c r="Q2504" s="6" t="str">
        <f>IF(AND(Table1[[#This Row],[Country_of_Residence]]&lt;&gt;Table1[[#This Row],[Country_of_Transaction]], OR(Table1[[#This Row],[Authentication_Type]]="Biometric", Table1[[#This Row],[Authentication_Type]]="OTP")), "safe location transaction", "unsafe location transaction")</f>
        <v>safe location transaction</v>
      </c>
      <c r="R2504" s="6" t="str">
        <f>IF(AND(Table1[[#This Row],[Country_of_Residence]]&lt;&gt;Table1[[#This Row],[Country_of_Transaction]], OR(Table1[[#This Row],[Merchant_Category]]="Electronics", Table1[[#This Row],[Merchant_Category]]="Travel")), "unsafe merchant transaction", "safe merchant transaction")</f>
        <v>safe merchant transaction</v>
      </c>
    </row>
    <row r="2505" spans="1:18">
      <c r="A2505" t="s">
        <v>4758</v>
      </c>
      <c r="B2505" t="s">
        <v>351</v>
      </c>
      <c r="C2505">
        <v>1</v>
      </c>
      <c r="D2505" t="s">
        <v>9</v>
      </c>
      <c r="E2505" t="s">
        <v>3</v>
      </c>
      <c r="F2505" s="2">
        <v>45932</v>
      </c>
      <c r="G2505">
        <v>6913.25</v>
      </c>
      <c r="H2505" s="1">
        <f>AVERAGEIF(Table1[Customer_ID], Table1[[#This Row],[Customer_ID]], Table1[Transaction_Amount])</f>
        <v>5144.2722807017544</v>
      </c>
      <c r="I2505" t="s">
        <v>2192</v>
      </c>
      <c r="J2505" t="s">
        <v>46</v>
      </c>
      <c r="K2505" t="s">
        <v>8</v>
      </c>
      <c r="L2505">
        <v>4</v>
      </c>
      <c r="M2505" t="s">
        <v>33</v>
      </c>
      <c r="N2505" t="s">
        <v>32</v>
      </c>
      <c r="O2505" t="s">
        <v>392</v>
      </c>
      <c r="P2505" s="6" t="str">
        <f>IF(Table1[[#This Row],[Transaction_Amount]]&lt;=Table1[[#This Row],[avg_transaction_amount]], "usual transaction", "unusual transaction")</f>
        <v>unusual transaction</v>
      </c>
      <c r="Q2505" s="6" t="str">
        <f>IF(AND(Table1[[#This Row],[Country_of_Residence]]&lt;&gt;Table1[[#This Row],[Country_of_Transaction]], OR(Table1[[#This Row],[Authentication_Type]]="Biometric", Table1[[#This Row],[Authentication_Type]]="OTP")), "safe location transaction", "unsafe location transaction")</f>
        <v>safe location transaction</v>
      </c>
      <c r="R2505" s="6" t="str">
        <f>IF(AND(Table1[[#This Row],[Country_of_Residence]]&lt;&gt;Table1[[#This Row],[Country_of_Transaction]], OR(Table1[[#This Row],[Merchant_Category]]="Electronics", Table1[[#This Row],[Merchant_Category]]="Travel")), "unsafe merchant transaction", "safe merchant transaction")</f>
        <v>safe merchant transaction</v>
      </c>
    </row>
    <row r="2506" spans="1:18">
      <c r="A2506" t="s">
        <v>4776</v>
      </c>
      <c r="B2506" t="s">
        <v>351</v>
      </c>
      <c r="C2506">
        <v>1</v>
      </c>
      <c r="D2506" t="s">
        <v>9</v>
      </c>
      <c r="E2506" t="s">
        <v>420</v>
      </c>
      <c r="F2506" s="2">
        <v>45803</v>
      </c>
      <c r="G2506">
        <v>4509.59</v>
      </c>
      <c r="H2506" s="1">
        <f>AVERAGEIF(Table1[Customer_ID], Table1[[#This Row],[Customer_ID]], Table1[Transaction_Amount])</f>
        <v>5144.2722807017544</v>
      </c>
      <c r="I2506" t="s">
        <v>708</v>
      </c>
      <c r="J2506" t="s">
        <v>41</v>
      </c>
      <c r="K2506" t="s">
        <v>10</v>
      </c>
      <c r="L2506">
        <v>2</v>
      </c>
      <c r="M2506" t="s">
        <v>42</v>
      </c>
      <c r="N2506" t="s">
        <v>42</v>
      </c>
      <c r="O2506" t="s">
        <v>392</v>
      </c>
      <c r="P2506" s="6" t="str">
        <f>IF(Table1[[#This Row],[Transaction_Amount]]&lt;=Table1[[#This Row],[avg_transaction_amount]], "usual transaction", "unusual transaction")</f>
        <v>usual transaction</v>
      </c>
      <c r="Q2506" s="6" t="str">
        <f>IF(AND(Table1[[#This Row],[Country_of_Residence]]&lt;&gt;Table1[[#This Row],[Country_of_Transaction]], OR(Table1[[#This Row],[Authentication_Type]]="Biometric", Table1[[#This Row],[Authentication_Type]]="OTP")), "safe location transaction", "unsafe location transaction")</f>
        <v>unsafe location transaction</v>
      </c>
      <c r="R2506" s="6" t="str">
        <f>IF(AND(Table1[[#This Row],[Country_of_Residence]]&lt;&gt;Table1[[#This Row],[Country_of_Transaction]], OR(Table1[[#This Row],[Merchant_Category]]="Electronics", Table1[[#This Row],[Merchant_Category]]="Travel")), "unsafe merchant transaction", "safe merchant transaction")</f>
        <v>safe merchant transaction</v>
      </c>
    </row>
    <row r="2507" spans="1:18">
      <c r="A2507" t="s">
        <v>4825</v>
      </c>
      <c r="B2507" t="s">
        <v>351</v>
      </c>
      <c r="C2507">
        <v>1</v>
      </c>
      <c r="D2507" t="s">
        <v>9</v>
      </c>
      <c r="E2507" t="s">
        <v>5</v>
      </c>
      <c r="F2507" s="2">
        <v>45863</v>
      </c>
      <c r="G2507">
        <v>8872.98</v>
      </c>
      <c r="H2507" s="1">
        <f>AVERAGEIF(Table1[Customer_ID], Table1[[#This Row],[Customer_ID]], Table1[Transaction_Amount])</f>
        <v>5144.2722807017544</v>
      </c>
      <c r="I2507" t="s">
        <v>2243</v>
      </c>
      <c r="J2507" t="s">
        <v>50</v>
      </c>
      <c r="K2507" t="s">
        <v>14</v>
      </c>
      <c r="L2507">
        <v>3</v>
      </c>
      <c r="M2507" t="s">
        <v>47</v>
      </c>
      <c r="N2507" t="s">
        <v>56</v>
      </c>
      <c r="O2507" t="s">
        <v>392</v>
      </c>
      <c r="P2507" s="6" t="str">
        <f>IF(Table1[[#This Row],[Transaction_Amount]]&lt;=Table1[[#This Row],[avg_transaction_amount]], "usual transaction", "unusual transaction")</f>
        <v>unusual transaction</v>
      </c>
      <c r="Q2507" s="6" t="str">
        <f>IF(AND(Table1[[#This Row],[Country_of_Residence]]&lt;&gt;Table1[[#This Row],[Country_of_Transaction]], OR(Table1[[#This Row],[Authentication_Type]]="Biometric", Table1[[#This Row],[Authentication_Type]]="OTP")), "safe location transaction", "unsafe location transaction")</f>
        <v>unsafe location transaction</v>
      </c>
      <c r="R2507" s="6" t="str">
        <f>IF(AND(Table1[[#This Row],[Country_of_Residence]]&lt;&gt;Table1[[#This Row],[Country_of_Transaction]], OR(Table1[[#This Row],[Merchant_Category]]="Electronics", Table1[[#This Row],[Merchant_Category]]="Travel")), "unsafe merchant transaction", "safe merchant transaction")</f>
        <v>unsafe merchant transaction</v>
      </c>
    </row>
    <row r="2508" spans="1:18">
      <c r="A2508" t="s">
        <v>4848</v>
      </c>
      <c r="B2508" t="s">
        <v>351</v>
      </c>
      <c r="C2508">
        <v>1</v>
      </c>
      <c r="D2508" t="s">
        <v>15</v>
      </c>
      <c r="E2508" t="s">
        <v>6</v>
      </c>
      <c r="F2508" s="2">
        <v>45981</v>
      </c>
      <c r="G2508">
        <v>9958.7000000000007</v>
      </c>
      <c r="H2508" s="1">
        <f>AVERAGEIF(Table1[Customer_ID], Table1[[#This Row],[Customer_ID]], Table1[Transaction_Amount])</f>
        <v>5144.2722807017544</v>
      </c>
      <c r="I2508" t="s">
        <v>2261</v>
      </c>
      <c r="J2508" t="s">
        <v>31</v>
      </c>
      <c r="K2508" t="s">
        <v>8</v>
      </c>
      <c r="L2508">
        <v>0</v>
      </c>
      <c r="M2508" t="s">
        <v>37</v>
      </c>
      <c r="N2508" t="s">
        <v>33</v>
      </c>
      <c r="O2508" t="s">
        <v>392</v>
      </c>
      <c r="P2508" s="6" t="str">
        <f>IF(Table1[[#This Row],[Transaction_Amount]]&lt;=Table1[[#This Row],[avg_transaction_amount]], "usual transaction", "unusual transaction")</f>
        <v>unusual transaction</v>
      </c>
      <c r="Q2508" s="6" t="str">
        <f>IF(AND(Table1[[#This Row],[Country_of_Residence]]&lt;&gt;Table1[[#This Row],[Country_of_Transaction]], OR(Table1[[#This Row],[Authentication_Type]]="Biometric", Table1[[#This Row],[Authentication_Type]]="OTP")), "safe location transaction", "unsafe location transaction")</f>
        <v>safe location transaction</v>
      </c>
      <c r="R2508" s="6" t="str">
        <f>IF(AND(Table1[[#This Row],[Country_of_Residence]]&lt;&gt;Table1[[#This Row],[Country_of_Transaction]], OR(Table1[[#This Row],[Merchant_Category]]="Electronics", Table1[[#This Row],[Merchant_Category]]="Travel")), "unsafe merchant transaction", "safe merchant transaction")</f>
        <v>safe merchant transaction</v>
      </c>
    </row>
    <row r="2509" spans="1:18">
      <c r="A2509" t="s">
        <v>5059</v>
      </c>
      <c r="B2509" t="s">
        <v>351</v>
      </c>
      <c r="C2509">
        <v>1</v>
      </c>
      <c r="D2509" t="s">
        <v>15</v>
      </c>
      <c r="E2509" t="s">
        <v>3</v>
      </c>
      <c r="F2509" s="2">
        <v>45884</v>
      </c>
      <c r="G2509">
        <v>437.49</v>
      </c>
      <c r="H2509" s="1">
        <f>AVERAGEIF(Table1[Customer_ID], Table1[[#This Row],[Customer_ID]], Table1[Transaction_Amount])</f>
        <v>5144.2722807017544</v>
      </c>
      <c r="I2509" t="s">
        <v>2421</v>
      </c>
      <c r="J2509" t="s">
        <v>36</v>
      </c>
      <c r="K2509" t="s">
        <v>8</v>
      </c>
      <c r="L2509">
        <v>3</v>
      </c>
      <c r="M2509" t="s">
        <v>32</v>
      </c>
      <c r="N2509" t="s">
        <v>55</v>
      </c>
      <c r="O2509" t="s">
        <v>393</v>
      </c>
      <c r="P2509" s="6" t="str">
        <f>IF(Table1[[#This Row],[Transaction_Amount]]&lt;=Table1[[#This Row],[avg_transaction_amount]], "usual transaction", "unusual transaction")</f>
        <v>usual transaction</v>
      </c>
      <c r="Q2509" s="6" t="str">
        <f>IF(AND(Table1[[#This Row],[Country_of_Residence]]&lt;&gt;Table1[[#This Row],[Country_of_Transaction]], OR(Table1[[#This Row],[Authentication_Type]]="Biometric", Table1[[#This Row],[Authentication_Type]]="OTP")), "safe location transaction", "unsafe location transaction")</f>
        <v>safe location transaction</v>
      </c>
      <c r="R2509" s="6" t="str">
        <f>IF(AND(Table1[[#This Row],[Country_of_Residence]]&lt;&gt;Table1[[#This Row],[Country_of_Transaction]], OR(Table1[[#This Row],[Merchant_Category]]="Electronics", Table1[[#This Row],[Merchant_Category]]="Travel")), "unsafe merchant transaction", "safe merchant transaction")</f>
        <v>safe merchant transaction</v>
      </c>
    </row>
    <row r="2510" spans="1:18">
      <c r="A2510" t="s">
        <v>5087</v>
      </c>
      <c r="B2510" t="s">
        <v>351</v>
      </c>
      <c r="C2510">
        <v>1</v>
      </c>
      <c r="D2510" t="s">
        <v>9</v>
      </c>
      <c r="E2510" t="s">
        <v>5</v>
      </c>
      <c r="F2510" s="2">
        <v>45672</v>
      </c>
      <c r="G2510">
        <v>4716.37</v>
      </c>
      <c r="H2510" s="1">
        <f>AVERAGEIF(Table1[Customer_ID], Table1[[#This Row],[Customer_ID]], Table1[Transaction_Amount])</f>
        <v>5144.2722807017544</v>
      </c>
      <c r="I2510" t="s">
        <v>2439</v>
      </c>
      <c r="J2510" t="s">
        <v>31</v>
      </c>
      <c r="K2510" t="s">
        <v>14</v>
      </c>
      <c r="L2510">
        <v>0</v>
      </c>
      <c r="M2510" t="s">
        <v>42</v>
      </c>
      <c r="N2510" t="s">
        <v>51</v>
      </c>
      <c r="O2510" t="s">
        <v>393</v>
      </c>
      <c r="P2510" s="6" t="str">
        <f>IF(Table1[[#This Row],[Transaction_Amount]]&lt;=Table1[[#This Row],[avg_transaction_amount]], "usual transaction", "unusual transaction")</f>
        <v>usual transaction</v>
      </c>
      <c r="Q2510" s="6" t="str">
        <f>IF(AND(Table1[[#This Row],[Country_of_Residence]]&lt;&gt;Table1[[#This Row],[Country_of_Transaction]], OR(Table1[[#This Row],[Authentication_Type]]="Biometric", Table1[[#This Row],[Authentication_Type]]="OTP")), "safe location transaction", "unsafe location transaction")</f>
        <v>unsafe location transaction</v>
      </c>
      <c r="R2510" s="6" t="str">
        <f>IF(AND(Table1[[#This Row],[Country_of_Residence]]&lt;&gt;Table1[[#This Row],[Country_of_Transaction]], OR(Table1[[#This Row],[Merchant_Category]]="Electronics", Table1[[#This Row],[Merchant_Category]]="Travel")), "unsafe merchant transaction", "safe merchant transaction")</f>
        <v>safe merchant transaction</v>
      </c>
    </row>
    <row r="2511" spans="1:18">
      <c r="A2511" t="s">
        <v>5089</v>
      </c>
      <c r="B2511" t="s">
        <v>351</v>
      </c>
      <c r="C2511">
        <v>1</v>
      </c>
      <c r="D2511" t="s">
        <v>9</v>
      </c>
      <c r="E2511" t="s">
        <v>6</v>
      </c>
      <c r="F2511" s="2">
        <v>45964</v>
      </c>
      <c r="G2511">
        <v>6943.55</v>
      </c>
      <c r="H2511" s="1">
        <f>AVERAGEIF(Table1[Customer_ID], Table1[[#This Row],[Customer_ID]], Table1[Transaction_Amount])</f>
        <v>5144.2722807017544</v>
      </c>
      <c r="I2511" t="s">
        <v>1927</v>
      </c>
      <c r="J2511" t="s">
        <v>41</v>
      </c>
      <c r="K2511" t="s">
        <v>8</v>
      </c>
      <c r="L2511">
        <v>5</v>
      </c>
      <c r="M2511" t="s">
        <v>37</v>
      </c>
      <c r="N2511" t="s">
        <v>37</v>
      </c>
      <c r="O2511" t="s">
        <v>392</v>
      </c>
      <c r="P2511" s="6" t="str">
        <f>IF(Table1[[#This Row],[Transaction_Amount]]&lt;=Table1[[#This Row],[avg_transaction_amount]], "usual transaction", "unusual transaction")</f>
        <v>unusual transaction</v>
      </c>
      <c r="Q2511" s="6" t="str">
        <f>IF(AND(Table1[[#This Row],[Country_of_Residence]]&lt;&gt;Table1[[#This Row],[Country_of_Transaction]], OR(Table1[[#This Row],[Authentication_Type]]="Biometric", Table1[[#This Row],[Authentication_Type]]="OTP")), "safe location transaction", "unsafe location transaction")</f>
        <v>unsafe location transaction</v>
      </c>
      <c r="R2511" s="6" t="str">
        <f>IF(AND(Table1[[#This Row],[Country_of_Residence]]&lt;&gt;Table1[[#This Row],[Country_of_Transaction]], OR(Table1[[#This Row],[Merchant_Category]]="Electronics", Table1[[#This Row],[Merchant_Category]]="Travel")), "unsafe merchant transaction", "safe merchant transaction")</f>
        <v>safe merchant transaction</v>
      </c>
    </row>
    <row r="2512" spans="1:18">
      <c r="A2512" t="s">
        <v>5160</v>
      </c>
      <c r="B2512" t="s">
        <v>351</v>
      </c>
      <c r="C2512">
        <v>1</v>
      </c>
      <c r="D2512" t="s">
        <v>15</v>
      </c>
      <c r="E2512" t="s">
        <v>3</v>
      </c>
      <c r="F2512" s="2">
        <v>45754</v>
      </c>
      <c r="G2512">
        <v>9191.2800000000007</v>
      </c>
      <c r="H2512" s="1">
        <f>AVERAGEIF(Table1[Customer_ID], Table1[[#This Row],[Customer_ID]], Table1[Transaction_Amount])</f>
        <v>5144.2722807017544</v>
      </c>
      <c r="I2512" t="s">
        <v>2263</v>
      </c>
      <c r="J2512" t="s">
        <v>31</v>
      </c>
      <c r="K2512" t="s">
        <v>12</v>
      </c>
      <c r="L2512">
        <v>2</v>
      </c>
      <c r="M2512" t="s">
        <v>33</v>
      </c>
      <c r="N2512" t="s">
        <v>37</v>
      </c>
      <c r="O2512" t="s">
        <v>393</v>
      </c>
      <c r="P2512" s="6" t="str">
        <f>IF(Table1[[#This Row],[Transaction_Amount]]&lt;=Table1[[#This Row],[avg_transaction_amount]], "usual transaction", "unusual transaction")</f>
        <v>unusual transaction</v>
      </c>
      <c r="Q2512" s="6" t="str">
        <f>IF(AND(Table1[[#This Row],[Country_of_Residence]]&lt;&gt;Table1[[#This Row],[Country_of_Transaction]], OR(Table1[[#This Row],[Authentication_Type]]="Biometric", Table1[[#This Row],[Authentication_Type]]="OTP")), "safe location transaction", "unsafe location transaction")</f>
        <v>unsafe location transaction</v>
      </c>
      <c r="R2512" s="6" t="str">
        <f>IF(AND(Table1[[#This Row],[Country_of_Residence]]&lt;&gt;Table1[[#This Row],[Country_of_Transaction]], OR(Table1[[#This Row],[Merchant_Category]]="Electronics", Table1[[#This Row],[Merchant_Category]]="Travel")), "unsafe merchant transaction", "safe merchant transaction")</f>
        <v>safe merchant transaction</v>
      </c>
    </row>
    <row r="2513" spans="1:18">
      <c r="A2513" t="s">
        <v>5176</v>
      </c>
      <c r="B2513" t="s">
        <v>351</v>
      </c>
      <c r="C2513">
        <v>1</v>
      </c>
      <c r="D2513" t="s">
        <v>15</v>
      </c>
      <c r="E2513" t="s">
        <v>420</v>
      </c>
      <c r="F2513" s="2">
        <v>45681</v>
      </c>
      <c r="G2513">
        <v>9930.59</v>
      </c>
      <c r="H2513" s="1">
        <f>AVERAGEIF(Table1[Customer_ID], Table1[[#This Row],[Customer_ID]], Table1[Transaction_Amount])</f>
        <v>5144.2722807017544</v>
      </c>
      <c r="I2513" t="s">
        <v>2511</v>
      </c>
      <c r="J2513" t="s">
        <v>41</v>
      </c>
      <c r="K2513" t="s">
        <v>10</v>
      </c>
      <c r="L2513">
        <v>4</v>
      </c>
      <c r="M2513" t="s">
        <v>33</v>
      </c>
      <c r="N2513" t="s">
        <v>56</v>
      </c>
      <c r="O2513" t="s">
        <v>393</v>
      </c>
      <c r="P2513" s="6" t="str">
        <f>IF(Table1[[#This Row],[Transaction_Amount]]&lt;=Table1[[#This Row],[avg_transaction_amount]], "usual transaction", "unusual transaction")</f>
        <v>unusual transaction</v>
      </c>
      <c r="Q2513" s="6" t="str">
        <f>IF(AND(Table1[[#This Row],[Country_of_Residence]]&lt;&gt;Table1[[#This Row],[Country_of_Transaction]], OR(Table1[[#This Row],[Authentication_Type]]="Biometric", Table1[[#This Row],[Authentication_Type]]="OTP")), "safe location transaction", "unsafe location transaction")</f>
        <v>safe location transaction</v>
      </c>
      <c r="R2513" s="6" t="str">
        <f>IF(AND(Table1[[#This Row],[Country_of_Residence]]&lt;&gt;Table1[[#This Row],[Country_of_Transaction]], OR(Table1[[#This Row],[Merchant_Category]]="Electronics", Table1[[#This Row],[Merchant_Category]]="Travel")), "unsafe merchant transaction", "safe merchant transaction")</f>
        <v>safe merchant transaction</v>
      </c>
    </row>
    <row r="2514" spans="1:18">
      <c r="A2514" t="s">
        <v>5178</v>
      </c>
      <c r="B2514" t="s">
        <v>351</v>
      </c>
      <c r="C2514">
        <v>1</v>
      </c>
      <c r="D2514" t="s">
        <v>9</v>
      </c>
      <c r="E2514" t="s">
        <v>420</v>
      </c>
      <c r="F2514" s="2">
        <v>45867</v>
      </c>
      <c r="G2514">
        <v>6967.68</v>
      </c>
      <c r="H2514" s="1">
        <f>AVERAGEIF(Table1[Customer_ID], Table1[[#This Row],[Customer_ID]], Table1[Transaction_Amount])</f>
        <v>5144.2722807017544</v>
      </c>
      <c r="I2514" t="s">
        <v>2513</v>
      </c>
      <c r="J2514" t="s">
        <v>41</v>
      </c>
      <c r="K2514" t="s">
        <v>8</v>
      </c>
      <c r="L2514">
        <v>2</v>
      </c>
      <c r="M2514" t="s">
        <v>412</v>
      </c>
      <c r="N2514" t="s">
        <v>47</v>
      </c>
      <c r="O2514" t="s">
        <v>393</v>
      </c>
      <c r="P2514" s="6" t="str">
        <f>IF(Table1[[#This Row],[Transaction_Amount]]&lt;=Table1[[#This Row],[avg_transaction_amount]], "usual transaction", "unusual transaction")</f>
        <v>unusual transaction</v>
      </c>
      <c r="Q2514" s="6" t="str">
        <f>IF(AND(Table1[[#This Row],[Country_of_Residence]]&lt;&gt;Table1[[#This Row],[Country_of_Transaction]], OR(Table1[[#This Row],[Authentication_Type]]="Biometric", Table1[[#This Row],[Authentication_Type]]="OTP")), "safe location transaction", "unsafe location transaction")</f>
        <v>safe location transaction</v>
      </c>
      <c r="R2514" s="6" t="str">
        <f>IF(AND(Table1[[#This Row],[Country_of_Residence]]&lt;&gt;Table1[[#This Row],[Country_of_Transaction]], OR(Table1[[#This Row],[Merchant_Category]]="Electronics", Table1[[#This Row],[Merchant_Category]]="Travel")), "unsafe merchant transaction", "safe merchant transaction")</f>
        <v>safe merchant transaction</v>
      </c>
    </row>
    <row r="2515" spans="1:18">
      <c r="A2515" t="s">
        <v>5179</v>
      </c>
      <c r="B2515" t="s">
        <v>351</v>
      </c>
      <c r="C2515">
        <v>1</v>
      </c>
      <c r="D2515" t="s">
        <v>9</v>
      </c>
      <c r="E2515" t="s">
        <v>5</v>
      </c>
      <c r="F2515" s="2">
        <v>45884</v>
      </c>
      <c r="G2515">
        <v>8641.65</v>
      </c>
      <c r="H2515" s="1">
        <f>AVERAGEIF(Table1[Customer_ID], Table1[[#This Row],[Customer_ID]], Table1[Transaction_Amount])</f>
        <v>5144.2722807017544</v>
      </c>
      <c r="I2515" t="s">
        <v>1605</v>
      </c>
      <c r="J2515" t="s">
        <v>36</v>
      </c>
      <c r="K2515" t="s">
        <v>8</v>
      </c>
      <c r="L2515">
        <v>2</v>
      </c>
      <c r="M2515" t="s">
        <v>37</v>
      </c>
      <c r="N2515" t="s">
        <v>32</v>
      </c>
      <c r="O2515" t="s">
        <v>392</v>
      </c>
      <c r="P2515" s="6" t="str">
        <f>IF(Table1[[#This Row],[Transaction_Amount]]&lt;=Table1[[#This Row],[avg_transaction_amount]], "usual transaction", "unusual transaction")</f>
        <v>unusual transaction</v>
      </c>
      <c r="Q2515" s="6" t="str">
        <f>IF(AND(Table1[[#This Row],[Country_of_Residence]]&lt;&gt;Table1[[#This Row],[Country_of_Transaction]], OR(Table1[[#This Row],[Authentication_Type]]="Biometric", Table1[[#This Row],[Authentication_Type]]="OTP")), "safe location transaction", "unsafe location transaction")</f>
        <v>safe location transaction</v>
      </c>
      <c r="R2515" s="6" t="str">
        <f>IF(AND(Table1[[#This Row],[Country_of_Residence]]&lt;&gt;Table1[[#This Row],[Country_of_Transaction]], OR(Table1[[#This Row],[Merchant_Category]]="Electronics", Table1[[#This Row],[Merchant_Category]]="Travel")), "unsafe merchant transaction", "safe merchant transaction")</f>
        <v>safe merchant transaction</v>
      </c>
    </row>
    <row r="2516" spans="1:18">
      <c r="A2516" t="s">
        <v>5186</v>
      </c>
      <c r="B2516" t="s">
        <v>351</v>
      </c>
      <c r="C2516">
        <v>1</v>
      </c>
      <c r="D2516" t="s">
        <v>15</v>
      </c>
      <c r="E2516" t="s">
        <v>3</v>
      </c>
      <c r="F2516" s="2">
        <v>45676</v>
      </c>
      <c r="G2516">
        <v>1808.3</v>
      </c>
      <c r="H2516" s="1">
        <f>AVERAGEIF(Table1[Customer_ID], Table1[[#This Row],[Customer_ID]], Table1[Transaction_Amount])</f>
        <v>5144.2722807017544</v>
      </c>
      <c r="I2516" t="s">
        <v>2519</v>
      </c>
      <c r="J2516" t="s">
        <v>36</v>
      </c>
      <c r="K2516" t="s">
        <v>10</v>
      </c>
      <c r="L2516">
        <v>0</v>
      </c>
      <c r="M2516" t="s">
        <v>33</v>
      </c>
      <c r="N2516" t="s">
        <v>37</v>
      </c>
      <c r="O2516" t="s">
        <v>392</v>
      </c>
      <c r="P2516" s="6" t="str">
        <f>IF(Table1[[#This Row],[Transaction_Amount]]&lt;=Table1[[#This Row],[avg_transaction_amount]], "usual transaction", "unusual transaction")</f>
        <v>usual transaction</v>
      </c>
      <c r="Q2516" s="6" t="str">
        <f>IF(AND(Table1[[#This Row],[Country_of_Residence]]&lt;&gt;Table1[[#This Row],[Country_of_Transaction]], OR(Table1[[#This Row],[Authentication_Type]]="Biometric", Table1[[#This Row],[Authentication_Type]]="OTP")), "safe location transaction", "unsafe location transaction")</f>
        <v>safe location transaction</v>
      </c>
      <c r="R2516" s="6" t="str">
        <f>IF(AND(Table1[[#This Row],[Country_of_Residence]]&lt;&gt;Table1[[#This Row],[Country_of_Transaction]], OR(Table1[[#This Row],[Merchant_Category]]="Electronics", Table1[[#This Row],[Merchant_Category]]="Travel")), "unsafe merchant transaction", "safe merchant transaction")</f>
        <v>safe merchant transaction</v>
      </c>
    </row>
    <row r="2517" spans="1:18">
      <c r="A2517" t="s">
        <v>5321</v>
      </c>
      <c r="B2517" t="s">
        <v>351</v>
      </c>
      <c r="C2517">
        <v>1</v>
      </c>
      <c r="D2517" t="s">
        <v>9</v>
      </c>
      <c r="E2517" t="s">
        <v>5</v>
      </c>
      <c r="F2517" s="2">
        <v>45970</v>
      </c>
      <c r="G2517">
        <v>6945.91</v>
      </c>
      <c r="H2517" s="1">
        <f>AVERAGEIF(Table1[Customer_ID], Table1[[#This Row],[Customer_ID]], Table1[Transaction_Amount])</f>
        <v>5144.2722807017544</v>
      </c>
      <c r="I2517" t="s">
        <v>2621</v>
      </c>
      <c r="J2517" t="s">
        <v>50</v>
      </c>
      <c r="K2517" t="s">
        <v>8</v>
      </c>
      <c r="L2517">
        <v>4</v>
      </c>
      <c r="M2517" t="s">
        <v>47</v>
      </c>
      <c r="N2517" t="s">
        <v>32</v>
      </c>
      <c r="O2517" t="s">
        <v>393</v>
      </c>
      <c r="P2517" s="6" t="str">
        <f>IF(Table1[[#This Row],[Transaction_Amount]]&lt;=Table1[[#This Row],[avg_transaction_amount]], "usual transaction", "unusual transaction")</f>
        <v>unusual transaction</v>
      </c>
      <c r="Q2517" s="6" t="str">
        <f>IF(AND(Table1[[#This Row],[Country_of_Residence]]&lt;&gt;Table1[[#This Row],[Country_of_Transaction]], OR(Table1[[#This Row],[Authentication_Type]]="Biometric", Table1[[#This Row],[Authentication_Type]]="OTP")), "safe location transaction", "unsafe location transaction")</f>
        <v>safe location transaction</v>
      </c>
      <c r="R2517" s="6" t="str">
        <f>IF(AND(Table1[[#This Row],[Country_of_Residence]]&lt;&gt;Table1[[#This Row],[Country_of_Transaction]], OR(Table1[[#This Row],[Merchant_Category]]="Electronics", Table1[[#This Row],[Merchant_Category]]="Travel")), "unsafe merchant transaction", "safe merchant transaction")</f>
        <v>unsafe merchant transaction</v>
      </c>
    </row>
    <row r="2518" spans="1:18">
      <c r="A2518" t="s">
        <v>5398</v>
      </c>
      <c r="B2518" t="s">
        <v>351</v>
      </c>
      <c r="C2518">
        <v>1</v>
      </c>
      <c r="D2518" t="s">
        <v>15</v>
      </c>
      <c r="E2518" t="s">
        <v>5</v>
      </c>
      <c r="F2518" s="2">
        <v>46020</v>
      </c>
      <c r="G2518">
        <v>854.71</v>
      </c>
      <c r="H2518" s="1">
        <f>AVERAGEIF(Table1[Customer_ID], Table1[[#This Row],[Customer_ID]], Table1[Transaction_Amount])</f>
        <v>5144.2722807017544</v>
      </c>
      <c r="I2518" t="s">
        <v>2678</v>
      </c>
      <c r="J2518" t="s">
        <v>50</v>
      </c>
      <c r="K2518" t="s">
        <v>10</v>
      </c>
      <c r="L2518">
        <v>3</v>
      </c>
      <c r="M2518" t="s">
        <v>412</v>
      </c>
      <c r="N2518" t="s">
        <v>47</v>
      </c>
      <c r="O2518" t="s">
        <v>393</v>
      </c>
      <c r="P2518" s="6" t="str">
        <f>IF(Table1[[#This Row],[Transaction_Amount]]&lt;=Table1[[#This Row],[avg_transaction_amount]], "usual transaction", "unusual transaction")</f>
        <v>usual transaction</v>
      </c>
      <c r="Q2518" s="6" t="str">
        <f>IF(AND(Table1[[#This Row],[Country_of_Residence]]&lt;&gt;Table1[[#This Row],[Country_of_Transaction]], OR(Table1[[#This Row],[Authentication_Type]]="Biometric", Table1[[#This Row],[Authentication_Type]]="OTP")), "safe location transaction", "unsafe location transaction")</f>
        <v>safe location transaction</v>
      </c>
      <c r="R2518" s="6" t="str">
        <f>IF(AND(Table1[[#This Row],[Country_of_Residence]]&lt;&gt;Table1[[#This Row],[Country_of_Transaction]], OR(Table1[[#This Row],[Merchant_Category]]="Electronics", Table1[[#This Row],[Merchant_Category]]="Travel")), "unsafe merchant transaction", "safe merchant transaction")</f>
        <v>unsafe merchant transaction</v>
      </c>
    </row>
    <row r="2519" spans="1:18">
      <c r="A2519" t="s">
        <v>5403</v>
      </c>
      <c r="B2519" t="s">
        <v>351</v>
      </c>
      <c r="C2519">
        <v>1</v>
      </c>
      <c r="D2519" t="s">
        <v>9</v>
      </c>
      <c r="E2519" t="s">
        <v>6</v>
      </c>
      <c r="F2519" s="2">
        <v>45863</v>
      </c>
      <c r="G2519">
        <v>2342.41</v>
      </c>
      <c r="H2519" s="1">
        <f>AVERAGEIF(Table1[Customer_ID], Table1[[#This Row],[Customer_ID]], Table1[Transaction_Amount])</f>
        <v>5144.2722807017544</v>
      </c>
      <c r="I2519" t="s">
        <v>2682</v>
      </c>
      <c r="J2519" t="s">
        <v>50</v>
      </c>
      <c r="K2519" t="s">
        <v>10</v>
      </c>
      <c r="L2519">
        <v>2</v>
      </c>
      <c r="M2519" t="s">
        <v>32</v>
      </c>
      <c r="N2519" t="s">
        <v>47</v>
      </c>
      <c r="O2519" t="s">
        <v>392</v>
      </c>
      <c r="P2519" s="6" t="str">
        <f>IF(Table1[[#This Row],[Transaction_Amount]]&lt;=Table1[[#This Row],[avg_transaction_amount]], "usual transaction", "unusual transaction")</f>
        <v>usual transaction</v>
      </c>
      <c r="Q2519" s="6" t="str">
        <f>IF(AND(Table1[[#This Row],[Country_of_Residence]]&lt;&gt;Table1[[#This Row],[Country_of_Transaction]], OR(Table1[[#This Row],[Authentication_Type]]="Biometric", Table1[[#This Row],[Authentication_Type]]="OTP")), "safe location transaction", "unsafe location transaction")</f>
        <v>safe location transaction</v>
      </c>
      <c r="R2519" s="6" t="str">
        <f>IF(AND(Table1[[#This Row],[Country_of_Residence]]&lt;&gt;Table1[[#This Row],[Country_of_Transaction]], OR(Table1[[#This Row],[Merchant_Category]]="Electronics", Table1[[#This Row],[Merchant_Category]]="Travel")), "unsafe merchant transaction", "safe merchant transaction")</f>
        <v>unsafe merchant transaction</v>
      </c>
    </row>
    <row r="2520" spans="1:18">
      <c r="A2520" t="s">
        <v>5436</v>
      </c>
      <c r="B2520" t="s">
        <v>351</v>
      </c>
      <c r="C2520">
        <v>1</v>
      </c>
      <c r="D2520" t="s">
        <v>9</v>
      </c>
      <c r="E2520" t="s">
        <v>5</v>
      </c>
      <c r="F2520" s="2">
        <v>45730</v>
      </c>
      <c r="G2520">
        <v>3161.07</v>
      </c>
      <c r="H2520" s="1">
        <f>AVERAGEIF(Table1[Customer_ID], Table1[[#This Row],[Customer_ID]], Table1[Transaction_Amount])</f>
        <v>5144.2722807017544</v>
      </c>
      <c r="I2520" t="s">
        <v>2706</v>
      </c>
      <c r="J2520" t="s">
        <v>41</v>
      </c>
      <c r="K2520" t="s">
        <v>14</v>
      </c>
      <c r="L2520">
        <v>2</v>
      </c>
      <c r="M2520" t="s">
        <v>51</v>
      </c>
      <c r="N2520" t="s">
        <v>55</v>
      </c>
      <c r="O2520" t="s">
        <v>393</v>
      </c>
      <c r="P2520" s="6" t="str">
        <f>IF(Table1[[#This Row],[Transaction_Amount]]&lt;=Table1[[#This Row],[avg_transaction_amount]], "usual transaction", "unusual transaction")</f>
        <v>usual transaction</v>
      </c>
      <c r="Q2520" s="6" t="str">
        <f>IF(AND(Table1[[#This Row],[Country_of_Residence]]&lt;&gt;Table1[[#This Row],[Country_of_Transaction]], OR(Table1[[#This Row],[Authentication_Type]]="Biometric", Table1[[#This Row],[Authentication_Type]]="OTP")), "safe location transaction", "unsafe location transaction")</f>
        <v>unsafe location transaction</v>
      </c>
      <c r="R2520" s="6" t="str">
        <f>IF(AND(Table1[[#This Row],[Country_of_Residence]]&lt;&gt;Table1[[#This Row],[Country_of_Transaction]], OR(Table1[[#This Row],[Merchant_Category]]="Electronics", Table1[[#This Row],[Merchant_Category]]="Travel")), "unsafe merchant transaction", "safe merchant transaction")</f>
        <v>safe merchant transaction</v>
      </c>
    </row>
    <row r="2521" spans="1:18">
      <c r="A2521" t="s">
        <v>5480</v>
      </c>
      <c r="B2521" t="s">
        <v>351</v>
      </c>
      <c r="C2521">
        <v>1</v>
      </c>
      <c r="D2521" t="s">
        <v>15</v>
      </c>
      <c r="E2521" t="s">
        <v>6</v>
      </c>
      <c r="F2521" s="2">
        <v>45762</v>
      </c>
      <c r="G2521">
        <v>5740.94</v>
      </c>
      <c r="H2521" s="1">
        <f>AVERAGEIF(Table1[Customer_ID], Table1[[#This Row],[Customer_ID]], Table1[Transaction_Amount])</f>
        <v>5144.2722807017544</v>
      </c>
      <c r="I2521" t="s">
        <v>2739</v>
      </c>
      <c r="J2521" t="s">
        <v>41</v>
      </c>
      <c r="K2521" t="s">
        <v>12</v>
      </c>
      <c r="L2521">
        <v>0</v>
      </c>
      <c r="M2521" t="s">
        <v>51</v>
      </c>
      <c r="N2521" t="s">
        <v>412</v>
      </c>
      <c r="O2521" t="s">
        <v>392</v>
      </c>
      <c r="P2521" s="6" t="str">
        <f>IF(Table1[[#This Row],[Transaction_Amount]]&lt;=Table1[[#This Row],[avg_transaction_amount]], "usual transaction", "unusual transaction")</f>
        <v>unusual transaction</v>
      </c>
      <c r="Q2521" s="6" t="str">
        <f>IF(AND(Table1[[#This Row],[Country_of_Residence]]&lt;&gt;Table1[[#This Row],[Country_of_Transaction]], OR(Table1[[#This Row],[Authentication_Type]]="Biometric", Table1[[#This Row],[Authentication_Type]]="OTP")), "safe location transaction", "unsafe location transaction")</f>
        <v>unsafe location transaction</v>
      </c>
      <c r="R2521" s="6" t="str">
        <f>IF(AND(Table1[[#This Row],[Country_of_Residence]]&lt;&gt;Table1[[#This Row],[Country_of_Transaction]], OR(Table1[[#This Row],[Merchant_Category]]="Electronics", Table1[[#This Row],[Merchant_Category]]="Travel")), "unsafe merchant transaction", "safe merchant transaction")</f>
        <v>safe merchant transaction</v>
      </c>
    </row>
    <row r="2522" spans="1:18">
      <c r="A2522" t="s">
        <v>5496</v>
      </c>
      <c r="B2522" t="s">
        <v>351</v>
      </c>
      <c r="C2522">
        <v>1</v>
      </c>
      <c r="D2522" t="s">
        <v>15</v>
      </c>
      <c r="E2522" t="s">
        <v>3</v>
      </c>
      <c r="F2522" s="2">
        <v>45754</v>
      </c>
      <c r="G2522">
        <v>7876.93</v>
      </c>
      <c r="H2522" s="1">
        <f>AVERAGEIF(Table1[Customer_ID], Table1[[#This Row],[Customer_ID]], Table1[Transaction_Amount])</f>
        <v>5144.2722807017544</v>
      </c>
      <c r="I2522" t="s">
        <v>2752</v>
      </c>
      <c r="J2522" t="s">
        <v>46</v>
      </c>
      <c r="K2522" t="s">
        <v>10</v>
      </c>
      <c r="L2522">
        <v>1</v>
      </c>
      <c r="M2522" t="s">
        <v>32</v>
      </c>
      <c r="N2522" t="s">
        <v>51</v>
      </c>
      <c r="O2522" t="s">
        <v>392</v>
      </c>
      <c r="P2522" s="6" t="str">
        <f>IF(Table1[[#This Row],[Transaction_Amount]]&lt;=Table1[[#This Row],[avg_transaction_amount]], "usual transaction", "unusual transaction")</f>
        <v>unusual transaction</v>
      </c>
      <c r="Q2522" s="6" t="str">
        <f>IF(AND(Table1[[#This Row],[Country_of_Residence]]&lt;&gt;Table1[[#This Row],[Country_of_Transaction]], OR(Table1[[#This Row],[Authentication_Type]]="Biometric", Table1[[#This Row],[Authentication_Type]]="OTP")), "safe location transaction", "unsafe location transaction")</f>
        <v>safe location transaction</v>
      </c>
      <c r="R2522" s="6" t="str">
        <f>IF(AND(Table1[[#This Row],[Country_of_Residence]]&lt;&gt;Table1[[#This Row],[Country_of_Transaction]], OR(Table1[[#This Row],[Merchant_Category]]="Electronics", Table1[[#This Row],[Merchant_Category]]="Travel")), "unsafe merchant transaction", "safe merchant transaction")</f>
        <v>safe merchant transaction</v>
      </c>
    </row>
    <row r="2523" spans="1:18">
      <c r="A2523" t="s">
        <v>5500</v>
      </c>
      <c r="B2523" t="s">
        <v>351</v>
      </c>
      <c r="C2523">
        <v>1</v>
      </c>
      <c r="D2523" t="s">
        <v>15</v>
      </c>
      <c r="E2523" t="s">
        <v>5</v>
      </c>
      <c r="F2523" s="2">
        <v>45928</v>
      </c>
      <c r="G2523">
        <v>2772.86</v>
      </c>
      <c r="H2523" s="1">
        <f>AVERAGEIF(Table1[Customer_ID], Table1[[#This Row],[Customer_ID]], Table1[Transaction_Amount])</f>
        <v>5144.2722807017544</v>
      </c>
      <c r="I2523" t="s">
        <v>2568</v>
      </c>
      <c r="J2523" t="s">
        <v>50</v>
      </c>
      <c r="K2523" t="s">
        <v>10</v>
      </c>
      <c r="L2523">
        <v>3</v>
      </c>
      <c r="M2523" t="s">
        <v>37</v>
      </c>
      <c r="N2523" t="s">
        <v>51</v>
      </c>
      <c r="O2523" t="s">
        <v>392</v>
      </c>
      <c r="P2523" s="6" t="str">
        <f>IF(Table1[[#This Row],[Transaction_Amount]]&lt;=Table1[[#This Row],[avg_transaction_amount]], "usual transaction", "unusual transaction")</f>
        <v>usual transaction</v>
      </c>
      <c r="Q2523" s="6" t="str">
        <f>IF(AND(Table1[[#This Row],[Country_of_Residence]]&lt;&gt;Table1[[#This Row],[Country_of_Transaction]], OR(Table1[[#This Row],[Authentication_Type]]="Biometric", Table1[[#This Row],[Authentication_Type]]="OTP")), "safe location transaction", "unsafe location transaction")</f>
        <v>safe location transaction</v>
      </c>
      <c r="R2523" s="6" t="str">
        <f>IF(AND(Table1[[#This Row],[Country_of_Residence]]&lt;&gt;Table1[[#This Row],[Country_of_Transaction]], OR(Table1[[#This Row],[Merchant_Category]]="Electronics", Table1[[#This Row],[Merchant_Category]]="Travel")), "unsafe merchant transaction", "safe merchant transaction")</f>
        <v>unsafe merchant transaction</v>
      </c>
    </row>
    <row r="2524" spans="1:18">
      <c r="A2524" t="s">
        <v>5505</v>
      </c>
      <c r="B2524" t="s">
        <v>351</v>
      </c>
      <c r="C2524">
        <v>1</v>
      </c>
      <c r="D2524" t="s">
        <v>15</v>
      </c>
      <c r="E2524" t="s">
        <v>5</v>
      </c>
      <c r="F2524" s="2">
        <v>45749</v>
      </c>
      <c r="G2524">
        <v>2508.2800000000002</v>
      </c>
      <c r="H2524" s="1">
        <f>AVERAGEIF(Table1[Customer_ID], Table1[[#This Row],[Customer_ID]], Table1[Transaction_Amount])</f>
        <v>5144.2722807017544</v>
      </c>
      <c r="I2524" t="s">
        <v>2758</v>
      </c>
      <c r="J2524" t="s">
        <v>46</v>
      </c>
      <c r="K2524" t="s">
        <v>10</v>
      </c>
      <c r="L2524">
        <v>2</v>
      </c>
      <c r="M2524" t="s">
        <v>412</v>
      </c>
      <c r="N2524" t="s">
        <v>32</v>
      </c>
      <c r="O2524" t="s">
        <v>392</v>
      </c>
      <c r="P2524" s="6" t="str">
        <f>IF(Table1[[#This Row],[Transaction_Amount]]&lt;=Table1[[#This Row],[avg_transaction_amount]], "usual transaction", "unusual transaction")</f>
        <v>usual transaction</v>
      </c>
      <c r="Q2524" s="6" t="str">
        <f>IF(AND(Table1[[#This Row],[Country_of_Residence]]&lt;&gt;Table1[[#This Row],[Country_of_Transaction]], OR(Table1[[#This Row],[Authentication_Type]]="Biometric", Table1[[#This Row],[Authentication_Type]]="OTP")), "safe location transaction", "unsafe location transaction")</f>
        <v>safe location transaction</v>
      </c>
      <c r="R2524" s="6" t="str">
        <f>IF(AND(Table1[[#This Row],[Country_of_Residence]]&lt;&gt;Table1[[#This Row],[Country_of_Transaction]], OR(Table1[[#This Row],[Merchant_Category]]="Electronics", Table1[[#This Row],[Merchant_Category]]="Travel")), "unsafe merchant transaction", "safe merchant transaction")</f>
        <v>safe merchant transaction</v>
      </c>
    </row>
    <row r="2525" spans="1:18">
      <c r="A2525" t="s">
        <v>2767</v>
      </c>
      <c r="B2525" t="s">
        <v>414</v>
      </c>
      <c r="C2525">
        <v>1</v>
      </c>
      <c r="D2525" t="s">
        <v>15</v>
      </c>
      <c r="E2525" t="s">
        <v>5</v>
      </c>
      <c r="F2525" s="2">
        <v>45710</v>
      </c>
      <c r="G2525">
        <v>4255.01</v>
      </c>
      <c r="H2525" s="1">
        <f>AVERAGEIF(Table1[Customer_ID], Table1[[#This Row],[Customer_ID]], Table1[Transaction_Amount])</f>
        <v>5437.4650909090906</v>
      </c>
      <c r="I2525" t="s">
        <v>415</v>
      </c>
      <c r="J2525" t="s">
        <v>31</v>
      </c>
      <c r="K2525" t="s">
        <v>14</v>
      </c>
      <c r="L2525">
        <v>2</v>
      </c>
      <c r="M2525" t="s">
        <v>37</v>
      </c>
      <c r="N2525" t="s">
        <v>412</v>
      </c>
      <c r="O2525" t="s">
        <v>393</v>
      </c>
      <c r="P2525" s="6" t="str">
        <f>IF(Table1[[#This Row],[Transaction_Amount]]&lt;=Table1[[#This Row],[avg_transaction_amount]], "usual transaction", "unusual transaction")</f>
        <v>usual transaction</v>
      </c>
      <c r="Q2525" s="6" t="str">
        <f>IF(AND(Table1[[#This Row],[Country_of_Residence]]&lt;&gt;Table1[[#This Row],[Country_of_Transaction]], OR(Table1[[#This Row],[Authentication_Type]]="Biometric", Table1[[#This Row],[Authentication_Type]]="OTP")), "safe location transaction", "unsafe location transaction")</f>
        <v>unsafe location transaction</v>
      </c>
      <c r="R2525" s="6" t="str">
        <f>IF(AND(Table1[[#This Row],[Country_of_Residence]]&lt;&gt;Table1[[#This Row],[Country_of_Transaction]], OR(Table1[[#This Row],[Merchant_Category]]="Electronics", Table1[[#This Row],[Merchant_Category]]="Travel")), "unsafe merchant transaction", "safe merchant transaction")</f>
        <v>safe merchant transaction</v>
      </c>
    </row>
    <row r="2526" spans="1:18">
      <c r="A2526" t="s">
        <v>2770</v>
      </c>
      <c r="B2526" t="s">
        <v>414</v>
      </c>
      <c r="C2526">
        <v>1</v>
      </c>
      <c r="D2526" t="s">
        <v>15</v>
      </c>
      <c r="E2526" t="s">
        <v>6</v>
      </c>
      <c r="F2526" s="2">
        <v>45741</v>
      </c>
      <c r="G2526">
        <v>9369.7099999999991</v>
      </c>
      <c r="H2526" s="1">
        <f>AVERAGEIF(Table1[Customer_ID], Table1[[#This Row],[Customer_ID]], Table1[Transaction_Amount])</f>
        <v>5437.4650909090906</v>
      </c>
      <c r="I2526" t="s">
        <v>418</v>
      </c>
      <c r="J2526" t="s">
        <v>50</v>
      </c>
      <c r="K2526" t="s">
        <v>12</v>
      </c>
      <c r="L2526">
        <v>5</v>
      </c>
      <c r="M2526" t="s">
        <v>51</v>
      </c>
      <c r="N2526" t="s">
        <v>412</v>
      </c>
      <c r="O2526" t="s">
        <v>392</v>
      </c>
      <c r="P2526" s="6" t="str">
        <f>IF(Table1[[#This Row],[Transaction_Amount]]&lt;=Table1[[#This Row],[avg_transaction_amount]], "usual transaction", "unusual transaction")</f>
        <v>unusual transaction</v>
      </c>
      <c r="Q2526" s="6" t="str">
        <f>IF(AND(Table1[[#This Row],[Country_of_Residence]]&lt;&gt;Table1[[#This Row],[Country_of_Transaction]], OR(Table1[[#This Row],[Authentication_Type]]="Biometric", Table1[[#This Row],[Authentication_Type]]="OTP")), "safe location transaction", "unsafe location transaction")</f>
        <v>unsafe location transaction</v>
      </c>
      <c r="R2526" s="6" t="str">
        <f>IF(AND(Table1[[#This Row],[Country_of_Residence]]&lt;&gt;Table1[[#This Row],[Country_of_Transaction]], OR(Table1[[#This Row],[Merchant_Category]]="Electronics", Table1[[#This Row],[Merchant_Category]]="Travel")), "unsafe merchant transaction", "safe merchant transaction")</f>
        <v>unsafe merchant transaction</v>
      </c>
    </row>
    <row r="2527" spans="1:18">
      <c r="A2527" t="s">
        <v>2796</v>
      </c>
      <c r="B2527" t="s">
        <v>414</v>
      </c>
      <c r="C2527">
        <v>1</v>
      </c>
      <c r="D2527" t="s">
        <v>9</v>
      </c>
      <c r="E2527" t="s">
        <v>420</v>
      </c>
      <c r="F2527" s="2">
        <v>46004</v>
      </c>
      <c r="G2527">
        <v>2991.77</v>
      </c>
      <c r="H2527" s="1">
        <f>AVERAGEIF(Table1[Customer_ID], Table1[[#This Row],[Customer_ID]], Table1[Transaction_Amount])</f>
        <v>5437.4650909090906</v>
      </c>
      <c r="I2527" t="s">
        <v>446</v>
      </c>
      <c r="J2527" t="s">
        <v>41</v>
      </c>
      <c r="K2527" t="s">
        <v>14</v>
      </c>
      <c r="L2527">
        <v>3</v>
      </c>
      <c r="M2527" t="s">
        <v>33</v>
      </c>
      <c r="N2527" t="s">
        <v>412</v>
      </c>
      <c r="O2527" t="s">
        <v>393</v>
      </c>
      <c r="P2527" s="6" t="str">
        <f>IF(Table1[[#This Row],[Transaction_Amount]]&lt;=Table1[[#This Row],[avg_transaction_amount]], "usual transaction", "unusual transaction")</f>
        <v>usual transaction</v>
      </c>
      <c r="Q2527" s="6" t="str">
        <f>IF(AND(Table1[[#This Row],[Country_of_Residence]]&lt;&gt;Table1[[#This Row],[Country_of_Transaction]], OR(Table1[[#This Row],[Authentication_Type]]="Biometric", Table1[[#This Row],[Authentication_Type]]="OTP")), "safe location transaction", "unsafe location transaction")</f>
        <v>unsafe location transaction</v>
      </c>
      <c r="R2527" s="6" t="str">
        <f>IF(AND(Table1[[#This Row],[Country_of_Residence]]&lt;&gt;Table1[[#This Row],[Country_of_Transaction]], OR(Table1[[#This Row],[Merchant_Category]]="Electronics", Table1[[#This Row],[Merchant_Category]]="Travel")), "unsafe merchant transaction", "safe merchant transaction")</f>
        <v>safe merchant transaction</v>
      </c>
    </row>
    <row r="2528" spans="1:18">
      <c r="A2528" t="s">
        <v>2803</v>
      </c>
      <c r="B2528" t="s">
        <v>414</v>
      </c>
      <c r="C2528">
        <v>1</v>
      </c>
      <c r="D2528" t="s">
        <v>9</v>
      </c>
      <c r="E2528" t="s">
        <v>420</v>
      </c>
      <c r="F2528" s="2">
        <v>45827</v>
      </c>
      <c r="G2528">
        <v>1570.41</v>
      </c>
      <c r="H2528" s="1">
        <f>AVERAGEIF(Table1[Customer_ID], Table1[[#This Row],[Customer_ID]], Table1[Transaction_Amount])</f>
        <v>5437.4650909090906</v>
      </c>
      <c r="I2528" t="s">
        <v>454</v>
      </c>
      <c r="J2528" t="s">
        <v>36</v>
      </c>
      <c r="K2528" t="s">
        <v>10</v>
      </c>
      <c r="L2528">
        <v>1</v>
      </c>
      <c r="M2528" t="s">
        <v>56</v>
      </c>
      <c r="N2528" t="s">
        <v>56</v>
      </c>
      <c r="O2528" t="s">
        <v>392</v>
      </c>
      <c r="P2528" s="6" t="str">
        <f>IF(Table1[[#This Row],[Transaction_Amount]]&lt;=Table1[[#This Row],[avg_transaction_amount]], "usual transaction", "unusual transaction")</f>
        <v>usual transaction</v>
      </c>
      <c r="Q2528" s="6" t="str">
        <f>IF(AND(Table1[[#This Row],[Country_of_Residence]]&lt;&gt;Table1[[#This Row],[Country_of_Transaction]], OR(Table1[[#This Row],[Authentication_Type]]="Biometric", Table1[[#This Row],[Authentication_Type]]="OTP")), "safe location transaction", "unsafe location transaction")</f>
        <v>unsafe location transaction</v>
      </c>
      <c r="R2528" s="6" t="str">
        <f>IF(AND(Table1[[#This Row],[Country_of_Residence]]&lt;&gt;Table1[[#This Row],[Country_of_Transaction]], OR(Table1[[#This Row],[Merchant_Category]]="Electronics", Table1[[#This Row],[Merchant_Category]]="Travel")), "unsafe merchant transaction", "safe merchant transaction")</f>
        <v>safe merchant transaction</v>
      </c>
    </row>
    <row r="2529" spans="1:18">
      <c r="A2529" t="s">
        <v>2838</v>
      </c>
      <c r="B2529" t="s">
        <v>414</v>
      </c>
      <c r="C2529">
        <v>1</v>
      </c>
      <c r="D2529" t="s">
        <v>15</v>
      </c>
      <c r="E2529" t="s">
        <v>420</v>
      </c>
      <c r="F2529" s="2">
        <v>45905</v>
      </c>
      <c r="G2529">
        <v>2538.48</v>
      </c>
      <c r="H2529" s="1">
        <f>AVERAGEIF(Table1[Customer_ID], Table1[[#This Row],[Customer_ID]], Table1[Transaction_Amount])</f>
        <v>5437.4650909090906</v>
      </c>
      <c r="I2529" t="s">
        <v>489</v>
      </c>
      <c r="J2529" t="s">
        <v>36</v>
      </c>
      <c r="K2529" t="s">
        <v>14</v>
      </c>
      <c r="L2529">
        <v>4</v>
      </c>
      <c r="M2529" t="s">
        <v>37</v>
      </c>
      <c r="N2529" t="s">
        <v>37</v>
      </c>
      <c r="O2529" t="s">
        <v>392</v>
      </c>
      <c r="P2529" s="6" t="str">
        <f>IF(Table1[[#This Row],[Transaction_Amount]]&lt;=Table1[[#This Row],[avg_transaction_amount]], "usual transaction", "unusual transaction")</f>
        <v>usual transaction</v>
      </c>
      <c r="Q2529" s="6" t="str">
        <f>IF(AND(Table1[[#This Row],[Country_of_Residence]]&lt;&gt;Table1[[#This Row],[Country_of_Transaction]], OR(Table1[[#This Row],[Authentication_Type]]="Biometric", Table1[[#This Row],[Authentication_Type]]="OTP")), "safe location transaction", "unsafe location transaction")</f>
        <v>unsafe location transaction</v>
      </c>
      <c r="R2529" s="6" t="str">
        <f>IF(AND(Table1[[#This Row],[Country_of_Residence]]&lt;&gt;Table1[[#This Row],[Country_of_Transaction]], OR(Table1[[#This Row],[Merchant_Category]]="Electronics", Table1[[#This Row],[Merchant_Category]]="Travel")), "unsafe merchant transaction", "safe merchant transaction")</f>
        <v>safe merchant transaction</v>
      </c>
    </row>
    <row r="2530" spans="1:18">
      <c r="A2530" t="s">
        <v>2933</v>
      </c>
      <c r="B2530" t="s">
        <v>414</v>
      </c>
      <c r="C2530">
        <v>1</v>
      </c>
      <c r="D2530" t="s">
        <v>15</v>
      </c>
      <c r="E2530" t="s">
        <v>5</v>
      </c>
      <c r="F2530" s="2">
        <v>45802</v>
      </c>
      <c r="G2530">
        <v>6063.8</v>
      </c>
      <c r="H2530" s="1">
        <f>AVERAGEIF(Table1[Customer_ID], Table1[[#This Row],[Customer_ID]], Table1[Transaction_Amount])</f>
        <v>5437.4650909090906</v>
      </c>
      <c r="I2530" t="s">
        <v>582</v>
      </c>
      <c r="J2530" t="s">
        <v>41</v>
      </c>
      <c r="K2530" t="s">
        <v>14</v>
      </c>
      <c r="L2530">
        <v>2</v>
      </c>
      <c r="M2530" t="s">
        <v>37</v>
      </c>
      <c r="N2530" t="s">
        <v>51</v>
      </c>
      <c r="O2530" t="s">
        <v>393</v>
      </c>
      <c r="P2530" s="6" t="str">
        <f>IF(Table1[[#This Row],[Transaction_Amount]]&lt;=Table1[[#This Row],[avg_transaction_amount]], "usual transaction", "unusual transaction")</f>
        <v>unusual transaction</v>
      </c>
      <c r="Q2530" s="6" t="str">
        <f>IF(AND(Table1[[#This Row],[Country_of_Residence]]&lt;&gt;Table1[[#This Row],[Country_of_Transaction]], OR(Table1[[#This Row],[Authentication_Type]]="Biometric", Table1[[#This Row],[Authentication_Type]]="OTP")), "safe location transaction", "unsafe location transaction")</f>
        <v>unsafe location transaction</v>
      </c>
      <c r="R2530" s="6" t="str">
        <f>IF(AND(Table1[[#This Row],[Country_of_Residence]]&lt;&gt;Table1[[#This Row],[Country_of_Transaction]], OR(Table1[[#This Row],[Merchant_Category]]="Electronics", Table1[[#This Row],[Merchant_Category]]="Travel")), "unsafe merchant transaction", "safe merchant transaction")</f>
        <v>safe merchant transaction</v>
      </c>
    </row>
    <row r="2531" spans="1:18">
      <c r="A2531" t="s">
        <v>2942</v>
      </c>
      <c r="B2531" t="s">
        <v>414</v>
      </c>
      <c r="C2531">
        <v>1</v>
      </c>
      <c r="D2531" t="s">
        <v>15</v>
      </c>
      <c r="E2531" t="s">
        <v>3</v>
      </c>
      <c r="F2531" s="2">
        <v>46008</v>
      </c>
      <c r="G2531">
        <v>8881.17</v>
      </c>
      <c r="H2531" s="1">
        <f>AVERAGEIF(Table1[Customer_ID], Table1[[#This Row],[Customer_ID]], Table1[Transaction_Amount])</f>
        <v>5437.4650909090906</v>
      </c>
      <c r="I2531" t="s">
        <v>591</v>
      </c>
      <c r="J2531" t="s">
        <v>41</v>
      </c>
      <c r="K2531" t="s">
        <v>10</v>
      </c>
      <c r="L2531">
        <v>1</v>
      </c>
      <c r="M2531" t="s">
        <v>51</v>
      </c>
      <c r="N2531" t="s">
        <v>412</v>
      </c>
      <c r="O2531" t="s">
        <v>392</v>
      </c>
      <c r="P2531" s="6" t="str">
        <f>IF(Table1[[#This Row],[Transaction_Amount]]&lt;=Table1[[#This Row],[avg_transaction_amount]], "usual transaction", "unusual transaction")</f>
        <v>unusual transaction</v>
      </c>
      <c r="Q2531" s="6" t="str">
        <f>IF(AND(Table1[[#This Row],[Country_of_Residence]]&lt;&gt;Table1[[#This Row],[Country_of_Transaction]], OR(Table1[[#This Row],[Authentication_Type]]="Biometric", Table1[[#This Row],[Authentication_Type]]="OTP")), "safe location transaction", "unsafe location transaction")</f>
        <v>safe location transaction</v>
      </c>
      <c r="R2531" s="6" t="str">
        <f>IF(AND(Table1[[#This Row],[Country_of_Residence]]&lt;&gt;Table1[[#This Row],[Country_of_Transaction]], OR(Table1[[#This Row],[Merchant_Category]]="Electronics", Table1[[#This Row],[Merchant_Category]]="Travel")), "unsafe merchant transaction", "safe merchant transaction")</f>
        <v>safe merchant transaction</v>
      </c>
    </row>
    <row r="2532" spans="1:18">
      <c r="A2532" t="s">
        <v>3041</v>
      </c>
      <c r="B2532" t="s">
        <v>414</v>
      </c>
      <c r="C2532">
        <v>1</v>
      </c>
      <c r="D2532" t="s">
        <v>15</v>
      </c>
      <c r="E2532" t="s">
        <v>5</v>
      </c>
      <c r="F2532" s="2">
        <v>45900</v>
      </c>
      <c r="G2532">
        <v>1202.1099999999999</v>
      </c>
      <c r="H2532" s="1">
        <f>AVERAGEIF(Table1[Customer_ID], Table1[[#This Row],[Customer_ID]], Table1[Transaction_Amount])</f>
        <v>5437.4650909090906</v>
      </c>
      <c r="I2532" t="s">
        <v>686</v>
      </c>
      <c r="J2532" t="s">
        <v>46</v>
      </c>
      <c r="K2532" t="s">
        <v>10</v>
      </c>
      <c r="L2532">
        <v>2</v>
      </c>
      <c r="M2532" t="s">
        <v>56</v>
      </c>
      <c r="N2532" t="s">
        <v>32</v>
      </c>
      <c r="O2532" t="s">
        <v>393</v>
      </c>
      <c r="P2532" s="6" t="str">
        <f>IF(Table1[[#This Row],[Transaction_Amount]]&lt;=Table1[[#This Row],[avg_transaction_amount]], "usual transaction", "unusual transaction")</f>
        <v>usual transaction</v>
      </c>
      <c r="Q2532" s="6" t="str">
        <f>IF(AND(Table1[[#This Row],[Country_of_Residence]]&lt;&gt;Table1[[#This Row],[Country_of_Transaction]], OR(Table1[[#This Row],[Authentication_Type]]="Biometric", Table1[[#This Row],[Authentication_Type]]="OTP")), "safe location transaction", "unsafe location transaction")</f>
        <v>safe location transaction</v>
      </c>
      <c r="R2532" s="6" t="str">
        <f>IF(AND(Table1[[#This Row],[Country_of_Residence]]&lt;&gt;Table1[[#This Row],[Country_of_Transaction]], OR(Table1[[#This Row],[Merchant_Category]]="Electronics", Table1[[#This Row],[Merchant_Category]]="Travel")), "unsafe merchant transaction", "safe merchant transaction")</f>
        <v>safe merchant transaction</v>
      </c>
    </row>
    <row r="2533" spans="1:18">
      <c r="A2533" t="s">
        <v>3047</v>
      </c>
      <c r="B2533" t="s">
        <v>414</v>
      </c>
      <c r="C2533">
        <v>1</v>
      </c>
      <c r="D2533" t="s">
        <v>15</v>
      </c>
      <c r="E2533" t="s">
        <v>3</v>
      </c>
      <c r="F2533" s="2">
        <v>45725</v>
      </c>
      <c r="G2533">
        <v>8514.18</v>
      </c>
      <c r="H2533" s="1">
        <f>AVERAGEIF(Table1[Customer_ID], Table1[[#This Row],[Customer_ID]], Table1[Transaction_Amount])</f>
        <v>5437.4650909090906</v>
      </c>
      <c r="I2533" t="s">
        <v>692</v>
      </c>
      <c r="J2533" t="s">
        <v>46</v>
      </c>
      <c r="K2533" t="s">
        <v>10</v>
      </c>
      <c r="L2533">
        <v>3</v>
      </c>
      <c r="M2533" t="s">
        <v>47</v>
      </c>
      <c r="N2533" t="s">
        <v>47</v>
      </c>
      <c r="O2533" t="s">
        <v>392</v>
      </c>
      <c r="P2533" s="6" t="str">
        <f>IF(Table1[[#This Row],[Transaction_Amount]]&lt;=Table1[[#This Row],[avg_transaction_amount]], "usual transaction", "unusual transaction")</f>
        <v>unusual transaction</v>
      </c>
      <c r="Q2533" s="6" t="str">
        <f>IF(AND(Table1[[#This Row],[Country_of_Residence]]&lt;&gt;Table1[[#This Row],[Country_of_Transaction]], OR(Table1[[#This Row],[Authentication_Type]]="Biometric", Table1[[#This Row],[Authentication_Type]]="OTP")), "safe location transaction", "unsafe location transaction")</f>
        <v>unsafe location transaction</v>
      </c>
      <c r="R2533" s="6" t="str">
        <f>IF(AND(Table1[[#This Row],[Country_of_Residence]]&lt;&gt;Table1[[#This Row],[Country_of_Transaction]], OR(Table1[[#This Row],[Merchant_Category]]="Electronics", Table1[[#This Row],[Merchant_Category]]="Travel")), "unsafe merchant transaction", "safe merchant transaction")</f>
        <v>safe merchant transaction</v>
      </c>
    </row>
    <row r="2534" spans="1:18">
      <c r="A2534" t="s">
        <v>3077</v>
      </c>
      <c r="B2534" t="s">
        <v>414</v>
      </c>
      <c r="C2534">
        <v>1</v>
      </c>
      <c r="D2534" t="s">
        <v>9</v>
      </c>
      <c r="E2534" t="s">
        <v>5</v>
      </c>
      <c r="F2534" s="2">
        <v>45877</v>
      </c>
      <c r="G2534">
        <v>5862.49</v>
      </c>
      <c r="H2534" s="1">
        <f>AVERAGEIF(Table1[Customer_ID], Table1[[#This Row],[Customer_ID]], Table1[Transaction_Amount])</f>
        <v>5437.4650909090906</v>
      </c>
      <c r="I2534" t="s">
        <v>721</v>
      </c>
      <c r="J2534" t="s">
        <v>50</v>
      </c>
      <c r="K2534" t="s">
        <v>12</v>
      </c>
      <c r="L2534">
        <v>1</v>
      </c>
      <c r="M2534" t="s">
        <v>56</v>
      </c>
      <c r="N2534" t="s">
        <v>37</v>
      </c>
      <c r="O2534" t="s">
        <v>393</v>
      </c>
      <c r="P2534" s="6" t="str">
        <f>IF(Table1[[#This Row],[Transaction_Amount]]&lt;=Table1[[#This Row],[avg_transaction_amount]], "usual transaction", "unusual transaction")</f>
        <v>unusual transaction</v>
      </c>
      <c r="Q2534" s="6" t="str">
        <f>IF(AND(Table1[[#This Row],[Country_of_Residence]]&lt;&gt;Table1[[#This Row],[Country_of_Transaction]], OR(Table1[[#This Row],[Authentication_Type]]="Biometric", Table1[[#This Row],[Authentication_Type]]="OTP")), "safe location transaction", "unsafe location transaction")</f>
        <v>unsafe location transaction</v>
      </c>
      <c r="R2534" s="6" t="str">
        <f>IF(AND(Table1[[#This Row],[Country_of_Residence]]&lt;&gt;Table1[[#This Row],[Country_of_Transaction]], OR(Table1[[#This Row],[Merchant_Category]]="Electronics", Table1[[#This Row],[Merchant_Category]]="Travel")), "unsafe merchant transaction", "safe merchant transaction")</f>
        <v>unsafe merchant transaction</v>
      </c>
    </row>
    <row r="2535" spans="1:18">
      <c r="A2535" t="s">
        <v>3093</v>
      </c>
      <c r="B2535" t="s">
        <v>414</v>
      </c>
      <c r="C2535">
        <v>1</v>
      </c>
      <c r="D2535" t="s">
        <v>15</v>
      </c>
      <c r="E2535" t="s">
        <v>6</v>
      </c>
      <c r="F2535" s="2">
        <v>45876</v>
      </c>
      <c r="G2535">
        <v>8052.66</v>
      </c>
      <c r="H2535" s="1">
        <f>AVERAGEIF(Table1[Customer_ID], Table1[[#This Row],[Customer_ID]], Table1[Transaction_Amount])</f>
        <v>5437.4650909090906</v>
      </c>
      <c r="I2535" t="s">
        <v>737</v>
      </c>
      <c r="J2535" t="s">
        <v>50</v>
      </c>
      <c r="K2535" t="s">
        <v>8</v>
      </c>
      <c r="L2535">
        <v>4</v>
      </c>
      <c r="M2535" t="s">
        <v>51</v>
      </c>
      <c r="N2535" t="s">
        <v>37</v>
      </c>
      <c r="O2535" t="s">
        <v>393</v>
      </c>
      <c r="P2535" s="6" t="str">
        <f>IF(Table1[[#This Row],[Transaction_Amount]]&lt;=Table1[[#This Row],[avg_transaction_amount]], "usual transaction", "unusual transaction")</f>
        <v>unusual transaction</v>
      </c>
      <c r="Q2535" s="6" t="str">
        <f>IF(AND(Table1[[#This Row],[Country_of_Residence]]&lt;&gt;Table1[[#This Row],[Country_of_Transaction]], OR(Table1[[#This Row],[Authentication_Type]]="Biometric", Table1[[#This Row],[Authentication_Type]]="OTP")), "safe location transaction", "unsafe location transaction")</f>
        <v>safe location transaction</v>
      </c>
      <c r="R2535" s="6" t="str">
        <f>IF(AND(Table1[[#This Row],[Country_of_Residence]]&lt;&gt;Table1[[#This Row],[Country_of_Transaction]], OR(Table1[[#This Row],[Merchant_Category]]="Electronics", Table1[[#This Row],[Merchant_Category]]="Travel")), "unsafe merchant transaction", "safe merchant transaction")</f>
        <v>unsafe merchant transaction</v>
      </c>
    </row>
    <row r="2536" spans="1:18">
      <c r="A2536" t="s">
        <v>3119</v>
      </c>
      <c r="B2536" t="s">
        <v>414</v>
      </c>
      <c r="C2536">
        <v>1</v>
      </c>
      <c r="D2536" t="s">
        <v>9</v>
      </c>
      <c r="E2536" t="s">
        <v>5</v>
      </c>
      <c r="F2536" s="2">
        <v>45662</v>
      </c>
      <c r="G2536">
        <v>9224.7800000000007</v>
      </c>
      <c r="H2536" s="1">
        <f>AVERAGEIF(Table1[Customer_ID], Table1[[#This Row],[Customer_ID]], Table1[Transaction_Amount])</f>
        <v>5437.4650909090906</v>
      </c>
      <c r="I2536" t="s">
        <v>760</v>
      </c>
      <c r="J2536" t="s">
        <v>41</v>
      </c>
      <c r="K2536" t="s">
        <v>12</v>
      </c>
      <c r="L2536">
        <v>0</v>
      </c>
      <c r="M2536" t="s">
        <v>33</v>
      </c>
      <c r="N2536" t="s">
        <v>51</v>
      </c>
      <c r="O2536" t="s">
        <v>392</v>
      </c>
      <c r="P2536" s="6" t="str">
        <f>IF(Table1[[#This Row],[Transaction_Amount]]&lt;=Table1[[#This Row],[avg_transaction_amount]], "usual transaction", "unusual transaction")</f>
        <v>unusual transaction</v>
      </c>
      <c r="Q2536" s="6" t="str">
        <f>IF(AND(Table1[[#This Row],[Country_of_Residence]]&lt;&gt;Table1[[#This Row],[Country_of_Transaction]], OR(Table1[[#This Row],[Authentication_Type]]="Biometric", Table1[[#This Row],[Authentication_Type]]="OTP")), "safe location transaction", "unsafe location transaction")</f>
        <v>unsafe location transaction</v>
      </c>
      <c r="R2536" s="6" t="str">
        <f>IF(AND(Table1[[#This Row],[Country_of_Residence]]&lt;&gt;Table1[[#This Row],[Country_of_Transaction]], OR(Table1[[#This Row],[Merchant_Category]]="Electronics", Table1[[#This Row],[Merchant_Category]]="Travel")), "unsafe merchant transaction", "safe merchant transaction")</f>
        <v>safe merchant transaction</v>
      </c>
    </row>
    <row r="2537" spans="1:18">
      <c r="A2537" t="s">
        <v>3122</v>
      </c>
      <c r="B2537" t="s">
        <v>414</v>
      </c>
      <c r="C2537">
        <v>1</v>
      </c>
      <c r="D2537" t="s">
        <v>15</v>
      </c>
      <c r="E2537" t="s">
        <v>6</v>
      </c>
      <c r="F2537" s="2">
        <v>45683</v>
      </c>
      <c r="G2537">
        <v>6246.4</v>
      </c>
      <c r="H2537" s="1">
        <f>AVERAGEIF(Table1[Customer_ID], Table1[[#This Row],[Customer_ID]], Table1[Transaction_Amount])</f>
        <v>5437.4650909090906</v>
      </c>
      <c r="I2537" t="s">
        <v>763</v>
      </c>
      <c r="J2537" t="s">
        <v>46</v>
      </c>
      <c r="K2537" t="s">
        <v>10</v>
      </c>
      <c r="L2537">
        <v>2</v>
      </c>
      <c r="M2537" t="s">
        <v>37</v>
      </c>
      <c r="N2537" t="s">
        <v>42</v>
      </c>
      <c r="O2537" t="s">
        <v>393</v>
      </c>
      <c r="P2537" s="6" t="str">
        <f>IF(Table1[[#This Row],[Transaction_Amount]]&lt;=Table1[[#This Row],[avg_transaction_amount]], "usual transaction", "unusual transaction")</f>
        <v>unusual transaction</v>
      </c>
      <c r="Q2537" s="6" t="str">
        <f>IF(AND(Table1[[#This Row],[Country_of_Residence]]&lt;&gt;Table1[[#This Row],[Country_of_Transaction]], OR(Table1[[#This Row],[Authentication_Type]]="Biometric", Table1[[#This Row],[Authentication_Type]]="OTP")), "safe location transaction", "unsafe location transaction")</f>
        <v>safe location transaction</v>
      </c>
      <c r="R2537" s="6" t="str">
        <f>IF(AND(Table1[[#This Row],[Country_of_Residence]]&lt;&gt;Table1[[#This Row],[Country_of_Transaction]], OR(Table1[[#This Row],[Merchant_Category]]="Electronics", Table1[[#This Row],[Merchant_Category]]="Travel")), "unsafe merchant transaction", "safe merchant transaction")</f>
        <v>safe merchant transaction</v>
      </c>
    </row>
    <row r="2538" spans="1:18">
      <c r="A2538" t="s">
        <v>3171</v>
      </c>
      <c r="B2538" t="s">
        <v>414</v>
      </c>
      <c r="C2538">
        <v>1</v>
      </c>
      <c r="D2538" t="s">
        <v>15</v>
      </c>
      <c r="E2538" t="s">
        <v>420</v>
      </c>
      <c r="F2538" s="2">
        <v>46010</v>
      </c>
      <c r="G2538">
        <v>2130.06</v>
      </c>
      <c r="H2538" s="1">
        <f>AVERAGEIF(Table1[Customer_ID], Table1[[#This Row],[Customer_ID]], Table1[Transaction_Amount])</f>
        <v>5437.4650909090906</v>
      </c>
      <c r="I2538" t="s">
        <v>806</v>
      </c>
      <c r="J2538" t="s">
        <v>36</v>
      </c>
      <c r="K2538" t="s">
        <v>14</v>
      </c>
      <c r="L2538">
        <v>2</v>
      </c>
      <c r="M2538" t="s">
        <v>33</v>
      </c>
      <c r="N2538" t="s">
        <v>51</v>
      </c>
      <c r="O2538" t="s">
        <v>392</v>
      </c>
      <c r="P2538" s="6" t="str">
        <f>IF(Table1[[#This Row],[Transaction_Amount]]&lt;=Table1[[#This Row],[avg_transaction_amount]], "usual transaction", "unusual transaction")</f>
        <v>usual transaction</v>
      </c>
      <c r="Q2538" s="6" t="str">
        <f>IF(AND(Table1[[#This Row],[Country_of_Residence]]&lt;&gt;Table1[[#This Row],[Country_of_Transaction]], OR(Table1[[#This Row],[Authentication_Type]]="Biometric", Table1[[#This Row],[Authentication_Type]]="OTP")), "safe location transaction", "unsafe location transaction")</f>
        <v>unsafe location transaction</v>
      </c>
      <c r="R2538" s="6" t="str">
        <f>IF(AND(Table1[[#This Row],[Country_of_Residence]]&lt;&gt;Table1[[#This Row],[Country_of_Transaction]], OR(Table1[[#This Row],[Merchant_Category]]="Electronics", Table1[[#This Row],[Merchant_Category]]="Travel")), "unsafe merchant transaction", "safe merchant transaction")</f>
        <v>safe merchant transaction</v>
      </c>
    </row>
    <row r="2539" spans="1:18">
      <c r="A2539" t="s">
        <v>3232</v>
      </c>
      <c r="B2539" t="s">
        <v>414</v>
      </c>
      <c r="C2539">
        <v>1</v>
      </c>
      <c r="D2539" t="s">
        <v>15</v>
      </c>
      <c r="E2539" t="s">
        <v>3</v>
      </c>
      <c r="F2539" s="2">
        <v>45943</v>
      </c>
      <c r="G2539">
        <v>8221.85</v>
      </c>
      <c r="H2539" s="1">
        <f>AVERAGEIF(Table1[Customer_ID], Table1[[#This Row],[Customer_ID]], Table1[Transaction_Amount])</f>
        <v>5437.4650909090906</v>
      </c>
      <c r="I2539" t="s">
        <v>865</v>
      </c>
      <c r="J2539" t="s">
        <v>46</v>
      </c>
      <c r="K2539" t="s">
        <v>12</v>
      </c>
      <c r="L2539">
        <v>2</v>
      </c>
      <c r="M2539" t="s">
        <v>37</v>
      </c>
      <c r="N2539" t="s">
        <v>55</v>
      </c>
      <c r="O2539" t="s">
        <v>392</v>
      </c>
      <c r="P2539" s="6" t="str">
        <f>IF(Table1[[#This Row],[Transaction_Amount]]&lt;=Table1[[#This Row],[avg_transaction_amount]], "usual transaction", "unusual transaction")</f>
        <v>unusual transaction</v>
      </c>
      <c r="Q2539" s="6" t="str">
        <f>IF(AND(Table1[[#This Row],[Country_of_Residence]]&lt;&gt;Table1[[#This Row],[Country_of_Transaction]], OR(Table1[[#This Row],[Authentication_Type]]="Biometric", Table1[[#This Row],[Authentication_Type]]="OTP")), "safe location transaction", "unsafe location transaction")</f>
        <v>unsafe location transaction</v>
      </c>
      <c r="R2539" s="6" t="str">
        <f>IF(AND(Table1[[#This Row],[Country_of_Residence]]&lt;&gt;Table1[[#This Row],[Country_of_Transaction]], OR(Table1[[#This Row],[Merchant_Category]]="Electronics", Table1[[#This Row],[Merchant_Category]]="Travel")), "unsafe merchant transaction", "safe merchant transaction")</f>
        <v>safe merchant transaction</v>
      </c>
    </row>
    <row r="2540" spans="1:18">
      <c r="A2540" t="s">
        <v>3316</v>
      </c>
      <c r="B2540" t="s">
        <v>414</v>
      </c>
      <c r="C2540">
        <v>1</v>
      </c>
      <c r="D2540" t="s">
        <v>9</v>
      </c>
      <c r="E2540" t="s">
        <v>5</v>
      </c>
      <c r="F2540" s="2">
        <v>45974</v>
      </c>
      <c r="G2540">
        <v>4080.66</v>
      </c>
      <c r="H2540" s="1">
        <f>AVERAGEIF(Table1[Customer_ID], Table1[[#This Row],[Customer_ID]], Table1[Transaction_Amount])</f>
        <v>5437.4650909090906</v>
      </c>
      <c r="I2540" t="s">
        <v>942</v>
      </c>
      <c r="J2540" t="s">
        <v>36</v>
      </c>
      <c r="K2540" t="s">
        <v>14</v>
      </c>
      <c r="L2540">
        <v>0</v>
      </c>
      <c r="M2540" t="s">
        <v>42</v>
      </c>
      <c r="N2540" t="s">
        <v>42</v>
      </c>
      <c r="O2540" t="s">
        <v>392</v>
      </c>
      <c r="P2540" s="6" t="str">
        <f>IF(Table1[[#This Row],[Transaction_Amount]]&lt;=Table1[[#This Row],[avg_transaction_amount]], "usual transaction", "unusual transaction")</f>
        <v>usual transaction</v>
      </c>
      <c r="Q2540" s="6" t="str">
        <f>IF(AND(Table1[[#This Row],[Country_of_Residence]]&lt;&gt;Table1[[#This Row],[Country_of_Transaction]], OR(Table1[[#This Row],[Authentication_Type]]="Biometric", Table1[[#This Row],[Authentication_Type]]="OTP")), "safe location transaction", "unsafe location transaction")</f>
        <v>unsafe location transaction</v>
      </c>
      <c r="R2540" s="6" t="str">
        <f>IF(AND(Table1[[#This Row],[Country_of_Residence]]&lt;&gt;Table1[[#This Row],[Country_of_Transaction]], OR(Table1[[#This Row],[Merchant_Category]]="Electronics", Table1[[#This Row],[Merchant_Category]]="Travel")), "unsafe merchant transaction", "safe merchant transaction")</f>
        <v>safe merchant transaction</v>
      </c>
    </row>
    <row r="2541" spans="1:18">
      <c r="A2541" t="s">
        <v>3395</v>
      </c>
      <c r="B2541" t="s">
        <v>414</v>
      </c>
      <c r="C2541">
        <v>1</v>
      </c>
      <c r="D2541" t="s">
        <v>9</v>
      </c>
      <c r="E2541" t="s">
        <v>420</v>
      </c>
      <c r="F2541" s="2">
        <v>45941</v>
      </c>
      <c r="G2541">
        <v>7279.05</v>
      </c>
      <c r="H2541" s="1">
        <f>AVERAGEIF(Table1[Customer_ID], Table1[[#This Row],[Customer_ID]], Table1[Transaction_Amount])</f>
        <v>5437.4650909090906</v>
      </c>
      <c r="I2541" t="s">
        <v>1016</v>
      </c>
      <c r="J2541" t="s">
        <v>31</v>
      </c>
      <c r="K2541" t="s">
        <v>10</v>
      </c>
      <c r="L2541">
        <v>4</v>
      </c>
      <c r="M2541" t="s">
        <v>51</v>
      </c>
      <c r="N2541" t="s">
        <v>56</v>
      </c>
      <c r="O2541" t="s">
        <v>393</v>
      </c>
      <c r="P2541" s="6" t="str">
        <f>IF(Table1[[#This Row],[Transaction_Amount]]&lt;=Table1[[#This Row],[avg_transaction_amount]], "usual transaction", "unusual transaction")</f>
        <v>unusual transaction</v>
      </c>
      <c r="Q2541" s="6" t="str">
        <f>IF(AND(Table1[[#This Row],[Country_of_Residence]]&lt;&gt;Table1[[#This Row],[Country_of_Transaction]], OR(Table1[[#This Row],[Authentication_Type]]="Biometric", Table1[[#This Row],[Authentication_Type]]="OTP")), "safe location transaction", "unsafe location transaction")</f>
        <v>safe location transaction</v>
      </c>
      <c r="R2541" s="6" t="str">
        <f>IF(AND(Table1[[#This Row],[Country_of_Residence]]&lt;&gt;Table1[[#This Row],[Country_of_Transaction]], OR(Table1[[#This Row],[Merchant_Category]]="Electronics", Table1[[#This Row],[Merchant_Category]]="Travel")), "unsafe merchant transaction", "safe merchant transaction")</f>
        <v>safe merchant transaction</v>
      </c>
    </row>
    <row r="2542" spans="1:18">
      <c r="A2542" t="s">
        <v>3400</v>
      </c>
      <c r="B2542" t="s">
        <v>414</v>
      </c>
      <c r="C2542">
        <v>1</v>
      </c>
      <c r="D2542" t="s">
        <v>15</v>
      </c>
      <c r="E2542" t="s">
        <v>420</v>
      </c>
      <c r="F2542" s="2">
        <v>46011</v>
      </c>
      <c r="G2542">
        <v>525.16999999999996</v>
      </c>
      <c r="H2542" s="1">
        <f>AVERAGEIF(Table1[Customer_ID], Table1[[#This Row],[Customer_ID]], Table1[Transaction_Amount])</f>
        <v>5437.4650909090906</v>
      </c>
      <c r="I2542" t="s">
        <v>1021</v>
      </c>
      <c r="J2542" t="s">
        <v>31</v>
      </c>
      <c r="K2542" t="s">
        <v>10</v>
      </c>
      <c r="L2542">
        <v>0</v>
      </c>
      <c r="M2542" t="s">
        <v>56</v>
      </c>
      <c r="N2542" t="s">
        <v>55</v>
      </c>
      <c r="O2542" t="s">
        <v>392</v>
      </c>
      <c r="P2542" s="6" t="str">
        <f>IF(Table1[[#This Row],[Transaction_Amount]]&lt;=Table1[[#This Row],[avg_transaction_amount]], "usual transaction", "unusual transaction")</f>
        <v>usual transaction</v>
      </c>
      <c r="Q2542" s="6" t="str">
        <f>IF(AND(Table1[[#This Row],[Country_of_Residence]]&lt;&gt;Table1[[#This Row],[Country_of_Transaction]], OR(Table1[[#This Row],[Authentication_Type]]="Biometric", Table1[[#This Row],[Authentication_Type]]="OTP")), "safe location transaction", "unsafe location transaction")</f>
        <v>safe location transaction</v>
      </c>
      <c r="R2542" s="6" t="str">
        <f>IF(AND(Table1[[#This Row],[Country_of_Residence]]&lt;&gt;Table1[[#This Row],[Country_of_Transaction]], OR(Table1[[#This Row],[Merchant_Category]]="Electronics", Table1[[#This Row],[Merchant_Category]]="Travel")), "unsafe merchant transaction", "safe merchant transaction")</f>
        <v>safe merchant transaction</v>
      </c>
    </row>
    <row r="2543" spans="1:18">
      <c r="A2543" t="s">
        <v>3419</v>
      </c>
      <c r="B2543" t="s">
        <v>414</v>
      </c>
      <c r="C2543">
        <v>1</v>
      </c>
      <c r="D2543" t="s">
        <v>9</v>
      </c>
      <c r="E2543" t="s">
        <v>3</v>
      </c>
      <c r="F2543" s="2">
        <v>45707</v>
      </c>
      <c r="G2543">
        <v>3115.6</v>
      </c>
      <c r="H2543" s="1">
        <f>AVERAGEIF(Table1[Customer_ID], Table1[[#This Row],[Customer_ID]], Table1[Transaction_Amount])</f>
        <v>5437.4650909090906</v>
      </c>
      <c r="I2543" t="s">
        <v>1039</v>
      </c>
      <c r="J2543" t="s">
        <v>41</v>
      </c>
      <c r="K2543" t="s">
        <v>8</v>
      </c>
      <c r="L2543">
        <v>5</v>
      </c>
      <c r="M2543" t="s">
        <v>37</v>
      </c>
      <c r="N2543" t="s">
        <v>56</v>
      </c>
      <c r="O2543" t="s">
        <v>392</v>
      </c>
      <c r="P2543" s="6" t="str">
        <f>IF(Table1[[#This Row],[Transaction_Amount]]&lt;=Table1[[#This Row],[avg_transaction_amount]], "usual transaction", "unusual transaction")</f>
        <v>usual transaction</v>
      </c>
      <c r="Q2543" s="6" t="str">
        <f>IF(AND(Table1[[#This Row],[Country_of_Residence]]&lt;&gt;Table1[[#This Row],[Country_of_Transaction]], OR(Table1[[#This Row],[Authentication_Type]]="Biometric", Table1[[#This Row],[Authentication_Type]]="OTP")), "safe location transaction", "unsafe location transaction")</f>
        <v>safe location transaction</v>
      </c>
      <c r="R2543" s="6" t="str">
        <f>IF(AND(Table1[[#This Row],[Country_of_Residence]]&lt;&gt;Table1[[#This Row],[Country_of_Transaction]], OR(Table1[[#This Row],[Merchant_Category]]="Electronics", Table1[[#This Row],[Merchant_Category]]="Travel")), "unsafe merchant transaction", "safe merchant transaction")</f>
        <v>safe merchant transaction</v>
      </c>
    </row>
    <row r="2544" spans="1:18">
      <c r="A2544" t="s">
        <v>3542</v>
      </c>
      <c r="B2544" t="s">
        <v>414</v>
      </c>
      <c r="C2544">
        <v>1</v>
      </c>
      <c r="D2544" t="s">
        <v>15</v>
      </c>
      <c r="E2544" t="s">
        <v>5</v>
      </c>
      <c r="F2544" s="2">
        <v>45974</v>
      </c>
      <c r="G2544">
        <v>9840.4699999999993</v>
      </c>
      <c r="H2544" s="1">
        <f>AVERAGEIF(Table1[Customer_ID], Table1[[#This Row],[Customer_ID]], Table1[Transaction_Amount])</f>
        <v>5437.4650909090906</v>
      </c>
      <c r="I2544" t="s">
        <v>1157</v>
      </c>
      <c r="J2544" t="s">
        <v>46</v>
      </c>
      <c r="K2544" t="s">
        <v>10</v>
      </c>
      <c r="L2544">
        <v>0</v>
      </c>
      <c r="M2544" t="s">
        <v>42</v>
      </c>
      <c r="N2544" t="s">
        <v>32</v>
      </c>
      <c r="O2544" t="s">
        <v>393</v>
      </c>
      <c r="P2544" s="6" t="str">
        <f>IF(Table1[[#This Row],[Transaction_Amount]]&lt;=Table1[[#This Row],[avg_transaction_amount]], "usual transaction", "unusual transaction")</f>
        <v>unusual transaction</v>
      </c>
      <c r="Q2544" s="6" t="str">
        <f>IF(AND(Table1[[#This Row],[Country_of_Residence]]&lt;&gt;Table1[[#This Row],[Country_of_Transaction]], OR(Table1[[#This Row],[Authentication_Type]]="Biometric", Table1[[#This Row],[Authentication_Type]]="OTP")), "safe location transaction", "unsafe location transaction")</f>
        <v>safe location transaction</v>
      </c>
      <c r="R2544" s="6" t="str">
        <f>IF(AND(Table1[[#This Row],[Country_of_Residence]]&lt;&gt;Table1[[#This Row],[Country_of_Transaction]], OR(Table1[[#This Row],[Merchant_Category]]="Electronics", Table1[[#This Row],[Merchant_Category]]="Travel")), "unsafe merchant transaction", "safe merchant transaction")</f>
        <v>safe merchant transaction</v>
      </c>
    </row>
    <row r="2545" spans="1:18">
      <c r="A2545" t="s">
        <v>3543</v>
      </c>
      <c r="B2545" t="s">
        <v>414</v>
      </c>
      <c r="C2545">
        <v>1</v>
      </c>
      <c r="D2545" t="s">
        <v>15</v>
      </c>
      <c r="E2545" t="s">
        <v>6</v>
      </c>
      <c r="F2545" s="2">
        <v>45846</v>
      </c>
      <c r="G2545">
        <v>7256.32</v>
      </c>
      <c r="H2545" s="1">
        <f>AVERAGEIF(Table1[Customer_ID], Table1[[#This Row],[Customer_ID]], Table1[Transaction_Amount])</f>
        <v>5437.4650909090906</v>
      </c>
      <c r="I2545" t="s">
        <v>1158</v>
      </c>
      <c r="J2545" t="s">
        <v>31</v>
      </c>
      <c r="K2545" t="s">
        <v>14</v>
      </c>
      <c r="L2545">
        <v>0</v>
      </c>
      <c r="M2545" t="s">
        <v>32</v>
      </c>
      <c r="N2545" t="s">
        <v>412</v>
      </c>
      <c r="O2545" t="s">
        <v>393</v>
      </c>
      <c r="P2545" s="6" t="str">
        <f>IF(Table1[[#This Row],[Transaction_Amount]]&lt;=Table1[[#This Row],[avg_transaction_amount]], "usual transaction", "unusual transaction")</f>
        <v>unusual transaction</v>
      </c>
      <c r="Q2545" s="6" t="str">
        <f>IF(AND(Table1[[#This Row],[Country_of_Residence]]&lt;&gt;Table1[[#This Row],[Country_of_Transaction]], OR(Table1[[#This Row],[Authentication_Type]]="Biometric", Table1[[#This Row],[Authentication_Type]]="OTP")), "safe location transaction", "unsafe location transaction")</f>
        <v>unsafe location transaction</v>
      </c>
      <c r="R2545" s="6" t="str">
        <f>IF(AND(Table1[[#This Row],[Country_of_Residence]]&lt;&gt;Table1[[#This Row],[Country_of_Transaction]], OR(Table1[[#This Row],[Merchant_Category]]="Electronics", Table1[[#This Row],[Merchant_Category]]="Travel")), "unsafe merchant transaction", "safe merchant transaction")</f>
        <v>safe merchant transaction</v>
      </c>
    </row>
    <row r="2546" spans="1:18">
      <c r="A2546" t="s">
        <v>3570</v>
      </c>
      <c r="B2546" t="s">
        <v>414</v>
      </c>
      <c r="C2546">
        <v>1</v>
      </c>
      <c r="D2546" t="s">
        <v>15</v>
      </c>
      <c r="E2546" t="s">
        <v>6</v>
      </c>
      <c r="F2546" s="2">
        <v>45922</v>
      </c>
      <c r="G2546">
        <v>3346.51</v>
      </c>
      <c r="H2546" s="1">
        <f>AVERAGEIF(Table1[Customer_ID], Table1[[#This Row],[Customer_ID]], Table1[Transaction_Amount])</f>
        <v>5437.4650909090906</v>
      </c>
      <c r="I2546" t="s">
        <v>228</v>
      </c>
      <c r="J2546" t="s">
        <v>46</v>
      </c>
      <c r="K2546" t="s">
        <v>12</v>
      </c>
      <c r="L2546">
        <v>5</v>
      </c>
      <c r="M2546" t="s">
        <v>42</v>
      </c>
      <c r="N2546" t="s">
        <v>37</v>
      </c>
      <c r="O2546" t="s">
        <v>393</v>
      </c>
      <c r="P2546" s="6" t="str">
        <f>IF(Table1[[#This Row],[Transaction_Amount]]&lt;=Table1[[#This Row],[avg_transaction_amount]], "usual transaction", "unusual transaction")</f>
        <v>usual transaction</v>
      </c>
      <c r="Q2546" s="6" t="str">
        <f>IF(AND(Table1[[#This Row],[Country_of_Residence]]&lt;&gt;Table1[[#This Row],[Country_of_Transaction]], OR(Table1[[#This Row],[Authentication_Type]]="Biometric", Table1[[#This Row],[Authentication_Type]]="OTP")), "safe location transaction", "unsafe location transaction")</f>
        <v>unsafe location transaction</v>
      </c>
      <c r="R2546" s="6" t="str">
        <f>IF(AND(Table1[[#This Row],[Country_of_Residence]]&lt;&gt;Table1[[#This Row],[Country_of_Transaction]], OR(Table1[[#This Row],[Merchant_Category]]="Electronics", Table1[[#This Row],[Merchant_Category]]="Travel")), "unsafe merchant transaction", "safe merchant transaction")</f>
        <v>safe merchant transaction</v>
      </c>
    </row>
    <row r="2547" spans="1:18">
      <c r="A2547" t="s">
        <v>3624</v>
      </c>
      <c r="B2547" t="s">
        <v>414</v>
      </c>
      <c r="C2547">
        <v>1</v>
      </c>
      <c r="D2547" t="s">
        <v>15</v>
      </c>
      <c r="E2547" t="s">
        <v>5</v>
      </c>
      <c r="F2547" s="2">
        <v>45905</v>
      </c>
      <c r="G2547">
        <v>2667.58</v>
      </c>
      <c r="H2547" s="1">
        <f>AVERAGEIF(Table1[Customer_ID], Table1[[#This Row],[Customer_ID]], Table1[Transaction_Amount])</f>
        <v>5437.4650909090906</v>
      </c>
      <c r="I2547" t="s">
        <v>1230</v>
      </c>
      <c r="J2547" t="s">
        <v>50</v>
      </c>
      <c r="K2547" t="s">
        <v>12</v>
      </c>
      <c r="L2547">
        <v>2</v>
      </c>
      <c r="M2547" t="s">
        <v>47</v>
      </c>
      <c r="N2547" t="s">
        <v>47</v>
      </c>
      <c r="O2547" t="s">
        <v>393</v>
      </c>
      <c r="P2547" s="6" t="str">
        <f>IF(Table1[[#This Row],[Transaction_Amount]]&lt;=Table1[[#This Row],[avg_transaction_amount]], "usual transaction", "unusual transaction")</f>
        <v>usual transaction</v>
      </c>
      <c r="Q2547" s="6" t="str">
        <f>IF(AND(Table1[[#This Row],[Country_of_Residence]]&lt;&gt;Table1[[#This Row],[Country_of_Transaction]], OR(Table1[[#This Row],[Authentication_Type]]="Biometric", Table1[[#This Row],[Authentication_Type]]="OTP")), "safe location transaction", "unsafe location transaction")</f>
        <v>unsafe location transaction</v>
      </c>
      <c r="R2547" s="6" t="str">
        <f>IF(AND(Table1[[#This Row],[Country_of_Residence]]&lt;&gt;Table1[[#This Row],[Country_of_Transaction]], OR(Table1[[#This Row],[Merchant_Category]]="Electronics", Table1[[#This Row],[Merchant_Category]]="Travel")), "unsafe merchant transaction", "safe merchant transaction")</f>
        <v>safe merchant transaction</v>
      </c>
    </row>
    <row r="2548" spans="1:18">
      <c r="A2548" t="s">
        <v>3704</v>
      </c>
      <c r="B2548" t="s">
        <v>414</v>
      </c>
      <c r="C2548">
        <v>1</v>
      </c>
      <c r="D2548" t="s">
        <v>9</v>
      </c>
      <c r="E2548" t="s">
        <v>5</v>
      </c>
      <c r="F2548" s="2">
        <v>45704</v>
      </c>
      <c r="G2548">
        <v>7187.93</v>
      </c>
      <c r="H2548" s="1">
        <f>AVERAGEIF(Table1[Customer_ID], Table1[[#This Row],[Customer_ID]], Table1[Transaction_Amount])</f>
        <v>5437.4650909090906</v>
      </c>
      <c r="I2548" t="s">
        <v>1301</v>
      </c>
      <c r="J2548" t="s">
        <v>31</v>
      </c>
      <c r="K2548" t="s">
        <v>12</v>
      </c>
      <c r="L2548">
        <v>4</v>
      </c>
      <c r="M2548" t="s">
        <v>37</v>
      </c>
      <c r="N2548" t="s">
        <v>412</v>
      </c>
      <c r="O2548" t="s">
        <v>392</v>
      </c>
      <c r="P2548" s="6" t="str">
        <f>IF(Table1[[#This Row],[Transaction_Amount]]&lt;=Table1[[#This Row],[avg_transaction_amount]], "usual transaction", "unusual transaction")</f>
        <v>unusual transaction</v>
      </c>
      <c r="Q2548" s="6" t="str">
        <f>IF(AND(Table1[[#This Row],[Country_of_Residence]]&lt;&gt;Table1[[#This Row],[Country_of_Transaction]], OR(Table1[[#This Row],[Authentication_Type]]="Biometric", Table1[[#This Row],[Authentication_Type]]="OTP")), "safe location transaction", "unsafe location transaction")</f>
        <v>unsafe location transaction</v>
      </c>
      <c r="R2548" s="6" t="str">
        <f>IF(AND(Table1[[#This Row],[Country_of_Residence]]&lt;&gt;Table1[[#This Row],[Country_of_Transaction]], OR(Table1[[#This Row],[Merchant_Category]]="Electronics", Table1[[#This Row],[Merchant_Category]]="Travel")), "unsafe merchant transaction", "safe merchant transaction")</f>
        <v>safe merchant transaction</v>
      </c>
    </row>
    <row r="2549" spans="1:18">
      <c r="A2549" t="s">
        <v>3718</v>
      </c>
      <c r="B2549" t="s">
        <v>414</v>
      </c>
      <c r="C2549">
        <v>1</v>
      </c>
      <c r="D2549" t="s">
        <v>9</v>
      </c>
      <c r="E2549" t="s">
        <v>420</v>
      </c>
      <c r="F2549" s="2">
        <v>45767</v>
      </c>
      <c r="G2549">
        <v>7128.46</v>
      </c>
      <c r="H2549" s="1">
        <f>AVERAGEIF(Table1[Customer_ID], Table1[[#This Row],[Customer_ID]], Table1[Transaction_Amount])</f>
        <v>5437.4650909090906</v>
      </c>
      <c r="I2549" t="s">
        <v>1314</v>
      </c>
      <c r="J2549" t="s">
        <v>36</v>
      </c>
      <c r="K2549" t="s">
        <v>12</v>
      </c>
      <c r="L2549">
        <v>3</v>
      </c>
      <c r="M2549" t="s">
        <v>51</v>
      </c>
      <c r="N2549" t="s">
        <v>51</v>
      </c>
      <c r="O2549" t="s">
        <v>392</v>
      </c>
      <c r="P2549" s="6" t="str">
        <f>IF(Table1[[#This Row],[Transaction_Amount]]&lt;=Table1[[#This Row],[avg_transaction_amount]], "usual transaction", "unusual transaction")</f>
        <v>unusual transaction</v>
      </c>
      <c r="Q2549" s="6" t="str">
        <f>IF(AND(Table1[[#This Row],[Country_of_Residence]]&lt;&gt;Table1[[#This Row],[Country_of_Transaction]], OR(Table1[[#This Row],[Authentication_Type]]="Biometric", Table1[[#This Row],[Authentication_Type]]="OTP")), "safe location transaction", "unsafe location transaction")</f>
        <v>unsafe location transaction</v>
      </c>
      <c r="R2549" s="6" t="str">
        <f>IF(AND(Table1[[#This Row],[Country_of_Residence]]&lt;&gt;Table1[[#This Row],[Country_of_Transaction]], OR(Table1[[#This Row],[Merchant_Category]]="Electronics", Table1[[#This Row],[Merchant_Category]]="Travel")), "unsafe merchant transaction", "safe merchant transaction")</f>
        <v>safe merchant transaction</v>
      </c>
    </row>
    <row r="2550" spans="1:18">
      <c r="A2550" t="s">
        <v>3801</v>
      </c>
      <c r="B2550" t="s">
        <v>414</v>
      </c>
      <c r="C2550">
        <v>1</v>
      </c>
      <c r="D2550" t="s">
        <v>15</v>
      </c>
      <c r="E2550" t="s">
        <v>3</v>
      </c>
      <c r="F2550" s="2">
        <v>45997</v>
      </c>
      <c r="G2550">
        <v>9833.8700000000008</v>
      </c>
      <c r="H2550" s="1">
        <f>AVERAGEIF(Table1[Customer_ID], Table1[[#This Row],[Customer_ID]], Table1[Transaction_Amount])</f>
        <v>5437.4650909090906</v>
      </c>
      <c r="I2550" t="s">
        <v>1385</v>
      </c>
      <c r="J2550" t="s">
        <v>31</v>
      </c>
      <c r="K2550" t="s">
        <v>10</v>
      </c>
      <c r="L2550">
        <v>1</v>
      </c>
      <c r="M2550" t="s">
        <v>56</v>
      </c>
      <c r="N2550" t="s">
        <v>47</v>
      </c>
      <c r="O2550" t="s">
        <v>393</v>
      </c>
      <c r="P2550" s="6" t="str">
        <f>IF(Table1[[#This Row],[Transaction_Amount]]&lt;=Table1[[#This Row],[avg_transaction_amount]], "usual transaction", "unusual transaction")</f>
        <v>unusual transaction</v>
      </c>
      <c r="Q2550" s="6" t="str">
        <f>IF(AND(Table1[[#This Row],[Country_of_Residence]]&lt;&gt;Table1[[#This Row],[Country_of_Transaction]], OR(Table1[[#This Row],[Authentication_Type]]="Biometric", Table1[[#This Row],[Authentication_Type]]="OTP")), "safe location transaction", "unsafe location transaction")</f>
        <v>safe location transaction</v>
      </c>
      <c r="R2550" s="6" t="str">
        <f>IF(AND(Table1[[#This Row],[Country_of_Residence]]&lt;&gt;Table1[[#This Row],[Country_of_Transaction]], OR(Table1[[#This Row],[Merchant_Category]]="Electronics", Table1[[#This Row],[Merchant_Category]]="Travel")), "unsafe merchant transaction", "safe merchant transaction")</f>
        <v>safe merchant transaction</v>
      </c>
    </row>
    <row r="2551" spans="1:18">
      <c r="A2551" t="s">
        <v>3963</v>
      </c>
      <c r="B2551" t="s">
        <v>414</v>
      </c>
      <c r="C2551">
        <v>1</v>
      </c>
      <c r="D2551" t="s">
        <v>9</v>
      </c>
      <c r="E2551" t="s">
        <v>420</v>
      </c>
      <c r="F2551" s="2">
        <v>45738</v>
      </c>
      <c r="G2551">
        <v>8135.37</v>
      </c>
      <c r="H2551" s="1">
        <f>AVERAGEIF(Table1[Customer_ID], Table1[[#This Row],[Customer_ID]], Table1[Transaction_Amount])</f>
        <v>5437.4650909090906</v>
      </c>
      <c r="I2551" t="s">
        <v>1524</v>
      </c>
      <c r="J2551" t="s">
        <v>41</v>
      </c>
      <c r="K2551" t="s">
        <v>12</v>
      </c>
      <c r="L2551">
        <v>3</v>
      </c>
      <c r="M2551" t="s">
        <v>56</v>
      </c>
      <c r="N2551" t="s">
        <v>42</v>
      </c>
      <c r="O2551" t="s">
        <v>393</v>
      </c>
      <c r="P2551" s="6" t="str">
        <f>IF(Table1[[#This Row],[Transaction_Amount]]&lt;=Table1[[#This Row],[avg_transaction_amount]], "usual transaction", "unusual transaction")</f>
        <v>unusual transaction</v>
      </c>
      <c r="Q2551" s="6" t="str">
        <f>IF(AND(Table1[[#This Row],[Country_of_Residence]]&lt;&gt;Table1[[#This Row],[Country_of_Transaction]], OR(Table1[[#This Row],[Authentication_Type]]="Biometric", Table1[[#This Row],[Authentication_Type]]="OTP")), "safe location transaction", "unsafe location transaction")</f>
        <v>unsafe location transaction</v>
      </c>
      <c r="R2551" s="6" t="str">
        <f>IF(AND(Table1[[#This Row],[Country_of_Residence]]&lt;&gt;Table1[[#This Row],[Country_of_Transaction]], OR(Table1[[#This Row],[Merchant_Category]]="Electronics", Table1[[#This Row],[Merchant_Category]]="Travel")), "unsafe merchant transaction", "safe merchant transaction")</f>
        <v>safe merchant transaction</v>
      </c>
    </row>
    <row r="2552" spans="1:18">
      <c r="A2552" t="s">
        <v>4038</v>
      </c>
      <c r="B2552" t="s">
        <v>414</v>
      </c>
      <c r="C2552">
        <v>1</v>
      </c>
      <c r="D2552" t="s">
        <v>15</v>
      </c>
      <c r="E2552" t="s">
        <v>6</v>
      </c>
      <c r="F2552" s="2">
        <v>45902</v>
      </c>
      <c r="G2552">
        <v>5937.76</v>
      </c>
      <c r="H2552" s="1">
        <f>AVERAGEIF(Table1[Customer_ID], Table1[[#This Row],[Customer_ID]], Table1[Transaction_Amount])</f>
        <v>5437.4650909090906</v>
      </c>
      <c r="I2552" t="s">
        <v>1593</v>
      </c>
      <c r="J2552" t="s">
        <v>50</v>
      </c>
      <c r="K2552" t="s">
        <v>12</v>
      </c>
      <c r="L2552">
        <v>1</v>
      </c>
      <c r="M2552" t="s">
        <v>33</v>
      </c>
      <c r="N2552" t="s">
        <v>33</v>
      </c>
      <c r="O2552" t="s">
        <v>393</v>
      </c>
      <c r="P2552" s="6" t="str">
        <f>IF(Table1[[#This Row],[Transaction_Amount]]&lt;=Table1[[#This Row],[avg_transaction_amount]], "usual transaction", "unusual transaction")</f>
        <v>unusual transaction</v>
      </c>
      <c r="Q2552" s="6" t="str">
        <f>IF(AND(Table1[[#This Row],[Country_of_Residence]]&lt;&gt;Table1[[#This Row],[Country_of_Transaction]], OR(Table1[[#This Row],[Authentication_Type]]="Biometric", Table1[[#This Row],[Authentication_Type]]="OTP")), "safe location transaction", "unsafe location transaction")</f>
        <v>unsafe location transaction</v>
      </c>
      <c r="R2552" s="6" t="str">
        <f>IF(AND(Table1[[#This Row],[Country_of_Residence]]&lt;&gt;Table1[[#This Row],[Country_of_Transaction]], OR(Table1[[#This Row],[Merchant_Category]]="Electronics", Table1[[#This Row],[Merchant_Category]]="Travel")), "unsafe merchant transaction", "safe merchant transaction")</f>
        <v>safe merchant transaction</v>
      </c>
    </row>
    <row r="2553" spans="1:18">
      <c r="A2553" t="s">
        <v>4101</v>
      </c>
      <c r="B2553" t="s">
        <v>414</v>
      </c>
      <c r="C2553">
        <v>1</v>
      </c>
      <c r="D2553" t="s">
        <v>15</v>
      </c>
      <c r="E2553" t="s">
        <v>3</v>
      </c>
      <c r="F2553" s="2">
        <v>45863</v>
      </c>
      <c r="G2553">
        <v>2623.98</v>
      </c>
      <c r="H2553" s="1">
        <f>AVERAGEIF(Table1[Customer_ID], Table1[[#This Row],[Customer_ID]], Table1[Transaction_Amount])</f>
        <v>5437.4650909090906</v>
      </c>
      <c r="I2553" t="s">
        <v>292</v>
      </c>
      <c r="J2553" t="s">
        <v>31</v>
      </c>
      <c r="K2553" t="s">
        <v>14</v>
      </c>
      <c r="L2553">
        <v>0</v>
      </c>
      <c r="M2553" t="s">
        <v>47</v>
      </c>
      <c r="N2553" t="s">
        <v>37</v>
      </c>
      <c r="O2553" t="s">
        <v>393</v>
      </c>
      <c r="P2553" s="6" t="str">
        <f>IF(Table1[[#This Row],[Transaction_Amount]]&lt;=Table1[[#This Row],[avg_transaction_amount]], "usual transaction", "unusual transaction")</f>
        <v>usual transaction</v>
      </c>
      <c r="Q2553" s="6" t="str">
        <f>IF(AND(Table1[[#This Row],[Country_of_Residence]]&lt;&gt;Table1[[#This Row],[Country_of_Transaction]], OR(Table1[[#This Row],[Authentication_Type]]="Biometric", Table1[[#This Row],[Authentication_Type]]="OTP")), "safe location transaction", "unsafe location transaction")</f>
        <v>unsafe location transaction</v>
      </c>
      <c r="R2553" s="6" t="str">
        <f>IF(AND(Table1[[#This Row],[Country_of_Residence]]&lt;&gt;Table1[[#This Row],[Country_of_Transaction]], OR(Table1[[#This Row],[Merchant_Category]]="Electronics", Table1[[#This Row],[Merchant_Category]]="Travel")), "unsafe merchant transaction", "safe merchant transaction")</f>
        <v>safe merchant transaction</v>
      </c>
    </row>
    <row r="2554" spans="1:18">
      <c r="A2554" t="s">
        <v>4103</v>
      </c>
      <c r="B2554" t="s">
        <v>414</v>
      </c>
      <c r="C2554">
        <v>1</v>
      </c>
      <c r="D2554" t="s">
        <v>9</v>
      </c>
      <c r="E2554" t="s">
        <v>5</v>
      </c>
      <c r="F2554" s="2">
        <v>45917</v>
      </c>
      <c r="G2554">
        <v>9753.7999999999993</v>
      </c>
      <c r="H2554" s="1">
        <f>AVERAGEIF(Table1[Customer_ID], Table1[[#This Row],[Customer_ID]], Table1[Transaction_Amount])</f>
        <v>5437.4650909090906</v>
      </c>
      <c r="I2554" t="s">
        <v>379</v>
      </c>
      <c r="J2554" t="s">
        <v>31</v>
      </c>
      <c r="K2554" t="s">
        <v>14</v>
      </c>
      <c r="L2554">
        <v>2</v>
      </c>
      <c r="M2554" t="s">
        <v>37</v>
      </c>
      <c r="N2554" t="s">
        <v>51</v>
      </c>
      <c r="O2554" t="s">
        <v>392</v>
      </c>
      <c r="P2554" s="6" t="str">
        <f>IF(Table1[[#This Row],[Transaction_Amount]]&lt;=Table1[[#This Row],[avg_transaction_amount]], "usual transaction", "unusual transaction")</f>
        <v>unusual transaction</v>
      </c>
      <c r="Q2554" s="6" t="str">
        <f>IF(AND(Table1[[#This Row],[Country_of_Residence]]&lt;&gt;Table1[[#This Row],[Country_of_Transaction]], OR(Table1[[#This Row],[Authentication_Type]]="Biometric", Table1[[#This Row],[Authentication_Type]]="OTP")), "safe location transaction", "unsafe location transaction")</f>
        <v>unsafe location transaction</v>
      </c>
      <c r="R2554" s="6" t="str">
        <f>IF(AND(Table1[[#This Row],[Country_of_Residence]]&lt;&gt;Table1[[#This Row],[Country_of_Transaction]], OR(Table1[[#This Row],[Merchant_Category]]="Electronics", Table1[[#This Row],[Merchant_Category]]="Travel")), "unsafe merchant transaction", "safe merchant transaction")</f>
        <v>safe merchant transaction</v>
      </c>
    </row>
    <row r="2555" spans="1:18">
      <c r="A2555" t="s">
        <v>4209</v>
      </c>
      <c r="B2555" t="s">
        <v>414</v>
      </c>
      <c r="C2555">
        <v>1</v>
      </c>
      <c r="D2555" t="s">
        <v>15</v>
      </c>
      <c r="E2555" t="s">
        <v>5</v>
      </c>
      <c r="F2555" s="2">
        <v>45773</v>
      </c>
      <c r="G2555">
        <v>6950.25</v>
      </c>
      <c r="H2555" s="1">
        <f>AVERAGEIF(Table1[Customer_ID], Table1[[#This Row],[Customer_ID]], Table1[Transaction_Amount])</f>
        <v>5437.4650909090906</v>
      </c>
      <c r="I2555" t="s">
        <v>1729</v>
      </c>
      <c r="J2555" t="s">
        <v>36</v>
      </c>
      <c r="K2555" t="s">
        <v>8</v>
      </c>
      <c r="L2555">
        <v>0</v>
      </c>
      <c r="M2555" t="s">
        <v>33</v>
      </c>
      <c r="N2555" t="s">
        <v>51</v>
      </c>
      <c r="O2555" t="s">
        <v>392</v>
      </c>
      <c r="P2555" s="6" t="str">
        <f>IF(Table1[[#This Row],[Transaction_Amount]]&lt;=Table1[[#This Row],[avg_transaction_amount]], "usual transaction", "unusual transaction")</f>
        <v>unusual transaction</v>
      </c>
      <c r="Q2555" s="6" t="str">
        <f>IF(AND(Table1[[#This Row],[Country_of_Residence]]&lt;&gt;Table1[[#This Row],[Country_of_Transaction]], OR(Table1[[#This Row],[Authentication_Type]]="Biometric", Table1[[#This Row],[Authentication_Type]]="OTP")), "safe location transaction", "unsafe location transaction")</f>
        <v>safe location transaction</v>
      </c>
      <c r="R2555" s="6" t="str">
        <f>IF(AND(Table1[[#This Row],[Country_of_Residence]]&lt;&gt;Table1[[#This Row],[Country_of_Transaction]], OR(Table1[[#This Row],[Merchant_Category]]="Electronics", Table1[[#This Row],[Merchant_Category]]="Travel")), "unsafe merchant transaction", "safe merchant transaction")</f>
        <v>safe merchant transaction</v>
      </c>
    </row>
    <row r="2556" spans="1:18">
      <c r="A2556" t="s">
        <v>4320</v>
      </c>
      <c r="B2556" t="s">
        <v>414</v>
      </c>
      <c r="C2556">
        <v>1</v>
      </c>
      <c r="D2556" t="s">
        <v>15</v>
      </c>
      <c r="E2556" t="s">
        <v>3</v>
      </c>
      <c r="F2556" s="2">
        <v>45679</v>
      </c>
      <c r="G2556">
        <v>5334.63</v>
      </c>
      <c r="H2556" s="1">
        <f>AVERAGEIF(Table1[Customer_ID], Table1[[#This Row],[Customer_ID]], Table1[Transaction_Amount])</f>
        <v>5437.4650909090906</v>
      </c>
      <c r="I2556" t="s">
        <v>1828</v>
      </c>
      <c r="J2556" t="s">
        <v>31</v>
      </c>
      <c r="K2556" t="s">
        <v>12</v>
      </c>
      <c r="L2556">
        <v>2</v>
      </c>
      <c r="M2556" t="s">
        <v>55</v>
      </c>
      <c r="N2556" t="s">
        <v>47</v>
      </c>
      <c r="O2556" t="s">
        <v>392</v>
      </c>
      <c r="P2556" s="6" t="str">
        <f>IF(Table1[[#This Row],[Transaction_Amount]]&lt;=Table1[[#This Row],[avg_transaction_amount]], "usual transaction", "unusual transaction")</f>
        <v>usual transaction</v>
      </c>
      <c r="Q2556" s="6" t="str">
        <f>IF(AND(Table1[[#This Row],[Country_of_Residence]]&lt;&gt;Table1[[#This Row],[Country_of_Transaction]], OR(Table1[[#This Row],[Authentication_Type]]="Biometric", Table1[[#This Row],[Authentication_Type]]="OTP")), "safe location transaction", "unsafe location transaction")</f>
        <v>unsafe location transaction</v>
      </c>
      <c r="R2556" s="6" t="str">
        <f>IF(AND(Table1[[#This Row],[Country_of_Residence]]&lt;&gt;Table1[[#This Row],[Country_of_Transaction]], OR(Table1[[#This Row],[Merchant_Category]]="Electronics", Table1[[#This Row],[Merchant_Category]]="Travel")), "unsafe merchant transaction", "safe merchant transaction")</f>
        <v>safe merchant transaction</v>
      </c>
    </row>
    <row r="2557" spans="1:18">
      <c r="A2557" t="s">
        <v>4364</v>
      </c>
      <c r="B2557" t="s">
        <v>414</v>
      </c>
      <c r="C2557">
        <v>1</v>
      </c>
      <c r="D2557" t="s">
        <v>15</v>
      </c>
      <c r="E2557" t="s">
        <v>5</v>
      </c>
      <c r="F2557" s="2">
        <v>45984</v>
      </c>
      <c r="G2557">
        <v>3281.38</v>
      </c>
      <c r="H2557" s="1">
        <f>AVERAGEIF(Table1[Customer_ID], Table1[[#This Row],[Customer_ID]], Table1[Transaction_Amount])</f>
        <v>5437.4650909090906</v>
      </c>
      <c r="I2557" t="s">
        <v>1865</v>
      </c>
      <c r="J2557" t="s">
        <v>50</v>
      </c>
      <c r="K2557" t="s">
        <v>12</v>
      </c>
      <c r="L2557">
        <v>1</v>
      </c>
      <c r="M2557" t="s">
        <v>51</v>
      </c>
      <c r="N2557" t="s">
        <v>47</v>
      </c>
      <c r="O2557" t="s">
        <v>392</v>
      </c>
      <c r="P2557" s="6" t="str">
        <f>IF(Table1[[#This Row],[Transaction_Amount]]&lt;=Table1[[#This Row],[avg_transaction_amount]], "usual transaction", "unusual transaction")</f>
        <v>usual transaction</v>
      </c>
      <c r="Q2557" s="6" t="str">
        <f>IF(AND(Table1[[#This Row],[Country_of_Residence]]&lt;&gt;Table1[[#This Row],[Country_of_Transaction]], OR(Table1[[#This Row],[Authentication_Type]]="Biometric", Table1[[#This Row],[Authentication_Type]]="OTP")), "safe location transaction", "unsafe location transaction")</f>
        <v>unsafe location transaction</v>
      </c>
      <c r="R2557" s="6" t="str">
        <f>IF(AND(Table1[[#This Row],[Country_of_Residence]]&lt;&gt;Table1[[#This Row],[Country_of_Transaction]], OR(Table1[[#This Row],[Merchant_Category]]="Electronics", Table1[[#This Row],[Merchant_Category]]="Travel")), "unsafe merchant transaction", "safe merchant transaction")</f>
        <v>unsafe merchant transaction</v>
      </c>
    </row>
    <row r="2558" spans="1:18">
      <c r="A2558" t="s">
        <v>4422</v>
      </c>
      <c r="B2558" t="s">
        <v>414</v>
      </c>
      <c r="C2558">
        <v>1</v>
      </c>
      <c r="D2558" t="s">
        <v>15</v>
      </c>
      <c r="E2558" t="s">
        <v>6</v>
      </c>
      <c r="F2558" s="2">
        <v>45741</v>
      </c>
      <c r="G2558">
        <v>7844.51</v>
      </c>
      <c r="H2558" s="1">
        <f>AVERAGEIF(Table1[Customer_ID], Table1[[#This Row],[Customer_ID]], Table1[Transaction_Amount])</f>
        <v>5437.4650909090906</v>
      </c>
      <c r="I2558" t="s">
        <v>1920</v>
      </c>
      <c r="J2558" t="s">
        <v>36</v>
      </c>
      <c r="K2558" t="s">
        <v>12</v>
      </c>
      <c r="L2558">
        <v>4</v>
      </c>
      <c r="M2558" t="s">
        <v>56</v>
      </c>
      <c r="N2558" t="s">
        <v>42</v>
      </c>
      <c r="O2558" t="s">
        <v>392</v>
      </c>
      <c r="P2558" s="6" t="str">
        <f>IF(Table1[[#This Row],[Transaction_Amount]]&lt;=Table1[[#This Row],[avg_transaction_amount]], "usual transaction", "unusual transaction")</f>
        <v>unusual transaction</v>
      </c>
      <c r="Q2558" s="6" t="str">
        <f>IF(AND(Table1[[#This Row],[Country_of_Residence]]&lt;&gt;Table1[[#This Row],[Country_of_Transaction]], OR(Table1[[#This Row],[Authentication_Type]]="Biometric", Table1[[#This Row],[Authentication_Type]]="OTP")), "safe location transaction", "unsafe location transaction")</f>
        <v>unsafe location transaction</v>
      </c>
      <c r="R2558" s="6" t="str">
        <f>IF(AND(Table1[[#This Row],[Country_of_Residence]]&lt;&gt;Table1[[#This Row],[Country_of_Transaction]], OR(Table1[[#This Row],[Merchant_Category]]="Electronics", Table1[[#This Row],[Merchant_Category]]="Travel")), "unsafe merchant transaction", "safe merchant transaction")</f>
        <v>safe merchant transaction</v>
      </c>
    </row>
    <row r="2559" spans="1:18">
      <c r="A2559" t="s">
        <v>4429</v>
      </c>
      <c r="B2559" t="s">
        <v>414</v>
      </c>
      <c r="C2559">
        <v>1</v>
      </c>
      <c r="D2559" t="s">
        <v>15</v>
      </c>
      <c r="E2559" t="s">
        <v>5</v>
      </c>
      <c r="F2559" s="2">
        <v>45706</v>
      </c>
      <c r="G2559">
        <v>2341.1999999999998</v>
      </c>
      <c r="H2559" s="1">
        <f>AVERAGEIF(Table1[Customer_ID], Table1[[#This Row],[Customer_ID]], Table1[Transaction_Amount])</f>
        <v>5437.4650909090906</v>
      </c>
      <c r="I2559" t="s">
        <v>615</v>
      </c>
      <c r="J2559" t="s">
        <v>46</v>
      </c>
      <c r="K2559" t="s">
        <v>10</v>
      </c>
      <c r="L2559">
        <v>4</v>
      </c>
      <c r="M2559" t="s">
        <v>32</v>
      </c>
      <c r="N2559" t="s">
        <v>37</v>
      </c>
      <c r="O2559" t="s">
        <v>392</v>
      </c>
      <c r="P2559" s="6" t="str">
        <f>IF(Table1[[#This Row],[Transaction_Amount]]&lt;=Table1[[#This Row],[avg_transaction_amount]], "usual transaction", "unusual transaction")</f>
        <v>usual transaction</v>
      </c>
      <c r="Q2559" s="6" t="str">
        <f>IF(AND(Table1[[#This Row],[Country_of_Residence]]&lt;&gt;Table1[[#This Row],[Country_of_Transaction]], OR(Table1[[#This Row],[Authentication_Type]]="Biometric", Table1[[#This Row],[Authentication_Type]]="OTP")), "safe location transaction", "unsafe location transaction")</f>
        <v>safe location transaction</v>
      </c>
      <c r="R2559" s="6" t="str">
        <f>IF(AND(Table1[[#This Row],[Country_of_Residence]]&lt;&gt;Table1[[#This Row],[Country_of_Transaction]], OR(Table1[[#This Row],[Merchant_Category]]="Electronics", Table1[[#This Row],[Merchant_Category]]="Travel")), "unsafe merchant transaction", "safe merchant transaction")</f>
        <v>safe merchant transaction</v>
      </c>
    </row>
    <row r="2560" spans="1:18">
      <c r="A2560" t="s">
        <v>4478</v>
      </c>
      <c r="B2560" t="s">
        <v>414</v>
      </c>
      <c r="C2560">
        <v>1</v>
      </c>
      <c r="D2560" t="s">
        <v>15</v>
      </c>
      <c r="E2560" t="s">
        <v>3</v>
      </c>
      <c r="F2560" s="2">
        <v>45838</v>
      </c>
      <c r="G2560">
        <v>2756.17</v>
      </c>
      <c r="H2560" s="1">
        <f>AVERAGEIF(Table1[Customer_ID], Table1[[#This Row],[Customer_ID]], Table1[Transaction_Amount])</f>
        <v>5437.4650909090906</v>
      </c>
      <c r="I2560" t="s">
        <v>1967</v>
      </c>
      <c r="J2560" t="s">
        <v>36</v>
      </c>
      <c r="K2560" t="s">
        <v>12</v>
      </c>
      <c r="L2560">
        <v>4</v>
      </c>
      <c r="M2560" t="s">
        <v>51</v>
      </c>
      <c r="N2560" t="s">
        <v>37</v>
      </c>
      <c r="O2560" t="s">
        <v>393</v>
      </c>
      <c r="P2560" s="6" t="str">
        <f>IF(Table1[[#This Row],[Transaction_Amount]]&lt;=Table1[[#This Row],[avg_transaction_amount]], "usual transaction", "unusual transaction")</f>
        <v>usual transaction</v>
      </c>
      <c r="Q2560" s="6" t="str">
        <f>IF(AND(Table1[[#This Row],[Country_of_Residence]]&lt;&gt;Table1[[#This Row],[Country_of_Transaction]], OR(Table1[[#This Row],[Authentication_Type]]="Biometric", Table1[[#This Row],[Authentication_Type]]="OTP")), "safe location transaction", "unsafe location transaction")</f>
        <v>unsafe location transaction</v>
      </c>
      <c r="R2560" s="6" t="str">
        <f>IF(AND(Table1[[#This Row],[Country_of_Residence]]&lt;&gt;Table1[[#This Row],[Country_of_Transaction]], OR(Table1[[#This Row],[Merchant_Category]]="Electronics", Table1[[#This Row],[Merchant_Category]]="Travel")), "unsafe merchant transaction", "safe merchant transaction")</f>
        <v>safe merchant transaction</v>
      </c>
    </row>
    <row r="2561" spans="1:18">
      <c r="A2561" t="s">
        <v>4539</v>
      </c>
      <c r="B2561" t="s">
        <v>414</v>
      </c>
      <c r="C2561">
        <v>1</v>
      </c>
      <c r="D2561" t="s">
        <v>9</v>
      </c>
      <c r="E2561" t="s">
        <v>6</v>
      </c>
      <c r="F2561" s="2">
        <v>45728</v>
      </c>
      <c r="G2561">
        <v>778.68</v>
      </c>
      <c r="H2561" s="1">
        <f>AVERAGEIF(Table1[Customer_ID], Table1[[#This Row],[Customer_ID]], Table1[Transaction_Amount])</f>
        <v>5437.4650909090906</v>
      </c>
      <c r="I2561" t="s">
        <v>2018</v>
      </c>
      <c r="J2561" t="s">
        <v>50</v>
      </c>
      <c r="K2561" t="s">
        <v>8</v>
      </c>
      <c r="L2561">
        <v>2</v>
      </c>
      <c r="M2561" t="s">
        <v>42</v>
      </c>
      <c r="N2561" t="s">
        <v>42</v>
      </c>
      <c r="O2561" t="s">
        <v>393</v>
      </c>
      <c r="P2561" s="6" t="str">
        <f>IF(Table1[[#This Row],[Transaction_Amount]]&lt;=Table1[[#This Row],[avg_transaction_amount]], "usual transaction", "unusual transaction")</f>
        <v>usual transaction</v>
      </c>
      <c r="Q2561" s="6" t="str">
        <f>IF(AND(Table1[[#This Row],[Country_of_Residence]]&lt;&gt;Table1[[#This Row],[Country_of_Transaction]], OR(Table1[[#This Row],[Authentication_Type]]="Biometric", Table1[[#This Row],[Authentication_Type]]="OTP")), "safe location transaction", "unsafe location transaction")</f>
        <v>unsafe location transaction</v>
      </c>
      <c r="R2561" s="6" t="str">
        <f>IF(AND(Table1[[#This Row],[Country_of_Residence]]&lt;&gt;Table1[[#This Row],[Country_of_Transaction]], OR(Table1[[#This Row],[Merchant_Category]]="Electronics", Table1[[#This Row],[Merchant_Category]]="Travel")), "unsafe merchant transaction", "safe merchant transaction")</f>
        <v>safe merchant transaction</v>
      </c>
    </row>
    <row r="2562" spans="1:18">
      <c r="A2562" t="s">
        <v>4583</v>
      </c>
      <c r="B2562" t="s">
        <v>414</v>
      </c>
      <c r="C2562">
        <v>1</v>
      </c>
      <c r="D2562" t="s">
        <v>15</v>
      </c>
      <c r="E2562" t="s">
        <v>6</v>
      </c>
      <c r="F2562" s="2">
        <v>45960</v>
      </c>
      <c r="G2562">
        <v>4894.1899999999996</v>
      </c>
      <c r="H2562" s="1">
        <f>AVERAGEIF(Table1[Customer_ID], Table1[[#This Row],[Customer_ID]], Table1[Transaction_Amount])</f>
        <v>5437.4650909090906</v>
      </c>
      <c r="I2562" t="s">
        <v>2053</v>
      </c>
      <c r="J2562" t="s">
        <v>41</v>
      </c>
      <c r="K2562" t="s">
        <v>8</v>
      </c>
      <c r="L2562">
        <v>2</v>
      </c>
      <c r="M2562" t="s">
        <v>55</v>
      </c>
      <c r="N2562" t="s">
        <v>55</v>
      </c>
      <c r="O2562" t="s">
        <v>392</v>
      </c>
      <c r="P2562" s="6" t="str">
        <f>IF(Table1[[#This Row],[Transaction_Amount]]&lt;=Table1[[#This Row],[avg_transaction_amount]], "usual transaction", "unusual transaction")</f>
        <v>usual transaction</v>
      </c>
      <c r="Q2562" s="6" t="str">
        <f>IF(AND(Table1[[#This Row],[Country_of_Residence]]&lt;&gt;Table1[[#This Row],[Country_of_Transaction]], OR(Table1[[#This Row],[Authentication_Type]]="Biometric", Table1[[#This Row],[Authentication_Type]]="OTP")), "safe location transaction", "unsafe location transaction")</f>
        <v>unsafe location transaction</v>
      </c>
      <c r="R2562" s="6" t="str">
        <f>IF(AND(Table1[[#This Row],[Country_of_Residence]]&lt;&gt;Table1[[#This Row],[Country_of_Transaction]], OR(Table1[[#This Row],[Merchant_Category]]="Electronics", Table1[[#This Row],[Merchant_Category]]="Travel")), "unsafe merchant transaction", "safe merchant transaction")</f>
        <v>safe merchant transaction</v>
      </c>
    </row>
    <row r="2563" spans="1:18">
      <c r="A2563" t="s">
        <v>4614</v>
      </c>
      <c r="B2563" t="s">
        <v>414</v>
      </c>
      <c r="C2563">
        <v>1</v>
      </c>
      <c r="D2563" t="s">
        <v>15</v>
      </c>
      <c r="E2563" t="s">
        <v>420</v>
      </c>
      <c r="F2563" s="2">
        <v>45764</v>
      </c>
      <c r="G2563">
        <v>4645.95</v>
      </c>
      <c r="H2563" s="1">
        <f>AVERAGEIF(Table1[Customer_ID], Table1[[#This Row],[Customer_ID]], Table1[Transaction_Amount])</f>
        <v>5437.4650909090906</v>
      </c>
      <c r="I2563" t="s">
        <v>2078</v>
      </c>
      <c r="J2563" t="s">
        <v>36</v>
      </c>
      <c r="K2563" t="s">
        <v>10</v>
      </c>
      <c r="L2563">
        <v>3</v>
      </c>
      <c r="M2563" t="s">
        <v>42</v>
      </c>
      <c r="N2563" t="s">
        <v>412</v>
      </c>
      <c r="O2563" t="s">
        <v>392</v>
      </c>
      <c r="P2563" s="6" t="str">
        <f>IF(Table1[[#This Row],[Transaction_Amount]]&lt;=Table1[[#This Row],[avg_transaction_amount]], "usual transaction", "unusual transaction")</f>
        <v>usual transaction</v>
      </c>
      <c r="Q2563" s="6" t="str">
        <f>IF(AND(Table1[[#This Row],[Country_of_Residence]]&lt;&gt;Table1[[#This Row],[Country_of_Transaction]], OR(Table1[[#This Row],[Authentication_Type]]="Biometric", Table1[[#This Row],[Authentication_Type]]="OTP")), "safe location transaction", "unsafe location transaction")</f>
        <v>safe location transaction</v>
      </c>
      <c r="R2563" s="6" t="str">
        <f>IF(AND(Table1[[#This Row],[Country_of_Residence]]&lt;&gt;Table1[[#This Row],[Country_of_Transaction]], OR(Table1[[#This Row],[Merchant_Category]]="Electronics", Table1[[#This Row],[Merchant_Category]]="Travel")), "unsafe merchant transaction", "safe merchant transaction")</f>
        <v>safe merchant transaction</v>
      </c>
    </row>
    <row r="2564" spans="1:18">
      <c r="A2564" t="s">
        <v>4728</v>
      </c>
      <c r="B2564" t="s">
        <v>414</v>
      </c>
      <c r="C2564">
        <v>1</v>
      </c>
      <c r="D2564" t="s">
        <v>15</v>
      </c>
      <c r="E2564" t="s">
        <v>420</v>
      </c>
      <c r="F2564" s="2">
        <v>45983</v>
      </c>
      <c r="G2564">
        <v>8059.06</v>
      </c>
      <c r="H2564" s="1">
        <f>AVERAGEIF(Table1[Customer_ID], Table1[[#This Row],[Customer_ID]], Table1[Transaction_Amount])</f>
        <v>5437.4650909090906</v>
      </c>
      <c r="I2564" t="s">
        <v>2168</v>
      </c>
      <c r="J2564" t="s">
        <v>50</v>
      </c>
      <c r="K2564" t="s">
        <v>8</v>
      </c>
      <c r="L2564">
        <v>5</v>
      </c>
      <c r="M2564" t="s">
        <v>32</v>
      </c>
      <c r="N2564" t="s">
        <v>37</v>
      </c>
      <c r="O2564" t="s">
        <v>393</v>
      </c>
      <c r="P2564" s="6" t="str">
        <f>IF(Table1[[#This Row],[Transaction_Amount]]&lt;=Table1[[#This Row],[avg_transaction_amount]], "usual transaction", "unusual transaction")</f>
        <v>unusual transaction</v>
      </c>
      <c r="Q2564" s="6" t="str">
        <f>IF(AND(Table1[[#This Row],[Country_of_Residence]]&lt;&gt;Table1[[#This Row],[Country_of_Transaction]], OR(Table1[[#This Row],[Authentication_Type]]="Biometric", Table1[[#This Row],[Authentication_Type]]="OTP")), "safe location transaction", "unsafe location transaction")</f>
        <v>safe location transaction</v>
      </c>
      <c r="R2564" s="6" t="str">
        <f>IF(AND(Table1[[#This Row],[Country_of_Residence]]&lt;&gt;Table1[[#This Row],[Country_of_Transaction]], OR(Table1[[#This Row],[Merchant_Category]]="Electronics", Table1[[#This Row],[Merchant_Category]]="Travel")), "unsafe merchant transaction", "safe merchant transaction")</f>
        <v>unsafe merchant transaction</v>
      </c>
    </row>
    <row r="2565" spans="1:18">
      <c r="A2565" t="s">
        <v>4773</v>
      </c>
      <c r="B2565" t="s">
        <v>414</v>
      </c>
      <c r="C2565">
        <v>1</v>
      </c>
      <c r="D2565" t="s">
        <v>15</v>
      </c>
      <c r="E2565" t="s">
        <v>6</v>
      </c>
      <c r="F2565" s="2">
        <v>46019</v>
      </c>
      <c r="G2565">
        <v>8437.25</v>
      </c>
      <c r="H2565" s="1">
        <f>AVERAGEIF(Table1[Customer_ID], Table1[[#This Row],[Customer_ID]], Table1[Transaction_Amount])</f>
        <v>5437.4650909090906</v>
      </c>
      <c r="I2565" t="s">
        <v>2200</v>
      </c>
      <c r="J2565" t="s">
        <v>46</v>
      </c>
      <c r="K2565" t="s">
        <v>8</v>
      </c>
      <c r="L2565">
        <v>0</v>
      </c>
      <c r="M2565" t="s">
        <v>56</v>
      </c>
      <c r="N2565" t="s">
        <v>51</v>
      </c>
      <c r="O2565" t="s">
        <v>392</v>
      </c>
      <c r="P2565" s="6" t="str">
        <f>IF(Table1[[#This Row],[Transaction_Amount]]&lt;=Table1[[#This Row],[avg_transaction_amount]], "usual transaction", "unusual transaction")</f>
        <v>unusual transaction</v>
      </c>
      <c r="Q2565" s="6" t="str">
        <f>IF(AND(Table1[[#This Row],[Country_of_Residence]]&lt;&gt;Table1[[#This Row],[Country_of_Transaction]], OR(Table1[[#This Row],[Authentication_Type]]="Biometric", Table1[[#This Row],[Authentication_Type]]="OTP")), "safe location transaction", "unsafe location transaction")</f>
        <v>safe location transaction</v>
      </c>
      <c r="R2565" s="6" t="str">
        <f>IF(AND(Table1[[#This Row],[Country_of_Residence]]&lt;&gt;Table1[[#This Row],[Country_of_Transaction]], OR(Table1[[#This Row],[Merchant_Category]]="Electronics", Table1[[#This Row],[Merchant_Category]]="Travel")), "unsafe merchant transaction", "safe merchant transaction")</f>
        <v>safe merchant transaction</v>
      </c>
    </row>
    <row r="2566" spans="1:18">
      <c r="A2566" t="s">
        <v>4891</v>
      </c>
      <c r="B2566" t="s">
        <v>414</v>
      </c>
      <c r="C2566">
        <v>1</v>
      </c>
      <c r="D2566" t="s">
        <v>15</v>
      </c>
      <c r="E2566" t="s">
        <v>3</v>
      </c>
      <c r="F2566" s="2">
        <v>45998</v>
      </c>
      <c r="G2566">
        <v>2716.9</v>
      </c>
      <c r="H2566" s="1">
        <f>AVERAGEIF(Table1[Customer_ID], Table1[[#This Row],[Customer_ID]], Table1[Transaction_Amount])</f>
        <v>5437.4650909090906</v>
      </c>
      <c r="I2566" t="s">
        <v>2294</v>
      </c>
      <c r="J2566" t="s">
        <v>46</v>
      </c>
      <c r="K2566" t="s">
        <v>14</v>
      </c>
      <c r="L2566">
        <v>5</v>
      </c>
      <c r="M2566" t="s">
        <v>56</v>
      </c>
      <c r="N2566" t="s">
        <v>51</v>
      </c>
      <c r="O2566" t="s">
        <v>392</v>
      </c>
      <c r="P2566" s="6" t="str">
        <f>IF(Table1[[#This Row],[Transaction_Amount]]&lt;=Table1[[#This Row],[avg_transaction_amount]], "usual transaction", "unusual transaction")</f>
        <v>usual transaction</v>
      </c>
      <c r="Q2566" s="6" t="str">
        <f>IF(AND(Table1[[#This Row],[Country_of_Residence]]&lt;&gt;Table1[[#This Row],[Country_of_Transaction]], OR(Table1[[#This Row],[Authentication_Type]]="Biometric", Table1[[#This Row],[Authentication_Type]]="OTP")), "safe location transaction", "unsafe location transaction")</f>
        <v>unsafe location transaction</v>
      </c>
      <c r="R2566" s="6" t="str">
        <f>IF(AND(Table1[[#This Row],[Country_of_Residence]]&lt;&gt;Table1[[#This Row],[Country_of_Transaction]], OR(Table1[[#This Row],[Merchant_Category]]="Electronics", Table1[[#This Row],[Merchant_Category]]="Travel")), "unsafe merchant transaction", "safe merchant transaction")</f>
        <v>safe merchant transaction</v>
      </c>
    </row>
    <row r="2567" spans="1:18">
      <c r="A2567" t="s">
        <v>4895</v>
      </c>
      <c r="B2567" t="s">
        <v>414</v>
      </c>
      <c r="C2567">
        <v>1</v>
      </c>
      <c r="D2567" t="s">
        <v>9</v>
      </c>
      <c r="E2567" t="s">
        <v>5</v>
      </c>
      <c r="F2567" s="2">
        <v>45804</v>
      </c>
      <c r="G2567">
        <v>2186.96</v>
      </c>
      <c r="H2567" s="1">
        <f>AVERAGEIF(Table1[Customer_ID], Table1[[#This Row],[Customer_ID]], Table1[Transaction_Amount])</f>
        <v>5437.4650909090906</v>
      </c>
      <c r="I2567" t="s">
        <v>2297</v>
      </c>
      <c r="J2567" t="s">
        <v>41</v>
      </c>
      <c r="K2567" t="s">
        <v>10</v>
      </c>
      <c r="L2567">
        <v>5</v>
      </c>
      <c r="M2567" t="s">
        <v>33</v>
      </c>
      <c r="N2567" t="s">
        <v>51</v>
      </c>
      <c r="O2567" t="s">
        <v>392</v>
      </c>
      <c r="P2567" s="6" t="str">
        <f>IF(Table1[[#This Row],[Transaction_Amount]]&lt;=Table1[[#This Row],[avg_transaction_amount]], "usual transaction", "unusual transaction")</f>
        <v>usual transaction</v>
      </c>
      <c r="Q2567" s="6" t="str">
        <f>IF(AND(Table1[[#This Row],[Country_of_Residence]]&lt;&gt;Table1[[#This Row],[Country_of_Transaction]], OR(Table1[[#This Row],[Authentication_Type]]="Biometric", Table1[[#This Row],[Authentication_Type]]="OTP")), "safe location transaction", "unsafe location transaction")</f>
        <v>safe location transaction</v>
      </c>
      <c r="R2567" s="6" t="str">
        <f>IF(AND(Table1[[#This Row],[Country_of_Residence]]&lt;&gt;Table1[[#This Row],[Country_of_Transaction]], OR(Table1[[#This Row],[Merchant_Category]]="Electronics", Table1[[#This Row],[Merchant_Category]]="Travel")), "unsafe merchant transaction", "safe merchant transaction")</f>
        <v>safe merchant transaction</v>
      </c>
    </row>
    <row r="2568" spans="1:18">
      <c r="A2568" t="s">
        <v>4964</v>
      </c>
      <c r="B2568" t="s">
        <v>414</v>
      </c>
      <c r="C2568">
        <v>1</v>
      </c>
      <c r="D2568" t="s">
        <v>9</v>
      </c>
      <c r="E2568" t="s">
        <v>420</v>
      </c>
      <c r="F2568" s="2">
        <v>45720</v>
      </c>
      <c r="G2568">
        <v>4997.26</v>
      </c>
      <c r="H2568" s="1">
        <f>AVERAGEIF(Table1[Customer_ID], Table1[[#This Row],[Customer_ID]], Table1[Transaction_Amount])</f>
        <v>5437.4650909090906</v>
      </c>
      <c r="I2568" t="s">
        <v>2350</v>
      </c>
      <c r="J2568" t="s">
        <v>46</v>
      </c>
      <c r="K2568" t="s">
        <v>12</v>
      </c>
      <c r="L2568">
        <v>4</v>
      </c>
      <c r="M2568" t="s">
        <v>42</v>
      </c>
      <c r="N2568" t="s">
        <v>37</v>
      </c>
      <c r="O2568" t="s">
        <v>393</v>
      </c>
      <c r="P2568" s="6" t="str">
        <f>IF(Table1[[#This Row],[Transaction_Amount]]&lt;=Table1[[#This Row],[avg_transaction_amount]], "usual transaction", "unusual transaction")</f>
        <v>usual transaction</v>
      </c>
      <c r="Q2568" s="6" t="str">
        <f>IF(AND(Table1[[#This Row],[Country_of_Residence]]&lt;&gt;Table1[[#This Row],[Country_of_Transaction]], OR(Table1[[#This Row],[Authentication_Type]]="Biometric", Table1[[#This Row],[Authentication_Type]]="OTP")), "safe location transaction", "unsafe location transaction")</f>
        <v>unsafe location transaction</v>
      </c>
      <c r="R2568" s="6" t="str">
        <f>IF(AND(Table1[[#This Row],[Country_of_Residence]]&lt;&gt;Table1[[#This Row],[Country_of_Transaction]], OR(Table1[[#This Row],[Merchant_Category]]="Electronics", Table1[[#This Row],[Merchant_Category]]="Travel")), "unsafe merchant transaction", "safe merchant transaction")</f>
        <v>safe merchant transaction</v>
      </c>
    </row>
    <row r="2569" spans="1:18">
      <c r="A2569" t="s">
        <v>5009</v>
      </c>
      <c r="B2569" t="s">
        <v>414</v>
      </c>
      <c r="C2569">
        <v>1</v>
      </c>
      <c r="D2569" t="s">
        <v>15</v>
      </c>
      <c r="E2569" t="s">
        <v>5</v>
      </c>
      <c r="F2569" s="2">
        <v>45953</v>
      </c>
      <c r="G2569">
        <v>828.5</v>
      </c>
      <c r="H2569" s="1">
        <f>AVERAGEIF(Table1[Customer_ID], Table1[[#This Row],[Customer_ID]], Table1[Transaction_Amount])</f>
        <v>5437.4650909090906</v>
      </c>
      <c r="I2569" t="s">
        <v>2230</v>
      </c>
      <c r="J2569" t="s">
        <v>36</v>
      </c>
      <c r="K2569" t="s">
        <v>8</v>
      </c>
      <c r="L2569">
        <v>3</v>
      </c>
      <c r="M2569" t="s">
        <v>412</v>
      </c>
      <c r="N2569" t="s">
        <v>56</v>
      </c>
      <c r="O2569" t="s">
        <v>392</v>
      </c>
      <c r="P2569" s="6" t="str">
        <f>IF(Table1[[#This Row],[Transaction_Amount]]&lt;=Table1[[#This Row],[avg_transaction_amount]], "usual transaction", "unusual transaction")</f>
        <v>usual transaction</v>
      </c>
      <c r="Q2569" s="6" t="str">
        <f>IF(AND(Table1[[#This Row],[Country_of_Residence]]&lt;&gt;Table1[[#This Row],[Country_of_Transaction]], OR(Table1[[#This Row],[Authentication_Type]]="Biometric", Table1[[#This Row],[Authentication_Type]]="OTP")), "safe location transaction", "unsafe location transaction")</f>
        <v>safe location transaction</v>
      </c>
      <c r="R2569" s="6" t="str">
        <f>IF(AND(Table1[[#This Row],[Country_of_Residence]]&lt;&gt;Table1[[#This Row],[Country_of_Transaction]], OR(Table1[[#This Row],[Merchant_Category]]="Electronics", Table1[[#This Row],[Merchant_Category]]="Travel")), "unsafe merchant transaction", "safe merchant transaction")</f>
        <v>safe merchant transaction</v>
      </c>
    </row>
    <row r="2570" spans="1:18">
      <c r="A2570" t="s">
        <v>5047</v>
      </c>
      <c r="B2570" t="s">
        <v>414</v>
      </c>
      <c r="C2570">
        <v>1</v>
      </c>
      <c r="D2570" t="s">
        <v>9</v>
      </c>
      <c r="E2570" t="s">
        <v>5</v>
      </c>
      <c r="F2570" s="2">
        <v>45963</v>
      </c>
      <c r="G2570">
        <v>3318.34</v>
      </c>
      <c r="H2570" s="1">
        <f>AVERAGEIF(Table1[Customer_ID], Table1[[#This Row],[Customer_ID]], Table1[Transaction_Amount])</f>
        <v>5437.4650909090906</v>
      </c>
      <c r="I2570" t="s">
        <v>1636</v>
      </c>
      <c r="J2570" t="s">
        <v>50</v>
      </c>
      <c r="K2570" t="s">
        <v>14</v>
      </c>
      <c r="L2570">
        <v>4</v>
      </c>
      <c r="M2570" t="s">
        <v>56</v>
      </c>
      <c r="N2570" t="s">
        <v>47</v>
      </c>
      <c r="O2570" t="s">
        <v>393</v>
      </c>
      <c r="P2570" s="6" t="str">
        <f>IF(Table1[[#This Row],[Transaction_Amount]]&lt;=Table1[[#This Row],[avg_transaction_amount]], "usual transaction", "unusual transaction")</f>
        <v>usual transaction</v>
      </c>
      <c r="Q2570" s="6" t="str">
        <f>IF(AND(Table1[[#This Row],[Country_of_Residence]]&lt;&gt;Table1[[#This Row],[Country_of_Transaction]], OR(Table1[[#This Row],[Authentication_Type]]="Biometric", Table1[[#This Row],[Authentication_Type]]="OTP")), "safe location transaction", "unsafe location transaction")</f>
        <v>unsafe location transaction</v>
      </c>
      <c r="R2570" s="6" t="str">
        <f>IF(AND(Table1[[#This Row],[Country_of_Residence]]&lt;&gt;Table1[[#This Row],[Country_of_Transaction]], OR(Table1[[#This Row],[Merchant_Category]]="Electronics", Table1[[#This Row],[Merchant_Category]]="Travel")), "unsafe merchant transaction", "safe merchant transaction")</f>
        <v>unsafe merchant transaction</v>
      </c>
    </row>
    <row r="2571" spans="1:18">
      <c r="A2571" t="s">
        <v>5070</v>
      </c>
      <c r="B2571" t="s">
        <v>414</v>
      </c>
      <c r="C2571">
        <v>1</v>
      </c>
      <c r="D2571" t="s">
        <v>9</v>
      </c>
      <c r="E2571" t="s">
        <v>6</v>
      </c>
      <c r="F2571" s="2">
        <v>45875</v>
      </c>
      <c r="G2571">
        <v>7431.21</v>
      </c>
      <c r="H2571" s="1">
        <f>AVERAGEIF(Table1[Customer_ID], Table1[[#This Row],[Customer_ID]], Table1[Transaction_Amount])</f>
        <v>5437.4650909090906</v>
      </c>
      <c r="I2571" t="s">
        <v>2246</v>
      </c>
      <c r="J2571" t="s">
        <v>46</v>
      </c>
      <c r="K2571" t="s">
        <v>12</v>
      </c>
      <c r="L2571">
        <v>1</v>
      </c>
      <c r="M2571" t="s">
        <v>412</v>
      </c>
      <c r="N2571" t="s">
        <v>47</v>
      </c>
      <c r="O2571" t="s">
        <v>393</v>
      </c>
      <c r="P2571" s="6" t="str">
        <f>IF(Table1[[#This Row],[Transaction_Amount]]&lt;=Table1[[#This Row],[avg_transaction_amount]], "usual transaction", "unusual transaction")</f>
        <v>unusual transaction</v>
      </c>
      <c r="Q2571" s="6" t="str">
        <f>IF(AND(Table1[[#This Row],[Country_of_Residence]]&lt;&gt;Table1[[#This Row],[Country_of_Transaction]], OR(Table1[[#This Row],[Authentication_Type]]="Biometric", Table1[[#This Row],[Authentication_Type]]="OTP")), "safe location transaction", "unsafe location transaction")</f>
        <v>unsafe location transaction</v>
      </c>
      <c r="R2571" s="6" t="str">
        <f>IF(AND(Table1[[#This Row],[Country_of_Residence]]&lt;&gt;Table1[[#This Row],[Country_of_Transaction]], OR(Table1[[#This Row],[Merchant_Category]]="Electronics", Table1[[#This Row],[Merchant_Category]]="Travel")), "unsafe merchant transaction", "safe merchant transaction")</f>
        <v>safe merchant transaction</v>
      </c>
    </row>
    <row r="2572" spans="1:18">
      <c r="A2572" t="s">
        <v>5103</v>
      </c>
      <c r="B2572" t="s">
        <v>414</v>
      </c>
      <c r="C2572">
        <v>1</v>
      </c>
      <c r="D2572" t="s">
        <v>15</v>
      </c>
      <c r="E2572" t="s">
        <v>3</v>
      </c>
      <c r="F2572" s="2">
        <v>45714</v>
      </c>
      <c r="G2572">
        <v>5835.2</v>
      </c>
      <c r="H2572" s="1">
        <f>AVERAGEIF(Table1[Customer_ID], Table1[[#This Row],[Customer_ID]], Table1[Transaction_Amount])</f>
        <v>5437.4650909090906</v>
      </c>
      <c r="I2572" t="s">
        <v>2453</v>
      </c>
      <c r="J2572" t="s">
        <v>41</v>
      </c>
      <c r="K2572" t="s">
        <v>14</v>
      </c>
      <c r="L2572">
        <v>2</v>
      </c>
      <c r="M2572" t="s">
        <v>47</v>
      </c>
      <c r="N2572" t="s">
        <v>55</v>
      </c>
      <c r="O2572" t="s">
        <v>393</v>
      </c>
      <c r="P2572" s="6" t="str">
        <f>IF(Table1[[#This Row],[Transaction_Amount]]&lt;=Table1[[#This Row],[avg_transaction_amount]], "usual transaction", "unusual transaction")</f>
        <v>unusual transaction</v>
      </c>
      <c r="Q2572" s="6" t="str">
        <f>IF(AND(Table1[[#This Row],[Country_of_Residence]]&lt;&gt;Table1[[#This Row],[Country_of_Transaction]], OR(Table1[[#This Row],[Authentication_Type]]="Biometric", Table1[[#This Row],[Authentication_Type]]="OTP")), "safe location transaction", "unsafe location transaction")</f>
        <v>unsafe location transaction</v>
      </c>
      <c r="R2572" s="6" t="str">
        <f>IF(AND(Table1[[#This Row],[Country_of_Residence]]&lt;&gt;Table1[[#This Row],[Country_of_Transaction]], OR(Table1[[#This Row],[Merchant_Category]]="Electronics", Table1[[#This Row],[Merchant_Category]]="Travel")), "unsafe merchant transaction", "safe merchant transaction")</f>
        <v>safe merchant transaction</v>
      </c>
    </row>
    <row r="2573" spans="1:18">
      <c r="A2573" t="s">
        <v>5111</v>
      </c>
      <c r="B2573" t="s">
        <v>414</v>
      </c>
      <c r="C2573">
        <v>1</v>
      </c>
      <c r="D2573" t="s">
        <v>9</v>
      </c>
      <c r="E2573" t="s">
        <v>3</v>
      </c>
      <c r="F2573" s="2">
        <v>45826</v>
      </c>
      <c r="G2573">
        <v>8414.9500000000007</v>
      </c>
      <c r="H2573" s="1">
        <f>AVERAGEIF(Table1[Customer_ID], Table1[[#This Row],[Customer_ID]], Table1[Transaction_Amount])</f>
        <v>5437.4650909090906</v>
      </c>
      <c r="I2573" t="s">
        <v>2459</v>
      </c>
      <c r="J2573" t="s">
        <v>46</v>
      </c>
      <c r="K2573" t="s">
        <v>10</v>
      </c>
      <c r="L2573">
        <v>5</v>
      </c>
      <c r="M2573" t="s">
        <v>55</v>
      </c>
      <c r="N2573" t="s">
        <v>42</v>
      </c>
      <c r="O2573" t="s">
        <v>393</v>
      </c>
      <c r="P2573" s="6" t="str">
        <f>IF(Table1[[#This Row],[Transaction_Amount]]&lt;=Table1[[#This Row],[avg_transaction_amount]], "usual transaction", "unusual transaction")</f>
        <v>unusual transaction</v>
      </c>
      <c r="Q2573" s="6" t="str">
        <f>IF(AND(Table1[[#This Row],[Country_of_Residence]]&lt;&gt;Table1[[#This Row],[Country_of_Transaction]], OR(Table1[[#This Row],[Authentication_Type]]="Biometric", Table1[[#This Row],[Authentication_Type]]="OTP")), "safe location transaction", "unsafe location transaction")</f>
        <v>safe location transaction</v>
      </c>
      <c r="R2573" s="6" t="str">
        <f>IF(AND(Table1[[#This Row],[Country_of_Residence]]&lt;&gt;Table1[[#This Row],[Country_of_Transaction]], OR(Table1[[#This Row],[Merchant_Category]]="Electronics", Table1[[#This Row],[Merchant_Category]]="Travel")), "unsafe merchant transaction", "safe merchant transaction")</f>
        <v>safe merchant transaction</v>
      </c>
    </row>
    <row r="2574" spans="1:18">
      <c r="A2574" t="s">
        <v>5163</v>
      </c>
      <c r="B2574" t="s">
        <v>414</v>
      </c>
      <c r="C2574">
        <v>1</v>
      </c>
      <c r="D2574" t="s">
        <v>9</v>
      </c>
      <c r="E2574" t="s">
        <v>6</v>
      </c>
      <c r="F2574" s="2">
        <v>45901</v>
      </c>
      <c r="G2574">
        <v>6996.73</v>
      </c>
      <c r="H2574" s="1">
        <f>AVERAGEIF(Table1[Customer_ID], Table1[[#This Row],[Customer_ID]], Table1[Transaction_Amount])</f>
        <v>5437.4650909090906</v>
      </c>
      <c r="I2574" t="s">
        <v>2499</v>
      </c>
      <c r="J2574" t="s">
        <v>41</v>
      </c>
      <c r="K2574" t="s">
        <v>10</v>
      </c>
      <c r="L2574">
        <v>0</v>
      </c>
      <c r="M2574" t="s">
        <v>32</v>
      </c>
      <c r="N2574" t="s">
        <v>56</v>
      </c>
      <c r="O2574" t="s">
        <v>392</v>
      </c>
      <c r="P2574" s="6" t="str">
        <f>IF(Table1[[#This Row],[Transaction_Amount]]&lt;=Table1[[#This Row],[avg_transaction_amount]], "usual transaction", "unusual transaction")</f>
        <v>unusual transaction</v>
      </c>
      <c r="Q2574" s="6" t="str">
        <f>IF(AND(Table1[[#This Row],[Country_of_Residence]]&lt;&gt;Table1[[#This Row],[Country_of_Transaction]], OR(Table1[[#This Row],[Authentication_Type]]="Biometric", Table1[[#This Row],[Authentication_Type]]="OTP")), "safe location transaction", "unsafe location transaction")</f>
        <v>safe location transaction</v>
      </c>
      <c r="R2574" s="6" t="str">
        <f>IF(AND(Table1[[#This Row],[Country_of_Residence]]&lt;&gt;Table1[[#This Row],[Country_of_Transaction]], OR(Table1[[#This Row],[Merchant_Category]]="Electronics", Table1[[#This Row],[Merchant_Category]]="Travel")), "unsafe merchant transaction", "safe merchant transaction")</f>
        <v>safe merchant transaction</v>
      </c>
    </row>
    <row r="2575" spans="1:18">
      <c r="A2575" t="s">
        <v>5261</v>
      </c>
      <c r="B2575" t="s">
        <v>414</v>
      </c>
      <c r="C2575">
        <v>1</v>
      </c>
      <c r="D2575" t="s">
        <v>9</v>
      </c>
      <c r="E2575" t="s">
        <v>5</v>
      </c>
      <c r="F2575" s="2">
        <v>45940</v>
      </c>
      <c r="G2575">
        <v>4137.16</v>
      </c>
      <c r="H2575" s="1">
        <f>AVERAGEIF(Table1[Customer_ID], Table1[[#This Row],[Customer_ID]], Table1[Transaction_Amount])</f>
        <v>5437.4650909090906</v>
      </c>
      <c r="I2575" t="s">
        <v>2579</v>
      </c>
      <c r="J2575" t="s">
        <v>41</v>
      </c>
      <c r="K2575" t="s">
        <v>14</v>
      </c>
      <c r="L2575">
        <v>1</v>
      </c>
      <c r="M2575" t="s">
        <v>32</v>
      </c>
      <c r="N2575" t="s">
        <v>55</v>
      </c>
      <c r="O2575" t="s">
        <v>393</v>
      </c>
      <c r="P2575" s="6" t="str">
        <f>IF(Table1[[#This Row],[Transaction_Amount]]&lt;=Table1[[#This Row],[avg_transaction_amount]], "usual transaction", "unusual transaction")</f>
        <v>usual transaction</v>
      </c>
      <c r="Q2575" s="6" t="str">
        <f>IF(AND(Table1[[#This Row],[Country_of_Residence]]&lt;&gt;Table1[[#This Row],[Country_of_Transaction]], OR(Table1[[#This Row],[Authentication_Type]]="Biometric", Table1[[#This Row],[Authentication_Type]]="OTP")), "safe location transaction", "unsafe location transaction")</f>
        <v>unsafe location transaction</v>
      </c>
      <c r="R2575" s="6" t="str">
        <f>IF(AND(Table1[[#This Row],[Country_of_Residence]]&lt;&gt;Table1[[#This Row],[Country_of_Transaction]], OR(Table1[[#This Row],[Merchant_Category]]="Electronics", Table1[[#This Row],[Merchant_Category]]="Travel")), "unsafe merchant transaction", "safe merchant transaction")</f>
        <v>safe merchant transaction</v>
      </c>
    </row>
    <row r="2576" spans="1:18">
      <c r="A2576" t="s">
        <v>5358</v>
      </c>
      <c r="B2576" t="s">
        <v>414</v>
      </c>
      <c r="C2576">
        <v>1</v>
      </c>
      <c r="D2576" t="s">
        <v>15</v>
      </c>
      <c r="E2576" t="s">
        <v>6</v>
      </c>
      <c r="F2576" s="2">
        <v>45676</v>
      </c>
      <c r="G2576">
        <v>7991.66</v>
      </c>
      <c r="H2576" s="1">
        <f>AVERAGEIF(Table1[Customer_ID], Table1[[#This Row],[Customer_ID]], Table1[Transaction_Amount])</f>
        <v>5437.4650909090906</v>
      </c>
      <c r="I2576" t="s">
        <v>2649</v>
      </c>
      <c r="J2576" t="s">
        <v>46</v>
      </c>
      <c r="K2576" t="s">
        <v>14</v>
      </c>
      <c r="L2576">
        <v>3</v>
      </c>
      <c r="M2576" t="s">
        <v>55</v>
      </c>
      <c r="N2576" t="s">
        <v>47</v>
      </c>
      <c r="O2576" t="s">
        <v>393</v>
      </c>
      <c r="P2576" s="6" t="str">
        <f>IF(Table1[[#This Row],[Transaction_Amount]]&lt;=Table1[[#This Row],[avg_transaction_amount]], "usual transaction", "unusual transaction")</f>
        <v>unusual transaction</v>
      </c>
      <c r="Q2576" s="6" t="str">
        <f>IF(AND(Table1[[#This Row],[Country_of_Residence]]&lt;&gt;Table1[[#This Row],[Country_of_Transaction]], OR(Table1[[#This Row],[Authentication_Type]]="Biometric", Table1[[#This Row],[Authentication_Type]]="OTP")), "safe location transaction", "unsafe location transaction")</f>
        <v>unsafe location transaction</v>
      </c>
      <c r="R2576" s="6" t="str">
        <f>IF(AND(Table1[[#This Row],[Country_of_Residence]]&lt;&gt;Table1[[#This Row],[Country_of_Transaction]], OR(Table1[[#This Row],[Merchant_Category]]="Electronics", Table1[[#This Row],[Merchant_Category]]="Travel")), "unsafe merchant transaction", "safe merchant transaction")</f>
        <v>safe merchant transaction</v>
      </c>
    </row>
    <row r="2577" spans="1:18">
      <c r="A2577" t="s">
        <v>5387</v>
      </c>
      <c r="B2577" t="s">
        <v>414</v>
      </c>
      <c r="C2577">
        <v>1</v>
      </c>
      <c r="D2577" t="s">
        <v>15</v>
      </c>
      <c r="E2577" t="s">
        <v>6</v>
      </c>
      <c r="F2577" s="2">
        <v>45996</v>
      </c>
      <c r="G2577">
        <v>5447.5</v>
      </c>
      <c r="H2577" s="1">
        <f>AVERAGEIF(Table1[Customer_ID], Table1[[#This Row],[Customer_ID]], Table1[Transaction_Amount])</f>
        <v>5437.4650909090906</v>
      </c>
      <c r="I2577" t="s">
        <v>2670</v>
      </c>
      <c r="J2577" t="s">
        <v>50</v>
      </c>
      <c r="K2577" t="s">
        <v>10</v>
      </c>
      <c r="L2577">
        <v>3</v>
      </c>
      <c r="M2577" t="s">
        <v>37</v>
      </c>
      <c r="N2577" t="s">
        <v>37</v>
      </c>
      <c r="O2577" t="s">
        <v>392</v>
      </c>
      <c r="P2577" s="6" t="str">
        <f>IF(Table1[[#This Row],[Transaction_Amount]]&lt;=Table1[[#This Row],[avg_transaction_amount]], "usual transaction", "unusual transaction")</f>
        <v>unusual transaction</v>
      </c>
      <c r="Q2577" s="6" t="str">
        <f>IF(AND(Table1[[#This Row],[Country_of_Residence]]&lt;&gt;Table1[[#This Row],[Country_of_Transaction]], OR(Table1[[#This Row],[Authentication_Type]]="Biometric", Table1[[#This Row],[Authentication_Type]]="OTP")), "safe location transaction", "unsafe location transaction")</f>
        <v>unsafe location transaction</v>
      </c>
      <c r="R2577" s="6" t="str">
        <f>IF(AND(Table1[[#This Row],[Country_of_Residence]]&lt;&gt;Table1[[#This Row],[Country_of_Transaction]], OR(Table1[[#This Row],[Merchant_Category]]="Electronics", Table1[[#This Row],[Merchant_Category]]="Travel")), "unsafe merchant transaction", "safe merchant transaction")</f>
        <v>safe merchant transaction</v>
      </c>
    </row>
    <row r="2578" spans="1:18">
      <c r="A2578" t="s">
        <v>5393</v>
      </c>
      <c r="B2578" t="s">
        <v>414</v>
      </c>
      <c r="C2578">
        <v>1</v>
      </c>
      <c r="D2578" t="s">
        <v>15</v>
      </c>
      <c r="E2578" t="s">
        <v>3</v>
      </c>
      <c r="F2578" s="2">
        <v>45847</v>
      </c>
      <c r="G2578">
        <v>565</v>
      </c>
      <c r="H2578" s="1">
        <f>AVERAGEIF(Table1[Customer_ID], Table1[[#This Row],[Customer_ID]], Table1[Transaction_Amount])</f>
        <v>5437.4650909090906</v>
      </c>
      <c r="I2578" t="s">
        <v>969</v>
      </c>
      <c r="J2578" t="s">
        <v>41</v>
      </c>
      <c r="K2578" t="s">
        <v>8</v>
      </c>
      <c r="L2578">
        <v>1</v>
      </c>
      <c r="M2578" t="s">
        <v>37</v>
      </c>
      <c r="N2578" t="s">
        <v>47</v>
      </c>
      <c r="O2578" t="s">
        <v>392</v>
      </c>
      <c r="P2578" s="6" t="str">
        <f>IF(Table1[[#This Row],[Transaction_Amount]]&lt;=Table1[[#This Row],[avg_transaction_amount]], "usual transaction", "unusual transaction")</f>
        <v>usual transaction</v>
      </c>
      <c r="Q2578" s="6" t="str">
        <f>IF(AND(Table1[[#This Row],[Country_of_Residence]]&lt;&gt;Table1[[#This Row],[Country_of_Transaction]], OR(Table1[[#This Row],[Authentication_Type]]="Biometric", Table1[[#This Row],[Authentication_Type]]="OTP")), "safe location transaction", "unsafe location transaction")</f>
        <v>safe location transaction</v>
      </c>
      <c r="R2578" s="6" t="str">
        <f>IF(AND(Table1[[#This Row],[Country_of_Residence]]&lt;&gt;Table1[[#This Row],[Country_of_Transaction]], OR(Table1[[#This Row],[Merchant_Category]]="Electronics", Table1[[#This Row],[Merchant_Category]]="Travel")), "unsafe merchant transaction", "safe merchant transaction")</f>
        <v>safe merchant transaction</v>
      </c>
    </row>
    <row r="2579" spans="1:18">
      <c r="A2579" t="s">
        <v>5471</v>
      </c>
      <c r="B2579" t="s">
        <v>414</v>
      </c>
      <c r="C2579">
        <v>1</v>
      </c>
      <c r="D2579" t="s">
        <v>15</v>
      </c>
      <c r="E2579" t="s">
        <v>6</v>
      </c>
      <c r="F2579" s="2">
        <v>46000</v>
      </c>
      <c r="G2579">
        <v>9032.5300000000007</v>
      </c>
      <c r="H2579" s="1">
        <f>AVERAGEIF(Table1[Customer_ID], Table1[[#This Row],[Customer_ID]], Table1[Transaction_Amount])</f>
        <v>5437.4650909090906</v>
      </c>
      <c r="I2579" t="s">
        <v>2732</v>
      </c>
      <c r="J2579" t="s">
        <v>36</v>
      </c>
      <c r="K2579" t="s">
        <v>12</v>
      </c>
      <c r="L2579">
        <v>2</v>
      </c>
      <c r="M2579" t="s">
        <v>47</v>
      </c>
      <c r="N2579" t="s">
        <v>32</v>
      </c>
      <c r="O2579" t="s">
        <v>392</v>
      </c>
      <c r="P2579" s="6" t="str">
        <f>IF(Table1[[#This Row],[Transaction_Amount]]&lt;=Table1[[#This Row],[avg_transaction_amount]], "usual transaction", "unusual transaction")</f>
        <v>unusual transaction</v>
      </c>
      <c r="Q2579" s="6" t="str">
        <f>IF(AND(Table1[[#This Row],[Country_of_Residence]]&lt;&gt;Table1[[#This Row],[Country_of_Transaction]], OR(Table1[[#This Row],[Authentication_Type]]="Biometric", Table1[[#This Row],[Authentication_Type]]="OTP")), "safe location transaction", "unsafe location transaction")</f>
        <v>unsafe location transaction</v>
      </c>
      <c r="R2579" s="6" t="str">
        <f>IF(AND(Table1[[#This Row],[Country_of_Residence]]&lt;&gt;Table1[[#This Row],[Country_of_Transaction]], OR(Table1[[#This Row],[Merchant_Category]]="Electronics", Table1[[#This Row],[Merchant_Category]]="Travel")), "unsafe merchant transaction", "safe merchant transaction")</f>
        <v>safe merchant transaction</v>
      </c>
    </row>
    <row r="2580" spans="1:18">
      <c r="A2580" t="s">
        <v>356</v>
      </c>
      <c r="B2580" t="s">
        <v>357</v>
      </c>
      <c r="C2580">
        <v>1</v>
      </c>
      <c r="D2580" t="s">
        <v>15</v>
      </c>
      <c r="E2580" t="s">
        <v>6</v>
      </c>
      <c r="F2580" s="2">
        <v>45711.0805555556</v>
      </c>
      <c r="G2580">
        <v>3662.63</v>
      </c>
      <c r="H2580" s="1">
        <f>AVERAGEIF(Table1[Customer_ID], Table1[[#This Row],[Customer_ID]], Table1[Transaction_Amount])</f>
        <v>5123.7795999999989</v>
      </c>
      <c r="I2580" t="s">
        <v>358</v>
      </c>
      <c r="J2580" t="s">
        <v>50</v>
      </c>
      <c r="K2580" t="s">
        <v>14</v>
      </c>
      <c r="L2580">
        <v>4</v>
      </c>
      <c r="M2580" t="s">
        <v>359</v>
      </c>
      <c r="N2580" t="s">
        <v>360</v>
      </c>
      <c r="O2580" t="s">
        <v>393</v>
      </c>
      <c r="P2580" t="str">
        <f>IF(Table1[[#This Row],[Transaction_Amount]]&lt;=Table1[[#This Row],[avg_transaction_amount]], "usual transaction", "unusual transaction")</f>
        <v>usual transaction</v>
      </c>
      <c r="Q2580" t="str">
        <f>IF(AND(Table1[[#This Row],[Country_of_Residence]]&lt;&gt;Table1[[#This Row],[Country_of_Transaction]], OR(Table1[[#This Row],[Authentication_Type]]="Biometric", Table1[[#This Row],[Authentication_Type]]="OTP")), "safe location transaction", "unsafe location transaction")</f>
        <v>unsafe location transaction</v>
      </c>
      <c r="R2580" t="str">
        <f>IF(AND(Table1[[#This Row],[Country_of_Residence]]&lt;&gt;Table1[[#This Row],[Country_of_Transaction]], OR(Table1[[#This Row],[Merchant_Category]]="Electronics", Table1[[#This Row],[Merchant_Category]]="Travel")), "unsafe merchant transaction", "safe merchant transaction")</f>
        <v>unsafe merchant transaction</v>
      </c>
    </row>
    <row r="2581" spans="1:18">
      <c r="A2581" t="s">
        <v>2876</v>
      </c>
      <c r="B2581" t="s">
        <v>357</v>
      </c>
      <c r="C2581">
        <v>1</v>
      </c>
      <c r="D2581" t="s">
        <v>9</v>
      </c>
      <c r="E2581" t="s">
        <v>3</v>
      </c>
      <c r="F2581" s="2">
        <v>45740</v>
      </c>
      <c r="G2581">
        <v>8466.6299999999992</v>
      </c>
      <c r="H2581" s="1">
        <f>AVERAGEIF(Table1[Customer_ID], Table1[[#This Row],[Customer_ID]], Table1[Transaction_Amount])</f>
        <v>5123.7795999999989</v>
      </c>
      <c r="I2581" t="s">
        <v>72</v>
      </c>
      <c r="J2581" t="s">
        <v>41</v>
      </c>
      <c r="K2581" t="s">
        <v>12</v>
      </c>
      <c r="L2581">
        <v>3</v>
      </c>
      <c r="M2581" t="s">
        <v>32</v>
      </c>
      <c r="N2581" t="s">
        <v>55</v>
      </c>
      <c r="O2581" t="s">
        <v>393</v>
      </c>
      <c r="P2581" s="6" t="str">
        <f>IF(Table1[[#This Row],[Transaction_Amount]]&lt;=Table1[[#This Row],[avg_transaction_amount]], "usual transaction", "unusual transaction")</f>
        <v>unusual transaction</v>
      </c>
      <c r="Q2581" s="6" t="str">
        <f>IF(AND(Table1[[#This Row],[Country_of_Residence]]&lt;&gt;Table1[[#This Row],[Country_of_Transaction]], OR(Table1[[#This Row],[Authentication_Type]]="Biometric", Table1[[#This Row],[Authentication_Type]]="OTP")), "safe location transaction", "unsafe location transaction")</f>
        <v>unsafe location transaction</v>
      </c>
      <c r="R2581" s="6" t="str">
        <f>IF(AND(Table1[[#This Row],[Country_of_Residence]]&lt;&gt;Table1[[#This Row],[Country_of_Transaction]], OR(Table1[[#This Row],[Merchant_Category]]="Electronics", Table1[[#This Row],[Merchant_Category]]="Travel")), "unsafe merchant transaction", "safe merchant transaction")</f>
        <v>safe merchant transaction</v>
      </c>
    </row>
    <row r="2582" spans="1:18">
      <c r="A2582" t="s">
        <v>2891</v>
      </c>
      <c r="B2582" t="s">
        <v>357</v>
      </c>
      <c r="C2582">
        <v>1</v>
      </c>
      <c r="D2582" t="s">
        <v>9</v>
      </c>
      <c r="E2582" t="s">
        <v>5</v>
      </c>
      <c r="F2582" s="2">
        <v>46021</v>
      </c>
      <c r="G2582">
        <v>4478.8599999999997</v>
      </c>
      <c r="H2582" s="1">
        <f>AVERAGEIF(Table1[Customer_ID], Table1[[#This Row],[Customer_ID]], Table1[Transaction_Amount])</f>
        <v>5123.7795999999989</v>
      </c>
      <c r="I2582" t="s">
        <v>541</v>
      </c>
      <c r="J2582" t="s">
        <v>50</v>
      </c>
      <c r="K2582" t="s">
        <v>14</v>
      </c>
      <c r="L2582">
        <v>1</v>
      </c>
      <c r="M2582" t="s">
        <v>42</v>
      </c>
      <c r="N2582" t="s">
        <v>51</v>
      </c>
      <c r="O2582" t="s">
        <v>392</v>
      </c>
      <c r="P2582" s="6" t="str">
        <f>IF(Table1[[#This Row],[Transaction_Amount]]&lt;=Table1[[#This Row],[avg_transaction_amount]], "usual transaction", "unusual transaction")</f>
        <v>usual transaction</v>
      </c>
      <c r="Q2582" s="6" t="str">
        <f>IF(AND(Table1[[#This Row],[Country_of_Residence]]&lt;&gt;Table1[[#This Row],[Country_of_Transaction]], OR(Table1[[#This Row],[Authentication_Type]]="Biometric", Table1[[#This Row],[Authentication_Type]]="OTP")), "safe location transaction", "unsafe location transaction")</f>
        <v>unsafe location transaction</v>
      </c>
      <c r="R2582" s="6" t="str">
        <f>IF(AND(Table1[[#This Row],[Country_of_Residence]]&lt;&gt;Table1[[#This Row],[Country_of_Transaction]], OR(Table1[[#This Row],[Merchant_Category]]="Electronics", Table1[[#This Row],[Merchant_Category]]="Travel")), "unsafe merchant transaction", "safe merchant transaction")</f>
        <v>unsafe merchant transaction</v>
      </c>
    </row>
    <row r="2583" spans="1:18">
      <c r="A2583" t="s">
        <v>2895</v>
      </c>
      <c r="B2583" t="s">
        <v>357</v>
      </c>
      <c r="C2583">
        <v>1</v>
      </c>
      <c r="D2583" t="s">
        <v>9</v>
      </c>
      <c r="E2583" t="s">
        <v>3</v>
      </c>
      <c r="F2583" s="2">
        <v>45786</v>
      </c>
      <c r="G2583">
        <v>2293.4299999999998</v>
      </c>
      <c r="H2583" s="1">
        <f>AVERAGEIF(Table1[Customer_ID], Table1[[#This Row],[Customer_ID]], Table1[Transaction_Amount])</f>
        <v>5123.7795999999989</v>
      </c>
      <c r="I2583" t="s">
        <v>545</v>
      </c>
      <c r="J2583" t="s">
        <v>46</v>
      </c>
      <c r="K2583" t="s">
        <v>14</v>
      </c>
      <c r="L2583">
        <v>4</v>
      </c>
      <c r="M2583" t="s">
        <v>33</v>
      </c>
      <c r="N2583" t="s">
        <v>32</v>
      </c>
      <c r="O2583" t="s">
        <v>392</v>
      </c>
      <c r="P2583" s="6" t="str">
        <f>IF(Table1[[#This Row],[Transaction_Amount]]&lt;=Table1[[#This Row],[avg_transaction_amount]], "usual transaction", "unusual transaction")</f>
        <v>usual transaction</v>
      </c>
      <c r="Q2583" s="6" t="str">
        <f>IF(AND(Table1[[#This Row],[Country_of_Residence]]&lt;&gt;Table1[[#This Row],[Country_of_Transaction]], OR(Table1[[#This Row],[Authentication_Type]]="Biometric", Table1[[#This Row],[Authentication_Type]]="OTP")), "safe location transaction", "unsafe location transaction")</f>
        <v>unsafe location transaction</v>
      </c>
      <c r="R2583" s="6" t="str">
        <f>IF(AND(Table1[[#This Row],[Country_of_Residence]]&lt;&gt;Table1[[#This Row],[Country_of_Transaction]], OR(Table1[[#This Row],[Merchant_Category]]="Electronics", Table1[[#This Row],[Merchant_Category]]="Travel")), "unsafe merchant transaction", "safe merchant transaction")</f>
        <v>safe merchant transaction</v>
      </c>
    </row>
    <row r="2584" spans="1:18">
      <c r="A2584" t="s">
        <v>2995</v>
      </c>
      <c r="B2584" t="s">
        <v>357</v>
      </c>
      <c r="C2584">
        <v>1</v>
      </c>
      <c r="D2584" t="s">
        <v>9</v>
      </c>
      <c r="E2584" t="s">
        <v>6</v>
      </c>
      <c r="F2584" s="2">
        <v>45704</v>
      </c>
      <c r="G2584">
        <v>6983.94</v>
      </c>
      <c r="H2584" s="1">
        <f>AVERAGEIF(Table1[Customer_ID], Table1[[#This Row],[Customer_ID]], Table1[Transaction_Amount])</f>
        <v>5123.7795999999989</v>
      </c>
      <c r="I2584" t="s">
        <v>642</v>
      </c>
      <c r="J2584" t="s">
        <v>50</v>
      </c>
      <c r="K2584" t="s">
        <v>8</v>
      </c>
      <c r="L2584">
        <v>4</v>
      </c>
      <c r="M2584" t="s">
        <v>412</v>
      </c>
      <c r="N2584" t="s">
        <v>37</v>
      </c>
      <c r="O2584" t="s">
        <v>393</v>
      </c>
      <c r="P2584" s="6" t="str">
        <f>IF(Table1[[#This Row],[Transaction_Amount]]&lt;=Table1[[#This Row],[avg_transaction_amount]], "usual transaction", "unusual transaction")</f>
        <v>unusual transaction</v>
      </c>
      <c r="Q2584" s="6" t="str">
        <f>IF(AND(Table1[[#This Row],[Country_of_Residence]]&lt;&gt;Table1[[#This Row],[Country_of_Transaction]], OR(Table1[[#This Row],[Authentication_Type]]="Biometric", Table1[[#This Row],[Authentication_Type]]="OTP")), "safe location transaction", "unsafe location transaction")</f>
        <v>safe location transaction</v>
      </c>
      <c r="R2584" s="6" t="str">
        <f>IF(AND(Table1[[#This Row],[Country_of_Residence]]&lt;&gt;Table1[[#This Row],[Country_of_Transaction]], OR(Table1[[#This Row],[Merchant_Category]]="Electronics", Table1[[#This Row],[Merchant_Category]]="Travel")), "unsafe merchant transaction", "safe merchant transaction")</f>
        <v>unsafe merchant transaction</v>
      </c>
    </row>
    <row r="2585" spans="1:18">
      <c r="A2585" t="s">
        <v>3003</v>
      </c>
      <c r="B2585" t="s">
        <v>357</v>
      </c>
      <c r="C2585">
        <v>1</v>
      </c>
      <c r="D2585" t="s">
        <v>15</v>
      </c>
      <c r="E2585" t="s">
        <v>6</v>
      </c>
      <c r="F2585" s="2">
        <v>45910</v>
      </c>
      <c r="G2585">
        <v>7020.58</v>
      </c>
      <c r="H2585" s="1">
        <f>AVERAGEIF(Table1[Customer_ID], Table1[[#This Row],[Customer_ID]], Table1[Transaction_Amount])</f>
        <v>5123.7795999999989</v>
      </c>
      <c r="I2585" t="s">
        <v>650</v>
      </c>
      <c r="J2585" t="s">
        <v>46</v>
      </c>
      <c r="K2585" t="s">
        <v>8</v>
      </c>
      <c r="L2585">
        <v>0</v>
      </c>
      <c r="M2585" t="s">
        <v>32</v>
      </c>
      <c r="N2585" t="s">
        <v>412</v>
      </c>
      <c r="O2585" t="s">
        <v>392</v>
      </c>
      <c r="P2585" s="6" t="str">
        <f>IF(Table1[[#This Row],[Transaction_Amount]]&lt;=Table1[[#This Row],[avg_transaction_amount]], "usual transaction", "unusual transaction")</f>
        <v>unusual transaction</v>
      </c>
      <c r="Q2585" s="6" t="str">
        <f>IF(AND(Table1[[#This Row],[Country_of_Residence]]&lt;&gt;Table1[[#This Row],[Country_of_Transaction]], OR(Table1[[#This Row],[Authentication_Type]]="Biometric", Table1[[#This Row],[Authentication_Type]]="OTP")), "safe location transaction", "unsafe location transaction")</f>
        <v>safe location transaction</v>
      </c>
      <c r="R2585" s="6" t="str">
        <f>IF(AND(Table1[[#This Row],[Country_of_Residence]]&lt;&gt;Table1[[#This Row],[Country_of_Transaction]], OR(Table1[[#This Row],[Merchant_Category]]="Electronics", Table1[[#This Row],[Merchant_Category]]="Travel")), "unsafe merchant transaction", "safe merchant transaction")</f>
        <v>safe merchant transaction</v>
      </c>
    </row>
    <row r="2586" spans="1:18">
      <c r="A2586" t="s">
        <v>3056</v>
      </c>
      <c r="B2586" t="s">
        <v>357</v>
      </c>
      <c r="C2586">
        <v>1</v>
      </c>
      <c r="D2586" t="s">
        <v>15</v>
      </c>
      <c r="E2586" t="s">
        <v>3</v>
      </c>
      <c r="F2586" s="2">
        <v>45888</v>
      </c>
      <c r="G2586">
        <v>3412.44</v>
      </c>
      <c r="H2586" s="1">
        <f>AVERAGEIF(Table1[Customer_ID], Table1[[#This Row],[Customer_ID]], Table1[Transaction_Amount])</f>
        <v>5123.7795999999989</v>
      </c>
      <c r="I2586" t="s">
        <v>701</v>
      </c>
      <c r="J2586" t="s">
        <v>46</v>
      </c>
      <c r="K2586" t="s">
        <v>8</v>
      </c>
      <c r="L2586">
        <v>0</v>
      </c>
      <c r="M2586" t="s">
        <v>33</v>
      </c>
      <c r="N2586" t="s">
        <v>412</v>
      </c>
      <c r="O2586" t="s">
        <v>393</v>
      </c>
      <c r="P2586" s="6" t="str">
        <f>IF(Table1[[#This Row],[Transaction_Amount]]&lt;=Table1[[#This Row],[avg_transaction_amount]], "usual transaction", "unusual transaction")</f>
        <v>usual transaction</v>
      </c>
      <c r="Q2586" s="6" t="str">
        <f>IF(AND(Table1[[#This Row],[Country_of_Residence]]&lt;&gt;Table1[[#This Row],[Country_of_Transaction]], OR(Table1[[#This Row],[Authentication_Type]]="Biometric", Table1[[#This Row],[Authentication_Type]]="OTP")), "safe location transaction", "unsafe location transaction")</f>
        <v>safe location transaction</v>
      </c>
      <c r="R2586" s="6" t="str">
        <f>IF(AND(Table1[[#This Row],[Country_of_Residence]]&lt;&gt;Table1[[#This Row],[Country_of_Transaction]], OR(Table1[[#This Row],[Merchant_Category]]="Electronics", Table1[[#This Row],[Merchant_Category]]="Travel")), "unsafe merchant transaction", "safe merchant transaction")</f>
        <v>safe merchant transaction</v>
      </c>
    </row>
    <row r="2587" spans="1:18">
      <c r="A2587" t="s">
        <v>3097</v>
      </c>
      <c r="B2587" t="s">
        <v>357</v>
      </c>
      <c r="C2587">
        <v>1</v>
      </c>
      <c r="D2587" t="s">
        <v>15</v>
      </c>
      <c r="E2587" t="s">
        <v>420</v>
      </c>
      <c r="F2587" s="2">
        <v>45882</v>
      </c>
      <c r="G2587">
        <v>9637.1200000000008</v>
      </c>
      <c r="H2587" s="1">
        <f>AVERAGEIF(Table1[Customer_ID], Table1[[#This Row],[Customer_ID]], Table1[Transaction_Amount])</f>
        <v>5123.7795999999989</v>
      </c>
      <c r="I2587" t="s">
        <v>741</v>
      </c>
      <c r="J2587" t="s">
        <v>41</v>
      </c>
      <c r="K2587" t="s">
        <v>14</v>
      </c>
      <c r="L2587">
        <v>1</v>
      </c>
      <c r="M2587" t="s">
        <v>412</v>
      </c>
      <c r="N2587" t="s">
        <v>33</v>
      </c>
      <c r="O2587" t="s">
        <v>392</v>
      </c>
      <c r="P2587" s="6" t="str">
        <f>IF(Table1[[#This Row],[Transaction_Amount]]&lt;=Table1[[#This Row],[avg_transaction_amount]], "usual transaction", "unusual transaction")</f>
        <v>unusual transaction</v>
      </c>
      <c r="Q2587" s="6" t="str">
        <f>IF(AND(Table1[[#This Row],[Country_of_Residence]]&lt;&gt;Table1[[#This Row],[Country_of_Transaction]], OR(Table1[[#This Row],[Authentication_Type]]="Biometric", Table1[[#This Row],[Authentication_Type]]="OTP")), "safe location transaction", "unsafe location transaction")</f>
        <v>unsafe location transaction</v>
      </c>
      <c r="R2587" s="6" t="str">
        <f>IF(AND(Table1[[#This Row],[Country_of_Residence]]&lt;&gt;Table1[[#This Row],[Country_of_Transaction]], OR(Table1[[#This Row],[Merchant_Category]]="Electronics", Table1[[#This Row],[Merchant_Category]]="Travel")), "unsafe merchant transaction", "safe merchant transaction")</f>
        <v>safe merchant transaction</v>
      </c>
    </row>
    <row r="2588" spans="1:18">
      <c r="A2588" t="s">
        <v>3288</v>
      </c>
      <c r="B2588" t="s">
        <v>357</v>
      </c>
      <c r="C2588">
        <v>1</v>
      </c>
      <c r="D2588" t="s">
        <v>15</v>
      </c>
      <c r="E2588" t="s">
        <v>3</v>
      </c>
      <c r="F2588" s="2">
        <v>46011</v>
      </c>
      <c r="G2588">
        <v>3709.01</v>
      </c>
      <c r="H2588" s="1">
        <f>AVERAGEIF(Table1[Customer_ID], Table1[[#This Row],[Customer_ID]], Table1[Transaction_Amount])</f>
        <v>5123.7795999999989</v>
      </c>
      <c r="I2588" t="s">
        <v>916</v>
      </c>
      <c r="J2588" t="s">
        <v>50</v>
      </c>
      <c r="K2588" t="s">
        <v>8</v>
      </c>
      <c r="L2588">
        <v>2</v>
      </c>
      <c r="M2588" t="s">
        <v>51</v>
      </c>
      <c r="N2588" t="s">
        <v>32</v>
      </c>
      <c r="O2588" t="s">
        <v>392</v>
      </c>
      <c r="P2588" s="6" t="str">
        <f>IF(Table1[[#This Row],[Transaction_Amount]]&lt;=Table1[[#This Row],[avg_transaction_amount]], "usual transaction", "unusual transaction")</f>
        <v>usual transaction</v>
      </c>
      <c r="Q2588" s="6" t="str">
        <f>IF(AND(Table1[[#This Row],[Country_of_Residence]]&lt;&gt;Table1[[#This Row],[Country_of_Transaction]], OR(Table1[[#This Row],[Authentication_Type]]="Biometric", Table1[[#This Row],[Authentication_Type]]="OTP")), "safe location transaction", "unsafe location transaction")</f>
        <v>safe location transaction</v>
      </c>
      <c r="R2588" s="6" t="str">
        <f>IF(AND(Table1[[#This Row],[Country_of_Residence]]&lt;&gt;Table1[[#This Row],[Country_of_Transaction]], OR(Table1[[#This Row],[Merchant_Category]]="Electronics", Table1[[#This Row],[Merchant_Category]]="Travel")), "unsafe merchant transaction", "safe merchant transaction")</f>
        <v>unsafe merchant transaction</v>
      </c>
    </row>
    <row r="2589" spans="1:18">
      <c r="A2589" t="s">
        <v>3346</v>
      </c>
      <c r="B2589" t="s">
        <v>357</v>
      </c>
      <c r="C2589">
        <v>1</v>
      </c>
      <c r="D2589" t="s">
        <v>15</v>
      </c>
      <c r="E2589" t="s">
        <v>5</v>
      </c>
      <c r="F2589" s="2">
        <v>45863</v>
      </c>
      <c r="G2589">
        <v>8397.23</v>
      </c>
      <c r="H2589" s="1">
        <f>AVERAGEIF(Table1[Customer_ID], Table1[[#This Row],[Customer_ID]], Table1[Transaction_Amount])</f>
        <v>5123.7795999999989</v>
      </c>
      <c r="I2589" t="s">
        <v>970</v>
      </c>
      <c r="J2589" t="s">
        <v>36</v>
      </c>
      <c r="K2589" t="s">
        <v>10</v>
      </c>
      <c r="L2589">
        <v>2</v>
      </c>
      <c r="M2589" t="s">
        <v>56</v>
      </c>
      <c r="N2589" t="s">
        <v>42</v>
      </c>
      <c r="O2589" t="s">
        <v>393</v>
      </c>
      <c r="P2589" s="6" t="str">
        <f>IF(Table1[[#This Row],[Transaction_Amount]]&lt;=Table1[[#This Row],[avg_transaction_amount]], "usual transaction", "unusual transaction")</f>
        <v>unusual transaction</v>
      </c>
      <c r="Q2589" s="6" t="str">
        <f>IF(AND(Table1[[#This Row],[Country_of_Residence]]&lt;&gt;Table1[[#This Row],[Country_of_Transaction]], OR(Table1[[#This Row],[Authentication_Type]]="Biometric", Table1[[#This Row],[Authentication_Type]]="OTP")), "safe location transaction", "unsafe location transaction")</f>
        <v>safe location transaction</v>
      </c>
      <c r="R2589" s="6" t="str">
        <f>IF(AND(Table1[[#This Row],[Country_of_Residence]]&lt;&gt;Table1[[#This Row],[Country_of_Transaction]], OR(Table1[[#This Row],[Merchant_Category]]="Electronics", Table1[[#This Row],[Merchant_Category]]="Travel")), "unsafe merchant transaction", "safe merchant transaction")</f>
        <v>safe merchant transaction</v>
      </c>
    </row>
    <row r="2590" spans="1:18">
      <c r="A2590" t="s">
        <v>3376</v>
      </c>
      <c r="B2590" t="s">
        <v>357</v>
      </c>
      <c r="C2590">
        <v>1</v>
      </c>
      <c r="D2590" t="s">
        <v>15</v>
      </c>
      <c r="E2590" t="s">
        <v>6</v>
      </c>
      <c r="F2590" s="2">
        <v>45756</v>
      </c>
      <c r="G2590">
        <v>700.51</v>
      </c>
      <c r="H2590" s="1">
        <f>AVERAGEIF(Table1[Customer_ID], Table1[[#This Row],[Customer_ID]], Table1[Transaction_Amount])</f>
        <v>5123.7795999999989</v>
      </c>
      <c r="I2590" t="s">
        <v>998</v>
      </c>
      <c r="J2590" t="s">
        <v>50</v>
      </c>
      <c r="K2590" t="s">
        <v>14</v>
      </c>
      <c r="L2590">
        <v>4</v>
      </c>
      <c r="M2590" t="s">
        <v>56</v>
      </c>
      <c r="N2590" t="s">
        <v>55</v>
      </c>
      <c r="O2590" t="s">
        <v>392</v>
      </c>
      <c r="P2590" s="6" t="str">
        <f>IF(Table1[[#This Row],[Transaction_Amount]]&lt;=Table1[[#This Row],[avg_transaction_amount]], "usual transaction", "unusual transaction")</f>
        <v>usual transaction</v>
      </c>
      <c r="Q2590" s="6" t="str">
        <f>IF(AND(Table1[[#This Row],[Country_of_Residence]]&lt;&gt;Table1[[#This Row],[Country_of_Transaction]], OR(Table1[[#This Row],[Authentication_Type]]="Biometric", Table1[[#This Row],[Authentication_Type]]="OTP")), "safe location transaction", "unsafe location transaction")</f>
        <v>unsafe location transaction</v>
      </c>
      <c r="R2590" s="6" t="str">
        <f>IF(AND(Table1[[#This Row],[Country_of_Residence]]&lt;&gt;Table1[[#This Row],[Country_of_Transaction]], OR(Table1[[#This Row],[Merchant_Category]]="Electronics", Table1[[#This Row],[Merchant_Category]]="Travel")), "unsafe merchant transaction", "safe merchant transaction")</f>
        <v>unsafe merchant transaction</v>
      </c>
    </row>
    <row r="2591" spans="1:18">
      <c r="A2591" t="s">
        <v>3379</v>
      </c>
      <c r="B2591" t="s">
        <v>357</v>
      </c>
      <c r="C2591">
        <v>1</v>
      </c>
      <c r="D2591" t="s">
        <v>9</v>
      </c>
      <c r="E2591" t="s">
        <v>3</v>
      </c>
      <c r="F2591" s="2">
        <v>45764</v>
      </c>
      <c r="G2591">
        <v>9559.73</v>
      </c>
      <c r="H2591" s="1">
        <f>AVERAGEIF(Table1[Customer_ID], Table1[[#This Row],[Customer_ID]], Table1[Transaction_Amount])</f>
        <v>5123.7795999999989</v>
      </c>
      <c r="I2591" t="s">
        <v>1000</v>
      </c>
      <c r="J2591" t="s">
        <v>36</v>
      </c>
      <c r="K2591" t="s">
        <v>12</v>
      </c>
      <c r="L2591">
        <v>3</v>
      </c>
      <c r="M2591" t="s">
        <v>55</v>
      </c>
      <c r="N2591" t="s">
        <v>37</v>
      </c>
      <c r="O2591" t="s">
        <v>393</v>
      </c>
      <c r="P2591" s="6" t="str">
        <f>IF(Table1[[#This Row],[Transaction_Amount]]&lt;=Table1[[#This Row],[avg_transaction_amount]], "usual transaction", "unusual transaction")</f>
        <v>unusual transaction</v>
      </c>
      <c r="Q2591" s="6" t="str">
        <f>IF(AND(Table1[[#This Row],[Country_of_Residence]]&lt;&gt;Table1[[#This Row],[Country_of_Transaction]], OR(Table1[[#This Row],[Authentication_Type]]="Biometric", Table1[[#This Row],[Authentication_Type]]="OTP")), "safe location transaction", "unsafe location transaction")</f>
        <v>unsafe location transaction</v>
      </c>
      <c r="R2591" s="6" t="str">
        <f>IF(AND(Table1[[#This Row],[Country_of_Residence]]&lt;&gt;Table1[[#This Row],[Country_of_Transaction]], OR(Table1[[#This Row],[Merchant_Category]]="Electronics", Table1[[#This Row],[Merchant_Category]]="Travel")), "unsafe merchant transaction", "safe merchant transaction")</f>
        <v>safe merchant transaction</v>
      </c>
    </row>
    <row r="2592" spans="1:18">
      <c r="A2592" t="s">
        <v>3398</v>
      </c>
      <c r="B2592" t="s">
        <v>357</v>
      </c>
      <c r="C2592">
        <v>1</v>
      </c>
      <c r="D2592" t="s">
        <v>9</v>
      </c>
      <c r="E2592" t="s">
        <v>6</v>
      </c>
      <c r="F2592" s="2">
        <v>45745</v>
      </c>
      <c r="G2592">
        <v>9502.68</v>
      </c>
      <c r="H2592" s="1">
        <f>AVERAGEIF(Table1[Customer_ID], Table1[[#This Row],[Customer_ID]], Table1[Transaction_Amount])</f>
        <v>5123.7795999999989</v>
      </c>
      <c r="I2592" t="s">
        <v>1019</v>
      </c>
      <c r="J2592" t="s">
        <v>46</v>
      </c>
      <c r="K2592" t="s">
        <v>14</v>
      </c>
      <c r="L2592">
        <v>0</v>
      </c>
      <c r="M2592" t="s">
        <v>33</v>
      </c>
      <c r="N2592" t="s">
        <v>56</v>
      </c>
      <c r="O2592" t="s">
        <v>392</v>
      </c>
      <c r="P2592" s="6" t="str">
        <f>IF(Table1[[#This Row],[Transaction_Amount]]&lt;=Table1[[#This Row],[avg_transaction_amount]], "usual transaction", "unusual transaction")</f>
        <v>unusual transaction</v>
      </c>
      <c r="Q2592" s="6" t="str">
        <f>IF(AND(Table1[[#This Row],[Country_of_Residence]]&lt;&gt;Table1[[#This Row],[Country_of_Transaction]], OR(Table1[[#This Row],[Authentication_Type]]="Biometric", Table1[[#This Row],[Authentication_Type]]="OTP")), "safe location transaction", "unsafe location transaction")</f>
        <v>unsafe location transaction</v>
      </c>
      <c r="R2592" s="6" t="str">
        <f>IF(AND(Table1[[#This Row],[Country_of_Residence]]&lt;&gt;Table1[[#This Row],[Country_of_Transaction]], OR(Table1[[#This Row],[Merchant_Category]]="Electronics", Table1[[#This Row],[Merchant_Category]]="Travel")), "unsafe merchant transaction", "safe merchant transaction")</f>
        <v>safe merchant transaction</v>
      </c>
    </row>
    <row r="2593" spans="1:18">
      <c r="A2593" t="s">
        <v>3430</v>
      </c>
      <c r="B2593" t="s">
        <v>357</v>
      </c>
      <c r="C2593">
        <v>1</v>
      </c>
      <c r="D2593" t="s">
        <v>9</v>
      </c>
      <c r="E2593" t="s">
        <v>6</v>
      </c>
      <c r="F2593" s="2">
        <v>45772</v>
      </c>
      <c r="G2593">
        <v>7442.53</v>
      </c>
      <c r="H2593" s="1">
        <f>AVERAGEIF(Table1[Customer_ID], Table1[[#This Row],[Customer_ID]], Table1[Transaction_Amount])</f>
        <v>5123.7795999999989</v>
      </c>
      <c r="I2593" t="s">
        <v>1049</v>
      </c>
      <c r="J2593" t="s">
        <v>50</v>
      </c>
      <c r="K2593" t="s">
        <v>10</v>
      </c>
      <c r="L2593">
        <v>0</v>
      </c>
      <c r="M2593" t="s">
        <v>32</v>
      </c>
      <c r="N2593" t="s">
        <v>51</v>
      </c>
      <c r="O2593" t="s">
        <v>392</v>
      </c>
      <c r="P2593" s="6" t="str">
        <f>IF(Table1[[#This Row],[Transaction_Amount]]&lt;=Table1[[#This Row],[avg_transaction_amount]], "usual transaction", "unusual transaction")</f>
        <v>unusual transaction</v>
      </c>
      <c r="Q2593" s="6" t="str">
        <f>IF(AND(Table1[[#This Row],[Country_of_Residence]]&lt;&gt;Table1[[#This Row],[Country_of_Transaction]], OR(Table1[[#This Row],[Authentication_Type]]="Biometric", Table1[[#This Row],[Authentication_Type]]="OTP")), "safe location transaction", "unsafe location transaction")</f>
        <v>safe location transaction</v>
      </c>
      <c r="R2593" s="6" t="str">
        <f>IF(AND(Table1[[#This Row],[Country_of_Residence]]&lt;&gt;Table1[[#This Row],[Country_of_Transaction]], OR(Table1[[#This Row],[Merchant_Category]]="Electronics", Table1[[#This Row],[Merchant_Category]]="Travel")), "unsafe merchant transaction", "safe merchant transaction")</f>
        <v>unsafe merchant transaction</v>
      </c>
    </row>
    <row r="2594" spans="1:18">
      <c r="A2594" t="s">
        <v>3434</v>
      </c>
      <c r="B2594" t="s">
        <v>357</v>
      </c>
      <c r="C2594">
        <v>1</v>
      </c>
      <c r="D2594" t="s">
        <v>15</v>
      </c>
      <c r="E2594" t="s">
        <v>420</v>
      </c>
      <c r="F2594" s="2">
        <v>45807</v>
      </c>
      <c r="G2594">
        <v>5761.02</v>
      </c>
      <c r="H2594" s="1">
        <f>AVERAGEIF(Table1[Customer_ID], Table1[[#This Row],[Customer_ID]], Table1[Transaction_Amount])</f>
        <v>5123.7795999999989</v>
      </c>
      <c r="I2594" t="s">
        <v>1053</v>
      </c>
      <c r="J2594" t="s">
        <v>31</v>
      </c>
      <c r="K2594" t="s">
        <v>14</v>
      </c>
      <c r="L2594">
        <v>1</v>
      </c>
      <c r="M2594" t="s">
        <v>55</v>
      </c>
      <c r="N2594" t="s">
        <v>55</v>
      </c>
      <c r="O2594" t="s">
        <v>392</v>
      </c>
      <c r="P2594" s="6" t="str">
        <f>IF(Table1[[#This Row],[Transaction_Amount]]&lt;=Table1[[#This Row],[avg_transaction_amount]], "usual transaction", "unusual transaction")</f>
        <v>unusual transaction</v>
      </c>
      <c r="Q2594" s="6" t="str">
        <f>IF(AND(Table1[[#This Row],[Country_of_Residence]]&lt;&gt;Table1[[#This Row],[Country_of_Transaction]], OR(Table1[[#This Row],[Authentication_Type]]="Biometric", Table1[[#This Row],[Authentication_Type]]="OTP")), "safe location transaction", "unsafe location transaction")</f>
        <v>unsafe location transaction</v>
      </c>
      <c r="R2594" s="6" t="str">
        <f>IF(AND(Table1[[#This Row],[Country_of_Residence]]&lt;&gt;Table1[[#This Row],[Country_of_Transaction]], OR(Table1[[#This Row],[Merchant_Category]]="Electronics", Table1[[#This Row],[Merchant_Category]]="Travel")), "unsafe merchant transaction", "safe merchant transaction")</f>
        <v>safe merchant transaction</v>
      </c>
    </row>
    <row r="2595" spans="1:18">
      <c r="A2595" t="s">
        <v>3463</v>
      </c>
      <c r="B2595" t="s">
        <v>357</v>
      </c>
      <c r="C2595">
        <v>1</v>
      </c>
      <c r="D2595" t="s">
        <v>15</v>
      </c>
      <c r="E2595" t="s">
        <v>6</v>
      </c>
      <c r="F2595" s="2">
        <v>45860</v>
      </c>
      <c r="G2595">
        <v>2024.72</v>
      </c>
      <c r="H2595" s="1">
        <f>AVERAGEIF(Table1[Customer_ID], Table1[[#This Row],[Customer_ID]], Table1[Transaction_Amount])</f>
        <v>5123.7795999999989</v>
      </c>
      <c r="I2595" t="s">
        <v>1081</v>
      </c>
      <c r="J2595" t="s">
        <v>31</v>
      </c>
      <c r="K2595" t="s">
        <v>12</v>
      </c>
      <c r="L2595">
        <v>5</v>
      </c>
      <c r="M2595" t="s">
        <v>55</v>
      </c>
      <c r="N2595" t="s">
        <v>47</v>
      </c>
      <c r="O2595" t="s">
        <v>393</v>
      </c>
      <c r="P2595" s="6" t="str">
        <f>IF(Table1[[#This Row],[Transaction_Amount]]&lt;=Table1[[#This Row],[avg_transaction_amount]], "usual transaction", "unusual transaction")</f>
        <v>usual transaction</v>
      </c>
      <c r="Q2595" s="6" t="str">
        <f>IF(AND(Table1[[#This Row],[Country_of_Residence]]&lt;&gt;Table1[[#This Row],[Country_of_Transaction]], OR(Table1[[#This Row],[Authentication_Type]]="Biometric", Table1[[#This Row],[Authentication_Type]]="OTP")), "safe location transaction", "unsafe location transaction")</f>
        <v>unsafe location transaction</v>
      </c>
      <c r="R2595" s="6" t="str">
        <f>IF(AND(Table1[[#This Row],[Country_of_Residence]]&lt;&gt;Table1[[#This Row],[Country_of_Transaction]], OR(Table1[[#This Row],[Merchant_Category]]="Electronics", Table1[[#This Row],[Merchant_Category]]="Travel")), "unsafe merchant transaction", "safe merchant transaction")</f>
        <v>safe merchant transaction</v>
      </c>
    </row>
    <row r="2596" spans="1:18">
      <c r="A2596" t="s">
        <v>3467</v>
      </c>
      <c r="B2596" t="s">
        <v>357</v>
      </c>
      <c r="C2596">
        <v>1</v>
      </c>
      <c r="D2596" t="s">
        <v>15</v>
      </c>
      <c r="E2596" t="s">
        <v>6</v>
      </c>
      <c r="F2596" s="2">
        <v>45960</v>
      </c>
      <c r="G2596">
        <v>7838.03</v>
      </c>
      <c r="H2596" s="1">
        <f>AVERAGEIF(Table1[Customer_ID], Table1[[#This Row],[Customer_ID]], Table1[Transaction_Amount])</f>
        <v>5123.7795999999989</v>
      </c>
      <c r="I2596" t="s">
        <v>1085</v>
      </c>
      <c r="J2596" t="s">
        <v>46</v>
      </c>
      <c r="K2596" t="s">
        <v>10</v>
      </c>
      <c r="L2596">
        <v>1</v>
      </c>
      <c r="M2596" t="s">
        <v>56</v>
      </c>
      <c r="N2596" t="s">
        <v>412</v>
      </c>
      <c r="O2596" t="s">
        <v>393</v>
      </c>
      <c r="P2596" s="6" t="str">
        <f>IF(Table1[[#This Row],[Transaction_Amount]]&lt;=Table1[[#This Row],[avg_transaction_amount]], "usual transaction", "unusual transaction")</f>
        <v>unusual transaction</v>
      </c>
      <c r="Q2596" s="6" t="str">
        <f>IF(AND(Table1[[#This Row],[Country_of_Residence]]&lt;&gt;Table1[[#This Row],[Country_of_Transaction]], OR(Table1[[#This Row],[Authentication_Type]]="Biometric", Table1[[#This Row],[Authentication_Type]]="OTP")), "safe location transaction", "unsafe location transaction")</f>
        <v>safe location transaction</v>
      </c>
      <c r="R2596" s="6" t="str">
        <f>IF(AND(Table1[[#This Row],[Country_of_Residence]]&lt;&gt;Table1[[#This Row],[Country_of_Transaction]], OR(Table1[[#This Row],[Merchant_Category]]="Electronics", Table1[[#This Row],[Merchant_Category]]="Travel")), "unsafe merchant transaction", "safe merchant transaction")</f>
        <v>safe merchant transaction</v>
      </c>
    </row>
    <row r="2597" spans="1:18">
      <c r="A2597" t="s">
        <v>3485</v>
      </c>
      <c r="B2597" t="s">
        <v>357</v>
      </c>
      <c r="C2597">
        <v>1</v>
      </c>
      <c r="D2597" t="s">
        <v>9</v>
      </c>
      <c r="E2597" t="s">
        <v>6</v>
      </c>
      <c r="F2597" s="2">
        <v>45815</v>
      </c>
      <c r="G2597">
        <v>895.4</v>
      </c>
      <c r="H2597" s="1">
        <f>AVERAGEIF(Table1[Customer_ID], Table1[[#This Row],[Customer_ID]], Table1[Transaction_Amount])</f>
        <v>5123.7795999999989</v>
      </c>
      <c r="I2597" t="s">
        <v>1102</v>
      </c>
      <c r="J2597" t="s">
        <v>46</v>
      </c>
      <c r="K2597" t="s">
        <v>12</v>
      </c>
      <c r="L2597">
        <v>0</v>
      </c>
      <c r="M2597" t="s">
        <v>33</v>
      </c>
      <c r="N2597" t="s">
        <v>37</v>
      </c>
      <c r="O2597" t="s">
        <v>392</v>
      </c>
      <c r="P2597" s="6" t="str">
        <f>IF(Table1[[#This Row],[Transaction_Amount]]&lt;=Table1[[#This Row],[avg_transaction_amount]], "usual transaction", "unusual transaction")</f>
        <v>usual transaction</v>
      </c>
      <c r="Q2597" s="6" t="str">
        <f>IF(AND(Table1[[#This Row],[Country_of_Residence]]&lt;&gt;Table1[[#This Row],[Country_of_Transaction]], OR(Table1[[#This Row],[Authentication_Type]]="Biometric", Table1[[#This Row],[Authentication_Type]]="OTP")), "safe location transaction", "unsafe location transaction")</f>
        <v>unsafe location transaction</v>
      </c>
      <c r="R2597" s="6" t="str">
        <f>IF(AND(Table1[[#This Row],[Country_of_Residence]]&lt;&gt;Table1[[#This Row],[Country_of_Transaction]], OR(Table1[[#This Row],[Merchant_Category]]="Electronics", Table1[[#This Row],[Merchant_Category]]="Travel")), "unsafe merchant transaction", "safe merchant transaction")</f>
        <v>safe merchant transaction</v>
      </c>
    </row>
    <row r="2598" spans="1:18">
      <c r="A2598" t="s">
        <v>3533</v>
      </c>
      <c r="B2598" t="s">
        <v>357</v>
      </c>
      <c r="C2598">
        <v>1</v>
      </c>
      <c r="D2598" t="s">
        <v>9</v>
      </c>
      <c r="E2598" t="s">
        <v>420</v>
      </c>
      <c r="F2598" s="2">
        <v>45920</v>
      </c>
      <c r="G2598">
        <v>5537.4</v>
      </c>
      <c r="H2598" s="1">
        <f>AVERAGEIF(Table1[Customer_ID], Table1[[#This Row],[Customer_ID]], Table1[Transaction_Amount])</f>
        <v>5123.7795999999989</v>
      </c>
      <c r="I2598" t="s">
        <v>1148</v>
      </c>
      <c r="J2598" t="s">
        <v>50</v>
      </c>
      <c r="K2598" t="s">
        <v>12</v>
      </c>
      <c r="L2598">
        <v>1</v>
      </c>
      <c r="M2598" t="s">
        <v>37</v>
      </c>
      <c r="N2598" t="s">
        <v>56</v>
      </c>
      <c r="O2598" t="s">
        <v>392</v>
      </c>
      <c r="P2598" s="6" t="str">
        <f>IF(Table1[[#This Row],[Transaction_Amount]]&lt;=Table1[[#This Row],[avg_transaction_amount]], "usual transaction", "unusual transaction")</f>
        <v>unusual transaction</v>
      </c>
      <c r="Q2598" s="6" t="str">
        <f>IF(AND(Table1[[#This Row],[Country_of_Residence]]&lt;&gt;Table1[[#This Row],[Country_of_Transaction]], OR(Table1[[#This Row],[Authentication_Type]]="Biometric", Table1[[#This Row],[Authentication_Type]]="OTP")), "safe location transaction", "unsafe location transaction")</f>
        <v>unsafe location transaction</v>
      </c>
      <c r="R2598" s="6" t="str">
        <f>IF(AND(Table1[[#This Row],[Country_of_Residence]]&lt;&gt;Table1[[#This Row],[Country_of_Transaction]], OR(Table1[[#This Row],[Merchant_Category]]="Electronics", Table1[[#This Row],[Merchant_Category]]="Travel")), "unsafe merchant transaction", "safe merchant transaction")</f>
        <v>unsafe merchant transaction</v>
      </c>
    </row>
    <row r="2599" spans="1:18">
      <c r="A2599" t="s">
        <v>3694</v>
      </c>
      <c r="B2599" t="s">
        <v>357</v>
      </c>
      <c r="C2599">
        <v>1</v>
      </c>
      <c r="D2599" t="s">
        <v>15</v>
      </c>
      <c r="E2599" t="s">
        <v>420</v>
      </c>
      <c r="F2599" s="2">
        <v>45904</v>
      </c>
      <c r="G2599">
        <v>5396.55</v>
      </c>
      <c r="H2599" s="1">
        <f>AVERAGEIF(Table1[Customer_ID], Table1[[#This Row],[Customer_ID]], Table1[Transaction_Amount])</f>
        <v>5123.7795999999989</v>
      </c>
      <c r="I2599" t="s">
        <v>1293</v>
      </c>
      <c r="J2599" t="s">
        <v>50</v>
      </c>
      <c r="K2599" t="s">
        <v>8</v>
      </c>
      <c r="L2599">
        <v>5</v>
      </c>
      <c r="M2599" t="s">
        <v>412</v>
      </c>
      <c r="N2599" t="s">
        <v>51</v>
      </c>
      <c r="O2599" t="s">
        <v>393</v>
      </c>
      <c r="P2599" s="6" t="str">
        <f>IF(Table1[[#This Row],[Transaction_Amount]]&lt;=Table1[[#This Row],[avg_transaction_amount]], "usual transaction", "unusual transaction")</f>
        <v>unusual transaction</v>
      </c>
      <c r="Q2599" s="6" t="str">
        <f>IF(AND(Table1[[#This Row],[Country_of_Residence]]&lt;&gt;Table1[[#This Row],[Country_of_Transaction]], OR(Table1[[#This Row],[Authentication_Type]]="Biometric", Table1[[#This Row],[Authentication_Type]]="OTP")), "safe location transaction", "unsafe location transaction")</f>
        <v>safe location transaction</v>
      </c>
      <c r="R2599" s="6" t="str">
        <f>IF(AND(Table1[[#This Row],[Country_of_Residence]]&lt;&gt;Table1[[#This Row],[Country_of_Transaction]], OR(Table1[[#This Row],[Merchant_Category]]="Electronics", Table1[[#This Row],[Merchant_Category]]="Travel")), "unsafe merchant transaction", "safe merchant transaction")</f>
        <v>unsafe merchant transaction</v>
      </c>
    </row>
    <row r="2600" spans="1:18">
      <c r="A2600" t="s">
        <v>3695</v>
      </c>
      <c r="B2600" t="s">
        <v>357</v>
      </c>
      <c r="C2600">
        <v>1</v>
      </c>
      <c r="D2600" t="s">
        <v>9</v>
      </c>
      <c r="E2600" t="s">
        <v>420</v>
      </c>
      <c r="F2600" s="2">
        <v>45721</v>
      </c>
      <c r="G2600">
        <v>9277.5300000000007</v>
      </c>
      <c r="H2600" s="1">
        <f>AVERAGEIF(Table1[Customer_ID], Table1[[#This Row],[Customer_ID]], Table1[Transaction_Amount])</f>
        <v>5123.7795999999989</v>
      </c>
      <c r="I2600" t="s">
        <v>1294</v>
      </c>
      <c r="J2600" t="s">
        <v>50</v>
      </c>
      <c r="K2600" t="s">
        <v>10</v>
      </c>
      <c r="L2600">
        <v>5</v>
      </c>
      <c r="M2600" t="s">
        <v>42</v>
      </c>
      <c r="N2600" t="s">
        <v>51</v>
      </c>
      <c r="O2600" t="s">
        <v>393</v>
      </c>
      <c r="P2600" s="6" t="str">
        <f>IF(Table1[[#This Row],[Transaction_Amount]]&lt;=Table1[[#This Row],[avg_transaction_amount]], "usual transaction", "unusual transaction")</f>
        <v>unusual transaction</v>
      </c>
      <c r="Q2600" s="6" t="str">
        <f>IF(AND(Table1[[#This Row],[Country_of_Residence]]&lt;&gt;Table1[[#This Row],[Country_of_Transaction]], OR(Table1[[#This Row],[Authentication_Type]]="Biometric", Table1[[#This Row],[Authentication_Type]]="OTP")), "safe location transaction", "unsafe location transaction")</f>
        <v>safe location transaction</v>
      </c>
      <c r="R2600" s="6" t="str">
        <f>IF(AND(Table1[[#This Row],[Country_of_Residence]]&lt;&gt;Table1[[#This Row],[Country_of_Transaction]], OR(Table1[[#This Row],[Merchant_Category]]="Electronics", Table1[[#This Row],[Merchant_Category]]="Travel")), "unsafe merchant transaction", "safe merchant transaction")</f>
        <v>unsafe merchant transaction</v>
      </c>
    </row>
    <row r="2601" spans="1:18">
      <c r="A2601" t="s">
        <v>3759</v>
      </c>
      <c r="B2601" t="s">
        <v>357</v>
      </c>
      <c r="C2601">
        <v>1</v>
      </c>
      <c r="D2601" t="s">
        <v>15</v>
      </c>
      <c r="E2601" t="s">
        <v>420</v>
      </c>
      <c r="F2601" s="2">
        <v>45711</v>
      </c>
      <c r="G2601">
        <v>3434.63</v>
      </c>
      <c r="H2601" s="1">
        <f>AVERAGEIF(Table1[Customer_ID], Table1[[#This Row],[Customer_ID]], Table1[Transaction_Amount])</f>
        <v>5123.7795999999989</v>
      </c>
      <c r="I2601" t="s">
        <v>1350</v>
      </c>
      <c r="J2601" t="s">
        <v>41</v>
      </c>
      <c r="K2601" t="s">
        <v>10</v>
      </c>
      <c r="L2601">
        <v>2</v>
      </c>
      <c r="M2601" t="s">
        <v>55</v>
      </c>
      <c r="N2601" t="s">
        <v>47</v>
      </c>
      <c r="O2601" t="s">
        <v>392</v>
      </c>
      <c r="P2601" s="6" t="str">
        <f>IF(Table1[[#This Row],[Transaction_Amount]]&lt;=Table1[[#This Row],[avg_transaction_amount]], "usual transaction", "unusual transaction")</f>
        <v>usual transaction</v>
      </c>
      <c r="Q2601" s="6" t="str">
        <f>IF(AND(Table1[[#This Row],[Country_of_Residence]]&lt;&gt;Table1[[#This Row],[Country_of_Transaction]], OR(Table1[[#This Row],[Authentication_Type]]="Biometric", Table1[[#This Row],[Authentication_Type]]="OTP")), "safe location transaction", "unsafe location transaction")</f>
        <v>safe location transaction</v>
      </c>
      <c r="R2601" s="6" t="str">
        <f>IF(AND(Table1[[#This Row],[Country_of_Residence]]&lt;&gt;Table1[[#This Row],[Country_of_Transaction]], OR(Table1[[#This Row],[Merchant_Category]]="Electronics", Table1[[#This Row],[Merchant_Category]]="Travel")), "unsafe merchant transaction", "safe merchant transaction")</f>
        <v>safe merchant transaction</v>
      </c>
    </row>
    <row r="2602" spans="1:18">
      <c r="A2602" t="s">
        <v>3762</v>
      </c>
      <c r="B2602" t="s">
        <v>357</v>
      </c>
      <c r="C2602">
        <v>1</v>
      </c>
      <c r="D2602" t="s">
        <v>9</v>
      </c>
      <c r="E2602" t="s">
        <v>420</v>
      </c>
      <c r="F2602" s="2">
        <v>45847</v>
      </c>
      <c r="G2602">
        <v>7978.13</v>
      </c>
      <c r="H2602" s="1">
        <f>AVERAGEIF(Table1[Customer_ID], Table1[[#This Row],[Customer_ID]], Table1[Transaction_Amount])</f>
        <v>5123.7795999999989</v>
      </c>
      <c r="I2602" t="s">
        <v>1353</v>
      </c>
      <c r="J2602" t="s">
        <v>50</v>
      </c>
      <c r="K2602" t="s">
        <v>14</v>
      </c>
      <c r="L2602">
        <v>0</v>
      </c>
      <c r="M2602" t="s">
        <v>42</v>
      </c>
      <c r="N2602" t="s">
        <v>51</v>
      </c>
      <c r="O2602" t="s">
        <v>392</v>
      </c>
      <c r="P2602" s="6" t="str">
        <f>IF(Table1[[#This Row],[Transaction_Amount]]&lt;=Table1[[#This Row],[avg_transaction_amount]], "usual transaction", "unusual transaction")</f>
        <v>unusual transaction</v>
      </c>
      <c r="Q2602" s="6" t="str">
        <f>IF(AND(Table1[[#This Row],[Country_of_Residence]]&lt;&gt;Table1[[#This Row],[Country_of_Transaction]], OR(Table1[[#This Row],[Authentication_Type]]="Biometric", Table1[[#This Row],[Authentication_Type]]="OTP")), "safe location transaction", "unsafe location transaction")</f>
        <v>unsafe location transaction</v>
      </c>
      <c r="R2602" s="6" t="str">
        <f>IF(AND(Table1[[#This Row],[Country_of_Residence]]&lt;&gt;Table1[[#This Row],[Country_of_Transaction]], OR(Table1[[#This Row],[Merchant_Category]]="Electronics", Table1[[#This Row],[Merchant_Category]]="Travel")), "unsafe merchant transaction", "safe merchant transaction")</f>
        <v>unsafe merchant transaction</v>
      </c>
    </row>
    <row r="2603" spans="1:18">
      <c r="A2603" t="s">
        <v>3793</v>
      </c>
      <c r="B2603" t="s">
        <v>357</v>
      </c>
      <c r="C2603">
        <v>1</v>
      </c>
      <c r="D2603" t="s">
        <v>9</v>
      </c>
      <c r="E2603" t="s">
        <v>6</v>
      </c>
      <c r="F2603" s="2">
        <v>45978</v>
      </c>
      <c r="G2603">
        <v>8804.06</v>
      </c>
      <c r="H2603" s="1">
        <f>AVERAGEIF(Table1[Customer_ID], Table1[[#This Row],[Customer_ID]], Table1[Transaction_Amount])</f>
        <v>5123.7795999999989</v>
      </c>
      <c r="I2603" t="s">
        <v>1379</v>
      </c>
      <c r="J2603" t="s">
        <v>36</v>
      </c>
      <c r="K2603" t="s">
        <v>8</v>
      </c>
      <c r="L2603">
        <v>3</v>
      </c>
      <c r="M2603" t="s">
        <v>47</v>
      </c>
      <c r="N2603" t="s">
        <v>47</v>
      </c>
      <c r="O2603" t="s">
        <v>393</v>
      </c>
      <c r="P2603" s="6" t="str">
        <f>IF(Table1[[#This Row],[Transaction_Amount]]&lt;=Table1[[#This Row],[avg_transaction_amount]], "usual transaction", "unusual transaction")</f>
        <v>unusual transaction</v>
      </c>
      <c r="Q2603" s="6" t="str">
        <f>IF(AND(Table1[[#This Row],[Country_of_Residence]]&lt;&gt;Table1[[#This Row],[Country_of_Transaction]], OR(Table1[[#This Row],[Authentication_Type]]="Biometric", Table1[[#This Row],[Authentication_Type]]="OTP")), "safe location transaction", "unsafe location transaction")</f>
        <v>unsafe location transaction</v>
      </c>
      <c r="R2603" s="6" t="str">
        <f>IF(AND(Table1[[#This Row],[Country_of_Residence]]&lt;&gt;Table1[[#This Row],[Country_of_Transaction]], OR(Table1[[#This Row],[Merchant_Category]]="Electronics", Table1[[#This Row],[Merchant_Category]]="Travel")), "unsafe merchant transaction", "safe merchant transaction")</f>
        <v>safe merchant transaction</v>
      </c>
    </row>
    <row r="2604" spans="1:18">
      <c r="A2604" t="s">
        <v>3811</v>
      </c>
      <c r="B2604" t="s">
        <v>357</v>
      </c>
      <c r="C2604">
        <v>1</v>
      </c>
      <c r="D2604" t="s">
        <v>15</v>
      </c>
      <c r="E2604" t="s">
        <v>420</v>
      </c>
      <c r="F2604" s="2">
        <v>45759</v>
      </c>
      <c r="G2604">
        <v>840.15</v>
      </c>
      <c r="H2604" s="1">
        <f>AVERAGEIF(Table1[Customer_ID], Table1[[#This Row],[Customer_ID]], Table1[Transaction_Amount])</f>
        <v>5123.7795999999989</v>
      </c>
      <c r="I2604" t="s">
        <v>228</v>
      </c>
      <c r="J2604" t="s">
        <v>41</v>
      </c>
      <c r="K2604" t="s">
        <v>12</v>
      </c>
      <c r="L2604">
        <v>3</v>
      </c>
      <c r="M2604" t="s">
        <v>37</v>
      </c>
      <c r="N2604" t="s">
        <v>412</v>
      </c>
      <c r="O2604" t="s">
        <v>393</v>
      </c>
      <c r="P2604" s="6" t="str">
        <f>IF(Table1[[#This Row],[Transaction_Amount]]&lt;=Table1[[#This Row],[avg_transaction_amount]], "usual transaction", "unusual transaction")</f>
        <v>usual transaction</v>
      </c>
      <c r="Q2604" s="6" t="str">
        <f>IF(AND(Table1[[#This Row],[Country_of_Residence]]&lt;&gt;Table1[[#This Row],[Country_of_Transaction]], OR(Table1[[#This Row],[Authentication_Type]]="Biometric", Table1[[#This Row],[Authentication_Type]]="OTP")), "safe location transaction", "unsafe location transaction")</f>
        <v>unsafe location transaction</v>
      </c>
      <c r="R2604" s="6" t="str">
        <f>IF(AND(Table1[[#This Row],[Country_of_Residence]]&lt;&gt;Table1[[#This Row],[Country_of_Transaction]], OR(Table1[[#This Row],[Merchant_Category]]="Electronics", Table1[[#This Row],[Merchant_Category]]="Travel")), "unsafe merchant transaction", "safe merchant transaction")</f>
        <v>safe merchant transaction</v>
      </c>
    </row>
    <row r="2605" spans="1:18">
      <c r="A2605" t="s">
        <v>4193</v>
      </c>
      <c r="B2605" t="s">
        <v>357</v>
      </c>
      <c r="C2605">
        <v>1</v>
      </c>
      <c r="D2605" t="s">
        <v>9</v>
      </c>
      <c r="E2605" t="s">
        <v>420</v>
      </c>
      <c r="F2605" s="2">
        <v>45672</v>
      </c>
      <c r="G2605">
        <v>8352.82</v>
      </c>
      <c r="H2605" s="1">
        <f>AVERAGEIF(Table1[Customer_ID], Table1[[#This Row],[Customer_ID]], Table1[Transaction_Amount])</f>
        <v>5123.7795999999989</v>
      </c>
      <c r="I2605" t="s">
        <v>1713</v>
      </c>
      <c r="J2605" t="s">
        <v>50</v>
      </c>
      <c r="K2605" t="s">
        <v>8</v>
      </c>
      <c r="L2605">
        <v>5</v>
      </c>
      <c r="M2605" t="s">
        <v>56</v>
      </c>
      <c r="N2605" t="s">
        <v>37</v>
      </c>
      <c r="O2605" t="s">
        <v>393</v>
      </c>
      <c r="P2605" s="6" t="str">
        <f>IF(Table1[[#This Row],[Transaction_Amount]]&lt;=Table1[[#This Row],[avg_transaction_amount]], "usual transaction", "unusual transaction")</f>
        <v>unusual transaction</v>
      </c>
      <c r="Q2605" s="6" t="str">
        <f>IF(AND(Table1[[#This Row],[Country_of_Residence]]&lt;&gt;Table1[[#This Row],[Country_of_Transaction]], OR(Table1[[#This Row],[Authentication_Type]]="Biometric", Table1[[#This Row],[Authentication_Type]]="OTP")), "safe location transaction", "unsafe location transaction")</f>
        <v>safe location transaction</v>
      </c>
      <c r="R2605" s="6" t="str">
        <f>IF(AND(Table1[[#This Row],[Country_of_Residence]]&lt;&gt;Table1[[#This Row],[Country_of_Transaction]], OR(Table1[[#This Row],[Merchant_Category]]="Electronics", Table1[[#This Row],[Merchant_Category]]="Travel")), "unsafe merchant transaction", "safe merchant transaction")</f>
        <v>unsafe merchant transaction</v>
      </c>
    </row>
    <row r="2606" spans="1:18">
      <c r="A2606" t="s">
        <v>4265</v>
      </c>
      <c r="B2606" t="s">
        <v>357</v>
      </c>
      <c r="C2606">
        <v>1</v>
      </c>
      <c r="D2606" t="s">
        <v>15</v>
      </c>
      <c r="E2606" t="s">
        <v>6</v>
      </c>
      <c r="F2606" s="2">
        <v>45735</v>
      </c>
      <c r="G2606">
        <v>8562.61</v>
      </c>
      <c r="H2606" s="1">
        <f>AVERAGEIF(Table1[Customer_ID], Table1[[#This Row],[Customer_ID]], Table1[Transaction_Amount])</f>
        <v>5123.7795999999989</v>
      </c>
      <c r="I2606" t="s">
        <v>664</v>
      </c>
      <c r="J2606" t="s">
        <v>31</v>
      </c>
      <c r="K2606" t="s">
        <v>14</v>
      </c>
      <c r="L2606">
        <v>5</v>
      </c>
      <c r="M2606" t="s">
        <v>37</v>
      </c>
      <c r="N2606" t="s">
        <v>33</v>
      </c>
      <c r="O2606" t="s">
        <v>392</v>
      </c>
      <c r="P2606" s="6" t="str">
        <f>IF(Table1[[#This Row],[Transaction_Amount]]&lt;=Table1[[#This Row],[avg_transaction_amount]], "usual transaction", "unusual transaction")</f>
        <v>unusual transaction</v>
      </c>
      <c r="Q2606" s="6" t="str">
        <f>IF(AND(Table1[[#This Row],[Country_of_Residence]]&lt;&gt;Table1[[#This Row],[Country_of_Transaction]], OR(Table1[[#This Row],[Authentication_Type]]="Biometric", Table1[[#This Row],[Authentication_Type]]="OTP")), "safe location transaction", "unsafe location transaction")</f>
        <v>unsafe location transaction</v>
      </c>
      <c r="R2606" s="6" t="str">
        <f>IF(AND(Table1[[#This Row],[Country_of_Residence]]&lt;&gt;Table1[[#This Row],[Country_of_Transaction]], OR(Table1[[#This Row],[Merchant_Category]]="Electronics", Table1[[#This Row],[Merchant_Category]]="Travel")), "unsafe merchant transaction", "safe merchant transaction")</f>
        <v>safe merchant transaction</v>
      </c>
    </row>
    <row r="2607" spans="1:18">
      <c r="A2607" t="s">
        <v>4266</v>
      </c>
      <c r="B2607" t="s">
        <v>357</v>
      </c>
      <c r="C2607">
        <v>1</v>
      </c>
      <c r="D2607" t="s">
        <v>9</v>
      </c>
      <c r="E2607" t="s">
        <v>420</v>
      </c>
      <c r="F2607" s="2">
        <v>45932</v>
      </c>
      <c r="G2607">
        <v>3756.27</v>
      </c>
      <c r="H2607" s="1">
        <f>AVERAGEIF(Table1[Customer_ID], Table1[[#This Row],[Customer_ID]], Table1[Transaction_Amount])</f>
        <v>5123.7795999999989</v>
      </c>
      <c r="I2607" t="s">
        <v>1779</v>
      </c>
      <c r="J2607" t="s">
        <v>50</v>
      </c>
      <c r="K2607" t="s">
        <v>10</v>
      </c>
      <c r="L2607">
        <v>0</v>
      </c>
      <c r="M2607" t="s">
        <v>32</v>
      </c>
      <c r="N2607" t="s">
        <v>33</v>
      </c>
      <c r="O2607" t="s">
        <v>393</v>
      </c>
      <c r="P2607" s="6" t="str">
        <f>IF(Table1[[#This Row],[Transaction_Amount]]&lt;=Table1[[#This Row],[avg_transaction_amount]], "usual transaction", "unusual transaction")</f>
        <v>usual transaction</v>
      </c>
      <c r="Q2607" s="6" t="str">
        <f>IF(AND(Table1[[#This Row],[Country_of_Residence]]&lt;&gt;Table1[[#This Row],[Country_of_Transaction]], OR(Table1[[#This Row],[Authentication_Type]]="Biometric", Table1[[#This Row],[Authentication_Type]]="OTP")), "safe location transaction", "unsafe location transaction")</f>
        <v>safe location transaction</v>
      </c>
      <c r="R2607" s="6" t="str">
        <f>IF(AND(Table1[[#This Row],[Country_of_Residence]]&lt;&gt;Table1[[#This Row],[Country_of_Transaction]], OR(Table1[[#This Row],[Merchant_Category]]="Electronics", Table1[[#This Row],[Merchant_Category]]="Travel")), "unsafe merchant transaction", "safe merchant transaction")</f>
        <v>unsafe merchant transaction</v>
      </c>
    </row>
    <row r="2608" spans="1:18">
      <c r="A2608" t="s">
        <v>4362</v>
      </c>
      <c r="B2608" t="s">
        <v>357</v>
      </c>
      <c r="C2608">
        <v>1</v>
      </c>
      <c r="D2608" t="s">
        <v>15</v>
      </c>
      <c r="E2608" t="s">
        <v>5</v>
      </c>
      <c r="F2608" s="2">
        <v>45987</v>
      </c>
      <c r="G2608">
        <v>584</v>
      </c>
      <c r="H2608" s="1">
        <f>AVERAGEIF(Table1[Customer_ID], Table1[[#This Row],[Customer_ID]], Table1[Transaction_Amount])</f>
        <v>5123.7795999999989</v>
      </c>
      <c r="I2608" t="s">
        <v>192</v>
      </c>
      <c r="J2608" t="s">
        <v>46</v>
      </c>
      <c r="K2608" t="s">
        <v>10</v>
      </c>
      <c r="L2608">
        <v>5</v>
      </c>
      <c r="M2608" t="s">
        <v>33</v>
      </c>
      <c r="N2608" t="s">
        <v>42</v>
      </c>
      <c r="O2608" t="s">
        <v>392</v>
      </c>
      <c r="P2608" s="6" t="str">
        <f>IF(Table1[[#This Row],[Transaction_Amount]]&lt;=Table1[[#This Row],[avg_transaction_amount]], "usual transaction", "unusual transaction")</f>
        <v>usual transaction</v>
      </c>
      <c r="Q2608" s="6" t="str">
        <f>IF(AND(Table1[[#This Row],[Country_of_Residence]]&lt;&gt;Table1[[#This Row],[Country_of_Transaction]], OR(Table1[[#This Row],[Authentication_Type]]="Biometric", Table1[[#This Row],[Authentication_Type]]="OTP")), "safe location transaction", "unsafe location transaction")</f>
        <v>safe location transaction</v>
      </c>
      <c r="R2608" s="6" t="str">
        <f>IF(AND(Table1[[#This Row],[Country_of_Residence]]&lt;&gt;Table1[[#This Row],[Country_of_Transaction]], OR(Table1[[#This Row],[Merchant_Category]]="Electronics", Table1[[#This Row],[Merchant_Category]]="Travel")), "unsafe merchant transaction", "safe merchant transaction")</f>
        <v>safe merchant transaction</v>
      </c>
    </row>
    <row r="2609" spans="1:18">
      <c r="A2609" t="s">
        <v>4381</v>
      </c>
      <c r="B2609" t="s">
        <v>357</v>
      </c>
      <c r="C2609">
        <v>1</v>
      </c>
      <c r="D2609" t="s">
        <v>9</v>
      </c>
      <c r="E2609" t="s">
        <v>3</v>
      </c>
      <c r="F2609" s="2">
        <v>45687</v>
      </c>
      <c r="G2609">
        <v>7313.31</v>
      </c>
      <c r="H2609" s="1">
        <f>AVERAGEIF(Table1[Customer_ID], Table1[[#This Row],[Customer_ID]], Table1[Transaction_Amount])</f>
        <v>5123.7795999999989</v>
      </c>
      <c r="I2609" t="s">
        <v>1881</v>
      </c>
      <c r="J2609" t="s">
        <v>31</v>
      </c>
      <c r="K2609" t="s">
        <v>12</v>
      </c>
      <c r="L2609">
        <v>0</v>
      </c>
      <c r="M2609" t="s">
        <v>47</v>
      </c>
      <c r="N2609" t="s">
        <v>33</v>
      </c>
      <c r="O2609" t="s">
        <v>392</v>
      </c>
      <c r="P2609" s="6" t="str">
        <f>IF(Table1[[#This Row],[Transaction_Amount]]&lt;=Table1[[#This Row],[avg_transaction_amount]], "usual transaction", "unusual transaction")</f>
        <v>unusual transaction</v>
      </c>
      <c r="Q2609" s="6" t="str">
        <f>IF(AND(Table1[[#This Row],[Country_of_Residence]]&lt;&gt;Table1[[#This Row],[Country_of_Transaction]], OR(Table1[[#This Row],[Authentication_Type]]="Biometric", Table1[[#This Row],[Authentication_Type]]="OTP")), "safe location transaction", "unsafe location transaction")</f>
        <v>unsafe location transaction</v>
      </c>
      <c r="R2609" s="6" t="str">
        <f>IF(AND(Table1[[#This Row],[Country_of_Residence]]&lt;&gt;Table1[[#This Row],[Country_of_Transaction]], OR(Table1[[#This Row],[Merchant_Category]]="Electronics", Table1[[#This Row],[Merchant_Category]]="Travel")), "unsafe merchant transaction", "safe merchant transaction")</f>
        <v>safe merchant transaction</v>
      </c>
    </row>
    <row r="2610" spans="1:18">
      <c r="A2610" t="s">
        <v>4445</v>
      </c>
      <c r="B2610" t="s">
        <v>357</v>
      </c>
      <c r="C2610">
        <v>1</v>
      </c>
      <c r="D2610" t="s">
        <v>9</v>
      </c>
      <c r="E2610" t="s">
        <v>3</v>
      </c>
      <c r="F2610" s="2">
        <v>45758</v>
      </c>
      <c r="G2610">
        <v>1036.46</v>
      </c>
      <c r="H2610" s="1">
        <f>AVERAGEIF(Table1[Customer_ID], Table1[[#This Row],[Customer_ID]], Table1[Transaction_Amount])</f>
        <v>5123.7795999999989</v>
      </c>
      <c r="I2610" t="s">
        <v>1939</v>
      </c>
      <c r="J2610" t="s">
        <v>36</v>
      </c>
      <c r="K2610" t="s">
        <v>8</v>
      </c>
      <c r="L2610">
        <v>5</v>
      </c>
      <c r="M2610" t="s">
        <v>56</v>
      </c>
      <c r="N2610" t="s">
        <v>33</v>
      </c>
      <c r="O2610" t="s">
        <v>393</v>
      </c>
      <c r="P2610" s="6" t="str">
        <f>IF(Table1[[#This Row],[Transaction_Amount]]&lt;=Table1[[#This Row],[avg_transaction_amount]], "usual transaction", "unusual transaction")</f>
        <v>usual transaction</v>
      </c>
      <c r="Q2610" s="6" t="str">
        <f>IF(AND(Table1[[#This Row],[Country_of_Residence]]&lt;&gt;Table1[[#This Row],[Country_of_Transaction]], OR(Table1[[#This Row],[Authentication_Type]]="Biometric", Table1[[#This Row],[Authentication_Type]]="OTP")), "safe location transaction", "unsafe location transaction")</f>
        <v>safe location transaction</v>
      </c>
      <c r="R2610" s="6" t="str">
        <f>IF(AND(Table1[[#This Row],[Country_of_Residence]]&lt;&gt;Table1[[#This Row],[Country_of_Transaction]], OR(Table1[[#This Row],[Merchant_Category]]="Electronics", Table1[[#This Row],[Merchant_Category]]="Travel")), "unsafe merchant transaction", "safe merchant transaction")</f>
        <v>safe merchant transaction</v>
      </c>
    </row>
    <row r="2611" spans="1:18">
      <c r="A2611" t="s">
        <v>4457</v>
      </c>
      <c r="B2611" t="s">
        <v>357</v>
      </c>
      <c r="C2611">
        <v>1</v>
      </c>
      <c r="D2611" t="s">
        <v>9</v>
      </c>
      <c r="E2611" t="s">
        <v>6</v>
      </c>
      <c r="F2611" s="2">
        <v>45766</v>
      </c>
      <c r="G2611">
        <v>2517.39</v>
      </c>
      <c r="H2611" s="1">
        <f>AVERAGEIF(Table1[Customer_ID], Table1[[#This Row],[Customer_ID]], Table1[Transaction_Amount])</f>
        <v>5123.7795999999989</v>
      </c>
      <c r="I2611" t="s">
        <v>1951</v>
      </c>
      <c r="J2611" t="s">
        <v>36</v>
      </c>
      <c r="K2611" t="s">
        <v>8</v>
      </c>
      <c r="L2611">
        <v>5</v>
      </c>
      <c r="M2611" t="s">
        <v>55</v>
      </c>
      <c r="N2611" t="s">
        <v>412</v>
      </c>
      <c r="O2611" t="s">
        <v>393</v>
      </c>
      <c r="P2611" s="6" t="str">
        <f>IF(Table1[[#This Row],[Transaction_Amount]]&lt;=Table1[[#This Row],[avg_transaction_amount]], "usual transaction", "unusual transaction")</f>
        <v>usual transaction</v>
      </c>
      <c r="Q2611" s="6" t="str">
        <f>IF(AND(Table1[[#This Row],[Country_of_Residence]]&lt;&gt;Table1[[#This Row],[Country_of_Transaction]], OR(Table1[[#This Row],[Authentication_Type]]="Biometric", Table1[[#This Row],[Authentication_Type]]="OTP")), "safe location transaction", "unsafe location transaction")</f>
        <v>safe location transaction</v>
      </c>
      <c r="R2611" s="6" t="str">
        <f>IF(AND(Table1[[#This Row],[Country_of_Residence]]&lt;&gt;Table1[[#This Row],[Country_of_Transaction]], OR(Table1[[#This Row],[Merchant_Category]]="Electronics", Table1[[#This Row],[Merchant_Category]]="Travel")), "unsafe merchant transaction", "safe merchant transaction")</f>
        <v>safe merchant transaction</v>
      </c>
    </row>
    <row r="2612" spans="1:18">
      <c r="A2612" t="s">
        <v>4476</v>
      </c>
      <c r="B2612" t="s">
        <v>357</v>
      </c>
      <c r="C2612">
        <v>1</v>
      </c>
      <c r="D2612" t="s">
        <v>9</v>
      </c>
      <c r="E2612" t="s">
        <v>3</v>
      </c>
      <c r="F2612" s="2">
        <v>45725</v>
      </c>
      <c r="G2612">
        <v>635.04999999999995</v>
      </c>
      <c r="H2612" s="1">
        <f>AVERAGEIF(Table1[Customer_ID], Table1[[#This Row],[Customer_ID]], Table1[Transaction_Amount])</f>
        <v>5123.7795999999989</v>
      </c>
      <c r="I2612" t="s">
        <v>1966</v>
      </c>
      <c r="J2612" t="s">
        <v>36</v>
      </c>
      <c r="K2612" t="s">
        <v>14</v>
      </c>
      <c r="L2612">
        <v>1</v>
      </c>
      <c r="M2612" t="s">
        <v>37</v>
      </c>
      <c r="N2612" t="s">
        <v>412</v>
      </c>
      <c r="O2612" t="s">
        <v>393</v>
      </c>
      <c r="P2612" s="6" t="str">
        <f>IF(Table1[[#This Row],[Transaction_Amount]]&lt;=Table1[[#This Row],[avg_transaction_amount]], "usual transaction", "unusual transaction")</f>
        <v>usual transaction</v>
      </c>
      <c r="Q2612" s="6" t="str">
        <f>IF(AND(Table1[[#This Row],[Country_of_Residence]]&lt;&gt;Table1[[#This Row],[Country_of_Transaction]], OR(Table1[[#This Row],[Authentication_Type]]="Biometric", Table1[[#This Row],[Authentication_Type]]="OTP")), "safe location transaction", "unsafe location transaction")</f>
        <v>unsafe location transaction</v>
      </c>
      <c r="R2612" s="6" t="str">
        <f>IF(AND(Table1[[#This Row],[Country_of_Residence]]&lt;&gt;Table1[[#This Row],[Country_of_Transaction]], OR(Table1[[#This Row],[Merchant_Category]]="Electronics", Table1[[#This Row],[Merchant_Category]]="Travel")), "unsafe merchant transaction", "safe merchant transaction")</f>
        <v>safe merchant transaction</v>
      </c>
    </row>
    <row r="2613" spans="1:18">
      <c r="A2613" t="s">
        <v>4515</v>
      </c>
      <c r="B2613" t="s">
        <v>357</v>
      </c>
      <c r="C2613">
        <v>1</v>
      </c>
      <c r="D2613" t="s">
        <v>9</v>
      </c>
      <c r="E2613" t="s">
        <v>6</v>
      </c>
      <c r="F2613" s="2">
        <v>45803</v>
      </c>
      <c r="G2613">
        <v>5502.84</v>
      </c>
      <c r="H2613" s="1">
        <f>AVERAGEIF(Table1[Customer_ID], Table1[[#This Row],[Customer_ID]], Table1[Transaction_Amount])</f>
        <v>5123.7795999999989</v>
      </c>
      <c r="I2613" t="s">
        <v>2000</v>
      </c>
      <c r="J2613" t="s">
        <v>36</v>
      </c>
      <c r="K2613" t="s">
        <v>8</v>
      </c>
      <c r="L2613">
        <v>1</v>
      </c>
      <c r="M2613" t="s">
        <v>42</v>
      </c>
      <c r="N2613" t="s">
        <v>51</v>
      </c>
      <c r="O2613" t="s">
        <v>392</v>
      </c>
      <c r="P2613" s="6" t="str">
        <f>IF(Table1[[#This Row],[Transaction_Amount]]&lt;=Table1[[#This Row],[avg_transaction_amount]], "usual transaction", "unusual transaction")</f>
        <v>unusual transaction</v>
      </c>
      <c r="Q2613" s="6" t="str">
        <f>IF(AND(Table1[[#This Row],[Country_of_Residence]]&lt;&gt;Table1[[#This Row],[Country_of_Transaction]], OR(Table1[[#This Row],[Authentication_Type]]="Biometric", Table1[[#This Row],[Authentication_Type]]="OTP")), "safe location transaction", "unsafe location transaction")</f>
        <v>safe location transaction</v>
      </c>
      <c r="R2613" s="6" t="str">
        <f>IF(AND(Table1[[#This Row],[Country_of_Residence]]&lt;&gt;Table1[[#This Row],[Country_of_Transaction]], OR(Table1[[#This Row],[Merchant_Category]]="Electronics", Table1[[#This Row],[Merchant_Category]]="Travel")), "unsafe merchant transaction", "safe merchant transaction")</f>
        <v>safe merchant transaction</v>
      </c>
    </row>
    <row r="2614" spans="1:18">
      <c r="A2614" t="s">
        <v>4554</v>
      </c>
      <c r="B2614" t="s">
        <v>357</v>
      </c>
      <c r="C2614">
        <v>1</v>
      </c>
      <c r="D2614" t="s">
        <v>15</v>
      </c>
      <c r="E2614" t="s">
        <v>6</v>
      </c>
      <c r="F2614" s="2">
        <v>45704</v>
      </c>
      <c r="G2614">
        <v>6189.06</v>
      </c>
      <c r="H2614" s="1">
        <f>AVERAGEIF(Table1[Customer_ID], Table1[[#This Row],[Customer_ID]], Table1[Transaction_Amount])</f>
        <v>5123.7795999999989</v>
      </c>
      <c r="I2614" t="s">
        <v>927</v>
      </c>
      <c r="J2614" t="s">
        <v>41</v>
      </c>
      <c r="K2614" t="s">
        <v>12</v>
      </c>
      <c r="L2614">
        <v>2</v>
      </c>
      <c r="M2614" t="s">
        <v>33</v>
      </c>
      <c r="N2614" t="s">
        <v>37</v>
      </c>
      <c r="O2614" t="s">
        <v>392</v>
      </c>
      <c r="P2614" s="6" t="str">
        <f>IF(Table1[[#This Row],[Transaction_Amount]]&lt;=Table1[[#This Row],[avg_transaction_amount]], "usual transaction", "unusual transaction")</f>
        <v>unusual transaction</v>
      </c>
      <c r="Q2614" s="6" t="str">
        <f>IF(AND(Table1[[#This Row],[Country_of_Residence]]&lt;&gt;Table1[[#This Row],[Country_of_Transaction]], OR(Table1[[#This Row],[Authentication_Type]]="Biometric", Table1[[#This Row],[Authentication_Type]]="OTP")), "safe location transaction", "unsafe location transaction")</f>
        <v>unsafe location transaction</v>
      </c>
      <c r="R2614" s="6" t="str">
        <f>IF(AND(Table1[[#This Row],[Country_of_Residence]]&lt;&gt;Table1[[#This Row],[Country_of_Transaction]], OR(Table1[[#This Row],[Merchant_Category]]="Electronics", Table1[[#This Row],[Merchant_Category]]="Travel")), "unsafe merchant transaction", "safe merchant transaction")</f>
        <v>safe merchant transaction</v>
      </c>
    </row>
    <row r="2615" spans="1:18">
      <c r="A2615" t="s">
        <v>4578</v>
      </c>
      <c r="B2615" t="s">
        <v>357</v>
      </c>
      <c r="C2615">
        <v>1</v>
      </c>
      <c r="D2615" t="s">
        <v>15</v>
      </c>
      <c r="E2615" t="s">
        <v>5</v>
      </c>
      <c r="F2615" s="2">
        <v>45944</v>
      </c>
      <c r="G2615">
        <v>425.57</v>
      </c>
      <c r="H2615" s="1">
        <f>AVERAGEIF(Table1[Customer_ID], Table1[[#This Row],[Customer_ID]], Table1[Transaction_Amount])</f>
        <v>5123.7795999999989</v>
      </c>
      <c r="I2615" t="s">
        <v>2048</v>
      </c>
      <c r="J2615" t="s">
        <v>46</v>
      </c>
      <c r="K2615" t="s">
        <v>12</v>
      </c>
      <c r="L2615">
        <v>1</v>
      </c>
      <c r="M2615" t="s">
        <v>42</v>
      </c>
      <c r="N2615" t="s">
        <v>37</v>
      </c>
      <c r="O2615" t="s">
        <v>392</v>
      </c>
      <c r="P2615" s="6" t="str">
        <f>IF(Table1[[#This Row],[Transaction_Amount]]&lt;=Table1[[#This Row],[avg_transaction_amount]], "usual transaction", "unusual transaction")</f>
        <v>usual transaction</v>
      </c>
      <c r="Q2615" s="6" t="str">
        <f>IF(AND(Table1[[#This Row],[Country_of_Residence]]&lt;&gt;Table1[[#This Row],[Country_of_Transaction]], OR(Table1[[#This Row],[Authentication_Type]]="Biometric", Table1[[#This Row],[Authentication_Type]]="OTP")), "safe location transaction", "unsafe location transaction")</f>
        <v>unsafe location transaction</v>
      </c>
      <c r="R2615" s="6" t="str">
        <f>IF(AND(Table1[[#This Row],[Country_of_Residence]]&lt;&gt;Table1[[#This Row],[Country_of_Transaction]], OR(Table1[[#This Row],[Merchant_Category]]="Electronics", Table1[[#This Row],[Merchant_Category]]="Travel")), "unsafe merchant transaction", "safe merchant transaction")</f>
        <v>safe merchant transaction</v>
      </c>
    </row>
    <row r="2616" spans="1:18">
      <c r="A2616" t="s">
        <v>4814</v>
      </c>
      <c r="B2616" t="s">
        <v>357</v>
      </c>
      <c r="C2616">
        <v>1</v>
      </c>
      <c r="D2616" t="s">
        <v>9</v>
      </c>
      <c r="E2616" t="s">
        <v>420</v>
      </c>
      <c r="F2616" s="2">
        <v>45682</v>
      </c>
      <c r="G2616">
        <v>4922.7700000000004</v>
      </c>
      <c r="H2616" s="1">
        <f>AVERAGEIF(Table1[Customer_ID], Table1[[#This Row],[Customer_ID]], Table1[Transaction_Amount])</f>
        <v>5123.7795999999989</v>
      </c>
      <c r="I2616" t="s">
        <v>2234</v>
      </c>
      <c r="J2616" t="s">
        <v>50</v>
      </c>
      <c r="K2616" t="s">
        <v>8</v>
      </c>
      <c r="L2616">
        <v>1</v>
      </c>
      <c r="M2616" t="s">
        <v>412</v>
      </c>
      <c r="N2616" t="s">
        <v>55</v>
      </c>
      <c r="O2616" t="s">
        <v>393</v>
      </c>
      <c r="P2616" s="6" t="str">
        <f>IF(Table1[[#This Row],[Transaction_Amount]]&lt;=Table1[[#This Row],[avg_transaction_amount]], "usual transaction", "unusual transaction")</f>
        <v>usual transaction</v>
      </c>
      <c r="Q2616" s="6" t="str">
        <f>IF(AND(Table1[[#This Row],[Country_of_Residence]]&lt;&gt;Table1[[#This Row],[Country_of_Transaction]], OR(Table1[[#This Row],[Authentication_Type]]="Biometric", Table1[[#This Row],[Authentication_Type]]="OTP")), "safe location transaction", "unsafe location transaction")</f>
        <v>safe location transaction</v>
      </c>
      <c r="R2616" s="6" t="str">
        <f>IF(AND(Table1[[#This Row],[Country_of_Residence]]&lt;&gt;Table1[[#This Row],[Country_of_Transaction]], OR(Table1[[#This Row],[Merchant_Category]]="Electronics", Table1[[#This Row],[Merchant_Category]]="Travel")), "unsafe merchant transaction", "safe merchant transaction")</f>
        <v>unsafe merchant transaction</v>
      </c>
    </row>
    <row r="2617" spans="1:18">
      <c r="A2617" t="s">
        <v>4827</v>
      </c>
      <c r="B2617" t="s">
        <v>357</v>
      </c>
      <c r="C2617">
        <v>1</v>
      </c>
      <c r="D2617" t="s">
        <v>15</v>
      </c>
      <c r="E2617" t="s">
        <v>5</v>
      </c>
      <c r="F2617" s="2">
        <v>45864</v>
      </c>
      <c r="G2617">
        <v>6160.4</v>
      </c>
      <c r="H2617" s="1">
        <f>AVERAGEIF(Table1[Customer_ID], Table1[[#This Row],[Customer_ID]], Table1[Transaction_Amount])</f>
        <v>5123.7795999999989</v>
      </c>
      <c r="I2617" t="s">
        <v>2245</v>
      </c>
      <c r="J2617" t="s">
        <v>31</v>
      </c>
      <c r="K2617" t="s">
        <v>10</v>
      </c>
      <c r="L2617">
        <v>2</v>
      </c>
      <c r="M2617" t="s">
        <v>42</v>
      </c>
      <c r="N2617" t="s">
        <v>55</v>
      </c>
      <c r="O2617" t="s">
        <v>392</v>
      </c>
      <c r="P2617" s="6" t="str">
        <f>IF(Table1[[#This Row],[Transaction_Amount]]&lt;=Table1[[#This Row],[avg_transaction_amount]], "usual transaction", "unusual transaction")</f>
        <v>unusual transaction</v>
      </c>
      <c r="Q2617" s="6" t="str">
        <f>IF(AND(Table1[[#This Row],[Country_of_Residence]]&lt;&gt;Table1[[#This Row],[Country_of_Transaction]], OR(Table1[[#This Row],[Authentication_Type]]="Biometric", Table1[[#This Row],[Authentication_Type]]="OTP")), "safe location transaction", "unsafe location transaction")</f>
        <v>safe location transaction</v>
      </c>
      <c r="R2617" s="6" t="str">
        <f>IF(AND(Table1[[#This Row],[Country_of_Residence]]&lt;&gt;Table1[[#This Row],[Country_of_Transaction]], OR(Table1[[#This Row],[Merchant_Category]]="Electronics", Table1[[#This Row],[Merchant_Category]]="Travel")), "unsafe merchant transaction", "safe merchant transaction")</f>
        <v>safe merchant transaction</v>
      </c>
    </row>
    <row r="2618" spans="1:18">
      <c r="A2618" t="s">
        <v>4835</v>
      </c>
      <c r="B2618" t="s">
        <v>357</v>
      </c>
      <c r="C2618">
        <v>1</v>
      </c>
      <c r="D2618" t="s">
        <v>15</v>
      </c>
      <c r="E2618" t="s">
        <v>6</v>
      </c>
      <c r="F2618" s="2">
        <v>45941</v>
      </c>
      <c r="G2618">
        <v>8867.6200000000008</v>
      </c>
      <c r="H2618" s="1">
        <f>AVERAGEIF(Table1[Customer_ID], Table1[[#This Row],[Customer_ID]], Table1[Transaction_Amount])</f>
        <v>5123.7795999999989</v>
      </c>
      <c r="I2618" t="s">
        <v>2251</v>
      </c>
      <c r="J2618" t="s">
        <v>50</v>
      </c>
      <c r="K2618" t="s">
        <v>10</v>
      </c>
      <c r="L2618">
        <v>3</v>
      </c>
      <c r="M2618" t="s">
        <v>47</v>
      </c>
      <c r="N2618" t="s">
        <v>51</v>
      </c>
      <c r="O2618" t="s">
        <v>392</v>
      </c>
      <c r="P2618" s="6" t="str">
        <f>IF(Table1[[#This Row],[Transaction_Amount]]&lt;=Table1[[#This Row],[avg_transaction_amount]], "usual transaction", "unusual transaction")</f>
        <v>unusual transaction</v>
      </c>
      <c r="Q2618" s="6" t="str">
        <f>IF(AND(Table1[[#This Row],[Country_of_Residence]]&lt;&gt;Table1[[#This Row],[Country_of_Transaction]], OR(Table1[[#This Row],[Authentication_Type]]="Biometric", Table1[[#This Row],[Authentication_Type]]="OTP")), "safe location transaction", "unsafe location transaction")</f>
        <v>safe location transaction</v>
      </c>
      <c r="R2618" s="6" t="str">
        <f>IF(AND(Table1[[#This Row],[Country_of_Residence]]&lt;&gt;Table1[[#This Row],[Country_of_Transaction]], OR(Table1[[#This Row],[Merchant_Category]]="Electronics", Table1[[#This Row],[Merchant_Category]]="Travel")), "unsafe merchant transaction", "safe merchant transaction")</f>
        <v>unsafe merchant transaction</v>
      </c>
    </row>
    <row r="2619" spans="1:18">
      <c r="A2619" t="s">
        <v>4850</v>
      </c>
      <c r="B2619" t="s">
        <v>357</v>
      </c>
      <c r="C2619">
        <v>1</v>
      </c>
      <c r="D2619" t="s">
        <v>15</v>
      </c>
      <c r="E2619" t="s">
        <v>5</v>
      </c>
      <c r="F2619" s="2">
        <v>45881</v>
      </c>
      <c r="G2619">
        <v>5816.74</v>
      </c>
      <c r="H2619" s="1">
        <f>AVERAGEIF(Table1[Customer_ID], Table1[[#This Row],[Customer_ID]], Table1[Transaction_Amount])</f>
        <v>5123.7795999999989</v>
      </c>
      <c r="I2619" t="s">
        <v>2263</v>
      </c>
      <c r="J2619" t="s">
        <v>46</v>
      </c>
      <c r="K2619" t="s">
        <v>10</v>
      </c>
      <c r="L2619">
        <v>0</v>
      </c>
      <c r="M2619" t="s">
        <v>56</v>
      </c>
      <c r="N2619" t="s">
        <v>51</v>
      </c>
      <c r="O2619" t="s">
        <v>393</v>
      </c>
      <c r="P2619" s="6" t="str">
        <f>IF(Table1[[#This Row],[Transaction_Amount]]&lt;=Table1[[#This Row],[avg_transaction_amount]], "usual transaction", "unusual transaction")</f>
        <v>unusual transaction</v>
      </c>
      <c r="Q2619" s="6" t="str">
        <f>IF(AND(Table1[[#This Row],[Country_of_Residence]]&lt;&gt;Table1[[#This Row],[Country_of_Transaction]], OR(Table1[[#This Row],[Authentication_Type]]="Biometric", Table1[[#This Row],[Authentication_Type]]="OTP")), "safe location transaction", "unsafe location transaction")</f>
        <v>safe location transaction</v>
      </c>
      <c r="R2619" s="6" t="str">
        <f>IF(AND(Table1[[#This Row],[Country_of_Residence]]&lt;&gt;Table1[[#This Row],[Country_of_Transaction]], OR(Table1[[#This Row],[Merchant_Category]]="Electronics", Table1[[#This Row],[Merchant_Category]]="Travel")), "unsafe merchant transaction", "safe merchant transaction")</f>
        <v>safe merchant transaction</v>
      </c>
    </row>
    <row r="2620" spans="1:18">
      <c r="A2620" t="s">
        <v>5038</v>
      </c>
      <c r="B2620" t="s">
        <v>357</v>
      </c>
      <c r="C2620">
        <v>1</v>
      </c>
      <c r="D2620" t="s">
        <v>9</v>
      </c>
      <c r="E2620" t="s">
        <v>420</v>
      </c>
      <c r="F2620" s="2">
        <v>45943</v>
      </c>
      <c r="G2620">
        <v>3994.13</v>
      </c>
      <c r="H2620" s="1">
        <f>AVERAGEIF(Table1[Customer_ID], Table1[[#This Row],[Customer_ID]], Table1[Transaction_Amount])</f>
        <v>5123.7795999999989</v>
      </c>
      <c r="I2620" t="s">
        <v>2221</v>
      </c>
      <c r="J2620" t="s">
        <v>31</v>
      </c>
      <c r="K2620" t="s">
        <v>12</v>
      </c>
      <c r="L2620">
        <v>1</v>
      </c>
      <c r="M2620" t="s">
        <v>412</v>
      </c>
      <c r="N2620" t="s">
        <v>37</v>
      </c>
      <c r="O2620" t="s">
        <v>393</v>
      </c>
      <c r="P2620" s="6" t="str">
        <f>IF(Table1[[#This Row],[Transaction_Amount]]&lt;=Table1[[#This Row],[avg_transaction_amount]], "usual transaction", "unusual transaction")</f>
        <v>usual transaction</v>
      </c>
      <c r="Q2620" s="6" t="str">
        <f>IF(AND(Table1[[#This Row],[Country_of_Residence]]&lt;&gt;Table1[[#This Row],[Country_of_Transaction]], OR(Table1[[#This Row],[Authentication_Type]]="Biometric", Table1[[#This Row],[Authentication_Type]]="OTP")), "safe location transaction", "unsafe location transaction")</f>
        <v>unsafe location transaction</v>
      </c>
      <c r="R2620" s="6" t="str">
        <f>IF(AND(Table1[[#This Row],[Country_of_Residence]]&lt;&gt;Table1[[#This Row],[Country_of_Transaction]], OR(Table1[[#This Row],[Merchant_Category]]="Electronics", Table1[[#This Row],[Merchant_Category]]="Travel")), "unsafe merchant transaction", "safe merchant transaction")</f>
        <v>safe merchant transaction</v>
      </c>
    </row>
    <row r="2621" spans="1:18">
      <c r="A2621" t="s">
        <v>5117</v>
      </c>
      <c r="B2621" t="s">
        <v>357</v>
      </c>
      <c r="C2621">
        <v>1</v>
      </c>
      <c r="D2621" t="s">
        <v>15</v>
      </c>
      <c r="E2621" t="s">
        <v>420</v>
      </c>
      <c r="F2621" s="2">
        <v>45770</v>
      </c>
      <c r="G2621">
        <v>5860.91</v>
      </c>
      <c r="H2621" s="1">
        <f>AVERAGEIF(Table1[Customer_ID], Table1[[#This Row],[Customer_ID]], Table1[Transaction_Amount])</f>
        <v>5123.7795999999989</v>
      </c>
      <c r="I2621" t="s">
        <v>1147</v>
      </c>
      <c r="J2621" t="s">
        <v>46</v>
      </c>
      <c r="K2621" t="s">
        <v>14</v>
      </c>
      <c r="L2621">
        <v>3</v>
      </c>
      <c r="M2621" t="s">
        <v>412</v>
      </c>
      <c r="N2621" t="s">
        <v>37</v>
      </c>
      <c r="O2621" t="s">
        <v>392</v>
      </c>
      <c r="P2621" s="6" t="str">
        <f>IF(Table1[[#This Row],[Transaction_Amount]]&lt;=Table1[[#This Row],[avg_transaction_amount]], "usual transaction", "unusual transaction")</f>
        <v>unusual transaction</v>
      </c>
      <c r="Q2621" s="6" t="str">
        <f>IF(AND(Table1[[#This Row],[Country_of_Residence]]&lt;&gt;Table1[[#This Row],[Country_of_Transaction]], OR(Table1[[#This Row],[Authentication_Type]]="Biometric", Table1[[#This Row],[Authentication_Type]]="OTP")), "safe location transaction", "unsafe location transaction")</f>
        <v>unsafe location transaction</v>
      </c>
      <c r="R2621" s="6" t="str">
        <f>IF(AND(Table1[[#This Row],[Country_of_Residence]]&lt;&gt;Table1[[#This Row],[Country_of_Transaction]], OR(Table1[[#This Row],[Merchant_Category]]="Electronics", Table1[[#This Row],[Merchant_Category]]="Travel")), "unsafe merchant transaction", "safe merchant transaction")</f>
        <v>safe merchant transaction</v>
      </c>
    </row>
    <row r="2622" spans="1:18">
      <c r="A2622" t="s">
        <v>5165</v>
      </c>
      <c r="B2622" t="s">
        <v>357</v>
      </c>
      <c r="C2622">
        <v>1</v>
      </c>
      <c r="D2622" t="s">
        <v>15</v>
      </c>
      <c r="E2622" t="s">
        <v>420</v>
      </c>
      <c r="F2622" s="2">
        <v>45800</v>
      </c>
      <c r="G2622">
        <v>2167.94</v>
      </c>
      <c r="H2622" s="1">
        <f>AVERAGEIF(Table1[Customer_ID], Table1[[#This Row],[Customer_ID]], Table1[Transaction_Amount])</f>
        <v>5123.7795999999989</v>
      </c>
      <c r="I2622" t="s">
        <v>2501</v>
      </c>
      <c r="J2622" t="s">
        <v>41</v>
      </c>
      <c r="K2622" t="s">
        <v>8</v>
      </c>
      <c r="L2622">
        <v>5</v>
      </c>
      <c r="M2622" t="s">
        <v>32</v>
      </c>
      <c r="N2622" t="s">
        <v>412</v>
      </c>
      <c r="O2622" t="s">
        <v>392</v>
      </c>
      <c r="P2622" s="6" t="str">
        <f>IF(Table1[[#This Row],[Transaction_Amount]]&lt;=Table1[[#This Row],[avg_transaction_amount]], "usual transaction", "unusual transaction")</f>
        <v>usual transaction</v>
      </c>
      <c r="Q2622" s="6" t="str">
        <f>IF(AND(Table1[[#This Row],[Country_of_Residence]]&lt;&gt;Table1[[#This Row],[Country_of_Transaction]], OR(Table1[[#This Row],[Authentication_Type]]="Biometric", Table1[[#This Row],[Authentication_Type]]="OTP")), "safe location transaction", "unsafe location transaction")</f>
        <v>safe location transaction</v>
      </c>
      <c r="R2622" s="6" t="str">
        <f>IF(AND(Table1[[#This Row],[Country_of_Residence]]&lt;&gt;Table1[[#This Row],[Country_of_Transaction]], OR(Table1[[#This Row],[Merchant_Category]]="Electronics", Table1[[#This Row],[Merchant_Category]]="Travel")), "unsafe merchant transaction", "safe merchant transaction")</f>
        <v>safe merchant transaction</v>
      </c>
    </row>
    <row r="2623" spans="1:18">
      <c r="A2623" t="s">
        <v>5190</v>
      </c>
      <c r="B2623" t="s">
        <v>357</v>
      </c>
      <c r="C2623">
        <v>1</v>
      </c>
      <c r="D2623" t="s">
        <v>15</v>
      </c>
      <c r="E2623" t="s">
        <v>3</v>
      </c>
      <c r="F2623" s="2">
        <v>45846</v>
      </c>
      <c r="G2623">
        <v>3597.6</v>
      </c>
      <c r="H2623" s="1">
        <f>AVERAGEIF(Table1[Customer_ID], Table1[[#This Row],[Customer_ID]], Table1[Transaction_Amount])</f>
        <v>5123.7795999999989</v>
      </c>
      <c r="I2623" t="s">
        <v>1961</v>
      </c>
      <c r="J2623" t="s">
        <v>46</v>
      </c>
      <c r="K2623" t="s">
        <v>8</v>
      </c>
      <c r="L2623">
        <v>4</v>
      </c>
      <c r="M2623" t="s">
        <v>42</v>
      </c>
      <c r="N2623" t="s">
        <v>56</v>
      </c>
      <c r="O2623" t="s">
        <v>393</v>
      </c>
      <c r="P2623" s="6" t="str">
        <f>IF(Table1[[#This Row],[Transaction_Amount]]&lt;=Table1[[#This Row],[avg_transaction_amount]], "usual transaction", "unusual transaction")</f>
        <v>usual transaction</v>
      </c>
      <c r="Q2623" s="6" t="str">
        <f>IF(AND(Table1[[#This Row],[Country_of_Residence]]&lt;&gt;Table1[[#This Row],[Country_of_Transaction]], OR(Table1[[#This Row],[Authentication_Type]]="Biometric", Table1[[#This Row],[Authentication_Type]]="OTP")), "safe location transaction", "unsafe location transaction")</f>
        <v>safe location transaction</v>
      </c>
      <c r="R2623" s="6" t="str">
        <f>IF(AND(Table1[[#This Row],[Country_of_Residence]]&lt;&gt;Table1[[#This Row],[Country_of_Transaction]], OR(Table1[[#This Row],[Merchant_Category]]="Electronics", Table1[[#This Row],[Merchant_Category]]="Travel")), "unsafe merchant transaction", "safe merchant transaction")</f>
        <v>safe merchant transaction</v>
      </c>
    </row>
    <row r="2624" spans="1:18">
      <c r="A2624" t="s">
        <v>5245</v>
      </c>
      <c r="B2624" t="s">
        <v>357</v>
      </c>
      <c r="C2624">
        <v>1</v>
      </c>
      <c r="D2624" t="s">
        <v>9</v>
      </c>
      <c r="E2624" t="s">
        <v>5</v>
      </c>
      <c r="F2624" s="2">
        <v>45822</v>
      </c>
      <c r="G2624">
        <v>490.39</v>
      </c>
      <c r="H2624" s="1">
        <f>AVERAGEIF(Table1[Customer_ID], Table1[[#This Row],[Customer_ID]], Table1[Transaction_Amount])</f>
        <v>5123.7795999999989</v>
      </c>
      <c r="I2624" t="s">
        <v>2567</v>
      </c>
      <c r="J2624" t="s">
        <v>36</v>
      </c>
      <c r="K2624" t="s">
        <v>10</v>
      </c>
      <c r="L2624">
        <v>5</v>
      </c>
      <c r="M2624" t="s">
        <v>42</v>
      </c>
      <c r="N2624" t="s">
        <v>412</v>
      </c>
      <c r="O2624" t="s">
        <v>393</v>
      </c>
      <c r="P2624" s="6" t="str">
        <f>IF(Table1[[#This Row],[Transaction_Amount]]&lt;=Table1[[#This Row],[avg_transaction_amount]], "usual transaction", "unusual transaction")</f>
        <v>usual transaction</v>
      </c>
      <c r="Q2624" s="6" t="str">
        <f>IF(AND(Table1[[#This Row],[Country_of_Residence]]&lt;&gt;Table1[[#This Row],[Country_of_Transaction]], OR(Table1[[#This Row],[Authentication_Type]]="Biometric", Table1[[#This Row],[Authentication_Type]]="OTP")), "safe location transaction", "unsafe location transaction")</f>
        <v>safe location transaction</v>
      </c>
      <c r="R2624" s="6" t="str">
        <f>IF(AND(Table1[[#This Row],[Country_of_Residence]]&lt;&gt;Table1[[#This Row],[Country_of_Transaction]], OR(Table1[[#This Row],[Merchant_Category]]="Electronics", Table1[[#This Row],[Merchant_Category]]="Travel")), "unsafe merchant transaction", "safe merchant transaction")</f>
        <v>safe merchant transaction</v>
      </c>
    </row>
    <row r="2625" spans="1:18">
      <c r="A2625" t="s">
        <v>5276</v>
      </c>
      <c r="B2625" t="s">
        <v>357</v>
      </c>
      <c r="C2625">
        <v>1</v>
      </c>
      <c r="D2625" t="s">
        <v>9</v>
      </c>
      <c r="E2625" t="s">
        <v>6</v>
      </c>
      <c r="F2625" s="2">
        <v>45884</v>
      </c>
      <c r="G2625">
        <v>6403.33</v>
      </c>
      <c r="H2625" s="1">
        <f>AVERAGEIF(Table1[Customer_ID], Table1[[#This Row],[Customer_ID]], Table1[Transaction_Amount])</f>
        <v>5123.7795999999989</v>
      </c>
      <c r="I2625" t="s">
        <v>1917</v>
      </c>
      <c r="J2625" t="s">
        <v>41</v>
      </c>
      <c r="K2625" t="s">
        <v>10</v>
      </c>
      <c r="L2625">
        <v>4</v>
      </c>
      <c r="M2625" t="s">
        <v>37</v>
      </c>
      <c r="N2625" t="s">
        <v>33</v>
      </c>
      <c r="O2625" t="s">
        <v>393</v>
      </c>
      <c r="P2625" s="6" t="str">
        <f>IF(Table1[[#This Row],[Transaction_Amount]]&lt;=Table1[[#This Row],[avg_transaction_amount]], "usual transaction", "unusual transaction")</f>
        <v>unusual transaction</v>
      </c>
      <c r="Q2625" s="6" t="str">
        <f>IF(AND(Table1[[#This Row],[Country_of_Residence]]&lt;&gt;Table1[[#This Row],[Country_of_Transaction]], OR(Table1[[#This Row],[Authentication_Type]]="Biometric", Table1[[#This Row],[Authentication_Type]]="OTP")), "safe location transaction", "unsafe location transaction")</f>
        <v>safe location transaction</v>
      </c>
      <c r="R2625" s="6" t="str">
        <f>IF(AND(Table1[[#This Row],[Country_of_Residence]]&lt;&gt;Table1[[#This Row],[Country_of_Transaction]], OR(Table1[[#This Row],[Merchant_Category]]="Electronics", Table1[[#This Row],[Merchant_Category]]="Travel")), "unsafe merchant transaction", "safe merchant transaction")</f>
        <v>safe merchant transaction</v>
      </c>
    </row>
    <row r="2626" spans="1:18">
      <c r="A2626" t="s">
        <v>5299</v>
      </c>
      <c r="B2626" t="s">
        <v>357</v>
      </c>
      <c r="C2626">
        <v>1</v>
      </c>
      <c r="D2626" t="s">
        <v>15</v>
      </c>
      <c r="E2626" t="s">
        <v>3</v>
      </c>
      <c r="F2626" s="2">
        <v>45849</v>
      </c>
      <c r="G2626">
        <v>3328.61</v>
      </c>
      <c r="H2626" s="1">
        <f>AVERAGEIF(Table1[Customer_ID], Table1[[#This Row],[Customer_ID]], Table1[Transaction_Amount])</f>
        <v>5123.7795999999989</v>
      </c>
      <c r="I2626" t="s">
        <v>2604</v>
      </c>
      <c r="J2626" t="s">
        <v>46</v>
      </c>
      <c r="K2626" t="s">
        <v>8</v>
      </c>
      <c r="L2626">
        <v>1</v>
      </c>
      <c r="M2626" t="s">
        <v>55</v>
      </c>
      <c r="N2626" t="s">
        <v>33</v>
      </c>
      <c r="O2626" t="s">
        <v>392</v>
      </c>
      <c r="P2626" s="6" t="str">
        <f>IF(Table1[[#This Row],[Transaction_Amount]]&lt;=Table1[[#This Row],[avg_transaction_amount]], "usual transaction", "unusual transaction")</f>
        <v>usual transaction</v>
      </c>
      <c r="Q2626" s="6" t="str">
        <f>IF(AND(Table1[[#This Row],[Country_of_Residence]]&lt;&gt;Table1[[#This Row],[Country_of_Transaction]], OR(Table1[[#This Row],[Authentication_Type]]="Biometric", Table1[[#This Row],[Authentication_Type]]="OTP")), "safe location transaction", "unsafe location transaction")</f>
        <v>safe location transaction</v>
      </c>
      <c r="R2626" s="6" t="str">
        <f>IF(AND(Table1[[#This Row],[Country_of_Residence]]&lt;&gt;Table1[[#This Row],[Country_of_Transaction]], OR(Table1[[#This Row],[Merchant_Category]]="Electronics", Table1[[#This Row],[Merchant_Category]]="Travel")), "unsafe merchant transaction", "safe merchant transaction")</f>
        <v>safe merchant transaction</v>
      </c>
    </row>
    <row r="2627" spans="1:18">
      <c r="A2627" t="s">
        <v>5345</v>
      </c>
      <c r="B2627" t="s">
        <v>357</v>
      </c>
      <c r="C2627">
        <v>1</v>
      </c>
      <c r="D2627" t="s">
        <v>9</v>
      </c>
      <c r="E2627" t="s">
        <v>3</v>
      </c>
      <c r="F2627" s="2">
        <v>45683</v>
      </c>
      <c r="G2627">
        <v>3082.58</v>
      </c>
      <c r="H2627" s="1">
        <f>AVERAGEIF(Table1[Customer_ID], Table1[[#This Row],[Customer_ID]], Table1[Transaction_Amount])</f>
        <v>5123.7795999999989</v>
      </c>
      <c r="I2627" t="s">
        <v>2639</v>
      </c>
      <c r="J2627" t="s">
        <v>46</v>
      </c>
      <c r="K2627" t="s">
        <v>14</v>
      </c>
      <c r="L2627">
        <v>3</v>
      </c>
      <c r="M2627" t="s">
        <v>51</v>
      </c>
      <c r="N2627" t="s">
        <v>55</v>
      </c>
      <c r="O2627" t="s">
        <v>392</v>
      </c>
      <c r="P2627" s="6" t="str">
        <f>IF(Table1[[#This Row],[Transaction_Amount]]&lt;=Table1[[#This Row],[avg_transaction_amount]], "usual transaction", "unusual transaction")</f>
        <v>usual transaction</v>
      </c>
      <c r="Q2627" s="6" t="str">
        <f>IF(AND(Table1[[#This Row],[Country_of_Residence]]&lt;&gt;Table1[[#This Row],[Country_of_Transaction]], OR(Table1[[#This Row],[Authentication_Type]]="Biometric", Table1[[#This Row],[Authentication_Type]]="OTP")), "safe location transaction", "unsafe location transaction")</f>
        <v>unsafe location transaction</v>
      </c>
      <c r="R2627" s="6" t="str">
        <f>IF(AND(Table1[[#This Row],[Country_of_Residence]]&lt;&gt;Table1[[#This Row],[Country_of_Transaction]], OR(Table1[[#This Row],[Merchant_Category]]="Electronics", Table1[[#This Row],[Merchant_Category]]="Travel")), "unsafe merchant transaction", "safe merchant transaction")</f>
        <v>safe merchant transaction</v>
      </c>
    </row>
    <row r="2628" spans="1:18">
      <c r="A2628" t="s">
        <v>5392</v>
      </c>
      <c r="B2628" t="s">
        <v>357</v>
      </c>
      <c r="C2628">
        <v>1</v>
      </c>
      <c r="D2628" t="s">
        <v>15</v>
      </c>
      <c r="E2628" t="s">
        <v>420</v>
      </c>
      <c r="F2628" s="2">
        <v>45907</v>
      </c>
      <c r="G2628">
        <v>3981.63</v>
      </c>
      <c r="H2628" s="1">
        <f>AVERAGEIF(Table1[Customer_ID], Table1[[#This Row],[Customer_ID]], Table1[Transaction_Amount])</f>
        <v>5123.7795999999989</v>
      </c>
      <c r="I2628" t="s">
        <v>2673</v>
      </c>
      <c r="J2628" t="s">
        <v>31</v>
      </c>
      <c r="K2628" t="s">
        <v>8</v>
      </c>
      <c r="L2628">
        <v>5</v>
      </c>
      <c r="M2628" t="s">
        <v>51</v>
      </c>
      <c r="N2628" t="s">
        <v>42</v>
      </c>
      <c r="O2628" t="s">
        <v>393</v>
      </c>
      <c r="P2628" s="6" t="str">
        <f>IF(Table1[[#This Row],[Transaction_Amount]]&lt;=Table1[[#This Row],[avg_transaction_amount]], "usual transaction", "unusual transaction")</f>
        <v>usual transaction</v>
      </c>
      <c r="Q2628" s="6" t="str">
        <f>IF(AND(Table1[[#This Row],[Country_of_Residence]]&lt;&gt;Table1[[#This Row],[Country_of_Transaction]], OR(Table1[[#This Row],[Authentication_Type]]="Biometric", Table1[[#This Row],[Authentication_Type]]="OTP")), "safe location transaction", "unsafe location transaction")</f>
        <v>safe location transaction</v>
      </c>
      <c r="R2628" s="6" t="str">
        <f>IF(AND(Table1[[#This Row],[Country_of_Residence]]&lt;&gt;Table1[[#This Row],[Country_of_Transaction]], OR(Table1[[#This Row],[Merchant_Category]]="Electronics", Table1[[#This Row],[Merchant_Category]]="Travel")), "unsafe merchant transaction", "safe merchant transaction")</f>
        <v>safe merchant transaction</v>
      </c>
    </row>
    <row r="2629" spans="1:18">
      <c r="A2629" t="s">
        <v>5400</v>
      </c>
      <c r="B2629" t="s">
        <v>357</v>
      </c>
      <c r="C2629">
        <v>1</v>
      </c>
      <c r="D2629" t="s">
        <v>15</v>
      </c>
      <c r="E2629" t="s">
        <v>6</v>
      </c>
      <c r="F2629" s="2">
        <v>45937</v>
      </c>
      <c r="G2629">
        <v>9584.01</v>
      </c>
      <c r="H2629" s="1">
        <f>AVERAGEIF(Table1[Customer_ID], Table1[[#This Row],[Customer_ID]], Table1[Transaction_Amount])</f>
        <v>5123.7795999999989</v>
      </c>
      <c r="I2629" t="s">
        <v>2680</v>
      </c>
      <c r="J2629" t="s">
        <v>41</v>
      </c>
      <c r="K2629" t="s">
        <v>14</v>
      </c>
      <c r="L2629">
        <v>0</v>
      </c>
      <c r="M2629" t="s">
        <v>37</v>
      </c>
      <c r="N2629" t="s">
        <v>33</v>
      </c>
      <c r="O2629" t="s">
        <v>393</v>
      </c>
      <c r="P2629" s="6" t="str">
        <f>IF(Table1[[#This Row],[Transaction_Amount]]&lt;=Table1[[#This Row],[avg_transaction_amount]], "usual transaction", "unusual transaction")</f>
        <v>unusual transaction</v>
      </c>
      <c r="Q2629" s="6" t="str">
        <f>IF(AND(Table1[[#This Row],[Country_of_Residence]]&lt;&gt;Table1[[#This Row],[Country_of_Transaction]], OR(Table1[[#This Row],[Authentication_Type]]="Biometric", Table1[[#This Row],[Authentication_Type]]="OTP")), "safe location transaction", "unsafe location transaction")</f>
        <v>unsafe location transaction</v>
      </c>
      <c r="R2629" s="6" t="str">
        <f>IF(AND(Table1[[#This Row],[Country_of_Residence]]&lt;&gt;Table1[[#This Row],[Country_of_Transaction]], OR(Table1[[#This Row],[Merchant_Category]]="Electronics", Table1[[#This Row],[Merchant_Category]]="Travel")), "unsafe merchant transaction", "safe merchant transaction")</f>
        <v>safe merchant transaction</v>
      </c>
    </row>
    <row r="2630" spans="1:18">
      <c r="A2630" t="s">
        <v>361</v>
      </c>
      <c r="B2630" t="s">
        <v>362</v>
      </c>
      <c r="C2630">
        <v>1</v>
      </c>
      <c r="D2630" t="s">
        <v>11</v>
      </c>
      <c r="E2630" t="s">
        <v>6</v>
      </c>
      <c r="F2630" s="2">
        <v>45905.65</v>
      </c>
      <c r="G2630">
        <v>7026.6</v>
      </c>
      <c r="H2630" s="1">
        <f>AVERAGEIF(Table1[Customer_ID], Table1[[#This Row],[Customer_ID]], Table1[Transaction_Amount])</f>
        <v>5150.6247169811322</v>
      </c>
      <c r="I2630" t="s">
        <v>363</v>
      </c>
      <c r="J2630" t="s">
        <v>36</v>
      </c>
      <c r="K2630" t="s">
        <v>12</v>
      </c>
      <c r="L2630">
        <v>3</v>
      </c>
      <c r="M2630" t="s">
        <v>98</v>
      </c>
      <c r="N2630" t="s">
        <v>182</v>
      </c>
      <c r="O2630" t="s">
        <v>392</v>
      </c>
      <c r="P2630" t="str">
        <f>IF(Table1[[#This Row],[Transaction_Amount]]&lt;=Table1[[#This Row],[avg_transaction_amount]], "usual transaction", "unusual transaction")</f>
        <v>unusual transaction</v>
      </c>
      <c r="Q2630" t="str">
        <f>IF(AND(Table1[[#This Row],[Country_of_Residence]]&lt;&gt;Table1[[#This Row],[Country_of_Transaction]], OR(Table1[[#This Row],[Authentication_Type]]="Biometric", Table1[[#This Row],[Authentication_Type]]="OTP")), "safe location transaction", "unsafe location transaction")</f>
        <v>unsafe location transaction</v>
      </c>
      <c r="R2630" t="str">
        <f>IF(AND(Table1[[#This Row],[Country_of_Residence]]&lt;&gt;Table1[[#This Row],[Country_of_Transaction]], OR(Table1[[#This Row],[Merchant_Category]]="Electronics", Table1[[#This Row],[Merchant_Category]]="Travel")), "unsafe merchant transaction", "safe merchant transaction")</f>
        <v>safe merchant transaction</v>
      </c>
    </row>
    <row r="2631" spans="1:18">
      <c r="A2631" t="s">
        <v>2779</v>
      </c>
      <c r="B2631" t="s">
        <v>362</v>
      </c>
      <c r="C2631">
        <v>1</v>
      </c>
      <c r="D2631" t="s">
        <v>9</v>
      </c>
      <c r="E2631" t="s">
        <v>6</v>
      </c>
      <c r="F2631" s="2">
        <v>45900</v>
      </c>
      <c r="G2631">
        <v>9358.3700000000008</v>
      </c>
      <c r="H2631" s="1">
        <f>AVERAGEIF(Table1[Customer_ID], Table1[[#This Row],[Customer_ID]], Table1[Transaction_Amount])</f>
        <v>5150.6247169811322</v>
      </c>
      <c r="I2631" t="s">
        <v>428</v>
      </c>
      <c r="J2631" t="s">
        <v>31</v>
      </c>
      <c r="K2631" t="s">
        <v>10</v>
      </c>
      <c r="L2631">
        <v>5</v>
      </c>
      <c r="M2631" t="s">
        <v>56</v>
      </c>
      <c r="N2631" t="s">
        <v>51</v>
      </c>
      <c r="O2631" t="s">
        <v>393</v>
      </c>
      <c r="P2631" s="6" t="str">
        <f>IF(Table1[[#This Row],[Transaction_Amount]]&lt;=Table1[[#This Row],[avg_transaction_amount]], "usual transaction", "unusual transaction")</f>
        <v>unusual transaction</v>
      </c>
      <c r="Q2631" s="6" t="str">
        <f>IF(AND(Table1[[#This Row],[Country_of_Residence]]&lt;&gt;Table1[[#This Row],[Country_of_Transaction]], OR(Table1[[#This Row],[Authentication_Type]]="Biometric", Table1[[#This Row],[Authentication_Type]]="OTP")), "safe location transaction", "unsafe location transaction")</f>
        <v>safe location transaction</v>
      </c>
      <c r="R2631" s="6" t="str">
        <f>IF(AND(Table1[[#This Row],[Country_of_Residence]]&lt;&gt;Table1[[#This Row],[Country_of_Transaction]], OR(Table1[[#This Row],[Merchant_Category]]="Electronics", Table1[[#This Row],[Merchant_Category]]="Travel")), "unsafe merchant transaction", "safe merchant transaction")</f>
        <v>safe merchant transaction</v>
      </c>
    </row>
    <row r="2632" spans="1:18">
      <c r="A2632" t="s">
        <v>2794</v>
      </c>
      <c r="B2632" t="s">
        <v>362</v>
      </c>
      <c r="C2632">
        <v>1</v>
      </c>
      <c r="D2632" t="s">
        <v>15</v>
      </c>
      <c r="E2632" t="s">
        <v>420</v>
      </c>
      <c r="F2632" s="2">
        <v>45953</v>
      </c>
      <c r="G2632">
        <v>7874.96</v>
      </c>
      <c r="H2632" s="1">
        <f>AVERAGEIF(Table1[Customer_ID], Table1[[#This Row],[Customer_ID]], Table1[Transaction_Amount])</f>
        <v>5150.6247169811322</v>
      </c>
      <c r="I2632" t="s">
        <v>444</v>
      </c>
      <c r="J2632" t="s">
        <v>31</v>
      </c>
      <c r="K2632" t="s">
        <v>8</v>
      </c>
      <c r="L2632">
        <v>0</v>
      </c>
      <c r="M2632" t="s">
        <v>33</v>
      </c>
      <c r="N2632" t="s">
        <v>33</v>
      </c>
      <c r="O2632" t="s">
        <v>392</v>
      </c>
      <c r="P2632" s="6" t="str">
        <f>IF(Table1[[#This Row],[Transaction_Amount]]&lt;=Table1[[#This Row],[avg_transaction_amount]], "usual transaction", "unusual transaction")</f>
        <v>unusual transaction</v>
      </c>
      <c r="Q2632" s="6" t="str">
        <f>IF(AND(Table1[[#This Row],[Country_of_Residence]]&lt;&gt;Table1[[#This Row],[Country_of_Transaction]], OR(Table1[[#This Row],[Authentication_Type]]="Biometric", Table1[[#This Row],[Authentication_Type]]="OTP")), "safe location transaction", "unsafe location transaction")</f>
        <v>unsafe location transaction</v>
      </c>
      <c r="R2632" s="6" t="str">
        <f>IF(AND(Table1[[#This Row],[Country_of_Residence]]&lt;&gt;Table1[[#This Row],[Country_of_Transaction]], OR(Table1[[#This Row],[Merchant_Category]]="Electronics", Table1[[#This Row],[Merchant_Category]]="Travel")), "unsafe merchant transaction", "safe merchant transaction")</f>
        <v>safe merchant transaction</v>
      </c>
    </row>
    <row r="2633" spans="1:18">
      <c r="A2633" t="s">
        <v>2858</v>
      </c>
      <c r="B2633" t="s">
        <v>362</v>
      </c>
      <c r="C2633">
        <v>1</v>
      </c>
      <c r="D2633" t="s">
        <v>15</v>
      </c>
      <c r="E2633" t="s">
        <v>3</v>
      </c>
      <c r="F2633" s="2">
        <v>45737</v>
      </c>
      <c r="G2633">
        <v>3277.61</v>
      </c>
      <c r="H2633" s="1">
        <f>AVERAGEIF(Table1[Customer_ID], Table1[[#This Row],[Customer_ID]], Table1[Transaction_Amount])</f>
        <v>5150.6247169811322</v>
      </c>
      <c r="I2633" t="s">
        <v>510</v>
      </c>
      <c r="J2633" t="s">
        <v>31</v>
      </c>
      <c r="K2633" t="s">
        <v>14</v>
      </c>
      <c r="L2633">
        <v>3</v>
      </c>
      <c r="M2633" t="s">
        <v>56</v>
      </c>
      <c r="N2633" t="s">
        <v>47</v>
      </c>
      <c r="O2633" t="s">
        <v>393</v>
      </c>
      <c r="P2633" s="6" t="str">
        <f>IF(Table1[[#This Row],[Transaction_Amount]]&lt;=Table1[[#This Row],[avg_transaction_amount]], "usual transaction", "unusual transaction")</f>
        <v>usual transaction</v>
      </c>
      <c r="Q2633" s="6" t="str">
        <f>IF(AND(Table1[[#This Row],[Country_of_Residence]]&lt;&gt;Table1[[#This Row],[Country_of_Transaction]], OR(Table1[[#This Row],[Authentication_Type]]="Biometric", Table1[[#This Row],[Authentication_Type]]="OTP")), "safe location transaction", "unsafe location transaction")</f>
        <v>unsafe location transaction</v>
      </c>
      <c r="R2633" s="6" t="str">
        <f>IF(AND(Table1[[#This Row],[Country_of_Residence]]&lt;&gt;Table1[[#This Row],[Country_of_Transaction]], OR(Table1[[#This Row],[Merchant_Category]]="Electronics", Table1[[#This Row],[Merchant_Category]]="Travel")), "unsafe merchant transaction", "safe merchant transaction")</f>
        <v>safe merchant transaction</v>
      </c>
    </row>
    <row r="2634" spans="1:18">
      <c r="A2634" t="s">
        <v>3031</v>
      </c>
      <c r="B2634" t="s">
        <v>362</v>
      </c>
      <c r="C2634">
        <v>1</v>
      </c>
      <c r="D2634" t="s">
        <v>9</v>
      </c>
      <c r="E2634" t="s">
        <v>5</v>
      </c>
      <c r="F2634" s="2">
        <v>45917</v>
      </c>
      <c r="G2634">
        <v>7148.02</v>
      </c>
      <c r="H2634" s="1">
        <f>AVERAGEIF(Table1[Customer_ID], Table1[[#This Row],[Customer_ID]], Table1[Transaction_Amount])</f>
        <v>5150.6247169811322</v>
      </c>
      <c r="I2634" t="s">
        <v>677</v>
      </c>
      <c r="J2634" t="s">
        <v>41</v>
      </c>
      <c r="K2634" t="s">
        <v>12</v>
      </c>
      <c r="L2634">
        <v>2</v>
      </c>
      <c r="M2634" t="s">
        <v>32</v>
      </c>
      <c r="N2634" t="s">
        <v>47</v>
      </c>
      <c r="O2634" t="s">
        <v>392</v>
      </c>
      <c r="P2634" s="6" t="str">
        <f>IF(Table1[[#This Row],[Transaction_Amount]]&lt;=Table1[[#This Row],[avg_transaction_amount]], "usual transaction", "unusual transaction")</f>
        <v>unusual transaction</v>
      </c>
      <c r="Q2634" s="6" t="str">
        <f>IF(AND(Table1[[#This Row],[Country_of_Residence]]&lt;&gt;Table1[[#This Row],[Country_of_Transaction]], OR(Table1[[#This Row],[Authentication_Type]]="Biometric", Table1[[#This Row],[Authentication_Type]]="OTP")), "safe location transaction", "unsafe location transaction")</f>
        <v>unsafe location transaction</v>
      </c>
      <c r="R2634" s="6" t="str">
        <f>IF(AND(Table1[[#This Row],[Country_of_Residence]]&lt;&gt;Table1[[#This Row],[Country_of_Transaction]], OR(Table1[[#This Row],[Merchant_Category]]="Electronics", Table1[[#This Row],[Merchant_Category]]="Travel")), "unsafe merchant transaction", "safe merchant transaction")</f>
        <v>safe merchant transaction</v>
      </c>
    </row>
    <row r="2635" spans="1:18">
      <c r="A2635" t="s">
        <v>3086</v>
      </c>
      <c r="B2635" t="s">
        <v>362</v>
      </c>
      <c r="C2635">
        <v>1</v>
      </c>
      <c r="D2635" t="s">
        <v>9</v>
      </c>
      <c r="E2635" t="s">
        <v>6</v>
      </c>
      <c r="F2635" s="2">
        <v>45960</v>
      </c>
      <c r="G2635">
        <v>1177.72</v>
      </c>
      <c r="H2635" s="1">
        <f>AVERAGEIF(Table1[Customer_ID], Table1[[#This Row],[Customer_ID]], Table1[Transaction_Amount])</f>
        <v>5150.6247169811322</v>
      </c>
      <c r="I2635" t="s">
        <v>730</v>
      </c>
      <c r="J2635" t="s">
        <v>31</v>
      </c>
      <c r="K2635" t="s">
        <v>12</v>
      </c>
      <c r="L2635">
        <v>0</v>
      </c>
      <c r="M2635" t="s">
        <v>42</v>
      </c>
      <c r="N2635" t="s">
        <v>42</v>
      </c>
      <c r="O2635" t="s">
        <v>392</v>
      </c>
      <c r="P2635" s="6" t="str">
        <f>IF(Table1[[#This Row],[Transaction_Amount]]&lt;=Table1[[#This Row],[avg_transaction_amount]], "usual transaction", "unusual transaction")</f>
        <v>usual transaction</v>
      </c>
      <c r="Q2635" s="6" t="str">
        <f>IF(AND(Table1[[#This Row],[Country_of_Residence]]&lt;&gt;Table1[[#This Row],[Country_of_Transaction]], OR(Table1[[#This Row],[Authentication_Type]]="Biometric", Table1[[#This Row],[Authentication_Type]]="OTP")), "safe location transaction", "unsafe location transaction")</f>
        <v>unsafe location transaction</v>
      </c>
      <c r="R2635" s="6" t="str">
        <f>IF(AND(Table1[[#This Row],[Country_of_Residence]]&lt;&gt;Table1[[#This Row],[Country_of_Transaction]], OR(Table1[[#This Row],[Merchant_Category]]="Electronics", Table1[[#This Row],[Merchant_Category]]="Travel")), "unsafe merchant transaction", "safe merchant transaction")</f>
        <v>safe merchant transaction</v>
      </c>
    </row>
    <row r="2636" spans="1:18">
      <c r="A2636" t="s">
        <v>3089</v>
      </c>
      <c r="B2636" t="s">
        <v>362</v>
      </c>
      <c r="C2636">
        <v>1</v>
      </c>
      <c r="D2636" t="s">
        <v>15</v>
      </c>
      <c r="E2636" t="s">
        <v>6</v>
      </c>
      <c r="F2636" s="2">
        <v>45851</v>
      </c>
      <c r="G2636">
        <v>6871.63</v>
      </c>
      <c r="H2636" s="1">
        <f>AVERAGEIF(Table1[Customer_ID], Table1[[#This Row],[Customer_ID]], Table1[Transaction_Amount])</f>
        <v>5150.6247169811322</v>
      </c>
      <c r="I2636" t="s">
        <v>733</v>
      </c>
      <c r="J2636" t="s">
        <v>31</v>
      </c>
      <c r="K2636" t="s">
        <v>10</v>
      </c>
      <c r="L2636">
        <v>1</v>
      </c>
      <c r="M2636" t="s">
        <v>33</v>
      </c>
      <c r="N2636" t="s">
        <v>33</v>
      </c>
      <c r="O2636" t="s">
        <v>393</v>
      </c>
      <c r="P2636" s="6" t="str">
        <f>IF(Table1[[#This Row],[Transaction_Amount]]&lt;=Table1[[#This Row],[avg_transaction_amount]], "usual transaction", "unusual transaction")</f>
        <v>unusual transaction</v>
      </c>
      <c r="Q2636" s="6" t="str">
        <f>IF(AND(Table1[[#This Row],[Country_of_Residence]]&lt;&gt;Table1[[#This Row],[Country_of_Transaction]], OR(Table1[[#This Row],[Authentication_Type]]="Biometric", Table1[[#This Row],[Authentication_Type]]="OTP")), "safe location transaction", "unsafe location transaction")</f>
        <v>unsafe location transaction</v>
      </c>
      <c r="R2636" s="6" t="str">
        <f>IF(AND(Table1[[#This Row],[Country_of_Residence]]&lt;&gt;Table1[[#This Row],[Country_of_Transaction]], OR(Table1[[#This Row],[Merchant_Category]]="Electronics", Table1[[#This Row],[Merchant_Category]]="Travel")), "unsafe merchant transaction", "safe merchant transaction")</f>
        <v>safe merchant transaction</v>
      </c>
    </row>
    <row r="2637" spans="1:18">
      <c r="A2637" t="s">
        <v>3123</v>
      </c>
      <c r="B2637" t="s">
        <v>362</v>
      </c>
      <c r="C2637">
        <v>1</v>
      </c>
      <c r="D2637" t="s">
        <v>15</v>
      </c>
      <c r="E2637" t="s">
        <v>420</v>
      </c>
      <c r="F2637" s="2">
        <v>45769</v>
      </c>
      <c r="G2637">
        <v>131.63</v>
      </c>
      <c r="H2637" s="1">
        <f>AVERAGEIF(Table1[Customer_ID], Table1[[#This Row],[Customer_ID]], Table1[Transaction_Amount])</f>
        <v>5150.6247169811322</v>
      </c>
      <c r="I2637" t="s">
        <v>764</v>
      </c>
      <c r="J2637" t="s">
        <v>50</v>
      </c>
      <c r="K2637" t="s">
        <v>8</v>
      </c>
      <c r="L2637">
        <v>2</v>
      </c>
      <c r="M2637" t="s">
        <v>47</v>
      </c>
      <c r="N2637" t="s">
        <v>412</v>
      </c>
      <c r="O2637" t="s">
        <v>393</v>
      </c>
      <c r="P2637" s="6" t="str">
        <f>IF(Table1[[#This Row],[Transaction_Amount]]&lt;=Table1[[#This Row],[avg_transaction_amount]], "usual transaction", "unusual transaction")</f>
        <v>usual transaction</v>
      </c>
      <c r="Q2637" s="6" t="str">
        <f>IF(AND(Table1[[#This Row],[Country_of_Residence]]&lt;&gt;Table1[[#This Row],[Country_of_Transaction]], OR(Table1[[#This Row],[Authentication_Type]]="Biometric", Table1[[#This Row],[Authentication_Type]]="OTP")), "safe location transaction", "unsafe location transaction")</f>
        <v>safe location transaction</v>
      </c>
      <c r="R2637" s="6" t="str">
        <f>IF(AND(Table1[[#This Row],[Country_of_Residence]]&lt;&gt;Table1[[#This Row],[Country_of_Transaction]], OR(Table1[[#This Row],[Merchant_Category]]="Electronics", Table1[[#This Row],[Merchant_Category]]="Travel")), "unsafe merchant transaction", "safe merchant transaction")</f>
        <v>unsafe merchant transaction</v>
      </c>
    </row>
    <row r="2638" spans="1:18">
      <c r="A2638" t="s">
        <v>3136</v>
      </c>
      <c r="B2638" t="s">
        <v>362</v>
      </c>
      <c r="C2638">
        <v>1</v>
      </c>
      <c r="D2638" t="s">
        <v>15</v>
      </c>
      <c r="E2638" t="s">
        <v>3</v>
      </c>
      <c r="F2638" s="2">
        <v>45709</v>
      </c>
      <c r="G2638">
        <v>750.36</v>
      </c>
      <c r="H2638" s="1">
        <f>AVERAGEIF(Table1[Customer_ID], Table1[[#This Row],[Customer_ID]], Table1[Transaction_Amount])</f>
        <v>5150.6247169811322</v>
      </c>
      <c r="I2638" t="s">
        <v>776</v>
      </c>
      <c r="J2638" t="s">
        <v>41</v>
      </c>
      <c r="K2638" t="s">
        <v>8</v>
      </c>
      <c r="L2638">
        <v>1</v>
      </c>
      <c r="M2638" t="s">
        <v>55</v>
      </c>
      <c r="N2638" t="s">
        <v>33</v>
      </c>
      <c r="O2638" t="s">
        <v>392</v>
      </c>
      <c r="P2638" s="6" t="str">
        <f>IF(Table1[[#This Row],[Transaction_Amount]]&lt;=Table1[[#This Row],[avg_transaction_amount]], "usual transaction", "unusual transaction")</f>
        <v>usual transaction</v>
      </c>
      <c r="Q2638" s="6" t="str">
        <f>IF(AND(Table1[[#This Row],[Country_of_Residence]]&lt;&gt;Table1[[#This Row],[Country_of_Transaction]], OR(Table1[[#This Row],[Authentication_Type]]="Biometric", Table1[[#This Row],[Authentication_Type]]="OTP")), "safe location transaction", "unsafe location transaction")</f>
        <v>safe location transaction</v>
      </c>
      <c r="R2638" s="6" t="str">
        <f>IF(AND(Table1[[#This Row],[Country_of_Residence]]&lt;&gt;Table1[[#This Row],[Country_of_Transaction]], OR(Table1[[#This Row],[Merchant_Category]]="Electronics", Table1[[#This Row],[Merchant_Category]]="Travel")), "unsafe merchant transaction", "safe merchant transaction")</f>
        <v>safe merchant transaction</v>
      </c>
    </row>
    <row r="2639" spans="1:18">
      <c r="A2639" t="s">
        <v>3362</v>
      </c>
      <c r="B2639" t="s">
        <v>362</v>
      </c>
      <c r="C2639">
        <v>1</v>
      </c>
      <c r="D2639" t="s">
        <v>9</v>
      </c>
      <c r="E2639" t="s">
        <v>420</v>
      </c>
      <c r="F2639" s="2">
        <v>45819</v>
      </c>
      <c r="G2639">
        <v>2284.25</v>
      </c>
      <c r="H2639" s="1">
        <f>AVERAGEIF(Table1[Customer_ID], Table1[[#This Row],[Customer_ID]], Table1[Transaction_Amount])</f>
        <v>5150.6247169811322</v>
      </c>
      <c r="I2639" t="s">
        <v>986</v>
      </c>
      <c r="J2639" t="s">
        <v>46</v>
      </c>
      <c r="K2639" t="s">
        <v>14</v>
      </c>
      <c r="L2639">
        <v>0</v>
      </c>
      <c r="M2639" t="s">
        <v>412</v>
      </c>
      <c r="N2639" t="s">
        <v>55</v>
      </c>
      <c r="O2639" t="s">
        <v>393</v>
      </c>
      <c r="P2639" s="6" t="str">
        <f>IF(Table1[[#This Row],[Transaction_Amount]]&lt;=Table1[[#This Row],[avg_transaction_amount]], "usual transaction", "unusual transaction")</f>
        <v>usual transaction</v>
      </c>
      <c r="Q2639" s="6" t="str">
        <f>IF(AND(Table1[[#This Row],[Country_of_Residence]]&lt;&gt;Table1[[#This Row],[Country_of_Transaction]], OR(Table1[[#This Row],[Authentication_Type]]="Biometric", Table1[[#This Row],[Authentication_Type]]="OTP")), "safe location transaction", "unsafe location transaction")</f>
        <v>unsafe location transaction</v>
      </c>
      <c r="R2639" s="6" t="str">
        <f>IF(AND(Table1[[#This Row],[Country_of_Residence]]&lt;&gt;Table1[[#This Row],[Country_of_Transaction]], OR(Table1[[#This Row],[Merchant_Category]]="Electronics", Table1[[#This Row],[Merchant_Category]]="Travel")), "unsafe merchant transaction", "safe merchant transaction")</f>
        <v>safe merchant transaction</v>
      </c>
    </row>
    <row r="2640" spans="1:18">
      <c r="A2640" t="s">
        <v>3427</v>
      </c>
      <c r="B2640" t="s">
        <v>362</v>
      </c>
      <c r="C2640">
        <v>1</v>
      </c>
      <c r="D2640" t="s">
        <v>15</v>
      </c>
      <c r="E2640" t="s">
        <v>3</v>
      </c>
      <c r="F2640" s="2">
        <v>45723</v>
      </c>
      <c r="G2640">
        <v>3879.34</v>
      </c>
      <c r="H2640" s="1">
        <f>AVERAGEIF(Table1[Customer_ID], Table1[[#This Row],[Customer_ID]], Table1[Transaction_Amount])</f>
        <v>5150.6247169811322</v>
      </c>
      <c r="I2640" t="s">
        <v>815</v>
      </c>
      <c r="J2640" t="s">
        <v>50</v>
      </c>
      <c r="K2640" t="s">
        <v>8</v>
      </c>
      <c r="L2640">
        <v>1</v>
      </c>
      <c r="M2640" t="s">
        <v>47</v>
      </c>
      <c r="N2640" t="s">
        <v>32</v>
      </c>
      <c r="O2640" t="s">
        <v>393</v>
      </c>
      <c r="P2640" s="6" t="str">
        <f>IF(Table1[[#This Row],[Transaction_Amount]]&lt;=Table1[[#This Row],[avg_transaction_amount]], "usual transaction", "unusual transaction")</f>
        <v>usual transaction</v>
      </c>
      <c r="Q2640" s="6" t="str">
        <f>IF(AND(Table1[[#This Row],[Country_of_Residence]]&lt;&gt;Table1[[#This Row],[Country_of_Transaction]], OR(Table1[[#This Row],[Authentication_Type]]="Biometric", Table1[[#This Row],[Authentication_Type]]="OTP")), "safe location transaction", "unsafe location transaction")</f>
        <v>safe location transaction</v>
      </c>
      <c r="R2640" s="6" t="str">
        <f>IF(AND(Table1[[#This Row],[Country_of_Residence]]&lt;&gt;Table1[[#This Row],[Country_of_Transaction]], OR(Table1[[#This Row],[Merchant_Category]]="Electronics", Table1[[#This Row],[Merchant_Category]]="Travel")), "unsafe merchant transaction", "safe merchant transaction")</f>
        <v>unsafe merchant transaction</v>
      </c>
    </row>
    <row r="2641" spans="1:18">
      <c r="A2641" t="s">
        <v>3480</v>
      </c>
      <c r="B2641" t="s">
        <v>362</v>
      </c>
      <c r="C2641">
        <v>1</v>
      </c>
      <c r="D2641" t="s">
        <v>15</v>
      </c>
      <c r="E2641" t="s">
        <v>3</v>
      </c>
      <c r="F2641" s="2">
        <v>46010</v>
      </c>
      <c r="G2641">
        <v>9654.01</v>
      </c>
      <c r="H2641" s="1">
        <f>AVERAGEIF(Table1[Customer_ID], Table1[[#This Row],[Customer_ID]], Table1[Transaction_Amount])</f>
        <v>5150.6247169811322</v>
      </c>
      <c r="I2641" t="s">
        <v>1098</v>
      </c>
      <c r="J2641" t="s">
        <v>41</v>
      </c>
      <c r="K2641" t="s">
        <v>12</v>
      </c>
      <c r="L2641">
        <v>3</v>
      </c>
      <c r="M2641" t="s">
        <v>55</v>
      </c>
      <c r="N2641" t="s">
        <v>51</v>
      </c>
      <c r="O2641" t="s">
        <v>393</v>
      </c>
      <c r="P2641" s="6" t="str">
        <f>IF(Table1[[#This Row],[Transaction_Amount]]&lt;=Table1[[#This Row],[avg_transaction_amount]], "usual transaction", "unusual transaction")</f>
        <v>unusual transaction</v>
      </c>
      <c r="Q2641" s="6" t="str">
        <f>IF(AND(Table1[[#This Row],[Country_of_Residence]]&lt;&gt;Table1[[#This Row],[Country_of_Transaction]], OR(Table1[[#This Row],[Authentication_Type]]="Biometric", Table1[[#This Row],[Authentication_Type]]="OTP")), "safe location transaction", "unsafe location transaction")</f>
        <v>unsafe location transaction</v>
      </c>
      <c r="R2641" s="6" t="str">
        <f>IF(AND(Table1[[#This Row],[Country_of_Residence]]&lt;&gt;Table1[[#This Row],[Country_of_Transaction]], OR(Table1[[#This Row],[Merchant_Category]]="Electronics", Table1[[#This Row],[Merchant_Category]]="Travel")), "unsafe merchant transaction", "safe merchant transaction")</f>
        <v>safe merchant transaction</v>
      </c>
    </row>
    <row r="2642" spans="1:18">
      <c r="A2642" t="s">
        <v>3516</v>
      </c>
      <c r="B2642" t="s">
        <v>362</v>
      </c>
      <c r="C2642">
        <v>1</v>
      </c>
      <c r="D2642" t="s">
        <v>9</v>
      </c>
      <c r="E2642" t="s">
        <v>5</v>
      </c>
      <c r="F2642" s="2">
        <v>45665</v>
      </c>
      <c r="G2642">
        <v>6696.23</v>
      </c>
      <c r="H2642" s="1">
        <f>AVERAGEIF(Table1[Customer_ID], Table1[[#This Row],[Customer_ID]], Table1[Transaction_Amount])</f>
        <v>5150.6247169811322</v>
      </c>
      <c r="I2642" t="s">
        <v>1131</v>
      </c>
      <c r="J2642" t="s">
        <v>46</v>
      </c>
      <c r="K2642" t="s">
        <v>8</v>
      </c>
      <c r="L2642">
        <v>2</v>
      </c>
      <c r="M2642" t="s">
        <v>32</v>
      </c>
      <c r="N2642" t="s">
        <v>56</v>
      </c>
      <c r="O2642" t="s">
        <v>393</v>
      </c>
      <c r="P2642" s="6" t="str">
        <f>IF(Table1[[#This Row],[Transaction_Amount]]&lt;=Table1[[#This Row],[avg_transaction_amount]], "usual transaction", "unusual transaction")</f>
        <v>unusual transaction</v>
      </c>
      <c r="Q2642" s="6" t="str">
        <f>IF(AND(Table1[[#This Row],[Country_of_Residence]]&lt;&gt;Table1[[#This Row],[Country_of_Transaction]], OR(Table1[[#This Row],[Authentication_Type]]="Biometric", Table1[[#This Row],[Authentication_Type]]="OTP")), "safe location transaction", "unsafe location transaction")</f>
        <v>safe location transaction</v>
      </c>
      <c r="R2642" s="6" t="str">
        <f>IF(AND(Table1[[#This Row],[Country_of_Residence]]&lt;&gt;Table1[[#This Row],[Country_of_Transaction]], OR(Table1[[#This Row],[Merchant_Category]]="Electronics", Table1[[#This Row],[Merchant_Category]]="Travel")), "unsafe merchant transaction", "safe merchant transaction")</f>
        <v>safe merchant transaction</v>
      </c>
    </row>
    <row r="2643" spans="1:18">
      <c r="A2643" t="s">
        <v>3525</v>
      </c>
      <c r="B2643" t="s">
        <v>362</v>
      </c>
      <c r="C2643">
        <v>1</v>
      </c>
      <c r="D2643" t="s">
        <v>15</v>
      </c>
      <c r="E2643" t="s">
        <v>420</v>
      </c>
      <c r="F2643" s="2">
        <v>45776</v>
      </c>
      <c r="G2643">
        <v>1778.49</v>
      </c>
      <c r="H2643" s="1">
        <f>AVERAGEIF(Table1[Customer_ID], Table1[[#This Row],[Customer_ID]], Table1[Transaction_Amount])</f>
        <v>5150.6247169811322</v>
      </c>
      <c r="I2643" t="s">
        <v>1140</v>
      </c>
      <c r="J2643" t="s">
        <v>41</v>
      </c>
      <c r="K2643" t="s">
        <v>10</v>
      </c>
      <c r="L2643">
        <v>5</v>
      </c>
      <c r="M2643" t="s">
        <v>56</v>
      </c>
      <c r="N2643" t="s">
        <v>37</v>
      </c>
      <c r="O2643" t="s">
        <v>392</v>
      </c>
      <c r="P2643" s="6" t="str">
        <f>IF(Table1[[#This Row],[Transaction_Amount]]&lt;=Table1[[#This Row],[avg_transaction_amount]], "usual transaction", "unusual transaction")</f>
        <v>usual transaction</v>
      </c>
      <c r="Q2643" s="6" t="str">
        <f>IF(AND(Table1[[#This Row],[Country_of_Residence]]&lt;&gt;Table1[[#This Row],[Country_of_Transaction]], OR(Table1[[#This Row],[Authentication_Type]]="Biometric", Table1[[#This Row],[Authentication_Type]]="OTP")), "safe location transaction", "unsafe location transaction")</f>
        <v>safe location transaction</v>
      </c>
      <c r="R2643" s="6" t="str">
        <f>IF(AND(Table1[[#This Row],[Country_of_Residence]]&lt;&gt;Table1[[#This Row],[Country_of_Transaction]], OR(Table1[[#This Row],[Merchant_Category]]="Electronics", Table1[[#This Row],[Merchant_Category]]="Travel")), "unsafe merchant transaction", "safe merchant transaction")</f>
        <v>safe merchant transaction</v>
      </c>
    </row>
    <row r="2644" spans="1:18">
      <c r="A2644" t="s">
        <v>3571</v>
      </c>
      <c r="B2644" t="s">
        <v>362</v>
      </c>
      <c r="C2644">
        <v>1</v>
      </c>
      <c r="D2644" t="s">
        <v>9</v>
      </c>
      <c r="E2644" t="s">
        <v>6</v>
      </c>
      <c r="F2644" s="2">
        <v>45716</v>
      </c>
      <c r="G2644">
        <v>9892.1299999999992</v>
      </c>
      <c r="H2644" s="1">
        <f>AVERAGEIF(Table1[Customer_ID], Table1[[#This Row],[Customer_ID]], Table1[Transaction_Amount])</f>
        <v>5150.6247169811322</v>
      </c>
      <c r="I2644" t="s">
        <v>1182</v>
      </c>
      <c r="J2644" t="s">
        <v>46</v>
      </c>
      <c r="K2644" t="s">
        <v>10</v>
      </c>
      <c r="L2644">
        <v>4</v>
      </c>
      <c r="M2644" t="s">
        <v>32</v>
      </c>
      <c r="N2644" t="s">
        <v>55</v>
      </c>
      <c r="O2644" t="s">
        <v>392</v>
      </c>
      <c r="P2644" s="6" t="str">
        <f>IF(Table1[[#This Row],[Transaction_Amount]]&lt;=Table1[[#This Row],[avg_transaction_amount]], "usual transaction", "unusual transaction")</f>
        <v>unusual transaction</v>
      </c>
      <c r="Q2644" s="6" t="str">
        <f>IF(AND(Table1[[#This Row],[Country_of_Residence]]&lt;&gt;Table1[[#This Row],[Country_of_Transaction]], OR(Table1[[#This Row],[Authentication_Type]]="Biometric", Table1[[#This Row],[Authentication_Type]]="OTP")), "safe location transaction", "unsafe location transaction")</f>
        <v>safe location transaction</v>
      </c>
      <c r="R2644" s="6" t="str">
        <f>IF(AND(Table1[[#This Row],[Country_of_Residence]]&lt;&gt;Table1[[#This Row],[Country_of_Transaction]], OR(Table1[[#This Row],[Merchant_Category]]="Electronics", Table1[[#This Row],[Merchant_Category]]="Travel")), "unsafe merchant transaction", "safe merchant transaction")</f>
        <v>safe merchant transaction</v>
      </c>
    </row>
    <row r="2645" spans="1:18">
      <c r="A2645" t="s">
        <v>3576</v>
      </c>
      <c r="B2645" t="s">
        <v>362</v>
      </c>
      <c r="C2645">
        <v>1</v>
      </c>
      <c r="D2645" t="s">
        <v>15</v>
      </c>
      <c r="E2645" t="s">
        <v>5</v>
      </c>
      <c r="F2645" s="2">
        <v>45914</v>
      </c>
      <c r="G2645">
        <v>4610.58</v>
      </c>
      <c r="H2645" s="1">
        <f>AVERAGEIF(Table1[Customer_ID], Table1[[#This Row],[Customer_ID]], Table1[Transaction_Amount])</f>
        <v>5150.6247169811322</v>
      </c>
      <c r="I2645" t="s">
        <v>1187</v>
      </c>
      <c r="J2645" t="s">
        <v>50</v>
      </c>
      <c r="K2645" t="s">
        <v>8</v>
      </c>
      <c r="L2645">
        <v>4</v>
      </c>
      <c r="M2645" t="s">
        <v>32</v>
      </c>
      <c r="N2645" t="s">
        <v>42</v>
      </c>
      <c r="O2645" t="s">
        <v>392</v>
      </c>
      <c r="P2645" s="6" t="str">
        <f>IF(Table1[[#This Row],[Transaction_Amount]]&lt;=Table1[[#This Row],[avg_transaction_amount]], "usual transaction", "unusual transaction")</f>
        <v>usual transaction</v>
      </c>
      <c r="Q2645" s="6" t="str">
        <f>IF(AND(Table1[[#This Row],[Country_of_Residence]]&lt;&gt;Table1[[#This Row],[Country_of_Transaction]], OR(Table1[[#This Row],[Authentication_Type]]="Biometric", Table1[[#This Row],[Authentication_Type]]="OTP")), "safe location transaction", "unsafe location transaction")</f>
        <v>safe location transaction</v>
      </c>
      <c r="R2645" s="6" t="str">
        <f>IF(AND(Table1[[#This Row],[Country_of_Residence]]&lt;&gt;Table1[[#This Row],[Country_of_Transaction]], OR(Table1[[#This Row],[Merchant_Category]]="Electronics", Table1[[#This Row],[Merchant_Category]]="Travel")), "unsafe merchant transaction", "safe merchant transaction")</f>
        <v>unsafe merchant transaction</v>
      </c>
    </row>
    <row r="2646" spans="1:18">
      <c r="A2646" t="s">
        <v>3609</v>
      </c>
      <c r="B2646" t="s">
        <v>362</v>
      </c>
      <c r="C2646">
        <v>1</v>
      </c>
      <c r="D2646" t="s">
        <v>15</v>
      </c>
      <c r="E2646" t="s">
        <v>5</v>
      </c>
      <c r="F2646" s="2">
        <v>45944</v>
      </c>
      <c r="G2646">
        <v>9578.2000000000007</v>
      </c>
      <c r="H2646" s="1">
        <f>AVERAGEIF(Table1[Customer_ID], Table1[[#This Row],[Customer_ID]], Table1[Transaction_Amount])</f>
        <v>5150.6247169811322</v>
      </c>
      <c r="I2646" t="s">
        <v>1216</v>
      </c>
      <c r="J2646" t="s">
        <v>50</v>
      </c>
      <c r="K2646" t="s">
        <v>8</v>
      </c>
      <c r="L2646">
        <v>4</v>
      </c>
      <c r="M2646" t="s">
        <v>55</v>
      </c>
      <c r="N2646" t="s">
        <v>47</v>
      </c>
      <c r="O2646" t="s">
        <v>393</v>
      </c>
      <c r="P2646" s="6" t="str">
        <f>IF(Table1[[#This Row],[Transaction_Amount]]&lt;=Table1[[#This Row],[avg_transaction_amount]], "usual transaction", "unusual transaction")</f>
        <v>unusual transaction</v>
      </c>
      <c r="Q2646" s="6" t="str">
        <f>IF(AND(Table1[[#This Row],[Country_of_Residence]]&lt;&gt;Table1[[#This Row],[Country_of_Transaction]], OR(Table1[[#This Row],[Authentication_Type]]="Biometric", Table1[[#This Row],[Authentication_Type]]="OTP")), "safe location transaction", "unsafe location transaction")</f>
        <v>safe location transaction</v>
      </c>
      <c r="R2646" s="6" t="str">
        <f>IF(AND(Table1[[#This Row],[Country_of_Residence]]&lt;&gt;Table1[[#This Row],[Country_of_Transaction]], OR(Table1[[#This Row],[Merchant_Category]]="Electronics", Table1[[#This Row],[Merchant_Category]]="Travel")), "unsafe merchant transaction", "safe merchant transaction")</f>
        <v>unsafe merchant transaction</v>
      </c>
    </row>
    <row r="2647" spans="1:18">
      <c r="A2647" t="s">
        <v>3658</v>
      </c>
      <c r="B2647" t="s">
        <v>362</v>
      </c>
      <c r="C2647">
        <v>1</v>
      </c>
      <c r="D2647" t="s">
        <v>15</v>
      </c>
      <c r="E2647" t="s">
        <v>6</v>
      </c>
      <c r="F2647" s="2">
        <v>45816</v>
      </c>
      <c r="G2647">
        <v>9435.2099999999991</v>
      </c>
      <c r="H2647" s="1">
        <f>AVERAGEIF(Table1[Customer_ID], Table1[[#This Row],[Customer_ID]], Table1[Transaction_Amount])</f>
        <v>5150.6247169811322</v>
      </c>
      <c r="I2647" t="s">
        <v>1261</v>
      </c>
      <c r="J2647" t="s">
        <v>50</v>
      </c>
      <c r="K2647" t="s">
        <v>12</v>
      </c>
      <c r="L2647">
        <v>2</v>
      </c>
      <c r="M2647" t="s">
        <v>42</v>
      </c>
      <c r="N2647" t="s">
        <v>51</v>
      </c>
      <c r="O2647" t="s">
        <v>393</v>
      </c>
      <c r="P2647" s="6" t="str">
        <f>IF(Table1[[#This Row],[Transaction_Amount]]&lt;=Table1[[#This Row],[avg_transaction_amount]], "usual transaction", "unusual transaction")</f>
        <v>unusual transaction</v>
      </c>
      <c r="Q2647" s="6" t="str">
        <f>IF(AND(Table1[[#This Row],[Country_of_Residence]]&lt;&gt;Table1[[#This Row],[Country_of_Transaction]], OR(Table1[[#This Row],[Authentication_Type]]="Biometric", Table1[[#This Row],[Authentication_Type]]="OTP")), "safe location transaction", "unsafe location transaction")</f>
        <v>unsafe location transaction</v>
      </c>
      <c r="R2647" s="6" t="str">
        <f>IF(AND(Table1[[#This Row],[Country_of_Residence]]&lt;&gt;Table1[[#This Row],[Country_of_Transaction]], OR(Table1[[#This Row],[Merchant_Category]]="Electronics", Table1[[#This Row],[Merchant_Category]]="Travel")), "unsafe merchant transaction", "safe merchant transaction")</f>
        <v>unsafe merchant transaction</v>
      </c>
    </row>
    <row r="2648" spans="1:18">
      <c r="A2648" t="s">
        <v>3664</v>
      </c>
      <c r="B2648" t="s">
        <v>362</v>
      </c>
      <c r="C2648">
        <v>1</v>
      </c>
      <c r="D2648" t="s">
        <v>9</v>
      </c>
      <c r="E2648" t="s">
        <v>5</v>
      </c>
      <c r="F2648" s="2">
        <v>45965</v>
      </c>
      <c r="G2648">
        <v>4023.37</v>
      </c>
      <c r="H2648" s="1">
        <f>AVERAGEIF(Table1[Customer_ID], Table1[[#This Row],[Customer_ID]], Table1[Transaction_Amount])</f>
        <v>5150.6247169811322</v>
      </c>
      <c r="I2648" t="s">
        <v>1266</v>
      </c>
      <c r="J2648" t="s">
        <v>36</v>
      </c>
      <c r="K2648" t="s">
        <v>14</v>
      </c>
      <c r="L2648">
        <v>0</v>
      </c>
      <c r="M2648" t="s">
        <v>55</v>
      </c>
      <c r="N2648" t="s">
        <v>33</v>
      </c>
      <c r="O2648" t="s">
        <v>392</v>
      </c>
      <c r="P2648" s="6" t="str">
        <f>IF(Table1[[#This Row],[Transaction_Amount]]&lt;=Table1[[#This Row],[avg_transaction_amount]], "usual transaction", "unusual transaction")</f>
        <v>usual transaction</v>
      </c>
      <c r="Q2648" s="6" t="str">
        <f>IF(AND(Table1[[#This Row],[Country_of_Residence]]&lt;&gt;Table1[[#This Row],[Country_of_Transaction]], OR(Table1[[#This Row],[Authentication_Type]]="Biometric", Table1[[#This Row],[Authentication_Type]]="OTP")), "safe location transaction", "unsafe location transaction")</f>
        <v>unsafe location transaction</v>
      </c>
      <c r="R2648" s="6" t="str">
        <f>IF(AND(Table1[[#This Row],[Country_of_Residence]]&lt;&gt;Table1[[#This Row],[Country_of_Transaction]], OR(Table1[[#This Row],[Merchant_Category]]="Electronics", Table1[[#This Row],[Merchant_Category]]="Travel")), "unsafe merchant transaction", "safe merchant transaction")</f>
        <v>safe merchant transaction</v>
      </c>
    </row>
    <row r="2649" spans="1:18">
      <c r="A2649" t="s">
        <v>3678</v>
      </c>
      <c r="B2649" t="s">
        <v>362</v>
      </c>
      <c r="C2649">
        <v>1</v>
      </c>
      <c r="D2649" t="s">
        <v>9</v>
      </c>
      <c r="E2649" t="s">
        <v>5</v>
      </c>
      <c r="F2649" s="2">
        <v>45892</v>
      </c>
      <c r="G2649">
        <v>1489.21</v>
      </c>
      <c r="H2649" s="1">
        <f>AVERAGEIF(Table1[Customer_ID], Table1[[#This Row],[Customer_ID]], Table1[Transaction_Amount])</f>
        <v>5150.6247169811322</v>
      </c>
      <c r="I2649" t="s">
        <v>1279</v>
      </c>
      <c r="J2649" t="s">
        <v>41</v>
      </c>
      <c r="K2649" t="s">
        <v>8</v>
      </c>
      <c r="L2649">
        <v>0</v>
      </c>
      <c r="M2649" t="s">
        <v>32</v>
      </c>
      <c r="N2649" t="s">
        <v>51</v>
      </c>
      <c r="O2649" t="s">
        <v>393</v>
      </c>
      <c r="P2649" s="6" t="str">
        <f>IF(Table1[[#This Row],[Transaction_Amount]]&lt;=Table1[[#This Row],[avg_transaction_amount]], "usual transaction", "unusual transaction")</f>
        <v>usual transaction</v>
      </c>
      <c r="Q2649" s="6" t="str">
        <f>IF(AND(Table1[[#This Row],[Country_of_Residence]]&lt;&gt;Table1[[#This Row],[Country_of_Transaction]], OR(Table1[[#This Row],[Authentication_Type]]="Biometric", Table1[[#This Row],[Authentication_Type]]="OTP")), "safe location transaction", "unsafe location transaction")</f>
        <v>safe location transaction</v>
      </c>
      <c r="R2649" s="6" t="str">
        <f>IF(AND(Table1[[#This Row],[Country_of_Residence]]&lt;&gt;Table1[[#This Row],[Country_of_Transaction]], OR(Table1[[#This Row],[Merchant_Category]]="Electronics", Table1[[#This Row],[Merchant_Category]]="Travel")), "unsafe merchant transaction", "safe merchant transaction")</f>
        <v>safe merchant transaction</v>
      </c>
    </row>
    <row r="2650" spans="1:18">
      <c r="A2650" t="s">
        <v>3715</v>
      </c>
      <c r="B2650" t="s">
        <v>362</v>
      </c>
      <c r="C2650">
        <v>1</v>
      </c>
      <c r="D2650" t="s">
        <v>9</v>
      </c>
      <c r="E2650" t="s">
        <v>3</v>
      </c>
      <c r="F2650" s="2">
        <v>45995</v>
      </c>
      <c r="G2650">
        <v>4822.84</v>
      </c>
      <c r="H2650" s="1">
        <f>AVERAGEIF(Table1[Customer_ID], Table1[[#This Row],[Customer_ID]], Table1[Transaction_Amount])</f>
        <v>5150.6247169811322</v>
      </c>
      <c r="I2650" t="s">
        <v>1312</v>
      </c>
      <c r="J2650" t="s">
        <v>46</v>
      </c>
      <c r="K2650" t="s">
        <v>14</v>
      </c>
      <c r="L2650">
        <v>4</v>
      </c>
      <c r="M2650" t="s">
        <v>56</v>
      </c>
      <c r="N2650" t="s">
        <v>412</v>
      </c>
      <c r="O2650" t="s">
        <v>392</v>
      </c>
      <c r="P2650" s="6" t="str">
        <f>IF(Table1[[#This Row],[Transaction_Amount]]&lt;=Table1[[#This Row],[avg_transaction_amount]], "usual transaction", "unusual transaction")</f>
        <v>usual transaction</v>
      </c>
      <c r="Q2650" s="6" t="str">
        <f>IF(AND(Table1[[#This Row],[Country_of_Residence]]&lt;&gt;Table1[[#This Row],[Country_of_Transaction]], OR(Table1[[#This Row],[Authentication_Type]]="Biometric", Table1[[#This Row],[Authentication_Type]]="OTP")), "safe location transaction", "unsafe location transaction")</f>
        <v>unsafe location transaction</v>
      </c>
      <c r="R2650" s="6" t="str">
        <f>IF(AND(Table1[[#This Row],[Country_of_Residence]]&lt;&gt;Table1[[#This Row],[Country_of_Transaction]], OR(Table1[[#This Row],[Merchant_Category]]="Electronics", Table1[[#This Row],[Merchant_Category]]="Travel")), "unsafe merchant transaction", "safe merchant transaction")</f>
        <v>safe merchant transaction</v>
      </c>
    </row>
    <row r="2651" spans="1:18">
      <c r="A2651" t="s">
        <v>3750</v>
      </c>
      <c r="B2651" t="s">
        <v>362</v>
      </c>
      <c r="C2651">
        <v>1</v>
      </c>
      <c r="D2651" t="s">
        <v>9</v>
      </c>
      <c r="E2651" t="s">
        <v>6</v>
      </c>
      <c r="F2651" s="2">
        <v>45998</v>
      </c>
      <c r="G2651">
        <v>6052.99</v>
      </c>
      <c r="H2651" s="1">
        <f>AVERAGEIF(Table1[Customer_ID], Table1[[#This Row],[Customer_ID]], Table1[Transaction_Amount])</f>
        <v>5150.6247169811322</v>
      </c>
      <c r="I2651" t="s">
        <v>1341</v>
      </c>
      <c r="J2651" t="s">
        <v>36</v>
      </c>
      <c r="K2651" t="s">
        <v>10</v>
      </c>
      <c r="L2651">
        <v>5</v>
      </c>
      <c r="M2651" t="s">
        <v>32</v>
      </c>
      <c r="N2651" t="s">
        <v>37</v>
      </c>
      <c r="O2651" t="s">
        <v>393</v>
      </c>
      <c r="P2651" s="6" t="str">
        <f>IF(Table1[[#This Row],[Transaction_Amount]]&lt;=Table1[[#This Row],[avg_transaction_amount]], "usual transaction", "unusual transaction")</f>
        <v>unusual transaction</v>
      </c>
      <c r="Q2651" s="6" t="str">
        <f>IF(AND(Table1[[#This Row],[Country_of_Residence]]&lt;&gt;Table1[[#This Row],[Country_of_Transaction]], OR(Table1[[#This Row],[Authentication_Type]]="Biometric", Table1[[#This Row],[Authentication_Type]]="OTP")), "safe location transaction", "unsafe location transaction")</f>
        <v>safe location transaction</v>
      </c>
      <c r="R2651" s="6" t="str">
        <f>IF(AND(Table1[[#This Row],[Country_of_Residence]]&lt;&gt;Table1[[#This Row],[Country_of_Transaction]], OR(Table1[[#This Row],[Merchant_Category]]="Electronics", Table1[[#This Row],[Merchant_Category]]="Travel")), "unsafe merchant transaction", "safe merchant transaction")</f>
        <v>safe merchant transaction</v>
      </c>
    </row>
    <row r="2652" spans="1:18">
      <c r="A2652" t="s">
        <v>3941</v>
      </c>
      <c r="B2652" t="s">
        <v>362</v>
      </c>
      <c r="C2652">
        <v>1</v>
      </c>
      <c r="D2652" t="s">
        <v>15</v>
      </c>
      <c r="E2652" t="s">
        <v>420</v>
      </c>
      <c r="F2652" s="2">
        <v>45660</v>
      </c>
      <c r="G2652">
        <v>7096.21</v>
      </c>
      <c r="H2652" s="1">
        <f>AVERAGEIF(Table1[Customer_ID], Table1[[#This Row],[Customer_ID]], Table1[Transaction_Amount])</f>
        <v>5150.6247169811322</v>
      </c>
      <c r="I2652" t="s">
        <v>1505</v>
      </c>
      <c r="J2652" t="s">
        <v>50</v>
      </c>
      <c r="K2652" t="s">
        <v>12</v>
      </c>
      <c r="L2652">
        <v>3</v>
      </c>
      <c r="M2652" t="s">
        <v>33</v>
      </c>
      <c r="N2652" t="s">
        <v>55</v>
      </c>
      <c r="O2652" t="s">
        <v>392</v>
      </c>
      <c r="P2652" s="6" t="str">
        <f>IF(Table1[[#This Row],[Transaction_Amount]]&lt;=Table1[[#This Row],[avg_transaction_amount]], "usual transaction", "unusual transaction")</f>
        <v>unusual transaction</v>
      </c>
      <c r="Q2652" s="6" t="str">
        <f>IF(AND(Table1[[#This Row],[Country_of_Residence]]&lt;&gt;Table1[[#This Row],[Country_of_Transaction]], OR(Table1[[#This Row],[Authentication_Type]]="Biometric", Table1[[#This Row],[Authentication_Type]]="OTP")), "safe location transaction", "unsafe location transaction")</f>
        <v>unsafe location transaction</v>
      </c>
      <c r="R2652" s="6" t="str">
        <f>IF(AND(Table1[[#This Row],[Country_of_Residence]]&lt;&gt;Table1[[#This Row],[Country_of_Transaction]], OR(Table1[[#This Row],[Merchant_Category]]="Electronics", Table1[[#This Row],[Merchant_Category]]="Travel")), "unsafe merchant transaction", "safe merchant transaction")</f>
        <v>unsafe merchant transaction</v>
      </c>
    </row>
    <row r="2653" spans="1:18">
      <c r="A2653" t="s">
        <v>3968</v>
      </c>
      <c r="B2653" t="s">
        <v>362</v>
      </c>
      <c r="C2653">
        <v>1</v>
      </c>
      <c r="D2653" t="s">
        <v>9</v>
      </c>
      <c r="E2653" t="s">
        <v>420</v>
      </c>
      <c r="F2653" s="2">
        <v>45742</v>
      </c>
      <c r="G2653">
        <v>6356.85</v>
      </c>
      <c r="H2653" s="1">
        <f>AVERAGEIF(Table1[Customer_ID], Table1[[#This Row],[Customer_ID]], Table1[Transaction_Amount])</f>
        <v>5150.6247169811322</v>
      </c>
      <c r="I2653" t="s">
        <v>1529</v>
      </c>
      <c r="J2653" t="s">
        <v>50</v>
      </c>
      <c r="K2653" t="s">
        <v>10</v>
      </c>
      <c r="L2653">
        <v>0</v>
      </c>
      <c r="M2653" t="s">
        <v>412</v>
      </c>
      <c r="N2653" t="s">
        <v>412</v>
      </c>
      <c r="O2653" t="s">
        <v>392</v>
      </c>
      <c r="P2653" s="6" t="str">
        <f>IF(Table1[[#This Row],[Transaction_Amount]]&lt;=Table1[[#This Row],[avg_transaction_amount]], "usual transaction", "unusual transaction")</f>
        <v>unusual transaction</v>
      </c>
      <c r="Q2653" s="6" t="str">
        <f>IF(AND(Table1[[#This Row],[Country_of_Residence]]&lt;&gt;Table1[[#This Row],[Country_of_Transaction]], OR(Table1[[#This Row],[Authentication_Type]]="Biometric", Table1[[#This Row],[Authentication_Type]]="OTP")), "safe location transaction", "unsafe location transaction")</f>
        <v>unsafe location transaction</v>
      </c>
      <c r="R2653" s="6" t="str">
        <f>IF(AND(Table1[[#This Row],[Country_of_Residence]]&lt;&gt;Table1[[#This Row],[Country_of_Transaction]], OR(Table1[[#This Row],[Merchant_Category]]="Electronics", Table1[[#This Row],[Merchant_Category]]="Travel")), "unsafe merchant transaction", "safe merchant transaction")</f>
        <v>safe merchant transaction</v>
      </c>
    </row>
    <row r="2654" spans="1:18">
      <c r="A2654" t="s">
        <v>3969</v>
      </c>
      <c r="B2654" t="s">
        <v>362</v>
      </c>
      <c r="C2654">
        <v>1</v>
      </c>
      <c r="D2654" t="s">
        <v>15</v>
      </c>
      <c r="E2654" t="s">
        <v>3</v>
      </c>
      <c r="F2654" s="2">
        <v>46010</v>
      </c>
      <c r="G2654">
        <v>351.96</v>
      </c>
      <c r="H2654" s="1">
        <f>AVERAGEIF(Table1[Customer_ID], Table1[[#This Row],[Customer_ID]], Table1[Transaction_Amount])</f>
        <v>5150.6247169811322</v>
      </c>
      <c r="I2654" t="s">
        <v>1530</v>
      </c>
      <c r="J2654" t="s">
        <v>31</v>
      </c>
      <c r="K2654" t="s">
        <v>8</v>
      </c>
      <c r="L2654">
        <v>4</v>
      </c>
      <c r="M2654" t="s">
        <v>51</v>
      </c>
      <c r="N2654" t="s">
        <v>412</v>
      </c>
      <c r="O2654" t="s">
        <v>392</v>
      </c>
      <c r="P2654" s="6" t="str">
        <f>IF(Table1[[#This Row],[Transaction_Amount]]&lt;=Table1[[#This Row],[avg_transaction_amount]], "usual transaction", "unusual transaction")</f>
        <v>usual transaction</v>
      </c>
      <c r="Q2654" s="6" t="str">
        <f>IF(AND(Table1[[#This Row],[Country_of_Residence]]&lt;&gt;Table1[[#This Row],[Country_of_Transaction]], OR(Table1[[#This Row],[Authentication_Type]]="Biometric", Table1[[#This Row],[Authentication_Type]]="OTP")), "safe location transaction", "unsafe location transaction")</f>
        <v>safe location transaction</v>
      </c>
      <c r="R2654" s="6" t="str">
        <f>IF(AND(Table1[[#This Row],[Country_of_Residence]]&lt;&gt;Table1[[#This Row],[Country_of_Transaction]], OR(Table1[[#This Row],[Merchant_Category]]="Electronics", Table1[[#This Row],[Merchant_Category]]="Travel")), "unsafe merchant transaction", "safe merchant transaction")</f>
        <v>safe merchant transaction</v>
      </c>
    </row>
    <row r="2655" spans="1:18">
      <c r="A2655" t="s">
        <v>3970</v>
      </c>
      <c r="B2655" t="s">
        <v>362</v>
      </c>
      <c r="C2655">
        <v>1</v>
      </c>
      <c r="D2655" t="s">
        <v>9</v>
      </c>
      <c r="E2655" t="s">
        <v>3</v>
      </c>
      <c r="F2655" s="2">
        <v>45916</v>
      </c>
      <c r="G2655">
        <v>1540.26</v>
      </c>
      <c r="H2655" s="1">
        <f>AVERAGEIF(Table1[Customer_ID], Table1[[#This Row],[Customer_ID]], Table1[Transaction_Amount])</f>
        <v>5150.6247169811322</v>
      </c>
      <c r="I2655" t="s">
        <v>1531</v>
      </c>
      <c r="J2655" t="s">
        <v>50</v>
      </c>
      <c r="K2655" t="s">
        <v>14</v>
      </c>
      <c r="L2655">
        <v>1</v>
      </c>
      <c r="M2655" t="s">
        <v>32</v>
      </c>
      <c r="N2655" t="s">
        <v>33</v>
      </c>
      <c r="O2655" t="s">
        <v>392</v>
      </c>
      <c r="P2655" s="6" t="str">
        <f>IF(Table1[[#This Row],[Transaction_Amount]]&lt;=Table1[[#This Row],[avg_transaction_amount]], "usual transaction", "unusual transaction")</f>
        <v>usual transaction</v>
      </c>
      <c r="Q2655" s="6" t="str">
        <f>IF(AND(Table1[[#This Row],[Country_of_Residence]]&lt;&gt;Table1[[#This Row],[Country_of_Transaction]], OR(Table1[[#This Row],[Authentication_Type]]="Biometric", Table1[[#This Row],[Authentication_Type]]="OTP")), "safe location transaction", "unsafe location transaction")</f>
        <v>unsafe location transaction</v>
      </c>
      <c r="R2655" s="6" t="str">
        <f>IF(AND(Table1[[#This Row],[Country_of_Residence]]&lt;&gt;Table1[[#This Row],[Country_of_Transaction]], OR(Table1[[#This Row],[Merchant_Category]]="Electronics", Table1[[#This Row],[Merchant_Category]]="Travel")), "unsafe merchant transaction", "safe merchant transaction")</f>
        <v>unsafe merchant transaction</v>
      </c>
    </row>
    <row r="2656" spans="1:18">
      <c r="A2656" t="s">
        <v>4024</v>
      </c>
      <c r="B2656" t="s">
        <v>362</v>
      </c>
      <c r="C2656">
        <v>1</v>
      </c>
      <c r="D2656" t="s">
        <v>9</v>
      </c>
      <c r="E2656" t="s">
        <v>6</v>
      </c>
      <c r="F2656" s="2">
        <v>45810</v>
      </c>
      <c r="G2656">
        <v>6002.32</v>
      </c>
      <c r="H2656" s="1">
        <f>AVERAGEIF(Table1[Customer_ID], Table1[[#This Row],[Customer_ID]], Table1[Transaction_Amount])</f>
        <v>5150.6247169811322</v>
      </c>
      <c r="I2656" t="s">
        <v>1580</v>
      </c>
      <c r="J2656" t="s">
        <v>41</v>
      </c>
      <c r="K2656" t="s">
        <v>10</v>
      </c>
      <c r="L2656">
        <v>5</v>
      </c>
      <c r="M2656" t="s">
        <v>32</v>
      </c>
      <c r="N2656" t="s">
        <v>37</v>
      </c>
      <c r="O2656" t="s">
        <v>393</v>
      </c>
      <c r="P2656" s="6" t="str">
        <f>IF(Table1[[#This Row],[Transaction_Amount]]&lt;=Table1[[#This Row],[avg_transaction_amount]], "usual transaction", "unusual transaction")</f>
        <v>unusual transaction</v>
      </c>
      <c r="Q2656" s="6" t="str">
        <f>IF(AND(Table1[[#This Row],[Country_of_Residence]]&lt;&gt;Table1[[#This Row],[Country_of_Transaction]], OR(Table1[[#This Row],[Authentication_Type]]="Biometric", Table1[[#This Row],[Authentication_Type]]="OTP")), "safe location transaction", "unsafe location transaction")</f>
        <v>safe location transaction</v>
      </c>
      <c r="R2656" s="6" t="str">
        <f>IF(AND(Table1[[#This Row],[Country_of_Residence]]&lt;&gt;Table1[[#This Row],[Country_of_Transaction]], OR(Table1[[#This Row],[Merchant_Category]]="Electronics", Table1[[#This Row],[Merchant_Category]]="Travel")), "unsafe merchant transaction", "safe merchant transaction")</f>
        <v>safe merchant transaction</v>
      </c>
    </row>
    <row r="2657" spans="1:18">
      <c r="A2657" t="s">
        <v>4053</v>
      </c>
      <c r="B2657" t="s">
        <v>362</v>
      </c>
      <c r="C2657">
        <v>1</v>
      </c>
      <c r="D2657" t="s">
        <v>9</v>
      </c>
      <c r="E2657" t="s">
        <v>6</v>
      </c>
      <c r="F2657" s="2">
        <v>45740</v>
      </c>
      <c r="G2657">
        <v>6463.83</v>
      </c>
      <c r="H2657" s="1">
        <f>AVERAGEIF(Table1[Customer_ID], Table1[[#This Row],[Customer_ID]], Table1[Transaction_Amount])</f>
        <v>5150.6247169811322</v>
      </c>
      <c r="I2657" t="s">
        <v>1607</v>
      </c>
      <c r="J2657" t="s">
        <v>46</v>
      </c>
      <c r="K2657" t="s">
        <v>10</v>
      </c>
      <c r="L2657">
        <v>4</v>
      </c>
      <c r="M2657" t="s">
        <v>51</v>
      </c>
      <c r="N2657" t="s">
        <v>37</v>
      </c>
      <c r="O2657" t="s">
        <v>393</v>
      </c>
      <c r="P2657" s="6" t="str">
        <f>IF(Table1[[#This Row],[Transaction_Amount]]&lt;=Table1[[#This Row],[avg_transaction_amount]], "usual transaction", "unusual transaction")</f>
        <v>unusual transaction</v>
      </c>
      <c r="Q2657" s="6" t="str">
        <f>IF(AND(Table1[[#This Row],[Country_of_Residence]]&lt;&gt;Table1[[#This Row],[Country_of_Transaction]], OR(Table1[[#This Row],[Authentication_Type]]="Biometric", Table1[[#This Row],[Authentication_Type]]="OTP")), "safe location transaction", "unsafe location transaction")</f>
        <v>safe location transaction</v>
      </c>
      <c r="R2657" s="6" t="str">
        <f>IF(AND(Table1[[#This Row],[Country_of_Residence]]&lt;&gt;Table1[[#This Row],[Country_of_Transaction]], OR(Table1[[#This Row],[Merchant_Category]]="Electronics", Table1[[#This Row],[Merchant_Category]]="Travel")), "unsafe merchant transaction", "safe merchant transaction")</f>
        <v>safe merchant transaction</v>
      </c>
    </row>
    <row r="2658" spans="1:18">
      <c r="A2658" t="s">
        <v>4269</v>
      </c>
      <c r="B2658" t="s">
        <v>362</v>
      </c>
      <c r="C2658">
        <v>1</v>
      </c>
      <c r="D2658" t="s">
        <v>15</v>
      </c>
      <c r="E2658" t="s">
        <v>3</v>
      </c>
      <c r="F2658" s="2">
        <v>45970</v>
      </c>
      <c r="G2658">
        <v>1336.55</v>
      </c>
      <c r="H2658" s="1">
        <f>AVERAGEIF(Table1[Customer_ID], Table1[[#This Row],[Customer_ID]], Table1[Transaction_Amount])</f>
        <v>5150.6247169811322</v>
      </c>
      <c r="I2658" t="s">
        <v>1782</v>
      </c>
      <c r="J2658" t="s">
        <v>46</v>
      </c>
      <c r="K2658" t="s">
        <v>12</v>
      </c>
      <c r="L2658">
        <v>0</v>
      </c>
      <c r="M2658" t="s">
        <v>55</v>
      </c>
      <c r="N2658" t="s">
        <v>42</v>
      </c>
      <c r="O2658" t="s">
        <v>392</v>
      </c>
      <c r="P2658" s="6" t="str">
        <f>IF(Table1[[#This Row],[Transaction_Amount]]&lt;=Table1[[#This Row],[avg_transaction_amount]], "usual transaction", "unusual transaction")</f>
        <v>usual transaction</v>
      </c>
      <c r="Q2658" s="6" t="str">
        <f>IF(AND(Table1[[#This Row],[Country_of_Residence]]&lt;&gt;Table1[[#This Row],[Country_of_Transaction]], OR(Table1[[#This Row],[Authentication_Type]]="Biometric", Table1[[#This Row],[Authentication_Type]]="OTP")), "safe location transaction", "unsafe location transaction")</f>
        <v>unsafe location transaction</v>
      </c>
      <c r="R2658" s="6" t="str">
        <f>IF(AND(Table1[[#This Row],[Country_of_Residence]]&lt;&gt;Table1[[#This Row],[Country_of_Transaction]], OR(Table1[[#This Row],[Merchant_Category]]="Electronics", Table1[[#This Row],[Merchant_Category]]="Travel")), "unsafe merchant transaction", "safe merchant transaction")</f>
        <v>safe merchant transaction</v>
      </c>
    </row>
    <row r="2659" spans="1:18">
      <c r="A2659" t="s">
        <v>4290</v>
      </c>
      <c r="B2659" t="s">
        <v>362</v>
      </c>
      <c r="C2659">
        <v>1</v>
      </c>
      <c r="D2659" t="s">
        <v>15</v>
      </c>
      <c r="E2659" t="s">
        <v>5</v>
      </c>
      <c r="F2659" s="2">
        <v>45988</v>
      </c>
      <c r="G2659">
        <v>3934.25</v>
      </c>
      <c r="H2659" s="1">
        <f>AVERAGEIF(Table1[Customer_ID], Table1[[#This Row],[Customer_ID]], Table1[Transaction_Amount])</f>
        <v>5150.6247169811322</v>
      </c>
      <c r="I2659" t="s">
        <v>1800</v>
      </c>
      <c r="J2659" t="s">
        <v>50</v>
      </c>
      <c r="K2659" t="s">
        <v>8</v>
      </c>
      <c r="L2659">
        <v>2</v>
      </c>
      <c r="M2659" t="s">
        <v>32</v>
      </c>
      <c r="N2659" t="s">
        <v>33</v>
      </c>
      <c r="O2659" t="s">
        <v>393</v>
      </c>
      <c r="P2659" s="6" t="str">
        <f>IF(Table1[[#This Row],[Transaction_Amount]]&lt;=Table1[[#This Row],[avg_transaction_amount]], "usual transaction", "unusual transaction")</f>
        <v>usual transaction</v>
      </c>
      <c r="Q2659" s="6" t="str">
        <f>IF(AND(Table1[[#This Row],[Country_of_Residence]]&lt;&gt;Table1[[#This Row],[Country_of_Transaction]], OR(Table1[[#This Row],[Authentication_Type]]="Biometric", Table1[[#This Row],[Authentication_Type]]="OTP")), "safe location transaction", "unsafe location transaction")</f>
        <v>safe location transaction</v>
      </c>
      <c r="R2659" s="6" t="str">
        <f>IF(AND(Table1[[#This Row],[Country_of_Residence]]&lt;&gt;Table1[[#This Row],[Country_of_Transaction]], OR(Table1[[#This Row],[Merchant_Category]]="Electronics", Table1[[#This Row],[Merchant_Category]]="Travel")), "unsafe merchant transaction", "safe merchant transaction")</f>
        <v>unsafe merchant transaction</v>
      </c>
    </row>
    <row r="2660" spans="1:18">
      <c r="A2660" t="s">
        <v>4359</v>
      </c>
      <c r="B2660" t="s">
        <v>362</v>
      </c>
      <c r="C2660">
        <v>1</v>
      </c>
      <c r="D2660" t="s">
        <v>15</v>
      </c>
      <c r="E2660" t="s">
        <v>3</v>
      </c>
      <c r="F2660" s="2">
        <v>45925</v>
      </c>
      <c r="G2660">
        <v>8358.57</v>
      </c>
      <c r="H2660" s="1">
        <f>AVERAGEIF(Table1[Customer_ID], Table1[[#This Row],[Customer_ID]], Table1[Transaction_Amount])</f>
        <v>5150.6247169811322</v>
      </c>
      <c r="I2660" t="s">
        <v>978</v>
      </c>
      <c r="J2660" t="s">
        <v>31</v>
      </c>
      <c r="K2660" t="s">
        <v>14</v>
      </c>
      <c r="L2660">
        <v>5</v>
      </c>
      <c r="M2660" t="s">
        <v>37</v>
      </c>
      <c r="N2660" t="s">
        <v>51</v>
      </c>
      <c r="O2660" t="s">
        <v>392</v>
      </c>
      <c r="P2660" s="6" t="str">
        <f>IF(Table1[[#This Row],[Transaction_Amount]]&lt;=Table1[[#This Row],[avg_transaction_amount]], "usual transaction", "unusual transaction")</f>
        <v>unusual transaction</v>
      </c>
      <c r="Q2660" s="6" t="str">
        <f>IF(AND(Table1[[#This Row],[Country_of_Residence]]&lt;&gt;Table1[[#This Row],[Country_of_Transaction]], OR(Table1[[#This Row],[Authentication_Type]]="Biometric", Table1[[#This Row],[Authentication_Type]]="OTP")), "safe location transaction", "unsafe location transaction")</f>
        <v>unsafe location transaction</v>
      </c>
      <c r="R2660" s="6" t="str">
        <f>IF(AND(Table1[[#This Row],[Country_of_Residence]]&lt;&gt;Table1[[#This Row],[Country_of_Transaction]], OR(Table1[[#This Row],[Merchant_Category]]="Electronics", Table1[[#This Row],[Merchant_Category]]="Travel")), "unsafe merchant transaction", "safe merchant transaction")</f>
        <v>safe merchant transaction</v>
      </c>
    </row>
    <row r="2661" spans="1:18">
      <c r="A2661" t="s">
        <v>4380</v>
      </c>
      <c r="B2661" t="s">
        <v>362</v>
      </c>
      <c r="C2661">
        <v>1</v>
      </c>
      <c r="D2661" t="s">
        <v>15</v>
      </c>
      <c r="E2661" t="s">
        <v>420</v>
      </c>
      <c r="F2661" s="2">
        <v>45684</v>
      </c>
      <c r="G2661">
        <v>1905.56</v>
      </c>
      <c r="H2661" s="1">
        <f>AVERAGEIF(Table1[Customer_ID], Table1[[#This Row],[Customer_ID]], Table1[Transaction_Amount])</f>
        <v>5150.6247169811322</v>
      </c>
      <c r="I2661" t="s">
        <v>1880</v>
      </c>
      <c r="J2661" t="s">
        <v>36</v>
      </c>
      <c r="K2661" t="s">
        <v>10</v>
      </c>
      <c r="L2661">
        <v>1</v>
      </c>
      <c r="M2661" t="s">
        <v>47</v>
      </c>
      <c r="N2661" t="s">
        <v>42</v>
      </c>
      <c r="O2661" t="s">
        <v>392</v>
      </c>
      <c r="P2661" s="6" t="str">
        <f>IF(Table1[[#This Row],[Transaction_Amount]]&lt;=Table1[[#This Row],[avg_transaction_amount]], "usual transaction", "unusual transaction")</f>
        <v>usual transaction</v>
      </c>
      <c r="Q2661" s="6" t="str">
        <f>IF(AND(Table1[[#This Row],[Country_of_Residence]]&lt;&gt;Table1[[#This Row],[Country_of_Transaction]], OR(Table1[[#This Row],[Authentication_Type]]="Biometric", Table1[[#This Row],[Authentication_Type]]="OTP")), "safe location transaction", "unsafe location transaction")</f>
        <v>safe location transaction</v>
      </c>
      <c r="R2661" s="6" t="str">
        <f>IF(AND(Table1[[#This Row],[Country_of_Residence]]&lt;&gt;Table1[[#This Row],[Country_of_Transaction]], OR(Table1[[#This Row],[Merchant_Category]]="Electronics", Table1[[#This Row],[Merchant_Category]]="Travel")), "unsafe merchant transaction", "safe merchant transaction")</f>
        <v>safe merchant transaction</v>
      </c>
    </row>
    <row r="2662" spans="1:18">
      <c r="A2662" t="s">
        <v>4398</v>
      </c>
      <c r="B2662" t="s">
        <v>362</v>
      </c>
      <c r="C2662">
        <v>1</v>
      </c>
      <c r="D2662" t="s">
        <v>9</v>
      </c>
      <c r="E2662" t="s">
        <v>420</v>
      </c>
      <c r="F2662" s="2">
        <v>45847</v>
      </c>
      <c r="G2662">
        <v>3864.36</v>
      </c>
      <c r="H2662" s="1">
        <f>AVERAGEIF(Table1[Customer_ID], Table1[[#This Row],[Customer_ID]], Table1[Transaction_Amount])</f>
        <v>5150.6247169811322</v>
      </c>
      <c r="I2662" t="s">
        <v>1898</v>
      </c>
      <c r="J2662" t="s">
        <v>36</v>
      </c>
      <c r="K2662" t="s">
        <v>8</v>
      </c>
      <c r="L2662">
        <v>1</v>
      </c>
      <c r="M2662" t="s">
        <v>412</v>
      </c>
      <c r="N2662" t="s">
        <v>51</v>
      </c>
      <c r="O2662" t="s">
        <v>392</v>
      </c>
      <c r="P2662" s="6" t="str">
        <f>IF(Table1[[#This Row],[Transaction_Amount]]&lt;=Table1[[#This Row],[avg_transaction_amount]], "usual transaction", "unusual transaction")</f>
        <v>usual transaction</v>
      </c>
      <c r="Q2662" s="6" t="str">
        <f>IF(AND(Table1[[#This Row],[Country_of_Residence]]&lt;&gt;Table1[[#This Row],[Country_of_Transaction]], OR(Table1[[#This Row],[Authentication_Type]]="Biometric", Table1[[#This Row],[Authentication_Type]]="OTP")), "safe location transaction", "unsafe location transaction")</f>
        <v>safe location transaction</v>
      </c>
      <c r="R2662" s="6" t="str">
        <f>IF(AND(Table1[[#This Row],[Country_of_Residence]]&lt;&gt;Table1[[#This Row],[Country_of_Transaction]], OR(Table1[[#This Row],[Merchant_Category]]="Electronics", Table1[[#This Row],[Merchant_Category]]="Travel")), "unsafe merchant transaction", "safe merchant transaction")</f>
        <v>safe merchant transaction</v>
      </c>
    </row>
    <row r="2663" spans="1:18">
      <c r="A2663" t="s">
        <v>4408</v>
      </c>
      <c r="B2663" t="s">
        <v>362</v>
      </c>
      <c r="C2663">
        <v>1</v>
      </c>
      <c r="D2663" t="s">
        <v>15</v>
      </c>
      <c r="E2663" t="s">
        <v>6</v>
      </c>
      <c r="F2663" s="2">
        <v>45987</v>
      </c>
      <c r="G2663">
        <v>2102.11</v>
      </c>
      <c r="H2663" s="1">
        <f>AVERAGEIF(Table1[Customer_ID], Table1[[#This Row],[Customer_ID]], Table1[Transaction_Amount])</f>
        <v>5150.6247169811322</v>
      </c>
      <c r="I2663" t="s">
        <v>1907</v>
      </c>
      <c r="J2663" t="s">
        <v>31</v>
      </c>
      <c r="K2663" t="s">
        <v>10</v>
      </c>
      <c r="L2663">
        <v>0</v>
      </c>
      <c r="M2663" t="s">
        <v>47</v>
      </c>
      <c r="N2663" t="s">
        <v>51</v>
      </c>
      <c r="O2663" t="s">
        <v>393</v>
      </c>
      <c r="P2663" s="6" t="str">
        <f>IF(Table1[[#This Row],[Transaction_Amount]]&lt;=Table1[[#This Row],[avg_transaction_amount]], "usual transaction", "unusual transaction")</f>
        <v>usual transaction</v>
      </c>
      <c r="Q2663" s="6" t="str">
        <f>IF(AND(Table1[[#This Row],[Country_of_Residence]]&lt;&gt;Table1[[#This Row],[Country_of_Transaction]], OR(Table1[[#This Row],[Authentication_Type]]="Biometric", Table1[[#This Row],[Authentication_Type]]="OTP")), "safe location transaction", "unsafe location transaction")</f>
        <v>safe location transaction</v>
      </c>
      <c r="R2663" s="6" t="str">
        <f>IF(AND(Table1[[#This Row],[Country_of_Residence]]&lt;&gt;Table1[[#This Row],[Country_of_Transaction]], OR(Table1[[#This Row],[Merchant_Category]]="Electronics", Table1[[#This Row],[Merchant_Category]]="Travel")), "unsafe merchant transaction", "safe merchant transaction")</f>
        <v>safe merchant transaction</v>
      </c>
    </row>
    <row r="2664" spans="1:18">
      <c r="A2664" t="s">
        <v>4467</v>
      </c>
      <c r="B2664" t="s">
        <v>362</v>
      </c>
      <c r="C2664">
        <v>1</v>
      </c>
      <c r="D2664" t="s">
        <v>15</v>
      </c>
      <c r="E2664" t="s">
        <v>420</v>
      </c>
      <c r="F2664" s="2">
        <v>45982</v>
      </c>
      <c r="G2664">
        <v>5410.83</v>
      </c>
      <c r="H2664" s="1">
        <f>AVERAGEIF(Table1[Customer_ID], Table1[[#This Row],[Customer_ID]], Table1[Transaction_Amount])</f>
        <v>5150.6247169811322</v>
      </c>
      <c r="I2664" t="s">
        <v>1959</v>
      </c>
      <c r="J2664" t="s">
        <v>46</v>
      </c>
      <c r="K2664" t="s">
        <v>10</v>
      </c>
      <c r="L2664">
        <v>2</v>
      </c>
      <c r="M2664" t="s">
        <v>33</v>
      </c>
      <c r="N2664" t="s">
        <v>412</v>
      </c>
      <c r="O2664" t="s">
        <v>392</v>
      </c>
      <c r="P2664" s="6" t="str">
        <f>IF(Table1[[#This Row],[Transaction_Amount]]&lt;=Table1[[#This Row],[avg_transaction_amount]], "usual transaction", "unusual transaction")</f>
        <v>unusual transaction</v>
      </c>
      <c r="Q2664" s="6" t="str">
        <f>IF(AND(Table1[[#This Row],[Country_of_Residence]]&lt;&gt;Table1[[#This Row],[Country_of_Transaction]], OR(Table1[[#This Row],[Authentication_Type]]="Biometric", Table1[[#This Row],[Authentication_Type]]="OTP")), "safe location transaction", "unsafe location transaction")</f>
        <v>safe location transaction</v>
      </c>
      <c r="R2664" s="6" t="str">
        <f>IF(AND(Table1[[#This Row],[Country_of_Residence]]&lt;&gt;Table1[[#This Row],[Country_of_Transaction]], OR(Table1[[#This Row],[Merchant_Category]]="Electronics", Table1[[#This Row],[Merchant_Category]]="Travel")), "unsafe merchant transaction", "safe merchant transaction")</f>
        <v>safe merchant transaction</v>
      </c>
    </row>
    <row r="2665" spans="1:18">
      <c r="A2665" t="s">
        <v>4497</v>
      </c>
      <c r="B2665" t="s">
        <v>362</v>
      </c>
      <c r="C2665">
        <v>1</v>
      </c>
      <c r="D2665" t="s">
        <v>9</v>
      </c>
      <c r="E2665" t="s">
        <v>5</v>
      </c>
      <c r="F2665" s="2">
        <v>45796</v>
      </c>
      <c r="G2665">
        <v>7379.23</v>
      </c>
      <c r="H2665" s="1">
        <f>AVERAGEIF(Table1[Customer_ID], Table1[[#This Row],[Customer_ID]], Table1[Transaction_Amount])</f>
        <v>5150.6247169811322</v>
      </c>
      <c r="I2665" t="s">
        <v>1984</v>
      </c>
      <c r="J2665" t="s">
        <v>50</v>
      </c>
      <c r="K2665" t="s">
        <v>12</v>
      </c>
      <c r="L2665">
        <v>4</v>
      </c>
      <c r="M2665" t="s">
        <v>32</v>
      </c>
      <c r="N2665" t="s">
        <v>56</v>
      </c>
      <c r="O2665" t="s">
        <v>392</v>
      </c>
      <c r="P2665" s="6" t="str">
        <f>IF(Table1[[#This Row],[Transaction_Amount]]&lt;=Table1[[#This Row],[avg_transaction_amount]], "usual transaction", "unusual transaction")</f>
        <v>unusual transaction</v>
      </c>
      <c r="Q2665" s="6" t="str">
        <f>IF(AND(Table1[[#This Row],[Country_of_Residence]]&lt;&gt;Table1[[#This Row],[Country_of_Transaction]], OR(Table1[[#This Row],[Authentication_Type]]="Biometric", Table1[[#This Row],[Authentication_Type]]="OTP")), "safe location transaction", "unsafe location transaction")</f>
        <v>unsafe location transaction</v>
      </c>
      <c r="R2665" s="6" t="str">
        <f>IF(AND(Table1[[#This Row],[Country_of_Residence]]&lt;&gt;Table1[[#This Row],[Country_of_Transaction]], OR(Table1[[#This Row],[Merchant_Category]]="Electronics", Table1[[#This Row],[Merchant_Category]]="Travel")), "unsafe merchant transaction", "safe merchant transaction")</f>
        <v>unsafe merchant transaction</v>
      </c>
    </row>
    <row r="2666" spans="1:18">
      <c r="A2666" t="s">
        <v>4610</v>
      </c>
      <c r="B2666" t="s">
        <v>362</v>
      </c>
      <c r="C2666">
        <v>1</v>
      </c>
      <c r="D2666" t="s">
        <v>15</v>
      </c>
      <c r="E2666" t="s">
        <v>420</v>
      </c>
      <c r="F2666" s="2">
        <v>45723</v>
      </c>
      <c r="G2666">
        <v>3211.92</v>
      </c>
      <c r="H2666" s="1">
        <f>AVERAGEIF(Table1[Customer_ID], Table1[[#This Row],[Customer_ID]], Table1[Transaction_Amount])</f>
        <v>5150.6247169811322</v>
      </c>
      <c r="I2666" t="s">
        <v>2074</v>
      </c>
      <c r="J2666" t="s">
        <v>46</v>
      </c>
      <c r="K2666" t="s">
        <v>12</v>
      </c>
      <c r="L2666">
        <v>2</v>
      </c>
      <c r="M2666" t="s">
        <v>55</v>
      </c>
      <c r="N2666" t="s">
        <v>56</v>
      </c>
      <c r="O2666" t="s">
        <v>393</v>
      </c>
      <c r="P2666" s="6" t="str">
        <f>IF(Table1[[#This Row],[Transaction_Amount]]&lt;=Table1[[#This Row],[avg_transaction_amount]], "usual transaction", "unusual transaction")</f>
        <v>usual transaction</v>
      </c>
      <c r="Q2666" s="6" t="str">
        <f>IF(AND(Table1[[#This Row],[Country_of_Residence]]&lt;&gt;Table1[[#This Row],[Country_of_Transaction]], OR(Table1[[#This Row],[Authentication_Type]]="Biometric", Table1[[#This Row],[Authentication_Type]]="OTP")), "safe location transaction", "unsafe location transaction")</f>
        <v>unsafe location transaction</v>
      </c>
      <c r="R2666" s="6" t="str">
        <f>IF(AND(Table1[[#This Row],[Country_of_Residence]]&lt;&gt;Table1[[#This Row],[Country_of_Transaction]], OR(Table1[[#This Row],[Merchant_Category]]="Electronics", Table1[[#This Row],[Merchant_Category]]="Travel")), "unsafe merchant transaction", "safe merchant transaction")</f>
        <v>safe merchant transaction</v>
      </c>
    </row>
    <row r="2667" spans="1:18">
      <c r="A2667" t="s">
        <v>4620</v>
      </c>
      <c r="B2667" t="s">
        <v>362</v>
      </c>
      <c r="C2667">
        <v>1</v>
      </c>
      <c r="D2667" t="s">
        <v>15</v>
      </c>
      <c r="E2667" t="s">
        <v>6</v>
      </c>
      <c r="F2667" s="2">
        <v>45773</v>
      </c>
      <c r="G2667">
        <v>5871.76</v>
      </c>
      <c r="H2667" s="1">
        <f>AVERAGEIF(Table1[Customer_ID], Table1[[#This Row],[Customer_ID]], Table1[Transaction_Amount])</f>
        <v>5150.6247169811322</v>
      </c>
      <c r="I2667" t="s">
        <v>2084</v>
      </c>
      <c r="J2667" t="s">
        <v>50</v>
      </c>
      <c r="K2667" t="s">
        <v>12</v>
      </c>
      <c r="L2667">
        <v>3</v>
      </c>
      <c r="M2667" t="s">
        <v>56</v>
      </c>
      <c r="N2667" t="s">
        <v>47</v>
      </c>
      <c r="O2667" t="s">
        <v>392</v>
      </c>
      <c r="P2667" s="6" t="str">
        <f>IF(Table1[[#This Row],[Transaction_Amount]]&lt;=Table1[[#This Row],[avg_transaction_amount]], "usual transaction", "unusual transaction")</f>
        <v>unusual transaction</v>
      </c>
      <c r="Q2667" s="6" t="str">
        <f>IF(AND(Table1[[#This Row],[Country_of_Residence]]&lt;&gt;Table1[[#This Row],[Country_of_Transaction]], OR(Table1[[#This Row],[Authentication_Type]]="Biometric", Table1[[#This Row],[Authentication_Type]]="OTP")), "safe location transaction", "unsafe location transaction")</f>
        <v>unsafe location transaction</v>
      </c>
      <c r="R2667" s="6" t="str">
        <f>IF(AND(Table1[[#This Row],[Country_of_Residence]]&lt;&gt;Table1[[#This Row],[Country_of_Transaction]], OR(Table1[[#This Row],[Merchant_Category]]="Electronics", Table1[[#This Row],[Merchant_Category]]="Travel")), "unsafe merchant transaction", "safe merchant transaction")</f>
        <v>unsafe merchant transaction</v>
      </c>
    </row>
    <row r="2668" spans="1:18">
      <c r="A2668" t="s">
        <v>4652</v>
      </c>
      <c r="B2668" t="s">
        <v>362</v>
      </c>
      <c r="C2668">
        <v>1</v>
      </c>
      <c r="D2668" t="s">
        <v>9</v>
      </c>
      <c r="E2668" t="s">
        <v>3</v>
      </c>
      <c r="F2668" s="2">
        <v>45825</v>
      </c>
      <c r="G2668">
        <v>3343.39</v>
      </c>
      <c r="H2668" s="1">
        <f>AVERAGEIF(Table1[Customer_ID], Table1[[#This Row],[Customer_ID]], Table1[Transaction_Amount])</f>
        <v>5150.6247169811322</v>
      </c>
      <c r="I2668" t="s">
        <v>2111</v>
      </c>
      <c r="J2668" t="s">
        <v>50</v>
      </c>
      <c r="K2668" t="s">
        <v>8</v>
      </c>
      <c r="L2668">
        <v>2</v>
      </c>
      <c r="M2668" t="s">
        <v>412</v>
      </c>
      <c r="N2668" t="s">
        <v>56</v>
      </c>
      <c r="O2668" t="s">
        <v>392</v>
      </c>
      <c r="P2668" s="6" t="str">
        <f>IF(Table1[[#This Row],[Transaction_Amount]]&lt;=Table1[[#This Row],[avg_transaction_amount]], "usual transaction", "unusual transaction")</f>
        <v>usual transaction</v>
      </c>
      <c r="Q2668" s="6" t="str">
        <f>IF(AND(Table1[[#This Row],[Country_of_Residence]]&lt;&gt;Table1[[#This Row],[Country_of_Transaction]], OR(Table1[[#This Row],[Authentication_Type]]="Biometric", Table1[[#This Row],[Authentication_Type]]="OTP")), "safe location transaction", "unsafe location transaction")</f>
        <v>safe location transaction</v>
      </c>
      <c r="R2668" s="6" t="str">
        <f>IF(AND(Table1[[#This Row],[Country_of_Residence]]&lt;&gt;Table1[[#This Row],[Country_of_Transaction]], OR(Table1[[#This Row],[Merchant_Category]]="Electronics", Table1[[#This Row],[Merchant_Category]]="Travel")), "unsafe merchant transaction", "safe merchant transaction")</f>
        <v>unsafe merchant transaction</v>
      </c>
    </row>
    <row r="2669" spans="1:18">
      <c r="A2669" t="s">
        <v>4739</v>
      </c>
      <c r="B2669" t="s">
        <v>362</v>
      </c>
      <c r="C2669">
        <v>1</v>
      </c>
      <c r="D2669" t="s">
        <v>15</v>
      </c>
      <c r="E2669" t="s">
        <v>6</v>
      </c>
      <c r="F2669" s="2">
        <v>45994</v>
      </c>
      <c r="G2669">
        <v>7262.59</v>
      </c>
      <c r="H2669" s="1">
        <f>AVERAGEIF(Table1[Customer_ID], Table1[[#This Row],[Customer_ID]], Table1[Transaction_Amount])</f>
        <v>5150.6247169811322</v>
      </c>
      <c r="I2669" t="s">
        <v>1047</v>
      </c>
      <c r="J2669" t="s">
        <v>50</v>
      </c>
      <c r="K2669" t="s">
        <v>12</v>
      </c>
      <c r="L2669">
        <v>3</v>
      </c>
      <c r="M2669" t="s">
        <v>51</v>
      </c>
      <c r="N2669" t="s">
        <v>42</v>
      </c>
      <c r="O2669" t="s">
        <v>393</v>
      </c>
      <c r="P2669" s="6" t="str">
        <f>IF(Table1[[#This Row],[Transaction_Amount]]&lt;=Table1[[#This Row],[avg_transaction_amount]], "usual transaction", "unusual transaction")</f>
        <v>unusual transaction</v>
      </c>
      <c r="Q2669" s="6" t="str">
        <f>IF(AND(Table1[[#This Row],[Country_of_Residence]]&lt;&gt;Table1[[#This Row],[Country_of_Transaction]], OR(Table1[[#This Row],[Authentication_Type]]="Biometric", Table1[[#This Row],[Authentication_Type]]="OTP")), "safe location transaction", "unsafe location transaction")</f>
        <v>unsafe location transaction</v>
      </c>
      <c r="R2669" s="6" t="str">
        <f>IF(AND(Table1[[#This Row],[Country_of_Residence]]&lt;&gt;Table1[[#This Row],[Country_of_Transaction]], OR(Table1[[#This Row],[Merchant_Category]]="Electronics", Table1[[#This Row],[Merchant_Category]]="Travel")), "unsafe merchant transaction", "safe merchant transaction")</f>
        <v>unsafe merchant transaction</v>
      </c>
    </row>
    <row r="2670" spans="1:18">
      <c r="A2670" t="s">
        <v>4854</v>
      </c>
      <c r="B2670" t="s">
        <v>362</v>
      </c>
      <c r="C2670">
        <v>1</v>
      </c>
      <c r="D2670" t="s">
        <v>9</v>
      </c>
      <c r="E2670" t="s">
        <v>5</v>
      </c>
      <c r="F2670" s="2">
        <v>45695</v>
      </c>
      <c r="G2670">
        <v>2496.62</v>
      </c>
      <c r="H2670" s="1">
        <f>AVERAGEIF(Table1[Customer_ID], Table1[[#This Row],[Customer_ID]], Table1[Transaction_Amount])</f>
        <v>5150.6247169811322</v>
      </c>
      <c r="I2670" t="s">
        <v>1736</v>
      </c>
      <c r="J2670" t="s">
        <v>50</v>
      </c>
      <c r="K2670" t="s">
        <v>8</v>
      </c>
      <c r="L2670">
        <v>4</v>
      </c>
      <c r="M2670" t="s">
        <v>412</v>
      </c>
      <c r="N2670" t="s">
        <v>51</v>
      </c>
      <c r="O2670" t="s">
        <v>392</v>
      </c>
      <c r="P2670" s="6" t="str">
        <f>IF(Table1[[#This Row],[Transaction_Amount]]&lt;=Table1[[#This Row],[avg_transaction_amount]], "usual transaction", "unusual transaction")</f>
        <v>usual transaction</v>
      </c>
      <c r="Q2670" s="6" t="str">
        <f>IF(AND(Table1[[#This Row],[Country_of_Residence]]&lt;&gt;Table1[[#This Row],[Country_of_Transaction]], OR(Table1[[#This Row],[Authentication_Type]]="Biometric", Table1[[#This Row],[Authentication_Type]]="OTP")), "safe location transaction", "unsafe location transaction")</f>
        <v>safe location transaction</v>
      </c>
      <c r="R2670" s="6" t="str">
        <f>IF(AND(Table1[[#This Row],[Country_of_Residence]]&lt;&gt;Table1[[#This Row],[Country_of_Transaction]], OR(Table1[[#This Row],[Merchant_Category]]="Electronics", Table1[[#This Row],[Merchant_Category]]="Travel")), "unsafe merchant transaction", "safe merchant transaction")</f>
        <v>unsafe merchant transaction</v>
      </c>
    </row>
    <row r="2671" spans="1:18">
      <c r="A2671" t="s">
        <v>4933</v>
      </c>
      <c r="B2671" t="s">
        <v>362</v>
      </c>
      <c r="C2671">
        <v>1</v>
      </c>
      <c r="D2671" t="s">
        <v>15</v>
      </c>
      <c r="E2671" t="s">
        <v>420</v>
      </c>
      <c r="F2671" s="2">
        <v>45842</v>
      </c>
      <c r="G2671">
        <v>7047.92</v>
      </c>
      <c r="H2671" s="1">
        <f>AVERAGEIF(Table1[Customer_ID], Table1[[#This Row],[Customer_ID]], Table1[Transaction_Amount])</f>
        <v>5150.6247169811322</v>
      </c>
      <c r="I2671" t="s">
        <v>2326</v>
      </c>
      <c r="J2671" t="s">
        <v>50</v>
      </c>
      <c r="K2671" t="s">
        <v>10</v>
      </c>
      <c r="L2671">
        <v>3</v>
      </c>
      <c r="M2671" t="s">
        <v>37</v>
      </c>
      <c r="N2671" t="s">
        <v>33</v>
      </c>
      <c r="O2671" t="s">
        <v>393</v>
      </c>
      <c r="P2671" s="6" t="str">
        <f>IF(Table1[[#This Row],[Transaction_Amount]]&lt;=Table1[[#This Row],[avg_transaction_amount]], "usual transaction", "unusual transaction")</f>
        <v>unusual transaction</v>
      </c>
      <c r="Q2671" s="6" t="str">
        <f>IF(AND(Table1[[#This Row],[Country_of_Residence]]&lt;&gt;Table1[[#This Row],[Country_of_Transaction]], OR(Table1[[#This Row],[Authentication_Type]]="Biometric", Table1[[#This Row],[Authentication_Type]]="OTP")), "safe location transaction", "unsafe location transaction")</f>
        <v>safe location transaction</v>
      </c>
      <c r="R2671" s="6" t="str">
        <f>IF(AND(Table1[[#This Row],[Country_of_Residence]]&lt;&gt;Table1[[#This Row],[Country_of_Transaction]], OR(Table1[[#This Row],[Merchant_Category]]="Electronics", Table1[[#This Row],[Merchant_Category]]="Travel")), "unsafe merchant transaction", "safe merchant transaction")</f>
        <v>unsafe merchant transaction</v>
      </c>
    </row>
    <row r="2672" spans="1:18">
      <c r="A2672" t="s">
        <v>4956</v>
      </c>
      <c r="B2672" t="s">
        <v>362</v>
      </c>
      <c r="C2672">
        <v>1</v>
      </c>
      <c r="D2672" t="s">
        <v>9</v>
      </c>
      <c r="E2672" t="s">
        <v>420</v>
      </c>
      <c r="F2672" s="2">
        <v>45844</v>
      </c>
      <c r="G2672">
        <v>7068.03</v>
      </c>
      <c r="H2672" s="1">
        <f>AVERAGEIF(Table1[Customer_ID], Table1[[#This Row],[Customer_ID]], Table1[Transaction_Amount])</f>
        <v>5150.6247169811322</v>
      </c>
      <c r="I2672" t="s">
        <v>448</v>
      </c>
      <c r="J2672" t="s">
        <v>41</v>
      </c>
      <c r="K2672" t="s">
        <v>12</v>
      </c>
      <c r="L2672">
        <v>2</v>
      </c>
      <c r="M2672" t="s">
        <v>55</v>
      </c>
      <c r="N2672" t="s">
        <v>56</v>
      </c>
      <c r="O2672" t="s">
        <v>392</v>
      </c>
      <c r="P2672" s="6" t="str">
        <f>IF(Table1[[#This Row],[Transaction_Amount]]&lt;=Table1[[#This Row],[avg_transaction_amount]], "usual transaction", "unusual transaction")</f>
        <v>unusual transaction</v>
      </c>
      <c r="Q2672" s="6" t="str">
        <f>IF(AND(Table1[[#This Row],[Country_of_Residence]]&lt;&gt;Table1[[#This Row],[Country_of_Transaction]], OR(Table1[[#This Row],[Authentication_Type]]="Biometric", Table1[[#This Row],[Authentication_Type]]="OTP")), "safe location transaction", "unsafe location transaction")</f>
        <v>unsafe location transaction</v>
      </c>
      <c r="R2672" s="6" t="str">
        <f>IF(AND(Table1[[#This Row],[Country_of_Residence]]&lt;&gt;Table1[[#This Row],[Country_of_Transaction]], OR(Table1[[#This Row],[Merchant_Category]]="Electronics", Table1[[#This Row],[Merchant_Category]]="Travel")), "unsafe merchant transaction", "safe merchant transaction")</f>
        <v>safe merchant transaction</v>
      </c>
    </row>
    <row r="2673" spans="1:18">
      <c r="A2673" t="s">
        <v>5013</v>
      </c>
      <c r="B2673" t="s">
        <v>362</v>
      </c>
      <c r="C2673">
        <v>1</v>
      </c>
      <c r="D2673" t="s">
        <v>15</v>
      </c>
      <c r="E2673" t="s">
        <v>5</v>
      </c>
      <c r="F2673" s="2">
        <v>45822</v>
      </c>
      <c r="G2673">
        <v>5433.01</v>
      </c>
      <c r="H2673" s="1">
        <f>AVERAGEIF(Table1[Customer_ID], Table1[[#This Row],[Customer_ID]], Table1[Transaction_Amount])</f>
        <v>5150.6247169811322</v>
      </c>
      <c r="I2673" t="s">
        <v>989</v>
      </c>
      <c r="J2673" t="s">
        <v>50</v>
      </c>
      <c r="K2673" t="s">
        <v>10</v>
      </c>
      <c r="L2673">
        <v>4</v>
      </c>
      <c r="M2673" t="s">
        <v>42</v>
      </c>
      <c r="N2673" t="s">
        <v>56</v>
      </c>
      <c r="O2673" t="s">
        <v>392</v>
      </c>
      <c r="P2673" s="6" t="str">
        <f>IF(Table1[[#This Row],[Transaction_Amount]]&lt;=Table1[[#This Row],[avg_transaction_amount]], "usual transaction", "unusual transaction")</f>
        <v>unusual transaction</v>
      </c>
      <c r="Q2673" s="6" t="str">
        <f>IF(AND(Table1[[#This Row],[Country_of_Residence]]&lt;&gt;Table1[[#This Row],[Country_of_Transaction]], OR(Table1[[#This Row],[Authentication_Type]]="Biometric", Table1[[#This Row],[Authentication_Type]]="OTP")), "safe location transaction", "unsafe location transaction")</f>
        <v>safe location transaction</v>
      </c>
      <c r="R2673" s="6" t="str">
        <f>IF(AND(Table1[[#This Row],[Country_of_Residence]]&lt;&gt;Table1[[#This Row],[Country_of_Transaction]], OR(Table1[[#This Row],[Merchant_Category]]="Electronics", Table1[[#This Row],[Merchant_Category]]="Travel")), "unsafe merchant transaction", "safe merchant transaction")</f>
        <v>unsafe merchant transaction</v>
      </c>
    </row>
    <row r="2674" spans="1:18">
      <c r="A2674" t="s">
        <v>5030</v>
      </c>
      <c r="B2674" t="s">
        <v>362</v>
      </c>
      <c r="C2674">
        <v>1</v>
      </c>
      <c r="D2674" t="s">
        <v>15</v>
      </c>
      <c r="E2674" t="s">
        <v>3</v>
      </c>
      <c r="F2674" s="2">
        <v>45936</v>
      </c>
      <c r="G2674">
        <v>8509.1200000000008</v>
      </c>
      <c r="H2674" s="1">
        <f>AVERAGEIF(Table1[Customer_ID], Table1[[#This Row],[Customer_ID]], Table1[Transaction_Amount])</f>
        <v>5150.6247169811322</v>
      </c>
      <c r="I2674" t="s">
        <v>1397</v>
      </c>
      <c r="J2674" t="s">
        <v>36</v>
      </c>
      <c r="K2674" t="s">
        <v>12</v>
      </c>
      <c r="L2674">
        <v>0</v>
      </c>
      <c r="M2674" t="s">
        <v>33</v>
      </c>
      <c r="N2674" t="s">
        <v>42</v>
      </c>
      <c r="O2674" t="s">
        <v>392</v>
      </c>
      <c r="P2674" s="6" t="str">
        <f>IF(Table1[[#This Row],[Transaction_Amount]]&lt;=Table1[[#This Row],[avg_transaction_amount]], "usual transaction", "unusual transaction")</f>
        <v>unusual transaction</v>
      </c>
      <c r="Q2674" s="6" t="str">
        <f>IF(AND(Table1[[#This Row],[Country_of_Residence]]&lt;&gt;Table1[[#This Row],[Country_of_Transaction]], OR(Table1[[#This Row],[Authentication_Type]]="Biometric", Table1[[#This Row],[Authentication_Type]]="OTP")), "safe location transaction", "unsafe location transaction")</f>
        <v>unsafe location transaction</v>
      </c>
      <c r="R2674" s="6" t="str">
        <f>IF(AND(Table1[[#This Row],[Country_of_Residence]]&lt;&gt;Table1[[#This Row],[Country_of_Transaction]], OR(Table1[[#This Row],[Merchant_Category]]="Electronics", Table1[[#This Row],[Merchant_Category]]="Travel")), "unsafe merchant transaction", "safe merchant transaction")</f>
        <v>safe merchant transaction</v>
      </c>
    </row>
    <row r="2675" spans="1:18">
      <c r="A2675" t="s">
        <v>5073</v>
      </c>
      <c r="B2675" t="s">
        <v>362</v>
      </c>
      <c r="C2675">
        <v>1</v>
      </c>
      <c r="D2675" t="s">
        <v>15</v>
      </c>
      <c r="E2675" t="s">
        <v>6</v>
      </c>
      <c r="F2675" s="2">
        <v>45959</v>
      </c>
      <c r="G2675">
        <v>785.16</v>
      </c>
      <c r="H2675" s="1">
        <f>AVERAGEIF(Table1[Customer_ID], Table1[[#This Row],[Customer_ID]], Table1[Transaction_Amount])</f>
        <v>5150.6247169811322</v>
      </c>
      <c r="I2675" t="s">
        <v>2430</v>
      </c>
      <c r="J2675" t="s">
        <v>41</v>
      </c>
      <c r="K2675" t="s">
        <v>12</v>
      </c>
      <c r="L2675">
        <v>4</v>
      </c>
      <c r="M2675" t="s">
        <v>56</v>
      </c>
      <c r="N2675" t="s">
        <v>42</v>
      </c>
      <c r="O2675" t="s">
        <v>392</v>
      </c>
      <c r="P2675" s="6" t="str">
        <f>IF(Table1[[#This Row],[Transaction_Amount]]&lt;=Table1[[#This Row],[avg_transaction_amount]], "usual transaction", "unusual transaction")</f>
        <v>usual transaction</v>
      </c>
      <c r="Q2675" s="6" t="str">
        <f>IF(AND(Table1[[#This Row],[Country_of_Residence]]&lt;&gt;Table1[[#This Row],[Country_of_Transaction]], OR(Table1[[#This Row],[Authentication_Type]]="Biometric", Table1[[#This Row],[Authentication_Type]]="OTP")), "safe location transaction", "unsafe location transaction")</f>
        <v>unsafe location transaction</v>
      </c>
      <c r="R2675" s="6" t="str">
        <f>IF(AND(Table1[[#This Row],[Country_of_Residence]]&lt;&gt;Table1[[#This Row],[Country_of_Transaction]], OR(Table1[[#This Row],[Merchant_Category]]="Electronics", Table1[[#This Row],[Merchant_Category]]="Travel")), "unsafe merchant transaction", "safe merchant transaction")</f>
        <v>safe merchant transaction</v>
      </c>
    </row>
    <row r="2676" spans="1:18">
      <c r="A2676" t="s">
        <v>5086</v>
      </c>
      <c r="B2676" t="s">
        <v>362</v>
      </c>
      <c r="C2676">
        <v>1</v>
      </c>
      <c r="D2676" t="s">
        <v>15</v>
      </c>
      <c r="E2676" t="s">
        <v>5</v>
      </c>
      <c r="F2676" s="2">
        <v>45869</v>
      </c>
      <c r="G2676">
        <v>4454.21</v>
      </c>
      <c r="H2676" s="1">
        <f>AVERAGEIF(Table1[Customer_ID], Table1[[#This Row],[Customer_ID]], Table1[Transaction_Amount])</f>
        <v>5150.6247169811322</v>
      </c>
      <c r="I2676" t="s">
        <v>2438</v>
      </c>
      <c r="J2676" t="s">
        <v>50</v>
      </c>
      <c r="K2676" t="s">
        <v>10</v>
      </c>
      <c r="L2676">
        <v>0</v>
      </c>
      <c r="M2676" t="s">
        <v>412</v>
      </c>
      <c r="N2676" t="s">
        <v>412</v>
      </c>
      <c r="O2676" t="s">
        <v>392</v>
      </c>
      <c r="P2676" s="6" t="str">
        <f>IF(Table1[[#This Row],[Transaction_Amount]]&lt;=Table1[[#This Row],[avg_transaction_amount]], "usual transaction", "unusual transaction")</f>
        <v>usual transaction</v>
      </c>
      <c r="Q2676" s="6" t="str">
        <f>IF(AND(Table1[[#This Row],[Country_of_Residence]]&lt;&gt;Table1[[#This Row],[Country_of_Transaction]], OR(Table1[[#This Row],[Authentication_Type]]="Biometric", Table1[[#This Row],[Authentication_Type]]="OTP")), "safe location transaction", "unsafe location transaction")</f>
        <v>unsafe location transaction</v>
      </c>
      <c r="R2676" s="6" t="str">
        <f>IF(AND(Table1[[#This Row],[Country_of_Residence]]&lt;&gt;Table1[[#This Row],[Country_of_Transaction]], OR(Table1[[#This Row],[Merchant_Category]]="Electronics", Table1[[#This Row],[Merchant_Category]]="Travel")), "unsafe merchant transaction", "safe merchant transaction")</f>
        <v>safe merchant transaction</v>
      </c>
    </row>
    <row r="2677" spans="1:18">
      <c r="A2677" t="s">
        <v>5104</v>
      </c>
      <c r="B2677" t="s">
        <v>362</v>
      </c>
      <c r="C2677">
        <v>1</v>
      </c>
      <c r="D2677" t="s">
        <v>15</v>
      </c>
      <c r="E2677" t="s">
        <v>3</v>
      </c>
      <c r="F2677" s="2">
        <v>45842</v>
      </c>
      <c r="G2677">
        <v>7893.82</v>
      </c>
      <c r="H2677" s="1">
        <f>AVERAGEIF(Table1[Customer_ID], Table1[[#This Row],[Customer_ID]], Table1[Transaction_Amount])</f>
        <v>5150.6247169811322</v>
      </c>
      <c r="I2677" t="s">
        <v>2454</v>
      </c>
      <c r="J2677" t="s">
        <v>46</v>
      </c>
      <c r="K2677" t="s">
        <v>12</v>
      </c>
      <c r="L2677">
        <v>5</v>
      </c>
      <c r="M2677" t="s">
        <v>55</v>
      </c>
      <c r="N2677" t="s">
        <v>412</v>
      </c>
      <c r="O2677" t="s">
        <v>393</v>
      </c>
      <c r="P2677" s="6" t="str">
        <f>IF(Table1[[#This Row],[Transaction_Amount]]&lt;=Table1[[#This Row],[avg_transaction_amount]], "usual transaction", "unusual transaction")</f>
        <v>unusual transaction</v>
      </c>
      <c r="Q2677" s="6" t="str">
        <f>IF(AND(Table1[[#This Row],[Country_of_Residence]]&lt;&gt;Table1[[#This Row],[Country_of_Transaction]], OR(Table1[[#This Row],[Authentication_Type]]="Biometric", Table1[[#This Row],[Authentication_Type]]="OTP")), "safe location transaction", "unsafe location transaction")</f>
        <v>unsafe location transaction</v>
      </c>
      <c r="R2677" s="6" t="str">
        <f>IF(AND(Table1[[#This Row],[Country_of_Residence]]&lt;&gt;Table1[[#This Row],[Country_of_Transaction]], OR(Table1[[#This Row],[Merchant_Category]]="Electronics", Table1[[#This Row],[Merchant_Category]]="Travel")), "unsafe merchant transaction", "safe merchant transaction")</f>
        <v>safe merchant transaction</v>
      </c>
    </row>
    <row r="2678" spans="1:18">
      <c r="A2678" t="s">
        <v>5200</v>
      </c>
      <c r="B2678" t="s">
        <v>362</v>
      </c>
      <c r="C2678">
        <v>1</v>
      </c>
      <c r="D2678" t="s">
        <v>15</v>
      </c>
      <c r="E2678" t="s">
        <v>5</v>
      </c>
      <c r="F2678" s="2">
        <v>45916</v>
      </c>
      <c r="G2678">
        <v>7059.54</v>
      </c>
      <c r="H2678" s="1">
        <f>AVERAGEIF(Table1[Customer_ID], Table1[[#This Row],[Customer_ID]], Table1[Transaction_Amount])</f>
        <v>5150.6247169811322</v>
      </c>
      <c r="I2678" t="s">
        <v>1945</v>
      </c>
      <c r="J2678" t="s">
        <v>41</v>
      </c>
      <c r="K2678" t="s">
        <v>12</v>
      </c>
      <c r="L2678">
        <v>4</v>
      </c>
      <c r="M2678" t="s">
        <v>32</v>
      </c>
      <c r="N2678" t="s">
        <v>56</v>
      </c>
      <c r="O2678" t="s">
        <v>393</v>
      </c>
      <c r="P2678" s="6" t="str">
        <f>IF(Table1[[#This Row],[Transaction_Amount]]&lt;=Table1[[#This Row],[avg_transaction_amount]], "usual transaction", "unusual transaction")</f>
        <v>unusual transaction</v>
      </c>
      <c r="Q2678" s="6" t="str">
        <f>IF(AND(Table1[[#This Row],[Country_of_Residence]]&lt;&gt;Table1[[#This Row],[Country_of_Transaction]], OR(Table1[[#This Row],[Authentication_Type]]="Biometric", Table1[[#This Row],[Authentication_Type]]="OTP")), "safe location transaction", "unsafe location transaction")</f>
        <v>unsafe location transaction</v>
      </c>
      <c r="R2678" s="6" t="str">
        <f>IF(AND(Table1[[#This Row],[Country_of_Residence]]&lt;&gt;Table1[[#This Row],[Country_of_Transaction]], OR(Table1[[#This Row],[Merchant_Category]]="Electronics", Table1[[#This Row],[Merchant_Category]]="Travel")), "unsafe merchant transaction", "safe merchant transaction")</f>
        <v>safe merchant transaction</v>
      </c>
    </row>
    <row r="2679" spans="1:18">
      <c r="A2679" t="s">
        <v>5280</v>
      </c>
      <c r="B2679" t="s">
        <v>362</v>
      </c>
      <c r="C2679">
        <v>1</v>
      </c>
      <c r="D2679" t="s">
        <v>9</v>
      </c>
      <c r="E2679" t="s">
        <v>3</v>
      </c>
      <c r="F2679" s="2">
        <v>45818</v>
      </c>
      <c r="G2679">
        <v>8805.1200000000008</v>
      </c>
      <c r="H2679" s="1">
        <f>AVERAGEIF(Table1[Customer_ID], Table1[[#This Row],[Customer_ID]], Table1[Transaction_Amount])</f>
        <v>5150.6247169811322</v>
      </c>
      <c r="I2679" t="s">
        <v>2588</v>
      </c>
      <c r="J2679" t="s">
        <v>46</v>
      </c>
      <c r="K2679" t="s">
        <v>8</v>
      </c>
      <c r="L2679">
        <v>2</v>
      </c>
      <c r="M2679" t="s">
        <v>33</v>
      </c>
      <c r="N2679" t="s">
        <v>55</v>
      </c>
      <c r="O2679" t="s">
        <v>393</v>
      </c>
      <c r="P2679" s="6" t="str">
        <f>IF(Table1[[#This Row],[Transaction_Amount]]&lt;=Table1[[#This Row],[avg_transaction_amount]], "usual transaction", "unusual transaction")</f>
        <v>unusual transaction</v>
      </c>
      <c r="Q2679" s="6" t="str">
        <f>IF(AND(Table1[[#This Row],[Country_of_Residence]]&lt;&gt;Table1[[#This Row],[Country_of_Transaction]], OR(Table1[[#This Row],[Authentication_Type]]="Biometric", Table1[[#This Row],[Authentication_Type]]="OTP")), "safe location transaction", "unsafe location transaction")</f>
        <v>safe location transaction</v>
      </c>
      <c r="R2679" s="6" t="str">
        <f>IF(AND(Table1[[#This Row],[Country_of_Residence]]&lt;&gt;Table1[[#This Row],[Country_of_Transaction]], OR(Table1[[#This Row],[Merchant_Category]]="Electronics", Table1[[#This Row],[Merchant_Category]]="Travel")), "unsafe merchant transaction", "safe merchant transaction")</f>
        <v>safe merchant transaction</v>
      </c>
    </row>
    <row r="2680" spans="1:18">
      <c r="A2680" t="s">
        <v>5359</v>
      </c>
      <c r="B2680" t="s">
        <v>362</v>
      </c>
      <c r="C2680">
        <v>1</v>
      </c>
      <c r="D2680" t="s">
        <v>15</v>
      </c>
      <c r="E2680" t="s">
        <v>5</v>
      </c>
      <c r="F2680" s="2">
        <v>45680</v>
      </c>
      <c r="G2680">
        <v>5329.94</v>
      </c>
      <c r="H2680" s="1">
        <f>AVERAGEIF(Table1[Customer_ID], Table1[[#This Row],[Customer_ID]], Table1[Transaction_Amount])</f>
        <v>5150.6247169811322</v>
      </c>
      <c r="I2680" t="s">
        <v>2650</v>
      </c>
      <c r="J2680" t="s">
        <v>50</v>
      </c>
      <c r="K2680" t="s">
        <v>10</v>
      </c>
      <c r="L2680">
        <v>3</v>
      </c>
      <c r="M2680" t="s">
        <v>47</v>
      </c>
      <c r="N2680" t="s">
        <v>37</v>
      </c>
      <c r="O2680" t="s">
        <v>393</v>
      </c>
      <c r="P2680" s="6" t="str">
        <f>IF(Table1[[#This Row],[Transaction_Amount]]&lt;=Table1[[#This Row],[avg_transaction_amount]], "usual transaction", "unusual transaction")</f>
        <v>unusual transaction</v>
      </c>
      <c r="Q2680" s="6" t="str">
        <f>IF(AND(Table1[[#This Row],[Country_of_Residence]]&lt;&gt;Table1[[#This Row],[Country_of_Transaction]], OR(Table1[[#This Row],[Authentication_Type]]="Biometric", Table1[[#This Row],[Authentication_Type]]="OTP")), "safe location transaction", "unsafe location transaction")</f>
        <v>safe location transaction</v>
      </c>
      <c r="R2680" s="6" t="str">
        <f>IF(AND(Table1[[#This Row],[Country_of_Residence]]&lt;&gt;Table1[[#This Row],[Country_of_Transaction]], OR(Table1[[#This Row],[Merchant_Category]]="Electronics", Table1[[#This Row],[Merchant_Category]]="Travel")), "unsafe merchant transaction", "safe merchant transaction")</f>
        <v>unsafe merchant transaction</v>
      </c>
    </row>
    <row r="2681" spans="1:18">
      <c r="A2681" t="s">
        <v>5422</v>
      </c>
      <c r="B2681" t="s">
        <v>362</v>
      </c>
      <c r="C2681">
        <v>1</v>
      </c>
      <c r="D2681" t="s">
        <v>9</v>
      </c>
      <c r="E2681" t="s">
        <v>5</v>
      </c>
      <c r="F2681" s="2">
        <v>45802</v>
      </c>
      <c r="G2681">
        <v>3398.93</v>
      </c>
      <c r="H2681" s="1">
        <f>AVERAGEIF(Table1[Customer_ID], Table1[[#This Row],[Customer_ID]], Table1[Transaction_Amount])</f>
        <v>5150.6247169811322</v>
      </c>
      <c r="I2681" t="s">
        <v>2695</v>
      </c>
      <c r="J2681" t="s">
        <v>41</v>
      </c>
      <c r="K2681" t="s">
        <v>8</v>
      </c>
      <c r="L2681">
        <v>3</v>
      </c>
      <c r="M2681" t="s">
        <v>47</v>
      </c>
      <c r="N2681" t="s">
        <v>33</v>
      </c>
      <c r="O2681" t="s">
        <v>392</v>
      </c>
      <c r="P2681" s="6" t="str">
        <f>IF(Table1[[#This Row],[Transaction_Amount]]&lt;=Table1[[#This Row],[avg_transaction_amount]], "usual transaction", "unusual transaction")</f>
        <v>usual transaction</v>
      </c>
      <c r="Q2681" s="6" t="str">
        <f>IF(AND(Table1[[#This Row],[Country_of_Residence]]&lt;&gt;Table1[[#This Row],[Country_of_Transaction]], OR(Table1[[#This Row],[Authentication_Type]]="Biometric", Table1[[#This Row],[Authentication_Type]]="OTP")), "safe location transaction", "unsafe location transaction")</f>
        <v>safe location transaction</v>
      </c>
      <c r="R2681" s="6" t="str">
        <f>IF(AND(Table1[[#This Row],[Country_of_Residence]]&lt;&gt;Table1[[#This Row],[Country_of_Transaction]], OR(Table1[[#This Row],[Merchant_Category]]="Electronics", Table1[[#This Row],[Merchant_Category]]="Travel")), "unsafe merchant transaction", "safe merchant transaction")</f>
        <v>safe merchant transaction</v>
      </c>
    </row>
    <row r="2682" spans="1:18">
      <c r="A2682" t="s">
        <v>5448</v>
      </c>
      <c r="B2682" t="s">
        <v>362</v>
      </c>
      <c r="C2682">
        <v>1</v>
      </c>
      <c r="D2682" t="s">
        <v>9</v>
      </c>
      <c r="E2682" t="s">
        <v>6</v>
      </c>
      <c r="F2682" s="2">
        <v>45713</v>
      </c>
      <c r="G2682">
        <v>5095.3900000000003</v>
      </c>
      <c r="H2682" s="1">
        <f>AVERAGEIF(Table1[Customer_ID], Table1[[#This Row],[Customer_ID]], Table1[Transaction_Amount])</f>
        <v>5150.6247169811322</v>
      </c>
      <c r="I2682" t="s">
        <v>2714</v>
      </c>
      <c r="J2682" t="s">
        <v>46</v>
      </c>
      <c r="K2682" t="s">
        <v>8</v>
      </c>
      <c r="L2682">
        <v>5</v>
      </c>
      <c r="M2682" t="s">
        <v>32</v>
      </c>
      <c r="N2682" t="s">
        <v>33</v>
      </c>
      <c r="O2682" t="s">
        <v>392</v>
      </c>
      <c r="P2682" s="6" t="str">
        <f>IF(Table1[[#This Row],[Transaction_Amount]]&lt;=Table1[[#This Row],[avg_transaction_amount]], "usual transaction", "unusual transaction")</f>
        <v>usual transaction</v>
      </c>
      <c r="Q2682" s="6" t="str">
        <f>IF(AND(Table1[[#This Row],[Country_of_Residence]]&lt;&gt;Table1[[#This Row],[Country_of_Transaction]], OR(Table1[[#This Row],[Authentication_Type]]="Biometric", Table1[[#This Row],[Authentication_Type]]="OTP")), "safe location transaction", "unsafe location transaction")</f>
        <v>safe location transaction</v>
      </c>
      <c r="R2682" s="6" t="str">
        <f>IF(AND(Table1[[#This Row],[Country_of_Residence]]&lt;&gt;Table1[[#This Row],[Country_of_Transaction]], OR(Table1[[#This Row],[Merchant_Category]]="Electronics", Table1[[#This Row],[Merchant_Category]]="Travel")), "unsafe merchant transaction", "safe merchant transaction")</f>
        <v>safe merchant transaction</v>
      </c>
    </row>
    <row r="2683" spans="1:18">
      <c r="A2683" t="s">
        <v>364</v>
      </c>
      <c r="B2683" t="s">
        <v>365</v>
      </c>
      <c r="C2683">
        <v>1</v>
      </c>
      <c r="D2683" t="s">
        <v>13</v>
      </c>
      <c r="E2683" t="s">
        <v>5</v>
      </c>
      <c r="F2683" s="2">
        <v>45845.868055555598</v>
      </c>
      <c r="G2683">
        <v>6536.1</v>
      </c>
      <c r="H2683" s="1">
        <f>AVERAGEIF(Table1[Customer_ID], Table1[[#This Row],[Customer_ID]], Table1[Transaction_Amount])</f>
        <v>4514.0678260869581</v>
      </c>
      <c r="I2683" t="s">
        <v>366</v>
      </c>
      <c r="J2683" t="s">
        <v>59</v>
      </c>
      <c r="K2683" t="s">
        <v>14</v>
      </c>
      <c r="L2683">
        <v>0</v>
      </c>
      <c r="M2683" t="s">
        <v>222</v>
      </c>
      <c r="N2683" t="s">
        <v>367</v>
      </c>
      <c r="O2683" t="s">
        <v>392</v>
      </c>
      <c r="P2683" t="str">
        <f>IF(Table1[[#This Row],[Transaction_Amount]]&lt;=Table1[[#This Row],[avg_transaction_amount]], "usual transaction", "unusual transaction")</f>
        <v>unusual transaction</v>
      </c>
      <c r="Q2683" t="str">
        <f>IF(AND(Table1[[#This Row],[Country_of_Residence]]&lt;&gt;Table1[[#This Row],[Country_of_Transaction]], OR(Table1[[#This Row],[Authentication_Type]]="Biometric", Table1[[#This Row],[Authentication_Type]]="OTP")), "safe location transaction", "unsafe location transaction")</f>
        <v>unsafe location transaction</v>
      </c>
      <c r="R2683" t="str">
        <f>IF(AND(Table1[[#This Row],[Country_of_Residence]]&lt;&gt;Table1[[#This Row],[Country_of_Transaction]], OR(Table1[[#This Row],[Merchant_Category]]="Electronics", Table1[[#This Row],[Merchant_Category]]="Travel")), "unsafe merchant transaction", "safe merchant transaction")</f>
        <v>unsafe merchant transaction</v>
      </c>
    </row>
    <row r="2684" spans="1:18">
      <c r="A2684" t="s">
        <v>371</v>
      </c>
      <c r="B2684" t="s">
        <v>365</v>
      </c>
      <c r="C2684">
        <v>1</v>
      </c>
      <c r="D2684" t="s">
        <v>9</v>
      </c>
      <c r="E2684" t="s">
        <v>3</v>
      </c>
      <c r="F2684" s="2">
        <v>45877.572222222203</v>
      </c>
      <c r="G2684">
        <v>3662.42</v>
      </c>
      <c r="H2684" s="1">
        <f>AVERAGEIF(Table1[Customer_ID], Table1[[#This Row],[Customer_ID]], Table1[Transaction_Amount])</f>
        <v>4514.0678260869581</v>
      </c>
      <c r="I2684" t="s">
        <v>372</v>
      </c>
      <c r="J2684" t="s">
        <v>50</v>
      </c>
      <c r="K2684" t="s">
        <v>8</v>
      </c>
      <c r="L2684">
        <v>4</v>
      </c>
      <c r="M2684" t="s">
        <v>222</v>
      </c>
      <c r="N2684" t="s">
        <v>373</v>
      </c>
      <c r="O2684" t="s">
        <v>392</v>
      </c>
      <c r="P2684" t="str">
        <f>IF(Table1[[#This Row],[Transaction_Amount]]&lt;=Table1[[#This Row],[avg_transaction_amount]], "usual transaction", "unusual transaction")</f>
        <v>usual transaction</v>
      </c>
      <c r="Q2684" t="str">
        <f>IF(AND(Table1[[#This Row],[Country_of_Residence]]&lt;&gt;Table1[[#This Row],[Country_of_Transaction]], OR(Table1[[#This Row],[Authentication_Type]]="Biometric", Table1[[#This Row],[Authentication_Type]]="OTP")), "safe location transaction", "unsafe location transaction")</f>
        <v>safe location transaction</v>
      </c>
      <c r="R2684" t="str">
        <f>IF(AND(Table1[[#This Row],[Country_of_Residence]]&lt;&gt;Table1[[#This Row],[Country_of_Transaction]], OR(Table1[[#This Row],[Merchant_Category]]="Electronics", Table1[[#This Row],[Merchant_Category]]="Travel")), "unsafe merchant transaction", "safe merchant transaction")</f>
        <v>unsafe merchant transaction</v>
      </c>
    </row>
    <row r="2685" spans="1:18">
      <c r="A2685" t="s">
        <v>368</v>
      </c>
      <c r="B2685" t="s">
        <v>365</v>
      </c>
      <c r="C2685">
        <v>1</v>
      </c>
      <c r="D2685" t="s">
        <v>11</v>
      </c>
      <c r="E2685" t="s">
        <v>6</v>
      </c>
      <c r="F2685" s="2">
        <v>45879.520138888904</v>
      </c>
      <c r="G2685">
        <v>5177.59</v>
      </c>
      <c r="H2685" s="1">
        <f>AVERAGEIF(Table1[Customer_ID], Table1[[#This Row],[Customer_ID]], Table1[Transaction_Amount])</f>
        <v>4514.0678260869581</v>
      </c>
      <c r="I2685" t="s">
        <v>369</v>
      </c>
      <c r="J2685" t="s">
        <v>50</v>
      </c>
      <c r="K2685" t="s">
        <v>10</v>
      </c>
      <c r="L2685">
        <v>1</v>
      </c>
      <c r="M2685" t="s">
        <v>222</v>
      </c>
      <c r="N2685" t="s">
        <v>370</v>
      </c>
      <c r="O2685" t="s">
        <v>392</v>
      </c>
      <c r="P2685" t="str">
        <f>IF(Table1[[#This Row],[Transaction_Amount]]&lt;=Table1[[#This Row],[avg_transaction_amount]], "usual transaction", "unusual transaction")</f>
        <v>unusual transaction</v>
      </c>
      <c r="Q2685" t="str">
        <f>IF(AND(Table1[[#This Row],[Country_of_Residence]]&lt;&gt;Table1[[#This Row],[Country_of_Transaction]], OR(Table1[[#This Row],[Authentication_Type]]="Biometric", Table1[[#This Row],[Authentication_Type]]="OTP")), "safe location transaction", "unsafe location transaction")</f>
        <v>safe location transaction</v>
      </c>
      <c r="R2685" t="str">
        <f>IF(AND(Table1[[#This Row],[Country_of_Residence]]&lt;&gt;Table1[[#This Row],[Country_of_Transaction]], OR(Table1[[#This Row],[Merchant_Category]]="Electronics", Table1[[#This Row],[Merchant_Category]]="Travel")), "unsafe merchant transaction", "safe merchant transaction")</f>
        <v>unsafe merchant transaction</v>
      </c>
    </row>
    <row r="2686" spans="1:18">
      <c r="A2686" t="s">
        <v>2816</v>
      </c>
      <c r="B2686" t="s">
        <v>365</v>
      </c>
      <c r="C2686">
        <v>1</v>
      </c>
      <c r="D2686" t="s">
        <v>15</v>
      </c>
      <c r="E2686" t="s">
        <v>6</v>
      </c>
      <c r="F2686" s="2">
        <v>45768</v>
      </c>
      <c r="G2686">
        <v>5381.85</v>
      </c>
      <c r="H2686" s="1">
        <f>AVERAGEIF(Table1[Customer_ID], Table1[[#This Row],[Customer_ID]], Table1[Transaction_Amount])</f>
        <v>4514.0678260869581</v>
      </c>
      <c r="I2686" t="s">
        <v>467</v>
      </c>
      <c r="J2686" t="s">
        <v>50</v>
      </c>
      <c r="K2686" t="s">
        <v>14</v>
      </c>
      <c r="L2686">
        <v>0</v>
      </c>
      <c r="M2686" t="s">
        <v>55</v>
      </c>
      <c r="N2686" t="s">
        <v>37</v>
      </c>
      <c r="O2686" t="s">
        <v>392</v>
      </c>
      <c r="P2686" s="6" t="str">
        <f>IF(Table1[[#This Row],[Transaction_Amount]]&lt;=Table1[[#This Row],[avg_transaction_amount]], "usual transaction", "unusual transaction")</f>
        <v>unusual transaction</v>
      </c>
      <c r="Q2686" s="6" t="str">
        <f>IF(AND(Table1[[#This Row],[Country_of_Residence]]&lt;&gt;Table1[[#This Row],[Country_of_Transaction]], OR(Table1[[#This Row],[Authentication_Type]]="Biometric", Table1[[#This Row],[Authentication_Type]]="OTP")), "safe location transaction", "unsafe location transaction")</f>
        <v>unsafe location transaction</v>
      </c>
      <c r="R2686" s="6" t="str">
        <f>IF(AND(Table1[[#This Row],[Country_of_Residence]]&lt;&gt;Table1[[#This Row],[Country_of_Transaction]], OR(Table1[[#This Row],[Merchant_Category]]="Electronics", Table1[[#This Row],[Merchant_Category]]="Travel")), "unsafe merchant transaction", "safe merchant transaction")</f>
        <v>unsafe merchant transaction</v>
      </c>
    </row>
    <row r="2687" spans="1:18">
      <c r="A2687" t="s">
        <v>2832</v>
      </c>
      <c r="B2687" t="s">
        <v>365</v>
      </c>
      <c r="C2687">
        <v>1</v>
      </c>
      <c r="D2687" t="s">
        <v>9</v>
      </c>
      <c r="E2687" t="s">
        <v>420</v>
      </c>
      <c r="F2687" s="2">
        <v>45997</v>
      </c>
      <c r="G2687">
        <v>4756.1099999999997</v>
      </c>
      <c r="H2687" s="1">
        <f>AVERAGEIF(Table1[Customer_ID], Table1[[#This Row],[Customer_ID]], Table1[Transaction_Amount])</f>
        <v>4514.0678260869581</v>
      </c>
      <c r="I2687" t="s">
        <v>483</v>
      </c>
      <c r="J2687" t="s">
        <v>36</v>
      </c>
      <c r="K2687" t="s">
        <v>10</v>
      </c>
      <c r="L2687">
        <v>1</v>
      </c>
      <c r="M2687" t="s">
        <v>33</v>
      </c>
      <c r="N2687" t="s">
        <v>51</v>
      </c>
      <c r="O2687" t="s">
        <v>392</v>
      </c>
      <c r="P2687" s="6" t="str">
        <f>IF(Table1[[#This Row],[Transaction_Amount]]&lt;=Table1[[#This Row],[avg_transaction_amount]], "usual transaction", "unusual transaction")</f>
        <v>unusual transaction</v>
      </c>
      <c r="Q2687" s="6" t="str">
        <f>IF(AND(Table1[[#This Row],[Country_of_Residence]]&lt;&gt;Table1[[#This Row],[Country_of_Transaction]], OR(Table1[[#This Row],[Authentication_Type]]="Biometric", Table1[[#This Row],[Authentication_Type]]="OTP")), "safe location transaction", "unsafe location transaction")</f>
        <v>safe location transaction</v>
      </c>
      <c r="R2687" s="6" t="str">
        <f>IF(AND(Table1[[#This Row],[Country_of_Residence]]&lt;&gt;Table1[[#This Row],[Country_of_Transaction]], OR(Table1[[#This Row],[Merchant_Category]]="Electronics", Table1[[#This Row],[Merchant_Category]]="Travel")), "unsafe merchant transaction", "safe merchant transaction")</f>
        <v>safe merchant transaction</v>
      </c>
    </row>
    <row r="2688" spans="1:18">
      <c r="A2688" t="s">
        <v>2952</v>
      </c>
      <c r="B2688" t="s">
        <v>365</v>
      </c>
      <c r="C2688">
        <v>1</v>
      </c>
      <c r="D2688" t="s">
        <v>15</v>
      </c>
      <c r="E2688" t="s">
        <v>5</v>
      </c>
      <c r="F2688" s="2">
        <v>45850</v>
      </c>
      <c r="G2688">
        <v>6964.83</v>
      </c>
      <c r="H2688" s="1">
        <f>AVERAGEIF(Table1[Customer_ID], Table1[[#This Row],[Customer_ID]], Table1[Transaction_Amount])</f>
        <v>4514.0678260869581</v>
      </c>
      <c r="I2688" t="s">
        <v>600</v>
      </c>
      <c r="J2688" t="s">
        <v>50</v>
      </c>
      <c r="K2688" t="s">
        <v>10</v>
      </c>
      <c r="L2688">
        <v>4</v>
      </c>
      <c r="M2688" t="s">
        <v>55</v>
      </c>
      <c r="N2688" t="s">
        <v>33</v>
      </c>
      <c r="O2688" t="s">
        <v>392</v>
      </c>
      <c r="P2688" s="6" t="str">
        <f>IF(Table1[[#This Row],[Transaction_Amount]]&lt;=Table1[[#This Row],[avg_transaction_amount]], "usual transaction", "unusual transaction")</f>
        <v>unusual transaction</v>
      </c>
      <c r="Q2688" s="6" t="str">
        <f>IF(AND(Table1[[#This Row],[Country_of_Residence]]&lt;&gt;Table1[[#This Row],[Country_of_Transaction]], OR(Table1[[#This Row],[Authentication_Type]]="Biometric", Table1[[#This Row],[Authentication_Type]]="OTP")), "safe location transaction", "unsafe location transaction")</f>
        <v>safe location transaction</v>
      </c>
      <c r="R2688" s="6" t="str">
        <f>IF(AND(Table1[[#This Row],[Country_of_Residence]]&lt;&gt;Table1[[#This Row],[Country_of_Transaction]], OR(Table1[[#This Row],[Merchant_Category]]="Electronics", Table1[[#This Row],[Merchant_Category]]="Travel")), "unsafe merchant transaction", "safe merchant transaction")</f>
        <v>unsafe merchant transaction</v>
      </c>
    </row>
    <row r="2689" spans="1:18">
      <c r="A2689" t="s">
        <v>3032</v>
      </c>
      <c r="B2689" t="s">
        <v>365</v>
      </c>
      <c r="C2689">
        <v>1</v>
      </c>
      <c r="D2689" t="s">
        <v>15</v>
      </c>
      <c r="E2689" t="s">
        <v>5</v>
      </c>
      <c r="F2689" s="2">
        <v>45993</v>
      </c>
      <c r="G2689">
        <v>2623.59</v>
      </c>
      <c r="H2689" s="1">
        <f>AVERAGEIF(Table1[Customer_ID], Table1[[#This Row],[Customer_ID]], Table1[Transaction_Amount])</f>
        <v>4514.0678260869581</v>
      </c>
      <c r="I2689" t="s">
        <v>678</v>
      </c>
      <c r="J2689" t="s">
        <v>50</v>
      </c>
      <c r="K2689" t="s">
        <v>12</v>
      </c>
      <c r="L2689">
        <v>5</v>
      </c>
      <c r="M2689" t="s">
        <v>37</v>
      </c>
      <c r="N2689" t="s">
        <v>56</v>
      </c>
      <c r="O2689" t="s">
        <v>393</v>
      </c>
      <c r="P2689" s="6" t="str">
        <f>IF(Table1[[#This Row],[Transaction_Amount]]&lt;=Table1[[#This Row],[avg_transaction_amount]], "usual transaction", "unusual transaction")</f>
        <v>usual transaction</v>
      </c>
      <c r="Q2689" s="6" t="str">
        <f>IF(AND(Table1[[#This Row],[Country_of_Residence]]&lt;&gt;Table1[[#This Row],[Country_of_Transaction]], OR(Table1[[#This Row],[Authentication_Type]]="Biometric", Table1[[#This Row],[Authentication_Type]]="OTP")), "safe location transaction", "unsafe location transaction")</f>
        <v>unsafe location transaction</v>
      </c>
      <c r="R2689" s="6" t="str">
        <f>IF(AND(Table1[[#This Row],[Country_of_Residence]]&lt;&gt;Table1[[#This Row],[Country_of_Transaction]], OR(Table1[[#This Row],[Merchant_Category]]="Electronics", Table1[[#This Row],[Merchant_Category]]="Travel")), "unsafe merchant transaction", "safe merchant transaction")</f>
        <v>unsafe merchant transaction</v>
      </c>
    </row>
    <row r="2690" spans="1:18">
      <c r="A2690" t="s">
        <v>3062</v>
      </c>
      <c r="B2690" t="s">
        <v>365</v>
      </c>
      <c r="C2690">
        <v>1</v>
      </c>
      <c r="D2690" t="s">
        <v>9</v>
      </c>
      <c r="E2690" t="s">
        <v>3</v>
      </c>
      <c r="F2690" s="2">
        <v>45853</v>
      </c>
      <c r="G2690">
        <v>6488.84</v>
      </c>
      <c r="H2690" s="1">
        <f>AVERAGEIF(Table1[Customer_ID], Table1[[#This Row],[Customer_ID]], Table1[Transaction_Amount])</f>
        <v>4514.0678260869581</v>
      </c>
      <c r="I2690" t="s">
        <v>707</v>
      </c>
      <c r="J2690" t="s">
        <v>50</v>
      </c>
      <c r="K2690" t="s">
        <v>10</v>
      </c>
      <c r="L2690">
        <v>0</v>
      </c>
      <c r="M2690" t="s">
        <v>37</v>
      </c>
      <c r="N2690" t="s">
        <v>55</v>
      </c>
      <c r="O2690" t="s">
        <v>393</v>
      </c>
      <c r="P2690" s="6" t="str">
        <f>IF(Table1[[#This Row],[Transaction_Amount]]&lt;=Table1[[#This Row],[avg_transaction_amount]], "usual transaction", "unusual transaction")</f>
        <v>unusual transaction</v>
      </c>
      <c r="Q2690" s="6" t="str">
        <f>IF(AND(Table1[[#This Row],[Country_of_Residence]]&lt;&gt;Table1[[#This Row],[Country_of_Transaction]], OR(Table1[[#This Row],[Authentication_Type]]="Biometric", Table1[[#This Row],[Authentication_Type]]="OTP")), "safe location transaction", "unsafe location transaction")</f>
        <v>safe location transaction</v>
      </c>
      <c r="R2690" s="6" t="str">
        <f>IF(AND(Table1[[#This Row],[Country_of_Residence]]&lt;&gt;Table1[[#This Row],[Country_of_Transaction]], OR(Table1[[#This Row],[Merchant_Category]]="Electronics", Table1[[#This Row],[Merchant_Category]]="Travel")), "unsafe merchant transaction", "safe merchant transaction")</f>
        <v>unsafe merchant transaction</v>
      </c>
    </row>
    <row r="2691" spans="1:18">
      <c r="A2691" t="s">
        <v>3070</v>
      </c>
      <c r="B2691" t="s">
        <v>365</v>
      </c>
      <c r="C2691">
        <v>1</v>
      </c>
      <c r="D2691" t="s">
        <v>9</v>
      </c>
      <c r="E2691" t="s">
        <v>3</v>
      </c>
      <c r="F2691" s="2">
        <v>45702</v>
      </c>
      <c r="G2691">
        <v>6876.13</v>
      </c>
      <c r="H2691" s="1">
        <f>AVERAGEIF(Table1[Customer_ID], Table1[[#This Row],[Customer_ID]], Table1[Transaction_Amount])</f>
        <v>4514.0678260869581</v>
      </c>
      <c r="I2691" t="s">
        <v>714</v>
      </c>
      <c r="J2691" t="s">
        <v>46</v>
      </c>
      <c r="K2691" t="s">
        <v>14</v>
      </c>
      <c r="L2691">
        <v>4</v>
      </c>
      <c r="M2691" t="s">
        <v>32</v>
      </c>
      <c r="N2691" t="s">
        <v>55</v>
      </c>
      <c r="O2691" t="s">
        <v>393</v>
      </c>
      <c r="P2691" s="6" t="str">
        <f>IF(Table1[[#This Row],[Transaction_Amount]]&lt;=Table1[[#This Row],[avg_transaction_amount]], "usual transaction", "unusual transaction")</f>
        <v>unusual transaction</v>
      </c>
      <c r="Q2691" s="6" t="str">
        <f>IF(AND(Table1[[#This Row],[Country_of_Residence]]&lt;&gt;Table1[[#This Row],[Country_of_Transaction]], OR(Table1[[#This Row],[Authentication_Type]]="Biometric", Table1[[#This Row],[Authentication_Type]]="OTP")), "safe location transaction", "unsafe location transaction")</f>
        <v>unsafe location transaction</v>
      </c>
      <c r="R2691" s="6" t="str">
        <f>IF(AND(Table1[[#This Row],[Country_of_Residence]]&lt;&gt;Table1[[#This Row],[Country_of_Transaction]], OR(Table1[[#This Row],[Merchant_Category]]="Electronics", Table1[[#This Row],[Merchant_Category]]="Travel")), "unsafe merchant transaction", "safe merchant transaction")</f>
        <v>safe merchant transaction</v>
      </c>
    </row>
    <row r="2692" spans="1:18">
      <c r="A2692" t="s">
        <v>3111</v>
      </c>
      <c r="B2692" t="s">
        <v>365</v>
      </c>
      <c r="C2692">
        <v>1</v>
      </c>
      <c r="D2692" t="s">
        <v>9</v>
      </c>
      <c r="E2692" t="s">
        <v>5</v>
      </c>
      <c r="F2692" s="2">
        <v>45668</v>
      </c>
      <c r="G2692">
        <v>3379.83</v>
      </c>
      <c r="H2692" s="1">
        <f>AVERAGEIF(Table1[Customer_ID], Table1[[#This Row],[Customer_ID]], Table1[Transaction_Amount])</f>
        <v>4514.0678260869581</v>
      </c>
      <c r="I2692" t="s">
        <v>753</v>
      </c>
      <c r="J2692" t="s">
        <v>50</v>
      </c>
      <c r="K2692" t="s">
        <v>12</v>
      </c>
      <c r="L2692">
        <v>4</v>
      </c>
      <c r="M2692" t="s">
        <v>33</v>
      </c>
      <c r="N2692" t="s">
        <v>42</v>
      </c>
      <c r="O2692" t="s">
        <v>393</v>
      </c>
      <c r="P2692" s="6" t="str">
        <f>IF(Table1[[#This Row],[Transaction_Amount]]&lt;=Table1[[#This Row],[avg_transaction_amount]], "usual transaction", "unusual transaction")</f>
        <v>usual transaction</v>
      </c>
      <c r="Q2692" s="6" t="str">
        <f>IF(AND(Table1[[#This Row],[Country_of_Residence]]&lt;&gt;Table1[[#This Row],[Country_of_Transaction]], OR(Table1[[#This Row],[Authentication_Type]]="Biometric", Table1[[#This Row],[Authentication_Type]]="OTP")), "safe location transaction", "unsafe location transaction")</f>
        <v>unsafe location transaction</v>
      </c>
      <c r="R2692" s="6" t="str">
        <f>IF(AND(Table1[[#This Row],[Country_of_Residence]]&lt;&gt;Table1[[#This Row],[Country_of_Transaction]], OR(Table1[[#This Row],[Merchant_Category]]="Electronics", Table1[[#This Row],[Merchant_Category]]="Travel")), "unsafe merchant transaction", "safe merchant transaction")</f>
        <v>unsafe merchant transaction</v>
      </c>
    </row>
    <row r="2693" spans="1:18">
      <c r="A2693" t="s">
        <v>3227</v>
      </c>
      <c r="B2693" t="s">
        <v>365</v>
      </c>
      <c r="C2693">
        <v>1</v>
      </c>
      <c r="D2693" t="s">
        <v>15</v>
      </c>
      <c r="E2693" t="s">
        <v>3</v>
      </c>
      <c r="F2693" s="2">
        <v>45899</v>
      </c>
      <c r="G2693">
        <v>4155.32</v>
      </c>
      <c r="H2693" s="1">
        <f>AVERAGEIF(Table1[Customer_ID], Table1[[#This Row],[Customer_ID]], Table1[Transaction_Amount])</f>
        <v>4514.0678260869581</v>
      </c>
      <c r="I2693" t="s">
        <v>860</v>
      </c>
      <c r="J2693" t="s">
        <v>31</v>
      </c>
      <c r="K2693" t="s">
        <v>8</v>
      </c>
      <c r="L2693">
        <v>1</v>
      </c>
      <c r="M2693" t="s">
        <v>55</v>
      </c>
      <c r="N2693" t="s">
        <v>47</v>
      </c>
      <c r="O2693" t="s">
        <v>392</v>
      </c>
      <c r="P2693" s="6" t="str">
        <f>IF(Table1[[#This Row],[Transaction_Amount]]&lt;=Table1[[#This Row],[avg_transaction_amount]], "usual transaction", "unusual transaction")</f>
        <v>usual transaction</v>
      </c>
      <c r="Q2693" s="6" t="str">
        <f>IF(AND(Table1[[#This Row],[Country_of_Residence]]&lt;&gt;Table1[[#This Row],[Country_of_Transaction]], OR(Table1[[#This Row],[Authentication_Type]]="Biometric", Table1[[#This Row],[Authentication_Type]]="OTP")), "safe location transaction", "unsafe location transaction")</f>
        <v>safe location transaction</v>
      </c>
      <c r="R2693" s="6" t="str">
        <f>IF(AND(Table1[[#This Row],[Country_of_Residence]]&lt;&gt;Table1[[#This Row],[Country_of_Transaction]], OR(Table1[[#This Row],[Merchant_Category]]="Electronics", Table1[[#This Row],[Merchant_Category]]="Travel")), "unsafe merchant transaction", "safe merchant transaction")</f>
        <v>safe merchant transaction</v>
      </c>
    </row>
    <row r="2694" spans="1:18">
      <c r="A2694" t="s">
        <v>3360</v>
      </c>
      <c r="B2694" t="s">
        <v>365</v>
      </c>
      <c r="C2694">
        <v>1</v>
      </c>
      <c r="D2694" t="s">
        <v>15</v>
      </c>
      <c r="E2694" t="s">
        <v>5</v>
      </c>
      <c r="F2694" s="2">
        <v>45756</v>
      </c>
      <c r="G2694">
        <v>697.24</v>
      </c>
      <c r="H2694" s="1">
        <f>AVERAGEIF(Table1[Customer_ID], Table1[[#This Row],[Customer_ID]], Table1[Transaction_Amount])</f>
        <v>4514.0678260869581</v>
      </c>
      <c r="I2694" t="s">
        <v>984</v>
      </c>
      <c r="J2694" t="s">
        <v>41</v>
      </c>
      <c r="K2694" t="s">
        <v>14</v>
      </c>
      <c r="L2694">
        <v>5</v>
      </c>
      <c r="M2694" t="s">
        <v>33</v>
      </c>
      <c r="N2694" t="s">
        <v>47</v>
      </c>
      <c r="O2694" t="s">
        <v>392</v>
      </c>
      <c r="P2694" s="6" t="str">
        <f>IF(Table1[[#This Row],[Transaction_Amount]]&lt;=Table1[[#This Row],[avg_transaction_amount]], "usual transaction", "unusual transaction")</f>
        <v>usual transaction</v>
      </c>
      <c r="Q2694" s="6" t="str">
        <f>IF(AND(Table1[[#This Row],[Country_of_Residence]]&lt;&gt;Table1[[#This Row],[Country_of_Transaction]], OR(Table1[[#This Row],[Authentication_Type]]="Biometric", Table1[[#This Row],[Authentication_Type]]="OTP")), "safe location transaction", "unsafe location transaction")</f>
        <v>unsafe location transaction</v>
      </c>
      <c r="R2694" s="6" t="str">
        <f>IF(AND(Table1[[#This Row],[Country_of_Residence]]&lt;&gt;Table1[[#This Row],[Country_of_Transaction]], OR(Table1[[#This Row],[Merchant_Category]]="Electronics", Table1[[#This Row],[Merchant_Category]]="Travel")), "unsafe merchant transaction", "safe merchant transaction")</f>
        <v>safe merchant transaction</v>
      </c>
    </row>
    <row r="2695" spans="1:18">
      <c r="A2695" t="s">
        <v>3431</v>
      </c>
      <c r="B2695" t="s">
        <v>365</v>
      </c>
      <c r="C2695">
        <v>1</v>
      </c>
      <c r="D2695" t="s">
        <v>15</v>
      </c>
      <c r="E2695" t="s">
        <v>5</v>
      </c>
      <c r="F2695" s="2">
        <v>45852</v>
      </c>
      <c r="G2695">
        <v>9422.98</v>
      </c>
      <c r="H2695" s="1">
        <f>AVERAGEIF(Table1[Customer_ID], Table1[[#This Row],[Customer_ID]], Table1[Transaction_Amount])</f>
        <v>4514.0678260869581</v>
      </c>
      <c r="I2695" t="s">
        <v>1050</v>
      </c>
      <c r="J2695" t="s">
        <v>50</v>
      </c>
      <c r="K2695" t="s">
        <v>10</v>
      </c>
      <c r="L2695">
        <v>4</v>
      </c>
      <c r="M2695" t="s">
        <v>33</v>
      </c>
      <c r="N2695" t="s">
        <v>55</v>
      </c>
      <c r="O2695" t="s">
        <v>393</v>
      </c>
      <c r="P2695" s="6" t="str">
        <f>IF(Table1[[#This Row],[Transaction_Amount]]&lt;=Table1[[#This Row],[avg_transaction_amount]], "usual transaction", "unusual transaction")</f>
        <v>unusual transaction</v>
      </c>
      <c r="Q2695" s="6" t="str">
        <f>IF(AND(Table1[[#This Row],[Country_of_Residence]]&lt;&gt;Table1[[#This Row],[Country_of_Transaction]], OR(Table1[[#This Row],[Authentication_Type]]="Biometric", Table1[[#This Row],[Authentication_Type]]="OTP")), "safe location transaction", "unsafe location transaction")</f>
        <v>safe location transaction</v>
      </c>
      <c r="R2695" s="6" t="str">
        <f>IF(AND(Table1[[#This Row],[Country_of_Residence]]&lt;&gt;Table1[[#This Row],[Country_of_Transaction]], OR(Table1[[#This Row],[Merchant_Category]]="Electronics", Table1[[#This Row],[Merchant_Category]]="Travel")), "unsafe merchant transaction", "safe merchant transaction")</f>
        <v>unsafe merchant transaction</v>
      </c>
    </row>
    <row r="2696" spans="1:18">
      <c r="A2696" t="s">
        <v>3457</v>
      </c>
      <c r="B2696" t="s">
        <v>365</v>
      </c>
      <c r="C2696">
        <v>1</v>
      </c>
      <c r="D2696" t="s">
        <v>15</v>
      </c>
      <c r="E2696" t="s">
        <v>420</v>
      </c>
      <c r="F2696" s="2">
        <v>45744</v>
      </c>
      <c r="G2696">
        <v>6628.68</v>
      </c>
      <c r="H2696" s="1">
        <f>AVERAGEIF(Table1[Customer_ID], Table1[[#This Row],[Customer_ID]], Table1[Transaction_Amount])</f>
        <v>4514.0678260869581</v>
      </c>
      <c r="I2696" t="s">
        <v>1075</v>
      </c>
      <c r="J2696" t="s">
        <v>46</v>
      </c>
      <c r="K2696" t="s">
        <v>12</v>
      </c>
      <c r="L2696">
        <v>0</v>
      </c>
      <c r="M2696" t="s">
        <v>51</v>
      </c>
      <c r="N2696" t="s">
        <v>42</v>
      </c>
      <c r="O2696" t="s">
        <v>393</v>
      </c>
      <c r="P2696" s="6" t="str">
        <f>IF(Table1[[#This Row],[Transaction_Amount]]&lt;=Table1[[#This Row],[avg_transaction_amount]], "usual transaction", "unusual transaction")</f>
        <v>unusual transaction</v>
      </c>
      <c r="Q2696" s="6" t="str">
        <f>IF(AND(Table1[[#This Row],[Country_of_Residence]]&lt;&gt;Table1[[#This Row],[Country_of_Transaction]], OR(Table1[[#This Row],[Authentication_Type]]="Biometric", Table1[[#This Row],[Authentication_Type]]="OTP")), "safe location transaction", "unsafe location transaction")</f>
        <v>unsafe location transaction</v>
      </c>
      <c r="R2696" s="6" t="str">
        <f>IF(AND(Table1[[#This Row],[Country_of_Residence]]&lt;&gt;Table1[[#This Row],[Country_of_Transaction]], OR(Table1[[#This Row],[Merchant_Category]]="Electronics", Table1[[#This Row],[Merchant_Category]]="Travel")), "unsafe merchant transaction", "safe merchant transaction")</f>
        <v>safe merchant transaction</v>
      </c>
    </row>
    <row r="2697" spans="1:18">
      <c r="A2697" t="s">
        <v>3503</v>
      </c>
      <c r="B2697" t="s">
        <v>365</v>
      </c>
      <c r="C2697">
        <v>1</v>
      </c>
      <c r="D2697" t="s">
        <v>15</v>
      </c>
      <c r="E2697" t="s">
        <v>3</v>
      </c>
      <c r="F2697" s="2">
        <v>45958</v>
      </c>
      <c r="G2697">
        <v>5060.6099999999997</v>
      </c>
      <c r="H2697" s="1">
        <f>AVERAGEIF(Table1[Customer_ID], Table1[[#This Row],[Customer_ID]], Table1[Transaction_Amount])</f>
        <v>4514.0678260869581</v>
      </c>
      <c r="I2697" t="s">
        <v>1118</v>
      </c>
      <c r="J2697" t="s">
        <v>41</v>
      </c>
      <c r="K2697" t="s">
        <v>10</v>
      </c>
      <c r="L2697">
        <v>2</v>
      </c>
      <c r="M2697" t="s">
        <v>42</v>
      </c>
      <c r="N2697" t="s">
        <v>42</v>
      </c>
      <c r="O2697" t="s">
        <v>393</v>
      </c>
      <c r="P2697" s="6" t="str">
        <f>IF(Table1[[#This Row],[Transaction_Amount]]&lt;=Table1[[#This Row],[avg_transaction_amount]], "usual transaction", "unusual transaction")</f>
        <v>unusual transaction</v>
      </c>
      <c r="Q2697" s="6" t="str">
        <f>IF(AND(Table1[[#This Row],[Country_of_Residence]]&lt;&gt;Table1[[#This Row],[Country_of_Transaction]], OR(Table1[[#This Row],[Authentication_Type]]="Biometric", Table1[[#This Row],[Authentication_Type]]="OTP")), "safe location transaction", "unsafe location transaction")</f>
        <v>unsafe location transaction</v>
      </c>
      <c r="R2697" s="6" t="str">
        <f>IF(AND(Table1[[#This Row],[Country_of_Residence]]&lt;&gt;Table1[[#This Row],[Country_of_Transaction]], OR(Table1[[#This Row],[Merchant_Category]]="Electronics", Table1[[#This Row],[Merchant_Category]]="Travel")), "unsafe merchant transaction", "safe merchant transaction")</f>
        <v>safe merchant transaction</v>
      </c>
    </row>
    <row r="2698" spans="1:18">
      <c r="A2698" t="s">
        <v>3680</v>
      </c>
      <c r="B2698" t="s">
        <v>365</v>
      </c>
      <c r="C2698">
        <v>1</v>
      </c>
      <c r="D2698" t="s">
        <v>15</v>
      </c>
      <c r="E2698" t="s">
        <v>420</v>
      </c>
      <c r="F2698" s="2">
        <v>45717</v>
      </c>
      <c r="G2698">
        <v>2605.7399999999998</v>
      </c>
      <c r="H2698" s="1">
        <f>AVERAGEIF(Table1[Customer_ID], Table1[[#This Row],[Customer_ID]], Table1[Transaction_Amount])</f>
        <v>4514.0678260869581</v>
      </c>
      <c r="I2698" t="s">
        <v>1280</v>
      </c>
      <c r="J2698" t="s">
        <v>50</v>
      </c>
      <c r="K2698" t="s">
        <v>12</v>
      </c>
      <c r="L2698">
        <v>5</v>
      </c>
      <c r="M2698" t="s">
        <v>412</v>
      </c>
      <c r="N2698" t="s">
        <v>51</v>
      </c>
      <c r="O2698" t="s">
        <v>393</v>
      </c>
      <c r="P2698" s="6" t="str">
        <f>IF(Table1[[#This Row],[Transaction_Amount]]&lt;=Table1[[#This Row],[avg_transaction_amount]], "usual transaction", "unusual transaction")</f>
        <v>usual transaction</v>
      </c>
      <c r="Q2698" s="6" t="str">
        <f>IF(AND(Table1[[#This Row],[Country_of_Residence]]&lt;&gt;Table1[[#This Row],[Country_of_Transaction]], OR(Table1[[#This Row],[Authentication_Type]]="Biometric", Table1[[#This Row],[Authentication_Type]]="OTP")), "safe location transaction", "unsafe location transaction")</f>
        <v>unsafe location transaction</v>
      </c>
      <c r="R2698" s="6" t="str">
        <f>IF(AND(Table1[[#This Row],[Country_of_Residence]]&lt;&gt;Table1[[#This Row],[Country_of_Transaction]], OR(Table1[[#This Row],[Merchant_Category]]="Electronics", Table1[[#This Row],[Merchant_Category]]="Travel")), "unsafe merchant transaction", "safe merchant transaction")</f>
        <v>unsafe merchant transaction</v>
      </c>
    </row>
    <row r="2699" spans="1:18">
      <c r="A2699" t="s">
        <v>3691</v>
      </c>
      <c r="B2699" t="s">
        <v>365</v>
      </c>
      <c r="C2699">
        <v>1</v>
      </c>
      <c r="D2699" t="s">
        <v>9</v>
      </c>
      <c r="E2699" t="s">
        <v>6</v>
      </c>
      <c r="F2699" s="2">
        <v>45740</v>
      </c>
      <c r="G2699">
        <v>6033.36</v>
      </c>
      <c r="H2699" s="1">
        <f>AVERAGEIF(Table1[Customer_ID], Table1[[#This Row],[Customer_ID]], Table1[Transaction_Amount])</f>
        <v>4514.0678260869581</v>
      </c>
      <c r="I2699" t="s">
        <v>1290</v>
      </c>
      <c r="J2699" t="s">
        <v>46</v>
      </c>
      <c r="K2699" t="s">
        <v>12</v>
      </c>
      <c r="L2699">
        <v>3</v>
      </c>
      <c r="M2699" t="s">
        <v>55</v>
      </c>
      <c r="N2699" t="s">
        <v>51</v>
      </c>
      <c r="O2699" t="s">
        <v>392</v>
      </c>
      <c r="P2699" s="6" t="str">
        <f>IF(Table1[[#This Row],[Transaction_Amount]]&lt;=Table1[[#This Row],[avg_transaction_amount]], "usual transaction", "unusual transaction")</f>
        <v>unusual transaction</v>
      </c>
      <c r="Q2699" s="6" t="str">
        <f>IF(AND(Table1[[#This Row],[Country_of_Residence]]&lt;&gt;Table1[[#This Row],[Country_of_Transaction]], OR(Table1[[#This Row],[Authentication_Type]]="Biometric", Table1[[#This Row],[Authentication_Type]]="OTP")), "safe location transaction", "unsafe location transaction")</f>
        <v>unsafe location transaction</v>
      </c>
      <c r="R2699" s="6" t="str">
        <f>IF(AND(Table1[[#This Row],[Country_of_Residence]]&lt;&gt;Table1[[#This Row],[Country_of_Transaction]], OR(Table1[[#This Row],[Merchant_Category]]="Electronics", Table1[[#This Row],[Merchant_Category]]="Travel")), "unsafe merchant transaction", "safe merchant transaction")</f>
        <v>safe merchant transaction</v>
      </c>
    </row>
    <row r="2700" spans="1:18">
      <c r="A2700" t="s">
        <v>3778</v>
      </c>
      <c r="B2700" t="s">
        <v>365</v>
      </c>
      <c r="C2700">
        <v>1</v>
      </c>
      <c r="D2700" t="s">
        <v>9</v>
      </c>
      <c r="E2700" t="s">
        <v>420</v>
      </c>
      <c r="F2700" s="2">
        <v>45754</v>
      </c>
      <c r="G2700">
        <v>527.16</v>
      </c>
      <c r="H2700" s="1">
        <f>AVERAGEIF(Table1[Customer_ID], Table1[[#This Row],[Customer_ID]], Table1[Transaction_Amount])</f>
        <v>4514.0678260869581</v>
      </c>
      <c r="I2700" t="s">
        <v>1366</v>
      </c>
      <c r="J2700" t="s">
        <v>31</v>
      </c>
      <c r="K2700" t="s">
        <v>8</v>
      </c>
      <c r="L2700">
        <v>5</v>
      </c>
      <c r="M2700" t="s">
        <v>33</v>
      </c>
      <c r="N2700" t="s">
        <v>33</v>
      </c>
      <c r="O2700" t="s">
        <v>392</v>
      </c>
      <c r="P2700" s="6" t="str">
        <f>IF(Table1[[#This Row],[Transaction_Amount]]&lt;=Table1[[#This Row],[avg_transaction_amount]], "usual transaction", "unusual transaction")</f>
        <v>usual transaction</v>
      </c>
      <c r="Q2700" s="6" t="str">
        <f>IF(AND(Table1[[#This Row],[Country_of_Residence]]&lt;&gt;Table1[[#This Row],[Country_of_Transaction]], OR(Table1[[#This Row],[Authentication_Type]]="Biometric", Table1[[#This Row],[Authentication_Type]]="OTP")), "safe location transaction", "unsafe location transaction")</f>
        <v>unsafe location transaction</v>
      </c>
      <c r="R2700" s="6" t="str">
        <f>IF(AND(Table1[[#This Row],[Country_of_Residence]]&lt;&gt;Table1[[#This Row],[Country_of_Transaction]], OR(Table1[[#This Row],[Merchant_Category]]="Electronics", Table1[[#This Row],[Merchant_Category]]="Travel")), "unsafe merchant transaction", "safe merchant transaction")</f>
        <v>safe merchant transaction</v>
      </c>
    </row>
    <row r="2701" spans="1:18">
      <c r="A2701" t="s">
        <v>3853</v>
      </c>
      <c r="B2701" t="s">
        <v>365</v>
      </c>
      <c r="C2701">
        <v>1</v>
      </c>
      <c r="D2701" t="s">
        <v>15</v>
      </c>
      <c r="E2701" t="s">
        <v>6</v>
      </c>
      <c r="F2701" s="2">
        <v>45985</v>
      </c>
      <c r="G2701">
        <v>4109.58</v>
      </c>
      <c r="H2701" s="1">
        <f>AVERAGEIF(Table1[Customer_ID], Table1[[#This Row],[Customer_ID]], Table1[Transaction_Amount])</f>
        <v>4514.0678260869581</v>
      </c>
      <c r="I2701" t="s">
        <v>1428</v>
      </c>
      <c r="J2701" t="s">
        <v>46</v>
      </c>
      <c r="K2701" t="s">
        <v>12</v>
      </c>
      <c r="L2701">
        <v>5</v>
      </c>
      <c r="M2701" t="s">
        <v>412</v>
      </c>
      <c r="N2701" t="s">
        <v>33</v>
      </c>
      <c r="O2701" t="s">
        <v>392</v>
      </c>
      <c r="P2701" s="6" t="str">
        <f>IF(Table1[[#This Row],[Transaction_Amount]]&lt;=Table1[[#This Row],[avg_transaction_amount]], "usual transaction", "unusual transaction")</f>
        <v>usual transaction</v>
      </c>
      <c r="Q2701" s="6" t="str">
        <f>IF(AND(Table1[[#This Row],[Country_of_Residence]]&lt;&gt;Table1[[#This Row],[Country_of_Transaction]], OR(Table1[[#This Row],[Authentication_Type]]="Biometric", Table1[[#This Row],[Authentication_Type]]="OTP")), "safe location transaction", "unsafe location transaction")</f>
        <v>unsafe location transaction</v>
      </c>
      <c r="R2701" s="6" t="str">
        <f>IF(AND(Table1[[#This Row],[Country_of_Residence]]&lt;&gt;Table1[[#This Row],[Country_of_Transaction]], OR(Table1[[#This Row],[Merchant_Category]]="Electronics", Table1[[#This Row],[Merchant_Category]]="Travel")), "unsafe merchant transaction", "safe merchant transaction")</f>
        <v>safe merchant transaction</v>
      </c>
    </row>
    <row r="2702" spans="1:18">
      <c r="A2702" t="s">
        <v>3884</v>
      </c>
      <c r="B2702" t="s">
        <v>365</v>
      </c>
      <c r="C2702">
        <v>1</v>
      </c>
      <c r="D2702" t="s">
        <v>9</v>
      </c>
      <c r="E2702" t="s">
        <v>3</v>
      </c>
      <c r="F2702" s="2">
        <v>45935</v>
      </c>
      <c r="G2702">
        <v>8886.7800000000007</v>
      </c>
      <c r="H2702" s="1">
        <f>AVERAGEIF(Table1[Customer_ID], Table1[[#This Row],[Customer_ID]], Table1[Transaction_Amount])</f>
        <v>4514.0678260869581</v>
      </c>
      <c r="I2702" t="s">
        <v>956</v>
      </c>
      <c r="J2702" t="s">
        <v>36</v>
      </c>
      <c r="K2702" t="s">
        <v>8</v>
      </c>
      <c r="L2702">
        <v>4</v>
      </c>
      <c r="M2702" t="s">
        <v>51</v>
      </c>
      <c r="N2702" t="s">
        <v>51</v>
      </c>
      <c r="O2702" t="s">
        <v>392</v>
      </c>
      <c r="P2702" s="6" t="str">
        <f>IF(Table1[[#This Row],[Transaction_Amount]]&lt;=Table1[[#This Row],[avg_transaction_amount]], "usual transaction", "unusual transaction")</f>
        <v>unusual transaction</v>
      </c>
      <c r="Q2702" s="6" t="str">
        <f>IF(AND(Table1[[#This Row],[Country_of_Residence]]&lt;&gt;Table1[[#This Row],[Country_of_Transaction]], OR(Table1[[#This Row],[Authentication_Type]]="Biometric", Table1[[#This Row],[Authentication_Type]]="OTP")), "safe location transaction", "unsafe location transaction")</f>
        <v>unsafe location transaction</v>
      </c>
      <c r="R2702" s="6" t="str">
        <f>IF(AND(Table1[[#This Row],[Country_of_Residence]]&lt;&gt;Table1[[#This Row],[Country_of_Transaction]], OR(Table1[[#This Row],[Merchant_Category]]="Electronics", Table1[[#This Row],[Merchant_Category]]="Travel")), "unsafe merchant transaction", "safe merchant transaction")</f>
        <v>safe merchant transaction</v>
      </c>
    </row>
    <row r="2703" spans="1:18">
      <c r="A2703" t="s">
        <v>3933</v>
      </c>
      <c r="B2703" t="s">
        <v>365</v>
      </c>
      <c r="C2703">
        <v>1</v>
      </c>
      <c r="D2703" t="s">
        <v>9</v>
      </c>
      <c r="E2703" t="s">
        <v>3</v>
      </c>
      <c r="F2703" s="2">
        <v>45726</v>
      </c>
      <c r="G2703">
        <v>8383.32</v>
      </c>
      <c r="H2703" s="1">
        <f>AVERAGEIF(Table1[Customer_ID], Table1[[#This Row],[Customer_ID]], Table1[Transaction_Amount])</f>
        <v>4514.0678260869581</v>
      </c>
      <c r="I2703" t="s">
        <v>1497</v>
      </c>
      <c r="J2703" t="s">
        <v>41</v>
      </c>
      <c r="K2703" t="s">
        <v>10</v>
      </c>
      <c r="L2703">
        <v>4</v>
      </c>
      <c r="M2703" t="s">
        <v>42</v>
      </c>
      <c r="N2703" t="s">
        <v>47</v>
      </c>
      <c r="O2703" t="s">
        <v>393</v>
      </c>
      <c r="P2703" s="6" t="str">
        <f>IF(Table1[[#This Row],[Transaction_Amount]]&lt;=Table1[[#This Row],[avg_transaction_amount]], "usual transaction", "unusual transaction")</f>
        <v>unusual transaction</v>
      </c>
      <c r="Q2703" s="6" t="str">
        <f>IF(AND(Table1[[#This Row],[Country_of_Residence]]&lt;&gt;Table1[[#This Row],[Country_of_Transaction]], OR(Table1[[#This Row],[Authentication_Type]]="Biometric", Table1[[#This Row],[Authentication_Type]]="OTP")), "safe location transaction", "unsafe location transaction")</f>
        <v>safe location transaction</v>
      </c>
      <c r="R2703" s="6" t="str">
        <f>IF(AND(Table1[[#This Row],[Country_of_Residence]]&lt;&gt;Table1[[#This Row],[Country_of_Transaction]], OR(Table1[[#This Row],[Merchant_Category]]="Electronics", Table1[[#This Row],[Merchant_Category]]="Travel")), "unsafe merchant transaction", "safe merchant transaction")</f>
        <v>safe merchant transaction</v>
      </c>
    </row>
    <row r="2704" spans="1:18">
      <c r="A2704" t="s">
        <v>3991</v>
      </c>
      <c r="B2704" t="s">
        <v>365</v>
      </c>
      <c r="C2704">
        <v>1</v>
      </c>
      <c r="D2704" t="s">
        <v>15</v>
      </c>
      <c r="E2704" t="s">
        <v>5</v>
      </c>
      <c r="F2704" s="2">
        <v>45779</v>
      </c>
      <c r="G2704">
        <v>476.39</v>
      </c>
      <c r="H2704" s="1">
        <f>AVERAGEIF(Table1[Customer_ID], Table1[[#This Row],[Customer_ID]], Table1[Transaction_Amount])</f>
        <v>4514.0678260869581</v>
      </c>
      <c r="I2704" t="s">
        <v>1550</v>
      </c>
      <c r="J2704" t="s">
        <v>36</v>
      </c>
      <c r="K2704" t="s">
        <v>8</v>
      </c>
      <c r="L2704">
        <v>5</v>
      </c>
      <c r="M2704" t="s">
        <v>412</v>
      </c>
      <c r="N2704" t="s">
        <v>33</v>
      </c>
      <c r="O2704" t="s">
        <v>392</v>
      </c>
      <c r="P2704" s="6" t="str">
        <f>IF(Table1[[#This Row],[Transaction_Amount]]&lt;=Table1[[#This Row],[avg_transaction_amount]], "usual transaction", "unusual transaction")</f>
        <v>usual transaction</v>
      </c>
      <c r="Q2704" s="6" t="str">
        <f>IF(AND(Table1[[#This Row],[Country_of_Residence]]&lt;&gt;Table1[[#This Row],[Country_of_Transaction]], OR(Table1[[#This Row],[Authentication_Type]]="Biometric", Table1[[#This Row],[Authentication_Type]]="OTP")), "safe location transaction", "unsafe location transaction")</f>
        <v>safe location transaction</v>
      </c>
      <c r="R2704" s="6" t="str">
        <f>IF(AND(Table1[[#This Row],[Country_of_Residence]]&lt;&gt;Table1[[#This Row],[Country_of_Transaction]], OR(Table1[[#This Row],[Merchant_Category]]="Electronics", Table1[[#This Row],[Merchant_Category]]="Travel")), "unsafe merchant transaction", "safe merchant transaction")</f>
        <v>safe merchant transaction</v>
      </c>
    </row>
    <row r="2705" spans="1:18">
      <c r="A2705" t="s">
        <v>4010</v>
      </c>
      <c r="B2705" t="s">
        <v>365</v>
      </c>
      <c r="C2705">
        <v>1</v>
      </c>
      <c r="D2705" t="s">
        <v>9</v>
      </c>
      <c r="E2705" t="s">
        <v>420</v>
      </c>
      <c r="F2705" s="2">
        <v>45682</v>
      </c>
      <c r="G2705">
        <v>8730.86</v>
      </c>
      <c r="H2705" s="1">
        <f>AVERAGEIF(Table1[Customer_ID], Table1[[#This Row],[Customer_ID]], Table1[Transaction_Amount])</f>
        <v>4514.0678260869581</v>
      </c>
      <c r="I2705" t="s">
        <v>1337</v>
      </c>
      <c r="J2705" t="s">
        <v>50</v>
      </c>
      <c r="K2705" t="s">
        <v>10</v>
      </c>
      <c r="L2705">
        <v>3</v>
      </c>
      <c r="M2705" t="s">
        <v>33</v>
      </c>
      <c r="N2705" t="s">
        <v>33</v>
      </c>
      <c r="O2705" t="s">
        <v>393</v>
      </c>
      <c r="P2705" s="6" t="str">
        <f>IF(Table1[[#This Row],[Transaction_Amount]]&lt;=Table1[[#This Row],[avg_transaction_amount]], "usual transaction", "unusual transaction")</f>
        <v>unusual transaction</v>
      </c>
      <c r="Q2705" s="6" t="str">
        <f>IF(AND(Table1[[#This Row],[Country_of_Residence]]&lt;&gt;Table1[[#This Row],[Country_of_Transaction]], OR(Table1[[#This Row],[Authentication_Type]]="Biometric", Table1[[#This Row],[Authentication_Type]]="OTP")), "safe location transaction", "unsafe location transaction")</f>
        <v>unsafe location transaction</v>
      </c>
      <c r="R2705" s="6" t="str">
        <f>IF(AND(Table1[[#This Row],[Country_of_Residence]]&lt;&gt;Table1[[#This Row],[Country_of_Transaction]], OR(Table1[[#This Row],[Merchant_Category]]="Electronics", Table1[[#This Row],[Merchant_Category]]="Travel")), "unsafe merchant transaction", "safe merchant transaction")</f>
        <v>safe merchant transaction</v>
      </c>
    </row>
    <row r="2706" spans="1:18">
      <c r="A2706" t="s">
        <v>4019</v>
      </c>
      <c r="B2706" t="s">
        <v>365</v>
      </c>
      <c r="C2706">
        <v>1</v>
      </c>
      <c r="D2706" t="s">
        <v>9</v>
      </c>
      <c r="E2706" t="s">
        <v>420</v>
      </c>
      <c r="F2706" s="2">
        <v>46006</v>
      </c>
      <c r="G2706">
        <v>278.04000000000002</v>
      </c>
      <c r="H2706" s="1">
        <f>AVERAGEIF(Table1[Customer_ID], Table1[[#This Row],[Customer_ID]], Table1[Transaction_Amount])</f>
        <v>4514.0678260869581</v>
      </c>
      <c r="I2706" t="s">
        <v>1575</v>
      </c>
      <c r="J2706" t="s">
        <v>36</v>
      </c>
      <c r="K2706" t="s">
        <v>10</v>
      </c>
      <c r="L2706">
        <v>3</v>
      </c>
      <c r="M2706" t="s">
        <v>47</v>
      </c>
      <c r="N2706" t="s">
        <v>55</v>
      </c>
      <c r="O2706" t="s">
        <v>393</v>
      </c>
      <c r="P2706" s="6" t="str">
        <f>IF(Table1[[#This Row],[Transaction_Amount]]&lt;=Table1[[#This Row],[avg_transaction_amount]], "usual transaction", "unusual transaction")</f>
        <v>usual transaction</v>
      </c>
      <c r="Q2706" s="6" t="str">
        <f>IF(AND(Table1[[#This Row],[Country_of_Residence]]&lt;&gt;Table1[[#This Row],[Country_of_Transaction]], OR(Table1[[#This Row],[Authentication_Type]]="Biometric", Table1[[#This Row],[Authentication_Type]]="OTP")), "safe location transaction", "unsafe location transaction")</f>
        <v>safe location transaction</v>
      </c>
      <c r="R2706" s="6" t="str">
        <f>IF(AND(Table1[[#This Row],[Country_of_Residence]]&lt;&gt;Table1[[#This Row],[Country_of_Transaction]], OR(Table1[[#This Row],[Merchant_Category]]="Electronics", Table1[[#This Row],[Merchant_Category]]="Travel")), "unsafe merchant transaction", "safe merchant transaction")</f>
        <v>safe merchant transaction</v>
      </c>
    </row>
    <row r="2707" spans="1:18">
      <c r="A2707" t="s">
        <v>4045</v>
      </c>
      <c r="B2707" t="s">
        <v>365</v>
      </c>
      <c r="C2707">
        <v>1</v>
      </c>
      <c r="D2707" t="s">
        <v>15</v>
      </c>
      <c r="E2707" t="s">
        <v>5</v>
      </c>
      <c r="F2707" s="2">
        <v>45805</v>
      </c>
      <c r="G2707">
        <v>113.34</v>
      </c>
      <c r="H2707" s="1">
        <f>AVERAGEIF(Table1[Customer_ID], Table1[[#This Row],[Customer_ID]], Table1[Transaction_Amount])</f>
        <v>4514.0678260869581</v>
      </c>
      <c r="I2707" t="s">
        <v>1599</v>
      </c>
      <c r="J2707" t="s">
        <v>41</v>
      </c>
      <c r="K2707" t="s">
        <v>12</v>
      </c>
      <c r="L2707">
        <v>1</v>
      </c>
      <c r="M2707" t="s">
        <v>33</v>
      </c>
      <c r="N2707" t="s">
        <v>32</v>
      </c>
      <c r="O2707" t="s">
        <v>392</v>
      </c>
      <c r="P2707" s="6" t="str">
        <f>IF(Table1[[#This Row],[Transaction_Amount]]&lt;=Table1[[#This Row],[avg_transaction_amount]], "usual transaction", "unusual transaction")</f>
        <v>usual transaction</v>
      </c>
      <c r="Q2707" s="6" t="str">
        <f>IF(AND(Table1[[#This Row],[Country_of_Residence]]&lt;&gt;Table1[[#This Row],[Country_of_Transaction]], OR(Table1[[#This Row],[Authentication_Type]]="Biometric", Table1[[#This Row],[Authentication_Type]]="OTP")), "safe location transaction", "unsafe location transaction")</f>
        <v>unsafe location transaction</v>
      </c>
      <c r="R2707" s="6" t="str">
        <f>IF(AND(Table1[[#This Row],[Country_of_Residence]]&lt;&gt;Table1[[#This Row],[Country_of_Transaction]], OR(Table1[[#This Row],[Merchant_Category]]="Electronics", Table1[[#This Row],[Merchant_Category]]="Travel")), "unsafe merchant transaction", "safe merchant transaction")</f>
        <v>safe merchant transaction</v>
      </c>
    </row>
    <row r="2708" spans="1:18">
      <c r="A2708" t="s">
        <v>4369</v>
      </c>
      <c r="B2708" t="s">
        <v>365</v>
      </c>
      <c r="C2708">
        <v>1</v>
      </c>
      <c r="D2708" t="s">
        <v>15</v>
      </c>
      <c r="E2708" t="s">
        <v>5</v>
      </c>
      <c r="F2708" s="2">
        <v>45817</v>
      </c>
      <c r="G2708">
        <v>4322.3599999999997</v>
      </c>
      <c r="H2708" s="1">
        <f>AVERAGEIF(Table1[Customer_ID], Table1[[#This Row],[Customer_ID]], Table1[Transaction_Amount])</f>
        <v>4514.0678260869581</v>
      </c>
      <c r="I2708" t="s">
        <v>1869</v>
      </c>
      <c r="J2708" t="s">
        <v>50</v>
      </c>
      <c r="K2708" t="s">
        <v>12</v>
      </c>
      <c r="L2708">
        <v>1</v>
      </c>
      <c r="M2708" t="s">
        <v>47</v>
      </c>
      <c r="N2708" t="s">
        <v>56</v>
      </c>
      <c r="O2708" t="s">
        <v>392</v>
      </c>
      <c r="P2708" s="6" t="str">
        <f>IF(Table1[[#This Row],[Transaction_Amount]]&lt;=Table1[[#This Row],[avg_transaction_amount]], "usual transaction", "unusual transaction")</f>
        <v>usual transaction</v>
      </c>
      <c r="Q2708" s="6" t="str">
        <f>IF(AND(Table1[[#This Row],[Country_of_Residence]]&lt;&gt;Table1[[#This Row],[Country_of_Transaction]], OR(Table1[[#This Row],[Authentication_Type]]="Biometric", Table1[[#This Row],[Authentication_Type]]="OTP")), "safe location transaction", "unsafe location transaction")</f>
        <v>unsafe location transaction</v>
      </c>
      <c r="R2708" s="6" t="str">
        <f>IF(AND(Table1[[#This Row],[Country_of_Residence]]&lt;&gt;Table1[[#This Row],[Country_of_Transaction]], OR(Table1[[#This Row],[Merchant_Category]]="Electronics", Table1[[#This Row],[Merchant_Category]]="Travel")), "unsafe merchant transaction", "safe merchant transaction")</f>
        <v>unsafe merchant transaction</v>
      </c>
    </row>
    <row r="2709" spans="1:18">
      <c r="A2709" t="s">
        <v>4440</v>
      </c>
      <c r="B2709" t="s">
        <v>365</v>
      </c>
      <c r="C2709">
        <v>1</v>
      </c>
      <c r="D2709" t="s">
        <v>15</v>
      </c>
      <c r="E2709" t="s">
        <v>5</v>
      </c>
      <c r="F2709" s="2">
        <v>45760</v>
      </c>
      <c r="G2709">
        <v>7614.57</v>
      </c>
      <c r="H2709" s="1">
        <f>AVERAGEIF(Table1[Customer_ID], Table1[[#This Row],[Customer_ID]], Table1[Transaction_Amount])</f>
        <v>4514.0678260869581</v>
      </c>
      <c r="I2709" t="s">
        <v>1934</v>
      </c>
      <c r="J2709" t="s">
        <v>46</v>
      </c>
      <c r="K2709" t="s">
        <v>12</v>
      </c>
      <c r="L2709">
        <v>2</v>
      </c>
      <c r="M2709" t="s">
        <v>47</v>
      </c>
      <c r="N2709" t="s">
        <v>32</v>
      </c>
      <c r="O2709" t="s">
        <v>392</v>
      </c>
      <c r="P2709" s="6" t="str">
        <f>IF(Table1[[#This Row],[Transaction_Amount]]&lt;=Table1[[#This Row],[avg_transaction_amount]], "usual transaction", "unusual transaction")</f>
        <v>unusual transaction</v>
      </c>
      <c r="Q2709" s="6" t="str">
        <f>IF(AND(Table1[[#This Row],[Country_of_Residence]]&lt;&gt;Table1[[#This Row],[Country_of_Transaction]], OR(Table1[[#This Row],[Authentication_Type]]="Biometric", Table1[[#This Row],[Authentication_Type]]="OTP")), "safe location transaction", "unsafe location transaction")</f>
        <v>unsafe location transaction</v>
      </c>
      <c r="R2709" s="6" t="str">
        <f>IF(AND(Table1[[#This Row],[Country_of_Residence]]&lt;&gt;Table1[[#This Row],[Country_of_Transaction]], OR(Table1[[#This Row],[Merchant_Category]]="Electronics", Table1[[#This Row],[Merchant_Category]]="Travel")), "unsafe merchant transaction", "safe merchant transaction")</f>
        <v>safe merchant transaction</v>
      </c>
    </row>
    <row r="2710" spans="1:18">
      <c r="A2710" t="s">
        <v>4453</v>
      </c>
      <c r="B2710" t="s">
        <v>365</v>
      </c>
      <c r="C2710">
        <v>1</v>
      </c>
      <c r="D2710" t="s">
        <v>9</v>
      </c>
      <c r="E2710" t="s">
        <v>5</v>
      </c>
      <c r="F2710" s="2">
        <v>45766</v>
      </c>
      <c r="G2710">
        <v>983.94</v>
      </c>
      <c r="H2710" s="1">
        <f>AVERAGEIF(Table1[Customer_ID], Table1[[#This Row],[Customer_ID]], Table1[Transaction_Amount])</f>
        <v>4514.0678260869581</v>
      </c>
      <c r="I2710" t="s">
        <v>1947</v>
      </c>
      <c r="J2710" t="s">
        <v>36</v>
      </c>
      <c r="K2710" t="s">
        <v>8</v>
      </c>
      <c r="L2710">
        <v>0</v>
      </c>
      <c r="M2710" t="s">
        <v>33</v>
      </c>
      <c r="N2710" t="s">
        <v>47</v>
      </c>
      <c r="O2710" t="s">
        <v>393</v>
      </c>
      <c r="P2710" s="6" t="str">
        <f>IF(Table1[[#This Row],[Transaction_Amount]]&lt;=Table1[[#This Row],[avg_transaction_amount]], "usual transaction", "unusual transaction")</f>
        <v>usual transaction</v>
      </c>
      <c r="Q2710" s="6" t="str">
        <f>IF(AND(Table1[[#This Row],[Country_of_Residence]]&lt;&gt;Table1[[#This Row],[Country_of_Transaction]], OR(Table1[[#This Row],[Authentication_Type]]="Biometric", Table1[[#This Row],[Authentication_Type]]="OTP")), "safe location transaction", "unsafe location transaction")</f>
        <v>safe location transaction</v>
      </c>
      <c r="R2710" s="6" t="str">
        <f>IF(AND(Table1[[#This Row],[Country_of_Residence]]&lt;&gt;Table1[[#This Row],[Country_of_Transaction]], OR(Table1[[#This Row],[Merchant_Category]]="Electronics", Table1[[#This Row],[Merchant_Category]]="Travel")), "unsafe merchant transaction", "safe merchant transaction")</f>
        <v>safe merchant transaction</v>
      </c>
    </row>
    <row r="2711" spans="1:18">
      <c r="A2711" t="s">
        <v>4507</v>
      </c>
      <c r="B2711" t="s">
        <v>365</v>
      </c>
      <c r="C2711">
        <v>1</v>
      </c>
      <c r="D2711" t="s">
        <v>9</v>
      </c>
      <c r="E2711" t="s">
        <v>6</v>
      </c>
      <c r="F2711" s="2">
        <v>45953</v>
      </c>
      <c r="G2711">
        <v>780.62</v>
      </c>
      <c r="H2711" s="1">
        <f>AVERAGEIF(Table1[Customer_ID], Table1[[#This Row],[Customer_ID]], Table1[Transaction_Amount])</f>
        <v>4514.0678260869581</v>
      </c>
      <c r="I2711" t="s">
        <v>1336</v>
      </c>
      <c r="J2711" t="s">
        <v>36</v>
      </c>
      <c r="K2711" t="s">
        <v>8</v>
      </c>
      <c r="L2711">
        <v>3</v>
      </c>
      <c r="M2711" t="s">
        <v>42</v>
      </c>
      <c r="N2711" t="s">
        <v>56</v>
      </c>
      <c r="O2711" t="s">
        <v>392</v>
      </c>
      <c r="P2711" s="6" t="str">
        <f>IF(Table1[[#This Row],[Transaction_Amount]]&lt;=Table1[[#This Row],[avg_transaction_amount]], "usual transaction", "unusual transaction")</f>
        <v>usual transaction</v>
      </c>
      <c r="Q2711" s="6" t="str">
        <f>IF(AND(Table1[[#This Row],[Country_of_Residence]]&lt;&gt;Table1[[#This Row],[Country_of_Transaction]], OR(Table1[[#This Row],[Authentication_Type]]="Biometric", Table1[[#This Row],[Authentication_Type]]="OTP")), "safe location transaction", "unsafe location transaction")</f>
        <v>safe location transaction</v>
      </c>
      <c r="R2711" s="6" t="str">
        <f>IF(AND(Table1[[#This Row],[Country_of_Residence]]&lt;&gt;Table1[[#This Row],[Country_of_Transaction]], OR(Table1[[#This Row],[Merchant_Category]]="Electronics", Table1[[#This Row],[Merchant_Category]]="Travel")), "unsafe merchant transaction", "safe merchant transaction")</f>
        <v>safe merchant transaction</v>
      </c>
    </row>
    <row r="2712" spans="1:18">
      <c r="A2712" t="s">
        <v>4536</v>
      </c>
      <c r="B2712" t="s">
        <v>365</v>
      </c>
      <c r="C2712">
        <v>1</v>
      </c>
      <c r="D2712" t="s">
        <v>9</v>
      </c>
      <c r="E2712" t="s">
        <v>3</v>
      </c>
      <c r="F2712" s="2">
        <v>45789</v>
      </c>
      <c r="G2712">
        <v>5764.44</v>
      </c>
      <c r="H2712" s="1">
        <f>AVERAGEIF(Table1[Customer_ID], Table1[[#This Row],[Customer_ID]], Table1[Transaction_Amount])</f>
        <v>4514.0678260869581</v>
      </c>
      <c r="I2712" t="s">
        <v>2015</v>
      </c>
      <c r="J2712" t="s">
        <v>36</v>
      </c>
      <c r="K2712" t="s">
        <v>10</v>
      </c>
      <c r="L2712">
        <v>4</v>
      </c>
      <c r="M2712" t="s">
        <v>51</v>
      </c>
      <c r="N2712" t="s">
        <v>51</v>
      </c>
      <c r="O2712" t="s">
        <v>392</v>
      </c>
      <c r="P2712" s="6" t="str">
        <f>IF(Table1[[#This Row],[Transaction_Amount]]&lt;=Table1[[#This Row],[avg_transaction_amount]], "usual transaction", "unusual transaction")</f>
        <v>unusual transaction</v>
      </c>
      <c r="Q2712" s="6" t="str">
        <f>IF(AND(Table1[[#This Row],[Country_of_Residence]]&lt;&gt;Table1[[#This Row],[Country_of_Transaction]], OR(Table1[[#This Row],[Authentication_Type]]="Biometric", Table1[[#This Row],[Authentication_Type]]="OTP")), "safe location transaction", "unsafe location transaction")</f>
        <v>unsafe location transaction</v>
      </c>
      <c r="R2712" s="6" t="str">
        <f>IF(AND(Table1[[#This Row],[Country_of_Residence]]&lt;&gt;Table1[[#This Row],[Country_of_Transaction]], OR(Table1[[#This Row],[Merchant_Category]]="Electronics", Table1[[#This Row],[Merchant_Category]]="Travel")), "unsafe merchant transaction", "safe merchant transaction")</f>
        <v>safe merchant transaction</v>
      </c>
    </row>
    <row r="2713" spans="1:18">
      <c r="A2713" t="s">
        <v>4590</v>
      </c>
      <c r="B2713" t="s">
        <v>365</v>
      </c>
      <c r="C2713">
        <v>1</v>
      </c>
      <c r="D2713" t="s">
        <v>9</v>
      </c>
      <c r="E2713" t="s">
        <v>5</v>
      </c>
      <c r="F2713" s="2">
        <v>45956</v>
      </c>
      <c r="G2713">
        <v>9050.73</v>
      </c>
      <c r="H2713" s="1">
        <f>AVERAGEIF(Table1[Customer_ID], Table1[[#This Row],[Customer_ID]], Table1[Transaction_Amount])</f>
        <v>4514.0678260869581</v>
      </c>
      <c r="I2713" t="s">
        <v>2058</v>
      </c>
      <c r="J2713" t="s">
        <v>36</v>
      </c>
      <c r="K2713" t="s">
        <v>8</v>
      </c>
      <c r="L2713">
        <v>3</v>
      </c>
      <c r="M2713" t="s">
        <v>37</v>
      </c>
      <c r="N2713" t="s">
        <v>32</v>
      </c>
      <c r="O2713" t="s">
        <v>393</v>
      </c>
      <c r="P2713" s="6" t="str">
        <f>IF(Table1[[#This Row],[Transaction_Amount]]&lt;=Table1[[#This Row],[avg_transaction_amount]], "usual transaction", "unusual transaction")</f>
        <v>unusual transaction</v>
      </c>
      <c r="Q2713" s="6" t="str">
        <f>IF(AND(Table1[[#This Row],[Country_of_Residence]]&lt;&gt;Table1[[#This Row],[Country_of_Transaction]], OR(Table1[[#This Row],[Authentication_Type]]="Biometric", Table1[[#This Row],[Authentication_Type]]="OTP")), "safe location transaction", "unsafe location transaction")</f>
        <v>safe location transaction</v>
      </c>
      <c r="R2713" s="6" t="str">
        <f>IF(AND(Table1[[#This Row],[Country_of_Residence]]&lt;&gt;Table1[[#This Row],[Country_of_Transaction]], OR(Table1[[#This Row],[Merchant_Category]]="Electronics", Table1[[#This Row],[Merchant_Category]]="Travel")), "unsafe merchant transaction", "safe merchant transaction")</f>
        <v>safe merchant transaction</v>
      </c>
    </row>
    <row r="2714" spans="1:18">
      <c r="A2714" t="s">
        <v>4651</v>
      </c>
      <c r="B2714" t="s">
        <v>365</v>
      </c>
      <c r="C2714">
        <v>1</v>
      </c>
      <c r="D2714" t="s">
        <v>15</v>
      </c>
      <c r="E2714" t="s">
        <v>5</v>
      </c>
      <c r="F2714" s="2">
        <v>45920</v>
      </c>
      <c r="G2714">
        <v>1451.34</v>
      </c>
      <c r="H2714" s="1">
        <f>AVERAGEIF(Table1[Customer_ID], Table1[[#This Row],[Customer_ID]], Table1[Transaction_Amount])</f>
        <v>4514.0678260869581</v>
      </c>
      <c r="I2714" t="s">
        <v>2110</v>
      </c>
      <c r="J2714" t="s">
        <v>50</v>
      </c>
      <c r="K2714" t="s">
        <v>10</v>
      </c>
      <c r="L2714">
        <v>3</v>
      </c>
      <c r="M2714" t="s">
        <v>42</v>
      </c>
      <c r="N2714" t="s">
        <v>37</v>
      </c>
      <c r="O2714" t="s">
        <v>392</v>
      </c>
      <c r="P2714" s="6" t="str">
        <f>IF(Table1[[#This Row],[Transaction_Amount]]&lt;=Table1[[#This Row],[avg_transaction_amount]], "usual transaction", "unusual transaction")</f>
        <v>usual transaction</v>
      </c>
      <c r="Q2714" s="6" t="str">
        <f>IF(AND(Table1[[#This Row],[Country_of_Residence]]&lt;&gt;Table1[[#This Row],[Country_of_Transaction]], OR(Table1[[#This Row],[Authentication_Type]]="Biometric", Table1[[#This Row],[Authentication_Type]]="OTP")), "safe location transaction", "unsafe location transaction")</f>
        <v>safe location transaction</v>
      </c>
      <c r="R2714" s="6" t="str">
        <f>IF(AND(Table1[[#This Row],[Country_of_Residence]]&lt;&gt;Table1[[#This Row],[Country_of_Transaction]], OR(Table1[[#This Row],[Merchant_Category]]="Electronics", Table1[[#This Row],[Merchant_Category]]="Travel")), "unsafe merchant transaction", "safe merchant transaction")</f>
        <v>unsafe merchant transaction</v>
      </c>
    </row>
    <row r="2715" spans="1:18">
      <c r="A2715" t="s">
        <v>4675</v>
      </c>
      <c r="B2715" t="s">
        <v>365</v>
      </c>
      <c r="C2715">
        <v>1</v>
      </c>
      <c r="D2715" t="s">
        <v>9</v>
      </c>
      <c r="E2715" t="s">
        <v>6</v>
      </c>
      <c r="F2715" s="2">
        <v>45789</v>
      </c>
      <c r="G2715">
        <v>3229.79</v>
      </c>
      <c r="H2715" s="1">
        <f>AVERAGEIF(Table1[Customer_ID], Table1[[#This Row],[Customer_ID]], Table1[Transaction_Amount])</f>
        <v>4514.0678260869581</v>
      </c>
      <c r="I2715" t="s">
        <v>1584</v>
      </c>
      <c r="J2715" t="s">
        <v>46</v>
      </c>
      <c r="K2715" t="s">
        <v>10</v>
      </c>
      <c r="L2715">
        <v>1</v>
      </c>
      <c r="M2715" t="s">
        <v>32</v>
      </c>
      <c r="N2715" t="s">
        <v>37</v>
      </c>
      <c r="O2715" t="s">
        <v>393</v>
      </c>
      <c r="P2715" s="6" t="str">
        <f>IF(Table1[[#This Row],[Transaction_Amount]]&lt;=Table1[[#This Row],[avg_transaction_amount]], "usual transaction", "unusual transaction")</f>
        <v>usual transaction</v>
      </c>
      <c r="Q2715" s="6" t="str">
        <f>IF(AND(Table1[[#This Row],[Country_of_Residence]]&lt;&gt;Table1[[#This Row],[Country_of_Transaction]], OR(Table1[[#This Row],[Authentication_Type]]="Biometric", Table1[[#This Row],[Authentication_Type]]="OTP")), "safe location transaction", "unsafe location transaction")</f>
        <v>safe location transaction</v>
      </c>
      <c r="R2715" s="6" t="str">
        <f>IF(AND(Table1[[#This Row],[Country_of_Residence]]&lt;&gt;Table1[[#This Row],[Country_of_Transaction]], OR(Table1[[#This Row],[Merchant_Category]]="Electronics", Table1[[#This Row],[Merchant_Category]]="Travel")), "unsafe merchant transaction", "safe merchant transaction")</f>
        <v>safe merchant transaction</v>
      </c>
    </row>
    <row r="2716" spans="1:18">
      <c r="A2716" t="s">
        <v>4736</v>
      </c>
      <c r="B2716" t="s">
        <v>365</v>
      </c>
      <c r="C2716">
        <v>1</v>
      </c>
      <c r="D2716" t="s">
        <v>9</v>
      </c>
      <c r="E2716" t="s">
        <v>5</v>
      </c>
      <c r="F2716" s="2">
        <v>45983</v>
      </c>
      <c r="G2716">
        <v>4925.72</v>
      </c>
      <c r="H2716" s="1">
        <f>AVERAGEIF(Table1[Customer_ID], Table1[[#This Row],[Customer_ID]], Table1[Transaction_Amount])</f>
        <v>4514.0678260869581</v>
      </c>
      <c r="I2716" t="s">
        <v>2174</v>
      </c>
      <c r="J2716" t="s">
        <v>46</v>
      </c>
      <c r="K2716" t="s">
        <v>10</v>
      </c>
      <c r="L2716">
        <v>0</v>
      </c>
      <c r="M2716" t="s">
        <v>56</v>
      </c>
      <c r="N2716" t="s">
        <v>42</v>
      </c>
      <c r="O2716" t="s">
        <v>393</v>
      </c>
      <c r="P2716" s="6" t="str">
        <f>IF(Table1[[#This Row],[Transaction_Amount]]&lt;=Table1[[#This Row],[avg_transaction_amount]], "usual transaction", "unusual transaction")</f>
        <v>unusual transaction</v>
      </c>
      <c r="Q2716" s="6" t="str">
        <f>IF(AND(Table1[[#This Row],[Country_of_Residence]]&lt;&gt;Table1[[#This Row],[Country_of_Transaction]], OR(Table1[[#This Row],[Authentication_Type]]="Biometric", Table1[[#This Row],[Authentication_Type]]="OTP")), "safe location transaction", "unsafe location transaction")</f>
        <v>safe location transaction</v>
      </c>
      <c r="R2716" s="6" t="str">
        <f>IF(AND(Table1[[#This Row],[Country_of_Residence]]&lt;&gt;Table1[[#This Row],[Country_of_Transaction]], OR(Table1[[#This Row],[Merchant_Category]]="Electronics", Table1[[#This Row],[Merchant_Category]]="Travel")), "unsafe merchant transaction", "safe merchant transaction")</f>
        <v>safe merchant transaction</v>
      </c>
    </row>
    <row r="2717" spans="1:18">
      <c r="A2717" t="s">
        <v>4819</v>
      </c>
      <c r="B2717" t="s">
        <v>365</v>
      </c>
      <c r="C2717">
        <v>1</v>
      </c>
      <c r="D2717" t="s">
        <v>15</v>
      </c>
      <c r="E2717" t="s">
        <v>6</v>
      </c>
      <c r="F2717" s="2">
        <v>45901</v>
      </c>
      <c r="G2717">
        <v>4623.97</v>
      </c>
      <c r="H2717" s="1">
        <f>AVERAGEIF(Table1[Customer_ID], Table1[[#This Row],[Customer_ID]], Table1[Transaction_Amount])</f>
        <v>4514.0678260869581</v>
      </c>
      <c r="I2717" t="s">
        <v>2239</v>
      </c>
      <c r="J2717" t="s">
        <v>36</v>
      </c>
      <c r="K2717" t="s">
        <v>8</v>
      </c>
      <c r="L2717">
        <v>2</v>
      </c>
      <c r="M2717" t="s">
        <v>412</v>
      </c>
      <c r="N2717" t="s">
        <v>37</v>
      </c>
      <c r="O2717" t="s">
        <v>392</v>
      </c>
      <c r="P2717" s="6" t="str">
        <f>IF(Table1[[#This Row],[Transaction_Amount]]&lt;=Table1[[#This Row],[avg_transaction_amount]], "usual transaction", "unusual transaction")</f>
        <v>unusual transaction</v>
      </c>
      <c r="Q2717" s="6" t="str">
        <f>IF(AND(Table1[[#This Row],[Country_of_Residence]]&lt;&gt;Table1[[#This Row],[Country_of_Transaction]], OR(Table1[[#This Row],[Authentication_Type]]="Biometric", Table1[[#This Row],[Authentication_Type]]="OTP")), "safe location transaction", "unsafe location transaction")</f>
        <v>safe location transaction</v>
      </c>
      <c r="R2717" s="6" t="str">
        <f>IF(AND(Table1[[#This Row],[Country_of_Residence]]&lt;&gt;Table1[[#This Row],[Country_of_Transaction]], OR(Table1[[#This Row],[Merchant_Category]]="Electronics", Table1[[#This Row],[Merchant_Category]]="Travel")), "unsafe merchant transaction", "safe merchant transaction")</f>
        <v>safe merchant transaction</v>
      </c>
    </row>
    <row r="2718" spans="1:18">
      <c r="A2718" t="s">
        <v>4847</v>
      </c>
      <c r="B2718" t="s">
        <v>365</v>
      </c>
      <c r="C2718">
        <v>1</v>
      </c>
      <c r="D2718" t="s">
        <v>9</v>
      </c>
      <c r="E2718" t="s">
        <v>3</v>
      </c>
      <c r="F2718" s="2">
        <v>45732</v>
      </c>
      <c r="G2718">
        <v>1331.74</v>
      </c>
      <c r="H2718" s="1">
        <f>AVERAGEIF(Table1[Customer_ID], Table1[[#This Row],[Customer_ID]], Table1[Transaction_Amount])</f>
        <v>4514.0678260869581</v>
      </c>
      <c r="I2718" t="s">
        <v>2260</v>
      </c>
      <c r="J2718" t="s">
        <v>31</v>
      </c>
      <c r="K2718" t="s">
        <v>14</v>
      </c>
      <c r="L2718">
        <v>2</v>
      </c>
      <c r="M2718" t="s">
        <v>42</v>
      </c>
      <c r="N2718" t="s">
        <v>412</v>
      </c>
      <c r="O2718" t="s">
        <v>393</v>
      </c>
      <c r="P2718" s="6" t="str">
        <f>IF(Table1[[#This Row],[Transaction_Amount]]&lt;=Table1[[#This Row],[avg_transaction_amount]], "usual transaction", "unusual transaction")</f>
        <v>usual transaction</v>
      </c>
      <c r="Q2718" s="6" t="str">
        <f>IF(AND(Table1[[#This Row],[Country_of_Residence]]&lt;&gt;Table1[[#This Row],[Country_of_Transaction]], OR(Table1[[#This Row],[Authentication_Type]]="Biometric", Table1[[#This Row],[Authentication_Type]]="OTP")), "safe location transaction", "unsafe location transaction")</f>
        <v>unsafe location transaction</v>
      </c>
      <c r="R2718" s="6" t="str">
        <f>IF(AND(Table1[[#This Row],[Country_of_Residence]]&lt;&gt;Table1[[#This Row],[Country_of_Transaction]], OR(Table1[[#This Row],[Merchant_Category]]="Electronics", Table1[[#This Row],[Merchant_Category]]="Travel")), "unsafe merchant transaction", "safe merchant transaction")</f>
        <v>safe merchant transaction</v>
      </c>
    </row>
    <row r="2719" spans="1:18">
      <c r="A2719" t="s">
        <v>4868</v>
      </c>
      <c r="B2719" t="s">
        <v>365</v>
      </c>
      <c r="C2719">
        <v>1</v>
      </c>
      <c r="D2719" t="s">
        <v>15</v>
      </c>
      <c r="E2719" t="s">
        <v>420</v>
      </c>
      <c r="F2719" s="2">
        <v>45727</v>
      </c>
      <c r="G2719">
        <v>8255.7199999999993</v>
      </c>
      <c r="H2719" s="1">
        <f>AVERAGEIF(Table1[Customer_ID], Table1[[#This Row],[Customer_ID]], Table1[Transaction_Amount])</f>
        <v>4514.0678260869581</v>
      </c>
      <c r="I2719" t="s">
        <v>2273</v>
      </c>
      <c r="J2719" t="s">
        <v>46</v>
      </c>
      <c r="K2719" t="s">
        <v>8</v>
      </c>
      <c r="L2719">
        <v>5</v>
      </c>
      <c r="M2719" t="s">
        <v>37</v>
      </c>
      <c r="N2719" t="s">
        <v>32</v>
      </c>
      <c r="O2719" t="s">
        <v>392</v>
      </c>
      <c r="P2719" s="6" t="str">
        <f>IF(Table1[[#This Row],[Transaction_Amount]]&lt;=Table1[[#This Row],[avg_transaction_amount]], "usual transaction", "unusual transaction")</f>
        <v>unusual transaction</v>
      </c>
      <c r="Q2719" s="6" t="str">
        <f>IF(AND(Table1[[#This Row],[Country_of_Residence]]&lt;&gt;Table1[[#This Row],[Country_of_Transaction]], OR(Table1[[#This Row],[Authentication_Type]]="Biometric", Table1[[#This Row],[Authentication_Type]]="OTP")), "safe location transaction", "unsafe location transaction")</f>
        <v>safe location transaction</v>
      </c>
      <c r="R2719" s="6" t="str">
        <f>IF(AND(Table1[[#This Row],[Country_of_Residence]]&lt;&gt;Table1[[#This Row],[Country_of_Transaction]], OR(Table1[[#This Row],[Merchant_Category]]="Electronics", Table1[[#This Row],[Merchant_Category]]="Travel")), "unsafe merchant transaction", "safe merchant transaction")</f>
        <v>safe merchant transaction</v>
      </c>
    </row>
    <row r="2720" spans="1:18">
      <c r="A2720" t="s">
        <v>4886</v>
      </c>
      <c r="B2720" t="s">
        <v>365</v>
      </c>
      <c r="C2720">
        <v>1</v>
      </c>
      <c r="D2720" t="s">
        <v>9</v>
      </c>
      <c r="E2720" t="s">
        <v>3</v>
      </c>
      <c r="F2720" s="2">
        <v>45908</v>
      </c>
      <c r="G2720">
        <v>400.9</v>
      </c>
      <c r="H2720" s="1">
        <f>AVERAGEIF(Table1[Customer_ID], Table1[[#This Row],[Customer_ID]], Table1[Transaction_Amount])</f>
        <v>4514.0678260869581</v>
      </c>
      <c r="I2720" t="s">
        <v>1341</v>
      </c>
      <c r="J2720" t="s">
        <v>41</v>
      </c>
      <c r="K2720" t="s">
        <v>12</v>
      </c>
      <c r="L2720">
        <v>4</v>
      </c>
      <c r="M2720" t="s">
        <v>51</v>
      </c>
      <c r="N2720" t="s">
        <v>51</v>
      </c>
      <c r="O2720" t="s">
        <v>392</v>
      </c>
      <c r="P2720" s="6" t="str">
        <f>IF(Table1[[#This Row],[Transaction_Amount]]&lt;=Table1[[#This Row],[avg_transaction_amount]], "usual transaction", "unusual transaction")</f>
        <v>usual transaction</v>
      </c>
      <c r="Q2720" s="6" t="str">
        <f>IF(AND(Table1[[#This Row],[Country_of_Residence]]&lt;&gt;Table1[[#This Row],[Country_of_Transaction]], OR(Table1[[#This Row],[Authentication_Type]]="Biometric", Table1[[#This Row],[Authentication_Type]]="OTP")), "safe location transaction", "unsafe location transaction")</f>
        <v>unsafe location transaction</v>
      </c>
      <c r="R2720" s="6" t="str">
        <f>IF(AND(Table1[[#This Row],[Country_of_Residence]]&lt;&gt;Table1[[#This Row],[Country_of_Transaction]], OR(Table1[[#This Row],[Merchant_Category]]="Electronics", Table1[[#This Row],[Merchant_Category]]="Travel")), "unsafe merchant transaction", "safe merchant transaction")</f>
        <v>safe merchant transaction</v>
      </c>
    </row>
    <row r="2721" spans="1:18">
      <c r="A2721" t="s">
        <v>5008</v>
      </c>
      <c r="B2721" t="s">
        <v>365</v>
      </c>
      <c r="C2721">
        <v>1</v>
      </c>
      <c r="D2721" t="s">
        <v>9</v>
      </c>
      <c r="E2721" t="s">
        <v>5</v>
      </c>
      <c r="F2721" s="2">
        <v>45996</v>
      </c>
      <c r="G2721">
        <v>8127.28</v>
      </c>
      <c r="H2721" s="1">
        <f>AVERAGEIF(Table1[Customer_ID], Table1[[#This Row],[Customer_ID]], Table1[Transaction_Amount])</f>
        <v>4514.0678260869581</v>
      </c>
      <c r="I2721" t="s">
        <v>2388</v>
      </c>
      <c r="J2721" t="s">
        <v>36</v>
      </c>
      <c r="K2721" t="s">
        <v>8</v>
      </c>
      <c r="L2721">
        <v>4</v>
      </c>
      <c r="M2721" t="s">
        <v>47</v>
      </c>
      <c r="N2721" t="s">
        <v>32</v>
      </c>
      <c r="O2721" t="s">
        <v>393</v>
      </c>
      <c r="P2721" s="6" t="str">
        <f>IF(Table1[[#This Row],[Transaction_Amount]]&lt;=Table1[[#This Row],[avg_transaction_amount]], "usual transaction", "unusual transaction")</f>
        <v>unusual transaction</v>
      </c>
      <c r="Q2721" s="6" t="str">
        <f>IF(AND(Table1[[#This Row],[Country_of_Residence]]&lt;&gt;Table1[[#This Row],[Country_of_Transaction]], OR(Table1[[#This Row],[Authentication_Type]]="Biometric", Table1[[#This Row],[Authentication_Type]]="OTP")), "safe location transaction", "unsafe location transaction")</f>
        <v>safe location transaction</v>
      </c>
      <c r="R2721" s="6" t="str">
        <f>IF(AND(Table1[[#This Row],[Country_of_Residence]]&lt;&gt;Table1[[#This Row],[Country_of_Transaction]], OR(Table1[[#This Row],[Merchant_Category]]="Electronics", Table1[[#This Row],[Merchant_Category]]="Travel")), "unsafe merchant transaction", "safe merchant transaction")</f>
        <v>safe merchant transaction</v>
      </c>
    </row>
    <row r="2722" spans="1:18">
      <c r="A2722" t="s">
        <v>5053</v>
      </c>
      <c r="B2722" t="s">
        <v>365</v>
      </c>
      <c r="C2722">
        <v>1</v>
      </c>
      <c r="D2722" t="s">
        <v>9</v>
      </c>
      <c r="E2722" t="s">
        <v>6</v>
      </c>
      <c r="F2722" s="2">
        <v>45920</v>
      </c>
      <c r="G2722">
        <v>5432.98</v>
      </c>
      <c r="H2722" s="1">
        <f>AVERAGEIF(Table1[Customer_ID], Table1[[#This Row],[Customer_ID]], Table1[Transaction_Amount])</f>
        <v>4514.0678260869581</v>
      </c>
      <c r="I2722" t="s">
        <v>2417</v>
      </c>
      <c r="J2722" t="s">
        <v>36</v>
      </c>
      <c r="K2722" t="s">
        <v>10</v>
      </c>
      <c r="L2722">
        <v>4</v>
      </c>
      <c r="M2722" t="s">
        <v>37</v>
      </c>
      <c r="N2722" t="s">
        <v>55</v>
      </c>
      <c r="O2722" t="s">
        <v>393</v>
      </c>
      <c r="P2722" s="6" t="str">
        <f>IF(Table1[[#This Row],[Transaction_Amount]]&lt;=Table1[[#This Row],[avg_transaction_amount]], "usual transaction", "unusual transaction")</f>
        <v>unusual transaction</v>
      </c>
      <c r="Q2722" s="6" t="str">
        <f>IF(AND(Table1[[#This Row],[Country_of_Residence]]&lt;&gt;Table1[[#This Row],[Country_of_Transaction]], OR(Table1[[#This Row],[Authentication_Type]]="Biometric", Table1[[#This Row],[Authentication_Type]]="OTP")), "safe location transaction", "unsafe location transaction")</f>
        <v>safe location transaction</v>
      </c>
      <c r="R2722" s="6" t="str">
        <f>IF(AND(Table1[[#This Row],[Country_of_Residence]]&lt;&gt;Table1[[#This Row],[Country_of_Transaction]], OR(Table1[[#This Row],[Merchant_Category]]="Electronics", Table1[[#This Row],[Merchant_Category]]="Travel")), "unsafe merchant transaction", "safe merchant transaction")</f>
        <v>safe merchant transaction</v>
      </c>
    </row>
    <row r="2723" spans="1:18">
      <c r="A2723" t="s">
        <v>5202</v>
      </c>
      <c r="B2723" t="s">
        <v>365</v>
      </c>
      <c r="C2723">
        <v>1</v>
      </c>
      <c r="D2723" t="s">
        <v>9</v>
      </c>
      <c r="E2723" t="s">
        <v>6</v>
      </c>
      <c r="F2723" s="2">
        <v>45998</v>
      </c>
      <c r="G2723">
        <v>1584.81</v>
      </c>
      <c r="H2723" s="1">
        <f>AVERAGEIF(Table1[Customer_ID], Table1[[#This Row],[Customer_ID]], Table1[Transaction_Amount])</f>
        <v>4514.0678260869581</v>
      </c>
      <c r="I2723" t="s">
        <v>1651</v>
      </c>
      <c r="J2723" t="s">
        <v>50</v>
      </c>
      <c r="K2723" t="s">
        <v>14</v>
      </c>
      <c r="L2723">
        <v>5</v>
      </c>
      <c r="M2723" t="s">
        <v>37</v>
      </c>
      <c r="N2723" t="s">
        <v>32</v>
      </c>
      <c r="O2723" t="s">
        <v>393</v>
      </c>
      <c r="P2723" s="6" t="str">
        <f>IF(Table1[[#This Row],[Transaction_Amount]]&lt;=Table1[[#This Row],[avg_transaction_amount]], "usual transaction", "unusual transaction")</f>
        <v>usual transaction</v>
      </c>
      <c r="Q2723" s="6" t="str">
        <f>IF(AND(Table1[[#This Row],[Country_of_Residence]]&lt;&gt;Table1[[#This Row],[Country_of_Transaction]], OR(Table1[[#This Row],[Authentication_Type]]="Biometric", Table1[[#This Row],[Authentication_Type]]="OTP")), "safe location transaction", "unsafe location transaction")</f>
        <v>unsafe location transaction</v>
      </c>
      <c r="R2723" s="6" t="str">
        <f>IF(AND(Table1[[#This Row],[Country_of_Residence]]&lt;&gt;Table1[[#This Row],[Country_of_Transaction]], OR(Table1[[#This Row],[Merchant_Category]]="Electronics", Table1[[#This Row],[Merchant_Category]]="Travel")), "unsafe merchant transaction", "safe merchant transaction")</f>
        <v>unsafe merchant transaction</v>
      </c>
    </row>
    <row r="2724" spans="1:18">
      <c r="A2724" t="s">
        <v>5279</v>
      </c>
      <c r="B2724" t="s">
        <v>365</v>
      </c>
      <c r="C2724">
        <v>1</v>
      </c>
      <c r="D2724" t="s">
        <v>9</v>
      </c>
      <c r="E2724" t="s">
        <v>3</v>
      </c>
      <c r="F2724" s="2">
        <v>45901</v>
      </c>
      <c r="G2724">
        <v>5272.37</v>
      </c>
      <c r="H2724" s="1">
        <f>AVERAGEIF(Table1[Customer_ID], Table1[[#This Row],[Customer_ID]], Table1[Transaction_Amount])</f>
        <v>4514.0678260869581</v>
      </c>
      <c r="I2724" t="s">
        <v>2442</v>
      </c>
      <c r="J2724" t="s">
        <v>46</v>
      </c>
      <c r="K2724" t="s">
        <v>10</v>
      </c>
      <c r="L2724">
        <v>2</v>
      </c>
      <c r="M2724" t="s">
        <v>32</v>
      </c>
      <c r="N2724" t="s">
        <v>51</v>
      </c>
      <c r="O2724" t="s">
        <v>392</v>
      </c>
      <c r="P2724" s="6" t="str">
        <f>IF(Table1[[#This Row],[Transaction_Amount]]&lt;=Table1[[#This Row],[avg_transaction_amount]], "usual transaction", "unusual transaction")</f>
        <v>unusual transaction</v>
      </c>
      <c r="Q2724" s="6" t="str">
        <f>IF(AND(Table1[[#This Row],[Country_of_Residence]]&lt;&gt;Table1[[#This Row],[Country_of_Transaction]], OR(Table1[[#This Row],[Authentication_Type]]="Biometric", Table1[[#This Row],[Authentication_Type]]="OTP")), "safe location transaction", "unsafe location transaction")</f>
        <v>safe location transaction</v>
      </c>
      <c r="R2724" s="6" t="str">
        <f>IF(AND(Table1[[#This Row],[Country_of_Residence]]&lt;&gt;Table1[[#This Row],[Country_of_Transaction]], OR(Table1[[#This Row],[Merchant_Category]]="Electronics", Table1[[#This Row],[Merchant_Category]]="Travel")), "unsafe merchant transaction", "safe merchant transaction")</f>
        <v>safe merchant transaction</v>
      </c>
    </row>
    <row r="2725" spans="1:18">
      <c r="A2725" t="s">
        <v>5333</v>
      </c>
      <c r="B2725" t="s">
        <v>365</v>
      </c>
      <c r="C2725">
        <v>1</v>
      </c>
      <c r="D2725" t="s">
        <v>9</v>
      </c>
      <c r="E2725" t="s">
        <v>6</v>
      </c>
      <c r="F2725" s="2">
        <v>45722</v>
      </c>
      <c r="G2725">
        <v>8243.57</v>
      </c>
      <c r="H2725" s="1">
        <f>AVERAGEIF(Table1[Customer_ID], Table1[[#This Row],[Customer_ID]], Table1[Transaction_Amount])</f>
        <v>4514.0678260869581</v>
      </c>
      <c r="I2725" t="s">
        <v>2629</v>
      </c>
      <c r="J2725" t="s">
        <v>41</v>
      </c>
      <c r="K2725" t="s">
        <v>14</v>
      </c>
      <c r="L2725">
        <v>2</v>
      </c>
      <c r="M2725" t="s">
        <v>47</v>
      </c>
      <c r="N2725" t="s">
        <v>37</v>
      </c>
      <c r="O2725" t="s">
        <v>393</v>
      </c>
      <c r="P2725" s="6" t="str">
        <f>IF(Table1[[#This Row],[Transaction_Amount]]&lt;=Table1[[#This Row],[avg_transaction_amount]], "usual transaction", "unusual transaction")</f>
        <v>unusual transaction</v>
      </c>
      <c r="Q2725" s="6" t="str">
        <f>IF(AND(Table1[[#This Row],[Country_of_Residence]]&lt;&gt;Table1[[#This Row],[Country_of_Transaction]], OR(Table1[[#This Row],[Authentication_Type]]="Biometric", Table1[[#This Row],[Authentication_Type]]="OTP")), "safe location transaction", "unsafe location transaction")</f>
        <v>unsafe location transaction</v>
      </c>
      <c r="R2725" s="6" t="str">
        <f>IF(AND(Table1[[#This Row],[Country_of_Residence]]&lt;&gt;Table1[[#This Row],[Country_of_Transaction]], OR(Table1[[#This Row],[Merchant_Category]]="Electronics", Table1[[#This Row],[Merchant_Category]]="Travel")), "unsafe merchant transaction", "safe merchant transaction")</f>
        <v>safe merchant transaction</v>
      </c>
    </row>
    <row r="2726" spans="1:18">
      <c r="A2726" t="s">
        <v>5340</v>
      </c>
      <c r="B2726" t="s">
        <v>365</v>
      </c>
      <c r="C2726">
        <v>1</v>
      </c>
      <c r="D2726" t="s">
        <v>9</v>
      </c>
      <c r="E2726" t="s">
        <v>3</v>
      </c>
      <c r="F2726" s="2">
        <v>45661</v>
      </c>
      <c r="G2726">
        <v>621.55999999999995</v>
      </c>
      <c r="H2726" s="1">
        <f>AVERAGEIF(Table1[Customer_ID], Table1[[#This Row],[Customer_ID]], Table1[Transaction_Amount])</f>
        <v>4514.0678260869581</v>
      </c>
      <c r="I2726" t="s">
        <v>2635</v>
      </c>
      <c r="J2726" t="s">
        <v>36</v>
      </c>
      <c r="K2726" t="s">
        <v>8</v>
      </c>
      <c r="L2726">
        <v>0</v>
      </c>
      <c r="M2726" t="s">
        <v>56</v>
      </c>
      <c r="N2726" t="s">
        <v>412</v>
      </c>
      <c r="O2726" t="s">
        <v>393</v>
      </c>
      <c r="P2726" s="6" t="str">
        <f>IF(Table1[[#This Row],[Transaction_Amount]]&lt;=Table1[[#This Row],[avg_transaction_amount]], "usual transaction", "unusual transaction")</f>
        <v>usual transaction</v>
      </c>
      <c r="Q2726" s="6" t="str">
        <f>IF(AND(Table1[[#This Row],[Country_of_Residence]]&lt;&gt;Table1[[#This Row],[Country_of_Transaction]], OR(Table1[[#This Row],[Authentication_Type]]="Biometric", Table1[[#This Row],[Authentication_Type]]="OTP")), "safe location transaction", "unsafe location transaction")</f>
        <v>safe location transaction</v>
      </c>
      <c r="R2726" s="6" t="str">
        <f>IF(AND(Table1[[#This Row],[Country_of_Residence]]&lt;&gt;Table1[[#This Row],[Country_of_Transaction]], OR(Table1[[#This Row],[Merchant_Category]]="Electronics", Table1[[#This Row],[Merchant_Category]]="Travel")), "unsafe merchant transaction", "safe merchant transaction")</f>
        <v>safe merchant transaction</v>
      </c>
    </row>
    <row r="2727" spans="1:18">
      <c r="A2727" t="s">
        <v>5401</v>
      </c>
      <c r="B2727" t="s">
        <v>365</v>
      </c>
      <c r="C2727">
        <v>1</v>
      </c>
      <c r="D2727" t="s">
        <v>15</v>
      </c>
      <c r="E2727" t="s">
        <v>5</v>
      </c>
      <c r="F2727" s="2">
        <v>45956</v>
      </c>
      <c r="G2727">
        <v>3622.01</v>
      </c>
      <c r="H2727" s="1">
        <f>AVERAGEIF(Table1[Customer_ID], Table1[[#This Row],[Customer_ID]], Table1[Transaction_Amount])</f>
        <v>4514.0678260869581</v>
      </c>
      <c r="I2727" t="s">
        <v>1219</v>
      </c>
      <c r="J2727" t="s">
        <v>31</v>
      </c>
      <c r="K2727" t="s">
        <v>12</v>
      </c>
      <c r="L2727">
        <v>1</v>
      </c>
      <c r="M2727" t="s">
        <v>412</v>
      </c>
      <c r="N2727" t="s">
        <v>51</v>
      </c>
      <c r="O2727" t="s">
        <v>392</v>
      </c>
      <c r="P2727" s="6" t="str">
        <f>IF(Table1[[#This Row],[Transaction_Amount]]&lt;=Table1[[#This Row],[avg_transaction_amount]], "usual transaction", "unusual transaction")</f>
        <v>usual transaction</v>
      </c>
      <c r="Q2727" s="6" t="str">
        <f>IF(AND(Table1[[#This Row],[Country_of_Residence]]&lt;&gt;Table1[[#This Row],[Country_of_Transaction]], OR(Table1[[#This Row],[Authentication_Type]]="Biometric", Table1[[#This Row],[Authentication_Type]]="OTP")), "safe location transaction", "unsafe location transaction")</f>
        <v>unsafe location transaction</v>
      </c>
      <c r="R2727" s="6" t="str">
        <f>IF(AND(Table1[[#This Row],[Country_of_Residence]]&lt;&gt;Table1[[#This Row],[Country_of_Transaction]], OR(Table1[[#This Row],[Merchant_Category]]="Electronics", Table1[[#This Row],[Merchant_Category]]="Travel")), "unsafe merchant transaction", "safe merchant transaction")</f>
        <v>safe merchant transaction</v>
      </c>
    </row>
    <row r="2728" spans="1:18">
      <c r="A2728" t="s">
        <v>5434</v>
      </c>
      <c r="B2728" t="s">
        <v>365</v>
      </c>
      <c r="C2728">
        <v>1</v>
      </c>
      <c r="D2728" t="s">
        <v>15</v>
      </c>
      <c r="E2728" t="s">
        <v>3</v>
      </c>
      <c r="F2728" s="2">
        <v>45842</v>
      </c>
      <c r="G2728">
        <v>4050.01</v>
      </c>
      <c r="H2728" s="1">
        <f>AVERAGEIF(Table1[Customer_ID], Table1[[#This Row],[Customer_ID]], Table1[Transaction_Amount])</f>
        <v>4514.0678260869581</v>
      </c>
      <c r="I2728" t="s">
        <v>2704</v>
      </c>
      <c r="J2728" t="s">
        <v>31</v>
      </c>
      <c r="K2728" t="s">
        <v>14</v>
      </c>
      <c r="L2728">
        <v>2</v>
      </c>
      <c r="M2728" t="s">
        <v>42</v>
      </c>
      <c r="N2728" t="s">
        <v>56</v>
      </c>
      <c r="O2728" t="s">
        <v>393</v>
      </c>
      <c r="P2728" s="6" t="str">
        <f>IF(Table1[[#This Row],[Transaction_Amount]]&lt;=Table1[[#This Row],[avg_transaction_amount]], "usual transaction", "unusual transaction")</f>
        <v>usual transaction</v>
      </c>
      <c r="Q2728" s="6" t="str">
        <f>IF(AND(Table1[[#This Row],[Country_of_Residence]]&lt;&gt;Table1[[#This Row],[Country_of_Transaction]], OR(Table1[[#This Row],[Authentication_Type]]="Biometric", Table1[[#This Row],[Authentication_Type]]="OTP")), "safe location transaction", "unsafe location transaction")</f>
        <v>unsafe location transaction</v>
      </c>
      <c r="R2728" s="6" t="str">
        <f>IF(AND(Table1[[#This Row],[Country_of_Residence]]&lt;&gt;Table1[[#This Row],[Country_of_Transaction]], OR(Table1[[#This Row],[Merchant_Category]]="Electronics", Table1[[#This Row],[Merchant_Category]]="Travel")), "unsafe merchant transaction", "safe merchant transaction")</f>
        <v>safe merchant transaction</v>
      </c>
    </row>
    <row r="2729" spans="1:18">
      <c r="A2729" t="s">
        <v>378</v>
      </c>
      <c r="B2729" t="s">
        <v>375</v>
      </c>
      <c r="C2729">
        <v>1</v>
      </c>
      <c r="D2729" t="s">
        <v>15</v>
      </c>
      <c r="E2729" t="s">
        <v>3</v>
      </c>
      <c r="F2729" s="2">
        <v>45774.882638888899</v>
      </c>
      <c r="G2729">
        <v>7022.36</v>
      </c>
      <c r="H2729" s="1">
        <f>AVERAGEIF(Table1[Customer_ID], Table1[[#This Row],[Customer_ID]], Table1[Transaction_Amount])</f>
        <v>5426.7346031746029</v>
      </c>
      <c r="I2729" t="s">
        <v>379</v>
      </c>
      <c r="J2729" t="s">
        <v>31</v>
      </c>
      <c r="K2729" t="s">
        <v>10</v>
      </c>
      <c r="L2729">
        <v>5</v>
      </c>
      <c r="M2729" t="s">
        <v>377</v>
      </c>
      <c r="N2729" t="s">
        <v>380</v>
      </c>
      <c r="O2729" t="s">
        <v>393</v>
      </c>
      <c r="P2729" t="str">
        <f>IF(Table1[[#This Row],[Transaction_Amount]]&lt;=Table1[[#This Row],[avg_transaction_amount]], "usual transaction", "unusual transaction")</f>
        <v>unusual transaction</v>
      </c>
      <c r="Q2729" t="str">
        <f>IF(AND(Table1[[#This Row],[Country_of_Residence]]&lt;&gt;Table1[[#This Row],[Country_of_Transaction]], OR(Table1[[#This Row],[Authentication_Type]]="Biometric", Table1[[#This Row],[Authentication_Type]]="OTP")), "safe location transaction", "unsafe location transaction")</f>
        <v>safe location transaction</v>
      </c>
      <c r="R2729" t="str">
        <f>IF(AND(Table1[[#This Row],[Country_of_Residence]]&lt;&gt;Table1[[#This Row],[Country_of_Transaction]], OR(Table1[[#This Row],[Merchant_Category]]="Electronics", Table1[[#This Row],[Merchant_Category]]="Travel")), "unsafe merchant transaction", "safe merchant transaction")</f>
        <v>safe merchant transaction</v>
      </c>
    </row>
    <row r="2730" spans="1:18">
      <c r="A2730" t="s">
        <v>374</v>
      </c>
      <c r="B2730" t="s">
        <v>375</v>
      </c>
      <c r="C2730">
        <v>1</v>
      </c>
      <c r="D2730" t="s">
        <v>11</v>
      </c>
      <c r="E2730" t="s">
        <v>3</v>
      </c>
      <c r="F2730" s="2">
        <v>45891.604861111096</v>
      </c>
      <c r="G2730">
        <v>4687.1000000000004</v>
      </c>
      <c r="H2730" s="1">
        <f>AVERAGEIF(Table1[Customer_ID], Table1[[#This Row],[Customer_ID]], Table1[Transaction_Amount])</f>
        <v>5426.7346031746029</v>
      </c>
      <c r="I2730" t="s">
        <v>376</v>
      </c>
      <c r="J2730" t="s">
        <v>46</v>
      </c>
      <c r="K2730" t="s">
        <v>8</v>
      </c>
      <c r="L2730">
        <v>0</v>
      </c>
      <c r="M2730" t="s">
        <v>377</v>
      </c>
      <c r="N2730" t="s">
        <v>309</v>
      </c>
      <c r="O2730" t="s">
        <v>392</v>
      </c>
      <c r="P2730" t="str">
        <f>IF(Table1[[#This Row],[Transaction_Amount]]&lt;=Table1[[#This Row],[avg_transaction_amount]], "usual transaction", "unusual transaction")</f>
        <v>usual transaction</v>
      </c>
      <c r="Q2730" t="str">
        <f>IF(AND(Table1[[#This Row],[Country_of_Residence]]&lt;&gt;Table1[[#This Row],[Country_of_Transaction]], OR(Table1[[#This Row],[Authentication_Type]]="Biometric", Table1[[#This Row],[Authentication_Type]]="OTP")), "safe location transaction", "unsafe location transaction")</f>
        <v>safe location transaction</v>
      </c>
      <c r="R2730" t="str">
        <f>IF(AND(Table1[[#This Row],[Country_of_Residence]]&lt;&gt;Table1[[#This Row],[Country_of_Transaction]], OR(Table1[[#This Row],[Merchant_Category]]="Electronics", Table1[[#This Row],[Merchant_Category]]="Travel")), "unsafe merchant transaction", "safe merchant transaction")</f>
        <v>safe merchant transaction</v>
      </c>
    </row>
    <row r="2731" spans="1:18">
      <c r="A2731" t="s">
        <v>2801</v>
      </c>
      <c r="B2731" t="s">
        <v>375</v>
      </c>
      <c r="C2731">
        <v>1</v>
      </c>
      <c r="D2731" t="s">
        <v>9</v>
      </c>
      <c r="E2731" t="s">
        <v>420</v>
      </c>
      <c r="F2731" s="2">
        <v>45739</v>
      </c>
      <c r="G2731">
        <v>8919.69</v>
      </c>
      <c r="H2731" s="1">
        <f>AVERAGEIF(Table1[Customer_ID], Table1[[#This Row],[Customer_ID]], Table1[Transaction_Amount])</f>
        <v>5426.7346031746029</v>
      </c>
      <c r="I2731" t="s">
        <v>452</v>
      </c>
      <c r="J2731" t="s">
        <v>36</v>
      </c>
      <c r="K2731" t="s">
        <v>14</v>
      </c>
      <c r="L2731">
        <v>1</v>
      </c>
      <c r="M2731" t="s">
        <v>37</v>
      </c>
      <c r="N2731" t="s">
        <v>33</v>
      </c>
      <c r="O2731" t="s">
        <v>393</v>
      </c>
      <c r="P2731" s="6" t="str">
        <f>IF(Table1[[#This Row],[Transaction_Amount]]&lt;=Table1[[#This Row],[avg_transaction_amount]], "usual transaction", "unusual transaction")</f>
        <v>unusual transaction</v>
      </c>
      <c r="Q2731" s="6" t="str">
        <f>IF(AND(Table1[[#This Row],[Country_of_Residence]]&lt;&gt;Table1[[#This Row],[Country_of_Transaction]], OR(Table1[[#This Row],[Authentication_Type]]="Biometric", Table1[[#This Row],[Authentication_Type]]="OTP")), "safe location transaction", "unsafe location transaction")</f>
        <v>unsafe location transaction</v>
      </c>
      <c r="R2731" s="6" t="str">
        <f>IF(AND(Table1[[#This Row],[Country_of_Residence]]&lt;&gt;Table1[[#This Row],[Country_of_Transaction]], OR(Table1[[#This Row],[Merchant_Category]]="Electronics", Table1[[#This Row],[Merchant_Category]]="Travel")), "unsafe merchant transaction", "safe merchant transaction")</f>
        <v>safe merchant transaction</v>
      </c>
    </row>
    <row r="2732" spans="1:18">
      <c r="A2732" t="s">
        <v>2804</v>
      </c>
      <c r="B2732" t="s">
        <v>375</v>
      </c>
      <c r="C2732">
        <v>1</v>
      </c>
      <c r="D2732" t="s">
        <v>9</v>
      </c>
      <c r="E2732" t="s">
        <v>5</v>
      </c>
      <c r="F2732" s="2">
        <v>45857</v>
      </c>
      <c r="G2732">
        <v>5778.12</v>
      </c>
      <c r="H2732" s="1">
        <f>AVERAGEIF(Table1[Customer_ID], Table1[[#This Row],[Customer_ID]], Table1[Transaction_Amount])</f>
        <v>5426.7346031746029</v>
      </c>
      <c r="I2732" t="s">
        <v>455</v>
      </c>
      <c r="J2732" t="s">
        <v>41</v>
      </c>
      <c r="K2732" t="s">
        <v>12</v>
      </c>
      <c r="L2732">
        <v>3</v>
      </c>
      <c r="M2732" t="s">
        <v>55</v>
      </c>
      <c r="N2732" t="s">
        <v>37</v>
      </c>
      <c r="O2732" t="s">
        <v>393</v>
      </c>
      <c r="P2732" s="6" t="str">
        <f>IF(Table1[[#This Row],[Transaction_Amount]]&lt;=Table1[[#This Row],[avg_transaction_amount]], "usual transaction", "unusual transaction")</f>
        <v>unusual transaction</v>
      </c>
      <c r="Q2732" s="6" t="str">
        <f>IF(AND(Table1[[#This Row],[Country_of_Residence]]&lt;&gt;Table1[[#This Row],[Country_of_Transaction]], OR(Table1[[#This Row],[Authentication_Type]]="Biometric", Table1[[#This Row],[Authentication_Type]]="OTP")), "safe location transaction", "unsafe location transaction")</f>
        <v>unsafe location transaction</v>
      </c>
      <c r="R2732" s="6" t="str">
        <f>IF(AND(Table1[[#This Row],[Country_of_Residence]]&lt;&gt;Table1[[#This Row],[Country_of_Transaction]], OR(Table1[[#This Row],[Merchant_Category]]="Electronics", Table1[[#This Row],[Merchant_Category]]="Travel")), "unsafe merchant transaction", "safe merchant transaction")</f>
        <v>safe merchant transaction</v>
      </c>
    </row>
    <row r="2733" spans="1:18">
      <c r="A2733" t="s">
        <v>2812</v>
      </c>
      <c r="B2733" t="s">
        <v>375</v>
      </c>
      <c r="C2733">
        <v>1</v>
      </c>
      <c r="D2733" t="s">
        <v>9</v>
      </c>
      <c r="E2733" t="s">
        <v>5</v>
      </c>
      <c r="F2733" s="2">
        <v>45672</v>
      </c>
      <c r="G2733">
        <v>4673.8500000000004</v>
      </c>
      <c r="H2733" s="1">
        <f>AVERAGEIF(Table1[Customer_ID], Table1[[#This Row],[Customer_ID]], Table1[Transaction_Amount])</f>
        <v>5426.7346031746029</v>
      </c>
      <c r="I2733" t="s">
        <v>463</v>
      </c>
      <c r="J2733" t="s">
        <v>46</v>
      </c>
      <c r="K2733" t="s">
        <v>8</v>
      </c>
      <c r="L2733">
        <v>1</v>
      </c>
      <c r="M2733" t="s">
        <v>51</v>
      </c>
      <c r="N2733" t="s">
        <v>37</v>
      </c>
      <c r="O2733" t="s">
        <v>393</v>
      </c>
      <c r="P2733" s="6" t="str">
        <f>IF(Table1[[#This Row],[Transaction_Amount]]&lt;=Table1[[#This Row],[avg_transaction_amount]], "usual transaction", "unusual transaction")</f>
        <v>usual transaction</v>
      </c>
      <c r="Q2733" s="6" t="str">
        <f>IF(AND(Table1[[#This Row],[Country_of_Residence]]&lt;&gt;Table1[[#This Row],[Country_of_Transaction]], OR(Table1[[#This Row],[Authentication_Type]]="Biometric", Table1[[#This Row],[Authentication_Type]]="OTP")), "safe location transaction", "unsafe location transaction")</f>
        <v>safe location transaction</v>
      </c>
      <c r="R2733" s="6" t="str">
        <f>IF(AND(Table1[[#This Row],[Country_of_Residence]]&lt;&gt;Table1[[#This Row],[Country_of_Transaction]], OR(Table1[[#This Row],[Merchant_Category]]="Electronics", Table1[[#This Row],[Merchant_Category]]="Travel")), "unsafe merchant transaction", "safe merchant transaction")</f>
        <v>safe merchant transaction</v>
      </c>
    </row>
    <row r="2734" spans="1:18">
      <c r="A2734" t="s">
        <v>2842</v>
      </c>
      <c r="B2734" t="s">
        <v>375</v>
      </c>
      <c r="C2734">
        <v>1</v>
      </c>
      <c r="D2734" t="s">
        <v>9</v>
      </c>
      <c r="E2734" t="s">
        <v>5</v>
      </c>
      <c r="F2734" s="2">
        <v>45704</v>
      </c>
      <c r="G2734">
        <v>9666.68</v>
      </c>
      <c r="H2734" s="1">
        <f>AVERAGEIF(Table1[Customer_ID], Table1[[#This Row],[Customer_ID]], Table1[Transaction_Amount])</f>
        <v>5426.7346031746029</v>
      </c>
      <c r="I2734" t="s">
        <v>493</v>
      </c>
      <c r="J2734" t="s">
        <v>50</v>
      </c>
      <c r="K2734" t="s">
        <v>10</v>
      </c>
      <c r="L2734">
        <v>3</v>
      </c>
      <c r="M2734" t="s">
        <v>51</v>
      </c>
      <c r="N2734" t="s">
        <v>37</v>
      </c>
      <c r="O2734" t="s">
        <v>393</v>
      </c>
      <c r="P2734" s="6" t="str">
        <f>IF(Table1[[#This Row],[Transaction_Amount]]&lt;=Table1[[#This Row],[avg_transaction_amount]], "usual transaction", "unusual transaction")</f>
        <v>unusual transaction</v>
      </c>
      <c r="Q2734" s="6" t="str">
        <f>IF(AND(Table1[[#This Row],[Country_of_Residence]]&lt;&gt;Table1[[#This Row],[Country_of_Transaction]], OR(Table1[[#This Row],[Authentication_Type]]="Biometric", Table1[[#This Row],[Authentication_Type]]="OTP")), "safe location transaction", "unsafe location transaction")</f>
        <v>safe location transaction</v>
      </c>
      <c r="R2734" s="6" t="str">
        <f>IF(AND(Table1[[#This Row],[Country_of_Residence]]&lt;&gt;Table1[[#This Row],[Country_of_Transaction]], OR(Table1[[#This Row],[Merchant_Category]]="Electronics", Table1[[#This Row],[Merchant_Category]]="Travel")), "unsafe merchant transaction", "safe merchant transaction")</f>
        <v>unsafe merchant transaction</v>
      </c>
    </row>
    <row r="2735" spans="1:18">
      <c r="A2735" t="s">
        <v>2865</v>
      </c>
      <c r="B2735" t="s">
        <v>375</v>
      </c>
      <c r="C2735">
        <v>1</v>
      </c>
      <c r="D2735" t="s">
        <v>9</v>
      </c>
      <c r="E2735" t="s">
        <v>420</v>
      </c>
      <c r="F2735" s="2">
        <v>45946</v>
      </c>
      <c r="G2735">
        <v>7603.57</v>
      </c>
      <c r="H2735" s="1">
        <f>AVERAGEIF(Table1[Customer_ID], Table1[[#This Row],[Customer_ID]], Table1[Transaction_Amount])</f>
        <v>5426.7346031746029</v>
      </c>
      <c r="I2735" t="s">
        <v>517</v>
      </c>
      <c r="J2735" t="s">
        <v>41</v>
      </c>
      <c r="K2735" t="s">
        <v>14</v>
      </c>
      <c r="L2735">
        <v>5</v>
      </c>
      <c r="M2735" t="s">
        <v>51</v>
      </c>
      <c r="N2735" t="s">
        <v>42</v>
      </c>
      <c r="O2735" t="s">
        <v>393</v>
      </c>
      <c r="P2735" s="6" t="str">
        <f>IF(Table1[[#This Row],[Transaction_Amount]]&lt;=Table1[[#This Row],[avg_transaction_amount]], "usual transaction", "unusual transaction")</f>
        <v>unusual transaction</v>
      </c>
      <c r="Q2735" s="6" t="str">
        <f>IF(AND(Table1[[#This Row],[Country_of_Residence]]&lt;&gt;Table1[[#This Row],[Country_of_Transaction]], OR(Table1[[#This Row],[Authentication_Type]]="Biometric", Table1[[#This Row],[Authentication_Type]]="OTP")), "safe location transaction", "unsafe location transaction")</f>
        <v>unsafe location transaction</v>
      </c>
      <c r="R2735" s="6" t="str">
        <f>IF(AND(Table1[[#This Row],[Country_of_Residence]]&lt;&gt;Table1[[#This Row],[Country_of_Transaction]], OR(Table1[[#This Row],[Merchant_Category]]="Electronics", Table1[[#This Row],[Merchant_Category]]="Travel")), "unsafe merchant transaction", "safe merchant transaction")</f>
        <v>safe merchant transaction</v>
      </c>
    </row>
    <row r="2736" spans="1:18">
      <c r="A2736" t="s">
        <v>2914</v>
      </c>
      <c r="B2736" t="s">
        <v>375</v>
      </c>
      <c r="C2736">
        <v>1</v>
      </c>
      <c r="D2736" t="s">
        <v>15</v>
      </c>
      <c r="E2736" t="s">
        <v>3</v>
      </c>
      <c r="F2736" s="2">
        <v>45991</v>
      </c>
      <c r="G2736">
        <v>9640.94</v>
      </c>
      <c r="H2736" s="1">
        <f>AVERAGEIF(Table1[Customer_ID], Table1[[#This Row],[Customer_ID]], Table1[Transaction_Amount])</f>
        <v>5426.7346031746029</v>
      </c>
      <c r="I2736" t="s">
        <v>250</v>
      </c>
      <c r="J2736" t="s">
        <v>41</v>
      </c>
      <c r="K2736" t="s">
        <v>10</v>
      </c>
      <c r="L2736">
        <v>1</v>
      </c>
      <c r="M2736" t="s">
        <v>56</v>
      </c>
      <c r="N2736" t="s">
        <v>42</v>
      </c>
      <c r="O2736" t="s">
        <v>392</v>
      </c>
      <c r="P2736" s="6" t="str">
        <f>IF(Table1[[#This Row],[Transaction_Amount]]&lt;=Table1[[#This Row],[avg_transaction_amount]], "usual transaction", "unusual transaction")</f>
        <v>unusual transaction</v>
      </c>
      <c r="Q2736" s="6" t="str">
        <f>IF(AND(Table1[[#This Row],[Country_of_Residence]]&lt;&gt;Table1[[#This Row],[Country_of_Transaction]], OR(Table1[[#This Row],[Authentication_Type]]="Biometric", Table1[[#This Row],[Authentication_Type]]="OTP")), "safe location transaction", "unsafe location transaction")</f>
        <v>safe location transaction</v>
      </c>
      <c r="R2736" s="6" t="str">
        <f>IF(AND(Table1[[#This Row],[Country_of_Residence]]&lt;&gt;Table1[[#This Row],[Country_of_Transaction]], OR(Table1[[#This Row],[Merchant_Category]]="Electronics", Table1[[#This Row],[Merchant_Category]]="Travel")), "unsafe merchant transaction", "safe merchant transaction")</f>
        <v>safe merchant transaction</v>
      </c>
    </row>
    <row r="2737" spans="1:18">
      <c r="A2737" t="s">
        <v>2944</v>
      </c>
      <c r="B2737" t="s">
        <v>375</v>
      </c>
      <c r="C2737">
        <v>1</v>
      </c>
      <c r="D2737" t="s">
        <v>15</v>
      </c>
      <c r="E2737" t="s">
        <v>5</v>
      </c>
      <c r="F2737" s="2">
        <v>45685</v>
      </c>
      <c r="G2737">
        <v>7410.46</v>
      </c>
      <c r="H2737" s="1">
        <f>AVERAGEIF(Table1[Customer_ID], Table1[[#This Row],[Customer_ID]], Table1[Transaction_Amount])</f>
        <v>5426.7346031746029</v>
      </c>
      <c r="I2737" t="s">
        <v>593</v>
      </c>
      <c r="J2737" t="s">
        <v>46</v>
      </c>
      <c r="K2737" t="s">
        <v>10</v>
      </c>
      <c r="L2737">
        <v>2</v>
      </c>
      <c r="M2737" t="s">
        <v>56</v>
      </c>
      <c r="N2737" t="s">
        <v>51</v>
      </c>
      <c r="O2737" t="s">
        <v>392</v>
      </c>
      <c r="P2737" s="6" t="str">
        <f>IF(Table1[[#This Row],[Transaction_Amount]]&lt;=Table1[[#This Row],[avg_transaction_amount]], "usual transaction", "unusual transaction")</f>
        <v>unusual transaction</v>
      </c>
      <c r="Q2737" s="6" t="str">
        <f>IF(AND(Table1[[#This Row],[Country_of_Residence]]&lt;&gt;Table1[[#This Row],[Country_of_Transaction]], OR(Table1[[#This Row],[Authentication_Type]]="Biometric", Table1[[#This Row],[Authentication_Type]]="OTP")), "safe location transaction", "unsafe location transaction")</f>
        <v>safe location transaction</v>
      </c>
      <c r="R2737" s="6" t="str">
        <f>IF(AND(Table1[[#This Row],[Country_of_Residence]]&lt;&gt;Table1[[#This Row],[Country_of_Transaction]], OR(Table1[[#This Row],[Merchant_Category]]="Electronics", Table1[[#This Row],[Merchant_Category]]="Travel")), "unsafe merchant transaction", "safe merchant transaction")</f>
        <v>safe merchant transaction</v>
      </c>
    </row>
    <row r="2738" spans="1:18">
      <c r="A2738" t="s">
        <v>3016</v>
      </c>
      <c r="B2738" t="s">
        <v>375</v>
      </c>
      <c r="C2738">
        <v>1</v>
      </c>
      <c r="D2738" t="s">
        <v>9</v>
      </c>
      <c r="E2738" t="s">
        <v>420</v>
      </c>
      <c r="F2738" s="2">
        <v>45959</v>
      </c>
      <c r="G2738">
        <v>6979.89</v>
      </c>
      <c r="H2738" s="1">
        <f>AVERAGEIF(Table1[Customer_ID], Table1[[#This Row],[Customer_ID]], Table1[Transaction_Amount])</f>
        <v>5426.7346031746029</v>
      </c>
      <c r="I2738" t="s">
        <v>663</v>
      </c>
      <c r="J2738" t="s">
        <v>36</v>
      </c>
      <c r="K2738" t="s">
        <v>8</v>
      </c>
      <c r="L2738">
        <v>4</v>
      </c>
      <c r="M2738" t="s">
        <v>47</v>
      </c>
      <c r="N2738" t="s">
        <v>55</v>
      </c>
      <c r="O2738" t="s">
        <v>393</v>
      </c>
      <c r="P2738" s="6" t="str">
        <f>IF(Table1[[#This Row],[Transaction_Amount]]&lt;=Table1[[#This Row],[avg_transaction_amount]], "usual transaction", "unusual transaction")</f>
        <v>unusual transaction</v>
      </c>
      <c r="Q2738" s="6" t="str">
        <f>IF(AND(Table1[[#This Row],[Country_of_Residence]]&lt;&gt;Table1[[#This Row],[Country_of_Transaction]], OR(Table1[[#This Row],[Authentication_Type]]="Biometric", Table1[[#This Row],[Authentication_Type]]="OTP")), "safe location transaction", "unsafe location transaction")</f>
        <v>safe location transaction</v>
      </c>
      <c r="R2738" s="6" t="str">
        <f>IF(AND(Table1[[#This Row],[Country_of_Residence]]&lt;&gt;Table1[[#This Row],[Country_of_Transaction]], OR(Table1[[#This Row],[Merchant_Category]]="Electronics", Table1[[#This Row],[Merchant_Category]]="Travel")), "unsafe merchant transaction", "safe merchant transaction")</f>
        <v>safe merchant transaction</v>
      </c>
    </row>
    <row r="2739" spans="1:18">
      <c r="A2739" t="s">
        <v>3094</v>
      </c>
      <c r="B2739" t="s">
        <v>375</v>
      </c>
      <c r="C2739">
        <v>1</v>
      </c>
      <c r="D2739" t="s">
        <v>9</v>
      </c>
      <c r="E2739" t="s">
        <v>6</v>
      </c>
      <c r="F2739" s="2">
        <v>45847</v>
      </c>
      <c r="G2739">
        <v>2076.75</v>
      </c>
      <c r="H2739" s="1">
        <f>AVERAGEIF(Table1[Customer_ID], Table1[[#This Row],[Customer_ID]], Table1[Transaction_Amount])</f>
        <v>5426.7346031746029</v>
      </c>
      <c r="I2739" t="s">
        <v>738</v>
      </c>
      <c r="J2739" t="s">
        <v>50</v>
      </c>
      <c r="K2739" t="s">
        <v>14</v>
      </c>
      <c r="L2739">
        <v>4</v>
      </c>
      <c r="M2739" t="s">
        <v>51</v>
      </c>
      <c r="N2739" t="s">
        <v>56</v>
      </c>
      <c r="O2739" t="s">
        <v>392</v>
      </c>
      <c r="P2739" s="6" t="str">
        <f>IF(Table1[[#This Row],[Transaction_Amount]]&lt;=Table1[[#This Row],[avg_transaction_amount]], "usual transaction", "unusual transaction")</f>
        <v>usual transaction</v>
      </c>
      <c r="Q2739" s="6" t="str">
        <f>IF(AND(Table1[[#This Row],[Country_of_Residence]]&lt;&gt;Table1[[#This Row],[Country_of_Transaction]], OR(Table1[[#This Row],[Authentication_Type]]="Biometric", Table1[[#This Row],[Authentication_Type]]="OTP")), "safe location transaction", "unsafe location transaction")</f>
        <v>unsafe location transaction</v>
      </c>
      <c r="R2739" s="6" t="str">
        <f>IF(AND(Table1[[#This Row],[Country_of_Residence]]&lt;&gt;Table1[[#This Row],[Country_of_Transaction]], OR(Table1[[#This Row],[Merchant_Category]]="Electronics", Table1[[#This Row],[Merchant_Category]]="Travel")), "unsafe merchant transaction", "safe merchant transaction")</f>
        <v>unsafe merchant transaction</v>
      </c>
    </row>
    <row r="2740" spans="1:18">
      <c r="A2740" t="s">
        <v>3263</v>
      </c>
      <c r="B2740" t="s">
        <v>375</v>
      </c>
      <c r="C2740">
        <v>1</v>
      </c>
      <c r="D2740" t="s">
        <v>15</v>
      </c>
      <c r="E2740" t="s">
        <v>6</v>
      </c>
      <c r="F2740" s="2">
        <v>45916</v>
      </c>
      <c r="G2740">
        <v>5394.41</v>
      </c>
      <c r="H2740" s="1">
        <f>AVERAGEIF(Table1[Customer_ID], Table1[[#This Row],[Customer_ID]], Table1[Transaction_Amount])</f>
        <v>5426.7346031746029</v>
      </c>
      <c r="I2740" t="s">
        <v>452</v>
      </c>
      <c r="J2740" t="s">
        <v>50</v>
      </c>
      <c r="K2740" t="s">
        <v>12</v>
      </c>
      <c r="L2740">
        <v>3</v>
      </c>
      <c r="M2740" t="s">
        <v>32</v>
      </c>
      <c r="N2740" t="s">
        <v>42</v>
      </c>
      <c r="O2740" t="s">
        <v>393</v>
      </c>
      <c r="P2740" s="6" t="str">
        <f>IF(Table1[[#This Row],[Transaction_Amount]]&lt;=Table1[[#This Row],[avg_transaction_amount]], "usual transaction", "unusual transaction")</f>
        <v>usual transaction</v>
      </c>
      <c r="Q2740" s="6" t="str">
        <f>IF(AND(Table1[[#This Row],[Country_of_Residence]]&lt;&gt;Table1[[#This Row],[Country_of_Transaction]], OR(Table1[[#This Row],[Authentication_Type]]="Biometric", Table1[[#This Row],[Authentication_Type]]="OTP")), "safe location transaction", "unsafe location transaction")</f>
        <v>unsafe location transaction</v>
      </c>
      <c r="R2740" s="6" t="str">
        <f>IF(AND(Table1[[#This Row],[Country_of_Residence]]&lt;&gt;Table1[[#This Row],[Country_of_Transaction]], OR(Table1[[#This Row],[Merchant_Category]]="Electronics", Table1[[#This Row],[Merchant_Category]]="Travel")), "unsafe merchant transaction", "safe merchant transaction")</f>
        <v>unsafe merchant transaction</v>
      </c>
    </row>
    <row r="2741" spans="1:18">
      <c r="A2741" t="s">
        <v>3334</v>
      </c>
      <c r="B2741" t="s">
        <v>375</v>
      </c>
      <c r="C2741">
        <v>1</v>
      </c>
      <c r="D2741" t="s">
        <v>9</v>
      </c>
      <c r="E2741" t="s">
        <v>6</v>
      </c>
      <c r="F2741" s="2">
        <v>45813</v>
      </c>
      <c r="G2741">
        <v>6375.07</v>
      </c>
      <c r="H2741" s="1">
        <f>AVERAGEIF(Table1[Customer_ID], Table1[[#This Row],[Customer_ID]], Table1[Transaction_Amount])</f>
        <v>5426.7346031746029</v>
      </c>
      <c r="I2741" t="s">
        <v>958</v>
      </c>
      <c r="J2741" t="s">
        <v>41</v>
      </c>
      <c r="K2741" t="s">
        <v>10</v>
      </c>
      <c r="L2741">
        <v>5</v>
      </c>
      <c r="M2741" t="s">
        <v>412</v>
      </c>
      <c r="N2741" t="s">
        <v>51</v>
      </c>
      <c r="O2741" t="s">
        <v>393</v>
      </c>
      <c r="P2741" s="6" t="str">
        <f>IF(Table1[[#This Row],[Transaction_Amount]]&lt;=Table1[[#This Row],[avg_transaction_amount]], "usual transaction", "unusual transaction")</f>
        <v>unusual transaction</v>
      </c>
      <c r="Q2741" s="6" t="str">
        <f>IF(AND(Table1[[#This Row],[Country_of_Residence]]&lt;&gt;Table1[[#This Row],[Country_of_Transaction]], OR(Table1[[#This Row],[Authentication_Type]]="Biometric", Table1[[#This Row],[Authentication_Type]]="OTP")), "safe location transaction", "unsafe location transaction")</f>
        <v>safe location transaction</v>
      </c>
      <c r="R2741" s="6" t="str">
        <f>IF(AND(Table1[[#This Row],[Country_of_Residence]]&lt;&gt;Table1[[#This Row],[Country_of_Transaction]], OR(Table1[[#This Row],[Merchant_Category]]="Electronics", Table1[[#This Row],[Merchant_Category]]="Travel")), "unsafe merchant transaction", "safe merchant transaction")</f>
        <v>safe merchant transaction</v>
      </c>
    </row>
    <row r="2742" spans="1:18">
      <c r="A2742" t="s">
        <v>3343</v>
      </c>
      <c r="B2742" t="s">
        <v>375</v>
      </c>
      <c r="C2742">
        <v>1</v>
      </c>
      <c r="D2742" t="s">
        <v>9</v>
      </c>
      <c r="E2742" t="s">
        <v>420</v>
      </c>
      <c r="F2742" s="2">
        <v>45734</v>
      </c>
      <c r="G2742">
        <v>1428.3</v>
      </c>
      <c r="H2742" s="1">
        <f>AVERAGEIF(Table1[Customer_ID], Table1[[#This Row],[Customer_ID]], Table1[Transaction_Amount])</f>
        <v>5426.7346031746029</v>
      </c>
      <c r="I2742" t="s">
        <v>967</v>
      </c>
      <c r="J2742" t="s">
        <v>31</v>
      </c>
      <c r="K2742" t="s">
        <v>8</v>
      </c>
      <c r="L2742">
        <v>3</v>
      </c>
      <c r="M2742" t="s">
        <v>55</v>
      </c>
      <c r="N2742" t="s">
        <v>56</v>
      </c>
      <c r="O2742" t="s">
        <v>393</v>
      </c>
      <c r="P2742" s="6" t="str">
        <f>IF(Table1[[#This Row],[Transaction_Amount]]&lt;=Table1[[#This Row],[avg_transaction_amount]], "usual transaction", "unusual transaction")</f>
        <v>usual transaction</v>
      </c>
      <c r="Q2742" s="6" t="str">
        <f>IF(AND(Table1[[#This Row],[Country_of_Residence]]&lt;&gt;Table1[[#This Row],[Country_of_Transaction]], OR(Table1[[#This Row],[Authentication_Type]]="Biometric", Table1[[#This Row],[Authentication_Type]]="OTP")), "safe location transaction", "unsafe location transaction")</f>
        <v>safe location transaction</v>
      </c>
      <c r="R2742" s="6" t="str">
        <f>IF(AND(Table1[[#This Row],[Country_of_Residence]]&lt;&gt;Table1[[#This Row],[Country_of_Transaction]], OR(Table1[[#This Row],[Merchant_Category]]="Electronics", Table1[[#This Row],[Merchant_Category]]="Travel")), "unsafe merchant transaction", "safe merchant transaction")</f>
        <v>safe merchant transaction</v>
      </c>
    </row>
    <row r="2743" spans="1:18">
      <c r="A2743" t="s">
        <v>3351</v>
      </c>
      <c r="B2743" t="s">
        <v>375</v>
      </c>
      <c r="C2743">
        <v>1</v>
      </c>
      <c r="D2743" t="s">
        <v>9</v>
      </c>
      <c r="E2743" t="s">
        <v>420</v>
      </c>
      <c r="F2743" s="2">
        <v>45886</v>
      </c>
      <c r="G2743">
        <v>5569.34</v>
      </c>
      <c r="H2743" s="1">
        <f>AVERAGEIF(Table1[Customer_ID], Table1[[#This Row],[Customer_ID]], Table1[Transaction_Amount])</f>
        <v>5426.7346031746029</v>
      </c>
      <c r="I2743" t="s">
        <v>975</v>
      </c>
      <c r="J2743" t="s">
        <v>46</v>
      </c>
      <c r="K2743" t="s">
        <v>12</v>
      </c>
      <c r="L2743">
        <v>2</v>
      </c>
      <c r="M2743" t="s">
        <v>33</v>
      </c>
      <c r="N2743" t="s">
        <v>42</v>
      </c>
      <c r="O2743" t="s">
        <v>392</v>
      </c>
      <c r="P2743" s="6" t="str">
        <f>IF(Table1[[#This Row],[Transaction_Amount]]&lt;=Table1[[#This Row],[avg_transaction_amount]], "usual transaction", "unusual transaction")</f>
        <v>unusual transaction</v>
      </c>
      <c r="Q2743" s="6" t="str">
        <f>IF(AND(Table1[[#This Row],[Country_of_Residence]]&lt;&gt;Table1[[#This Row],[Country_of_Transaction]], OR(Table1[[#This Row],[Authentication_Type]]="Biometric", Table1[[#This Row],[Authentication_Type]]="OTP")), "safe location transaction", "unsafe location transaction")</f>
        <v>unsafe location transaction</v>
      </c>
      <c r="R2743" s="6" t="str">
        <f>IF(AND(Table1[[#This Row],[Country_of_Residence]]&lt;&gt;Table1[[#This Row],[Country_of_Transaction]], OR(Table1[[#This Row],[Merchant_Category]]="Electronics", Table1[[#This Row],[Merchant_Category]]="Travel")), "unsafe merchant transaction", "safe merchant transaction")</f>
        <v>safe merchant transaction</v>
      </c>
    </row>
    <row r="2744" spans="1:18">
      <c r="A2744" t="s">
        <v>3377</v>
      </c>
      <c r="B2744" t="s">
        <v>375</v>
      </c>
      <c r="C2744">
        <v>1</v>
      </c>
      <c r="D2744" t="s">
        <v>9</v>
      </c>
      <c r="E2744" t="s">
        <v>6</v>
      </c>
      <c r="F2744" s="2">
        <v>45825</v>
      </c>
      <c r="G2744">
        <v>6179.48</v>
      </c>
      <c r="H2744" s="1">
        <f>AVERAGEIF(Table1[Customer_ID], Table1[[#This Row],[Customer_ID]], Table1[Transaction_Amount])</f>
        <v>5426.7346031746029</v>
      </c>
      <c r="I2744" t="s">
        <v>999</v>
      </c>
      <c r="J2744" t="s">
        <v>50</v>
      </c>
      <c r="K2744" t="s">
        <v>12</v>
      </c>
      <c r="L2744">
        <v>4</v>
      </c>
      <c r="M2744" t="s">
        <v>47</v>
      </c>
      <c r="N2744" t="s">
        <v>55</v>
      </c>
      <c r="O2744" t="s">
        <v>392</v>
      </c>
      <c r="P2744" s="6" t="str">
        <f>IF(Table1[[#This Row],[Transaction_Amount]]&lt;=Table1[[#This Row],[avg_transaction_amount]], "usual transaction", "unusual transaction")</f>
        <v>unusual transaction</v>
      </c>
      <c r="Q2744" s="6" t="str">
        <f>IF(AND(Table1[[#This Row],[Country_of_Residence]]&lt;&gt;Table1[[#This Row],[Country_of_Transaction]], OR(Table1[[#This Row],[Authentication_Type]]="Biometric", Table1[[#This Row],[Authentication_Type]]="OTP")), "safe location transaction", "unsafe location transaction")</f>
        <v>unsafe location transaction</v>
      </c>
      <c r="R2744" s="6" t="str">
        <f>IF(AND(Table1[[#This Row],[Country_of_Residence]]&lt;&gt;Table1[[#This Row],[Country_of_Transaction]], OR(Table1[[#This Row],[Merchant_Category]]="Electronics", Table1[[#This Row],[Merchant_Category]]="Travel")), "unsafe merchant transaction", "safe merchant transaction")</f>
        <v>unsafe merchant transaction</v>
      </c>
    </row>
    <row r="2745" spans="1:18">
      <c r="A2745" t="s">
        <v>3421</v>
      </c>
      <c r="B2745" t="s">
        <v>375</v>
      </c>
      <c r="C2745">
        <v>1</v>
      </c>
      <c r="D2745" t="s">
        <v>9</v>
      </c>
      <c r="E2745" t="s">
        <v>420</v>
      </c>
      <c r="F2745" s="2">
        <v>45978</v>
      </c>
      <c r="G2745">
        <v>1959.25</v>
      </c>
      <c r="H2745" s="1">
        <f>AVERAGEIF(Table1[Customer_ID], Table1[[#This Row],[Customer_ID]], Table1[Transaction_Amount])</f>
        <v>5426.7346031746029</v>
      </c>
      <c r="I2745" t="s">
        <v>1041</v>
      </c>
      <c r="J2745" t="s">
        <v>46</v>
      </c>
      <c r="K2745" t="s">
        <v>10</v>
      </c>
      <c r="L2745">
        <v>2</v>
      </c>
      <c r="M2745" t="s">
        <v>32</v>
      </c>
      <c r="N2745" t="s">
        <v>56</v>
      </c>
      <c r="O2745" t="s">
        <v>392</v>
      </c>
      <c r="P2745" s="6" t="str">
        <f>IF(Table1[[#This Row],[Transaction_Amount]]&lt;=Table1[[#This Row],[avg_transaction_amount]], "usual transaction", "unusual transaction")</f>
        <v>usual transaction</v>
      </c>
      <c r="Q2745" s="6" t="str">
        <f>IF(AND(Table1[[#This Row],[Country_of_Residence]]&lt;&gt;Table1[[#This Row],[Country_of_Transaction]], OR(Table1[[#This Row],[Authentication_Type]]="Biometric", Table1[[#This Row],[Authentication_Type]]="OTP")), "safe location transaction", "unsafe location transaction")</f>
        <v>safe location transaction</v>
      </c>
      <c r="R2745" s="6" t="str">
        <f>IF(AND(Table1[[#This Row],[Country_of_Residence]]&lt;&gt;Table1[[#This Row],[Country_of_Transaction]], OR(Table1[[#This Row],[Merchant_Category]]="Electronics", Table1[[#This Row],[Merchant_Category]]="Travel")), "unsafe merchant transaction", "safe merchant transaction")</f>
        <v>safe merchant transaction</v>
      </c>
    </row>
    <row r="2746" spans="1:18">
      <c r="A2746" t="s">
        <v>3436</v>
      </c>
      <c r="B2746" t="s">
        <v>375</v>
      </c>
      <c r="C2746">
        <v>1</v>
      </c>
      <c r="D2746" t="s">
        <v>9</v>
      </c>
      <c r="E2746" t="s">
        <v>5</v>
      </c>
      <c r="F2746" s="2">
        <v>46014</v>
      </c>
      <c r="G2746">
        <v>3944.06</v>
      </c>
      <c r="H2746" s="1">
        <f>AVERAGEIF(Table1[Customer_ID], Table1[[#This Row],[Customer_ID]], Table1[Transaction_Amount])</f>
        <v>5426.7346031746029</v>
      </c>
      <c r="I2746" t="s">
        <v>1055</v>
      </c>
      <c r="J2746" t="s">
        <v>36</v>
      </c>
      <c r="K2746" t="s">
        <v>10</v>
      </c>
      <c r="L2746">
        <v>1</v>
      </c>
      <c r="M2746" t="s">
        <v>51</v>
      </c>
      <c r="N2746" t="s">
        <v>412</v>
      </c>
      <c r="O2746" t="s">
        <v>393</v>
      </c>
      <c r="P2746" s="6" t="str">
        <f>IF(Table1[[#This Row],[Transaction_Amount]]&lt;=Table1[[#This Row],[avg_transaction_amount]], "usual transaction", "unusual transaction")</f>
        <v>usual transaction</v>
      </c>
      <c r="Q2746" s="6" t="str">
        <f>IF(AND(Table1[[#This Row],[Country_of_Residence]]&lt;&gt;Table1[[#This Row],[Country_of_Transaction]], OR(Table1[[#This Row],[Authentication_Type]]="Biometric", Table1[[#This Row],[Authentication_Type]]="OTP")), "safe location transaction", "unsafe location transaction")</f>
        <v>safe location transaction</v>
      </c>
      <c r="R2746" s="6" t="str">
        <f>IF(AND(Table1[[#This Row],[Country_of_Residence]]&lt;&gt;Table1[[#This Row],[Country_of_Transaction]], OR(Table1[[#This Row],[Merchant_Category]]="Electronics", Table1[[#This Row],[Merchant_Category]]="Travel")), "unsafe merchant transaction", "safe merchant transaction")</f>
        <v>safe merchant transaction</v>
      </c>
    </row>
    <row r="2747" spans="1:18">
      <c r="A2747" t="s">
        <v>3545</v>
      </c>
      <c r="B2747" t="s">
        <v>375</v>
      </c>
      <c r="C2747">
        <v>1</v>
      </c>
      <c r="D2747" t="s">
        <v>9</v>
      </c>
      <c r="E2747" t="s">
        <v>420</v>
      </c>
      <c r="F2747" s="2">
        <v>46000</v>
      </c>
      <c r="G2747">
        <v>5862.1</v>
      </c>
      <c r="H2747" s="1">
        <f>AVERAGEIF(Table1[Customer_ID], Table1[[#This Row],[Customer_ID]], Table1[Transaction_Amount])</f>
        <v>5426.7346031746029</v>
      </c>
      <c r="I2747" t="s">
        <v>1159</v>
      </c>
      <c r="J2747" t="s">
        <v>41</v>
      </c>
      <c r="K2747" t="s">
        <v>12</v>
      </c>
      <c r="L2747">
        <v>4</v>
      </c>
      <c r="M2747" t="s">
        <v>47</v>
      </c>
      <c r="N2747" t="s">
        <v>47</v>
      </c>
      <c r="O2747" t="s">
        <v>393</v>
      </c>
      <c r="P2747" s="6" t="str">
        <f>IF(Table1[[#This Row],[Transaction_Amount]]&lt;=Table1[[#This Row],[avg_transaction_amount]], "usual transaction", "unusual transaction")</f>
        <v>unusual transaction</v>
      </c>
      <c r="Q2747" s="6" t="str">
        <f>IF(AND(Table1[[#This Row],[Country_of_Residence]]&lt;&gt;Table1[[#This Row],[Country_of_Transaction]], OR(Table1[[#This Row],[Authentication_Type]]="Biometric", Table1[[#This Row],[Authentication_Type]]="OTP")), "safe location transaction", "unsafe location transaction")</f>
        <v>unsafe location transaction</v>
      </c>
      <c r="R2747" s="6" t="str">
        <f>IF(AND(Table1[[#This Row],[Country_of_Residence]]&lt;&gt;Table1[[#This Row],[Country_of_Transaction]], OR(Table1[[#This Row],[Merchant_Category]]="Electronics", Table1[[#This Row],[Merchant_Category]]="Travel")), "unsafe merchant transaction", "safe merchant transaction")</f>
        <v>safe merchant transaction</v>
      </c>
    </row>
    <row r="2748" spans="1:18">
      <c r="A2748" t="s">
        <v>3548</v>
      </c>
      <c r="B2748" t="s">
        <v>375</v>
      </c>
      <c r="C2748">
        <v>1</v>
      </c>
      <c r="D2748" t="s">
        <v>15</v>
      </c>
      <c r="E2748" t="s">
        <v>3</v>
      </c>
      <c r="F2748" s="2">
        <v>45724</v>
      </c>
      <c r="G2748">
        <v>9446.59</v>
      </c>
      <c r="H2748" s="1">
        <f>AVERAGEIF(Table1[Customer_ID], Table1[[#This Row],[Customer_ID]], Table1[Transaction_Amount])</f>
        <v>5426.7346031746029</v>
      </c>
      <c r="I2748" t="s">
        <v>1162</v>
      </c>
      <c r="J2748" t="s">
        <v>36</v>
      </c>
      <c r="K2748" t="s">
        <v>8</v>
      </c>
      <c r="L2748">
        <v>4</v>
      </c>
      <c r="M2748" t="s">
        <v>33</v>
      </c>
      <c r="N2748" t="s">
        <v>55</v>
      </c>
      <c r="O2748" t="s">
        <v>393</v>
      </c>
      <c r="P2748" s="6" t="str">
        <f>IF(Table1[[#This Row],[Transaction_Amount]]&lt;=Table1[[#This Row],[avg_transaction_amount]], "usual transaction", "unusual transaction")</f>
        <v>unusual transaction</v>
      </c>
      <c r="Q2748" s="6" t="str">
        <f>IF(AND(Table1[[#This Row],[Country_of_Residence]]&lt;&gt;Table1[[#This Row],[Country_of_Transaction]], OR(Table1[[#This Row],[Authentication_Type]]="Biometric", Table1[[#This Row],[Authentication_Type]]="OTP")), "safe location transaction", "unsafe location transaction")</f>
        <v>safe location transaction</v>
      </c>
      <c r="R2748" s="6" t="str">
        <f>IF(AND(Table1[[#This Row],[Country_of_Residence]]&lt;&gt;Table1[[#This Row],[Country_of_Transaction]], OR(Table1[[#This Row],[Merchant_Category]]="Electronics", Table1[[#This Row],[Merchant_Category]]="Travel")), "unsafe merchant transaction", "safe merchant transaction")</f>
        <v>safe merchant transaction</v>
      </c>
    </row>
    <row r="2749" spans="1:18">
      <c r="A2749" t="s">
        <v>3587</v>
      </c>
      <c r="B2749" t="s">
        <v>375</v>
      </c>
      <c r="C2749">
        <v>1</v>
      </c>
      <c r="D2749" t="s">
        <v>9</v>
      </c>
      <c r="E2749" t="s">
        <v>3</v>
      </c>
      <c r="F2749" s="2">
        <v>45778</v>
      </c>
      <c r="G2749">
        <v>640.95000000000005</v>
      </c>
      <c r="H2749" s="1">
        <f>AVERAGEIF(Table1[Customer_ID], Table1[[#This Row],[Customer_ID]], Table1[Transaction_Amount])</f>
        <v>5426.7346031746029</v>
      </c>
      <c r="I2749" t="s">
        <v>1196</v>
      </c>
      <c r="J2749" t="s">
        <v>41</v>
      </c>
      <c r="K2749" t="s">
        <v>10</v>
      </c>
      <c r="L2749">
        <v>2</v>
      </c>
      <c r="M2749" t="s">
        <v>32</v>
      </c>
      <c r="N2749" t="s">
        <v>56</v>
      </c>
      <c r="O2749" t="s">
        <v>392</v>
      </c>
      <c r="P2749" s="6" t="str">
        <f>IF(Table1[[#This Row],[Transaction_Amount]]&lt;=Table1[[#This Row],[avg_transaction_amount]], "usual transaction", "unusual transaction")</f>
        <v>usual transaction</v>
      </c>
      <c r="Q2749" s="6" t="str">
        <f>IF(AND(Table1[[#This Row],[Country_of_Residence]]&lt;&gt;Table1[[#This Row],[Country_of_Transaction]], OR(Table1[[#This Row],[Authentication_Type]]="Biometric", Table1[[#This Row],[Authentication_Type]]="OTP")), "safe location transaction", "unsafe location transaction")</f>
        <v>safe location transaction</v>
      </c>
      <c r="R2749" s="6" t="str">
        <f>IF(AND(Table1[[#This Row],[Country_of_Residence]]&lt;&gt;Table1[[#This Row],[Country_of_Transaction]], OR(Table1[[#This Row],[Merchant_Category]]="Electronics", Table1[[#This Row],[Merchant_Category]]="Travel")), "unsafe merchant transaction", "safe merchant transaction")</f>
        <v>safe merchant transaction</v>
      </c>
    </row>
    <row r="2750" spans="1:18">
      <c r="A2750" t="s">
        <v>3598</v>
      </c>
      <c r="B2750" t="s">
        <v>375</v>
      </c>
      <c r="C2750">
        <v>1</v>
      </c>
      <c r="D2750" t="s">
        <v>9</v>
      </c>
      <c r="E2750" t="s">
        <v>420</v>
      </c>
      <c r="F2750" s="2">
        <v>45687</v>
      </c>
      <c r="G2750">
        <v>322.08</v>
      </c>
      <c r="H2750" s="1">
        <f>AVERAGEIF(Table1[Customer_ID], Table1[[#This Row],[Customer_ID]], Table1[Transaction_Amount])</f>
        <v>5426.7346031746029</v>
      </c>
      <c r="I2750" t="s">
        <v>1207</v>
      </c>
      <c r="J2750" t="s">
        <v>50</v>
      </c>
      <c r="K2750" t="s">
        <v>8</v>
      </c>
      <c r="L2750">
        <v>3</v>
      </c>
      <c r="M2750" t="s">
        <v>33</v>
      </c>
      <c r="N2750" t="s">
        <v>37</v>
      </c>
      <c r="O2750" t="s">
        <v>392</v>
      </c>
      <c r="P2750" s="6" t="str">
        <f>IF(Table1[[#This Row],[Transaction_Amount]]&lt;=Table1[[#This Row],[avg_transaction_amount]], "usual transaction", "unusual transaction")</f>
        <v>usual transaction</v>
      </c>
      <c r="Q2750" s="6" t="str">
        <f>IF(AND(Table1[[#This Row],[Country_of_Residence]]&lt;&gt;Table1[[#This Row],[Country_of_Transaction]], OR(Table1[[#This Row],[Authentication_Type]]="Biometric", Table1[[#This Row],[Authentication_Type]]="OTP")), "safe location transaction", "unsafe location transaction")</f>
        <v>safe location transaction</v>
      </c>
      <c r="R2750" s="6" t="str">
        <f>IF(AND(Table1[[#This Row],[Country_of_Residence]]&lt;&gt;Table1[[#This Row],[Country_of_Transaction]], OR(Table1[[#This Row],[Merchant_Category]]="Electronics", Table1[[#This Row],[Merchant_Category]]="Travel")), "unsafe merchant transaction", "safe merchant transaction")</f>
        <v>unsafe merchant transaction</v>
      </c>
    </row>
    <row r="2751" spans="1:18">
      <c r="A2751" t="s">
        <v>3612</v>
      </c>
      <c r="B2751" t="s">
        <v>375</v>
      </c>
      <c r="C2751">
        <v>1</v>
      </c>
      <c r="D2751" t="s">
        <v>15</v>
      </c>
      <c r="E2751" t="s">
        <v>6</v>
      </c>
      <c r="F2751" s="2">
        <v>45675</v>
      </c>
      <c r="G2751">
        <v>5568.06</v>
      </c>
      <c r="H2751" s="1">
        <f>AVERAGEIF(Table1[Customer_ID], Table1[[#This Row],[Customer_ID]], Table1[Transaction_Amount])</f>
        <v>5426.7346031746029</v>
      </c>
      <c r="I2751" t="s">
        <v>1218</v>
      </c>
      <c r="J2751" t="s">
        <v>46</v>
      </c>
      <c r="K2751" t="s">
        <v>10</v>
      </c>
      <c r="L2751">
        <v>1</v>
      </c>
      <c r="M2751" t="s">
        <v>33</v>
      </c>
      <c r="N2751" t="s">
        <v>33</v>
      </c>
      <c r="O2751" t="s">
        <v>393</v>
      </c>
      <c r="P2751" s="6" t="str">
        <f>IF(Table1[[#This Row],[Transaction_Amount]]&lt;=Table1[[#This Row],[avg_transaction_amount]], "usual transaction", "unusual transaction")</f>
        <v>unusual transaction</v>
      </c>
      <c r="Q2751" s="6" t="str">
        <f>IF(AND(Table1[[#This Row],[Country_of_Residence]]&lt;&gt;Table1[[#This Row],[Country_of_Transaction]], OR(Table1[[#This Row],[Authentication_Type]]="Biometric", Table1[[#This Row],[Authentication_Type]]="OTP")), "safe location transaction", "unsafe location transaction")</f>
        <v>unsafe location transaction</v>
      </c>
      <c r="R2751" s="6" t="str">
        <f>IF(AND(Table1[[#This Row],[Country_of_Residence]]&lt;&gt;Table1[[#This Row],[Country_of_Transaction]], OR(Table1[[#This Row],[Merchant_Category]]="Electronics", Table1[[#This Row],[Merchant_Category]]="Travel")), "unsafe merchant transaction", "safe merchant transaction")</f>
        <v>safe merchant transaction</v>
      </c>
    </row>
    <row r="2752" spans="1:18">
      <c r="A2752" t="s">
        <v>3636</v>
      </c>
      <c r="B2752" t="s">
        <v>375</v>
      </c>
      <c r="C2752">
        <v>1</v>
      </c>
      <c r="D2752" t="s">
        <v>15</v>
      </c>
      <c r="E2752" t="s">
        <v>3</v>
      </c>
      <c r="F2752" s="2">
        <v>45861</v>
      </c>
      <c r="G2752">
        <v>5488.49</v>
      </c>
      <c r="H2752" s="1">
        <f>AVERAGEIF(Table1[Customer_ID], Table1[[#This Row],[Customer_ID]], Table1[Transaction_Amount])</f>
        <v>5426.7346031746029</v>
      </c>
      <c r="I2752" t="s">
        <v>1241</v>
      </c>
      <c r="J2752" t="s">
        <v>50</v>
      </c>
      <c r="K2752" t="s">
        <v>8</v>
      </c>
      <c r="L2752">
        <v>4</v>
      </c>
      <c r="M2752" t="s">
        <v>32</v>
      </c>
      <c r="N2752" t="s">
        <v>37</v>
      </c>
      <c r="O2752" t="s">
        <v>393</v>
      </c>
      <c r="P2752" s="6" t="str">
        <f>IF(Table1[[#This Row],[Transaction_Amount]]&lt;=Table1[[#This Row],[avg_transaction_amount]], "usual transaction", "unusual transaction")</f>
        <v>unusual transaction</v>
      </c>
      <c r="Q2752" s="6" t="str">
        <f>IF(AND(Table1[[#This Row],[Country_of_Residence]]&lt;&gt;Table1[[#This Row],[Country_of_Transaction]], OR(Table1[[#This Row],[Authentication_Type]]="Biometric", Table1[[#This Row],[Authentication_Type]]="OTP")), "safe location transaction", "unsafe location transaction")</f>
        <v>safe location transaction</v>
      </c>
      <c r="R2752" s="6" t="str">
        <f>IF(AND(Table1[[#This Row],[Country_of_Residence]]&lt;&gt;Table1[[#This Row],[Country_of_Transaction]], OR(Table1[[#This Row],[Merchant_Category]]="Electronics", Table1[[#This Row],[Merchant_Category]]="Travel")), "unsafe merchant transaction", "safe merchant transaction")</f>
        <v>unsafe merchant transaction</v>
      </c>
    </row>
    <row r="2753" spans="1:18">
      <c r="A2753" t="s">
        <v>3746</v>
      </c>
      <c r="B2753" t="s">
        <v>375</v>
      </c>
      <c r="C2753">
        <v>1</v>
      </c>
      <c r="D2753" t="s">
        <v>15</v>
      </c>
      <c r="E2753" t="s">
        <v>420</v>
      </c>
      <c r="F2753" s="2">
        <v>45739</v>
      </c>
      <c r="G2753">
        <v>9722.35</v>
      </c>
      <c r="H2753" s="1">
        <f>AVERAGEIF(Table1[Customer_ID], Table1[[#This Row],[Customer_ID]], Table1[Transaction_Amount])</f>
        <v>5426.7346031746029</v>
      </c>
      <c r="I2753" t="s">
        <v>1338</v>
      </c>
      <c r="J2753" t="s">
        <v>36</v>
      </c>
      <c r="K2753" t="s">
        <v>12</v>
      </c>
      <c r="L2753">
        <v>1</v>
      </c>
      <c r="M2753" t="s">
        <v>51</v>
      </c>
      <c r="N2753" t="s">
        <v>32</v>
      </c>
      <c r="O2753" t="s">
        <v>392</v>
      </c>
      <c r="P2753" s="6" t="str">
        <f>IF(Table1[[#This Row],[Transaction_Amount]]&lt;=Table1[[#This Row],[avg_transaction_amount]], "usual transaction", "unusual transaction")</f>
        <v>unusual transaction</v>
      </c>
      <c r="Q2753" s="6" t="str">
        <f>IF(AND(Table1[[#This Row],[Country_of_Residence]]&lt;&gt;Table1[[#This Row],[Country_of_Transaction]], OR(Table1[[#This Row],[Authentication_Type]]="Biometric", Table1[[#This Row],[Authentication_Type]]="OTP")), "safe location transaction", "unsafe location transaction")</f>
        <v>unsafe location transaction</v>
      </c>
      <c r="R2753" s="6" t="str">
        <f>IF(AND(Table1[[#This Row],[Country_of_Residence]]&lt;&gt;Table1[[#This Row],[Country_of_Transaction]], OR(Table1[[#This Row],[Merchant_Category]]="Electronics", Table1[[#This Row],[Merchant_Category]]="Travel")), "unsafe merchant transaction", "safe merchant transaction")</f>
        <v>safe merchant transaction</v>
      </c>
    </row>
    <row r="2754" spans="1:18">
      <c r="A2754" t="s">
        <v>3753</v>
      </c>
      <c r="B2754" t="s">
        <v>375</v>
      </c>
      <c r="C2754">
        <v>1</v>
      </c>
      <c r="D2754" t="s">
        <v>9</v>
      </c>
      <c r="E2754" t="s">
        <v>420</v>
      </c>
      <c r="F2754" s="2">
        <v>45678</v>
      </c>
      <c r="G2754">
        <v>2424.21</v>
      </c>
      <c r="H2754" s="1">
        <f>AVERAGEIF(Table1[Customer_ID], Table1[[#This Row],[Customer_ID]], Table1[Transaction_Amount])</f>
        <v>5426.7346031746029</v>
      </c>
      <c r="I2754" t="s">
        <v>1344</v>
      </c>
      <c r="J2754" t="s">
        <v>36</v>
      </c>
      <c r="K2754" t="s">
        <v>10</v>
      </c>
      <c r="L2754">
        <v>3</v>
      </c>
      <c r="M2754" t="s">
        <v>56</v>
      </c>
      <c r="N2754" t="s">
        <v>412</v>
      </c>
      <c r="O2754" t="s">
        <v>392</v>
      </c>
      <c r="P2754" s="6" t="str">
        <f>IF(Table1[[#This Row],[Transaction_Amount]]&lt;=Table1[[#This Row],[avg_transaction_amount]], "usual transaction", "unusual transaction")</f>
        <v>usual transaction</v>
      </c>
      <c r="Q2754" s="6" t="str">
        <f>IF(AND(Table1[[#This Row],[Country_of_Residence]]&lt;&gt;Table1[[#This Row],[Country_of_Transaction]], OR(Table1[[#This Row],[Authentication_Type]]="Biometric", Table1[[#This Row],[Authentication_Type]]="OTP")), "safe location transaction", "unsafe location transaction")</f>
        <v>safe location transaction</v>
      </c>
      <c r="R2754" s="6" t="str">
        <f>IF(AND(Table1[[#This Row],[Country_of_Residence]]&lt;&gt;Table1[[#This Row],[Country_of_Transaction]], OR(Table1[[#This Row],[Merchant_Category]]="Electronics", Table1[[#This Row],[Merchant_Category]]="Travel")), "unsafe merchant transaction", "safe merchant transaction")</f>
        <v>safe merchant transaction</v>
      </c>
    </row>
    <row r="2755" spans="1:18">
      <c r="A2755" t="s">
        <v>3770</v>
      </c>
      <c r="B2755" t="s">
        <v>375</v>
      </c>
      <c r="C2755">
        <v>1</v>
      </c>
      <c r="D2755" t="s">
        <v>15</v>
      </c>
      <c r="E2755" t="s">
        <v>3</v>
      </c>
      <c r="F2755" s="2">
        <v>46007</v>
      </c>
      <c r="G2755">
        <v>985.58</v>
      </c>
      <c r="H2755" s="1">
        <f>AVERAGEIF(Table1[Customer_ID], Table1[[#This Row],[Customer_ID]], Table1[Transaction_Amount])</f>
        <v>5426.7346031746029</v>
      </c>
      <c r="I2755" t="s">
        <v>1360</v>
      </c>
      <c r="J2755" t="s">
        <v>46</v>
      </c>
      <c r="K2755" t="s">
        <v>10</v>
      </c>
      <c r="L2755">
        <v>4</v>
      </c>
      <c r="M2755" t="s">
        <v>412</v>
      </c>
      <c r="N2755" t="s">
        <v>412</v>
      </c>
      <c r="O2755" t="s">
        <v>393</v>
      </c>
      <c r="P2755" s="6" t="str">
        <f>IF(Table1[[#This Row],[Transaction_Amount]]&lt;=Table1[[#This Row],[avg_transaction_amount]], "usual transaction", "unusual transaction")</f>
        <v>usual transaction</v>
      </c>
      <c r="Q2755" s="6" t="str">
        <f>IF(AND(Table1[[#This Row],[Country_of_Residence]]&lt;&gt;Table1[[#This Row],[Country_of_Transaction]], OR(Table1[[#This Row],[Authentication_Type]]="Biometric", Table1[[#This Row],[Authentication_Type]]="OTP")), "safe location transaction", "unsafe location transaction")</f>
        <v>unsafe location transaction</v>
      </c>
      <c r="R2755" s="6" t="str">
        <f>IF(AND(Table1[[#This Row],[Country_of_Residence]]&lt;&gt;Table1[[#This Row],[Country_of_Transaction]], OR(Table1[[#This Row],[Merchant_Category]]="Electronics", Table1[[#This Row],[Merchant_Category]]="Travel")), "unsafe merchant transaction", "safe merchant transaction")</f>
        <v>safe merchant transaction</v>
      </c>
    </row>
    <row r="2756" spans="1:18">
      <c r="A2756" t="s">
        <v>3889</v>
      </c>
      <c r="B2756" t="s">
        <v>375</v>
      </c>
      <c r="C2756">
        <v>1</v>
      </c>
      <c r="D2756" t="s">
        <v>15</v>
      </c>
      <c r="E2756" t="s">
        <v>3</v>
      </c>
      <c r="F2756" s="2">
        <v>45973</v>
      </c>
      <c r="G2756">
        <v>2324.37</v>
      </c>
      <c r="H2756" s="1">
        <f>AVERAGEIF(Table1[Customer_ID], Table1[[#This Row],[Customer_ID]], Table1[Transaction_Amount])</f>
        <v>5426.7346031746029</v>
      </c>
      <c r="I2756" t="s">
        <v>1457</v>
      </c>
      <c r="J2756" t="s">
        <v>50</v>
      </c>
      <c r="K2756" t="s">
        <v>10</v>
      </c>
      <c r="L2756">
        <v>4</v>
      </c>
      <c r="M2756" t="s">
        <v>37</v>
      </c>
      <c r="N2756" t="s">
        <v>47</v>
      </c>
      <c r="O2756" t="s">
        <v>392</v>
      </c>
      <c r="P2756" s="6" t="str">
        <f>IF(Table1[[#This Row],[Transaction_Amount]]&lt;=Table1[[#This Row],[avg_transaction_amount]], "usual transaction", "unusual transaction")</f>
        <v>usual transaction</v>
      </c>
      <c r="Q2756" s="6" t="str">
        <f>IF(AND(Table1[[#This Row],[Country_of_Residence]]&lt;&gt;Table1[[#This Row],[Country_of_Transaction]], OR(Table1[[#This Row],[Authentication_Type]]="Biometric", Table1[[#This Row],[Authentication_Type]]="OTP")), "safe location transaction", "unsafe location transaction")</f>
        <v>safe location transaction</v>
      </c>
      <c r="R2756" s="6" t="str">
        <f>IF(AND(Table1[[#This Row],[Country_of_Residence]]&lt;&gt;Table1[[#This Row],[Country_of_Transaction]], OR(Table1[[#This Row],[Merchant_Category]]="Electronics", Table1[[#This Row],[Merchant_Category]]="Travel")), "unsafe merchant transaction", "safe merchant transaction")</f>
        <v>unsafe merchant transaction</v>
      </c>
    </row>
    <row r="2757" spans="1:18">
      <c r="A2757" t="s">
        <v>3938</v>
      </c>
      <c r="B2757" t="s">
        <v>375</v>
      </c>
      <c r="C2757">
        <v>1</v>
      </c>
      <c r="D2757" t="s">
        <v>15</v>
      </c>
      <c r="E2757" t="s">
        <v>5</v>
      </c>
      <c r="F2757" s="2">
        <v>45940</v>
      </c>
      <c r="G2757">
        <v>5524.57</v>
      </c>
      <c r="H2757" s="1">
        <f>AVERAGEIF(Table1[Customer_ID], Table1[[#This Row],[Customer_ID]], Table1[Transaction_Amount])</f>
        <v>5426.7346031746029</v>
      </c>
      <c r="I2757" t="s">
        <v>1502</v>
      </c>
      <c r="J2757" t="s">
        <v>31</v>
      </c>
      <c r="K2757" t="s">
        <v>8</v>
      </c>
      <c r="L2757">
        <v>0</v>
      </c>
      <c r="M2757" t="s">
        <v>37</v>
      </c>
      <c r="N2757" t="s">
        <v>56</v>
      </c>
      <c r="O2757" t="s">
        <v>392</v>
      </c>
      <c r="P2757" s="6" t="str">
        <f>IF(Table1[[#This Row],[Transaction_Amount]]&lt;=Table1[[#This Row],[avg_transaction_amount]], "usual transaction", "unusual transaction")</f>
        <v>unusual transaction</v>
      </c>
      <c r="Q2757" s="6" t="str">
        <f>IF(AND(Table1[[#This Row],[Country_of_Residence]]&lt;&gt;Table1[[#This Row],[Country_of_Transaction]], OR(Table1[[#This Row],[Authentication_Type]]="Biometric", Table1[[#This Row],[Authentication_Type]]="OTP")), "safe location transaction", "unsafe location transaction")</f>
        <v>safe location transaction</v>
      </c>
      <c r="R2757" s="6" t="str">
        <f>IF(AND(Table1[[#This Row],[Country_of_Residence]]&lt;&gt;Table1[[#This Row],[Country_of_Transaction]], OR(Table1[[#This Row],[Merchant_Category]]="Electronics", Table1[[#This Row],[Merchant_Category]]="Travel")), "unsafe merchant transaction", "safe merchant transaction")</f>
        <v>safe merchant transaction</v>
      </c>
    </row>
    <row r="2758" spans="1:18">
      <c r="A2758" t="s">
        <v>4013</v>
      </c>
      <c r="B2758" t="s">
        <v>375</v>
      </c>
      <c r="C2758">
        <v>1</v>
      </c>
      <c r="D2758" t="s">
        <v>9</v>
      </c>
      <c r="E2758" t="s">
        <v>6</v>
      </c>
      <c r="F2758" s="2">
        <v>45897</v>
      </c>
      <c r="G2758">
        <v>4247.8999999999996</v>
      </c>
      <c r="H2758" s="1">
        <f>AVERAGEIF(Table1[Customer_ID], Table1[[#This Row],[Customer_ID]], Table1[Transaction_Amount])</f>
        <v>5426.7346031746029</v>
      </c>
      <c r="I2758" t="s">
        <v>1569</v>
      </c>
      <c r="J2758" t="s">
        <v>41</v>
      </c>
      <c r="K2758" t="s">
        <v>14</v>
      </c>
      <c r="L2758">
        <v>3</v>
      </c>
      <c r="M2758" t="s">
        <v>32</v>
      </c>
      <c r="N2758" t="s">
        <v>55</v>
      </c>
      <c r="O2758" t="s">
        <v>392</v>
      </c>
      <c r="P2758" s="6" t="str">
        <f>IF(Table1[[#This Row],[Transaction_Amount]]&lt;=Table1[[#This Row],[avg_transaction_amount]], "usual transaction", "unusual transaction")</f>
        <v>usual transaction</v>
      </c>
      <c r="Q2758" s="6" t="str">
        <f>IF(AND(Table1[[#This Row],[Country_of_Residence]]&lt;&gt;Table1[[#This Row],[Country_of_Transaction]], OR(Table1[[#This Row],[Authentication_Type]]="Biometric", Table1[[#This Row],[Authentication_Type]]="OTP")), "safe location transaction", "unsafe location transaction")</f>
        <v>unsafe location transaction</v>
      </c>
      <c r="R2758" s="6" t="str">
        <f>IF(AND(Table1[[#This Row],[Country_of_Residence]]&lt;&gt;Table1[[#This Row],[Country_of_Transaction]], OR(Table1[[#This Row],[Merchant_Category]]="Electronics", Table1[[#This Row],[Merchant_Category]]="Travel")), "unsafe merchant transaction", "safe merchant transaction")</f>
        <v>safe merchant transaction</v>
      </c>
    </row>
    <row r="2759" spans="1:18">
      <c r="A2759" t="s">
        <v>4018</v>
      </c>
      <c r="B2759" t="s">
        <v>375</v>
      </c>
      <c r="C2759">
        <v>1</v>
      </c>
      <c r="D2759" t="s">
        <v>15</v>
      </c>
      <c r="E2759" t="s">
        <v>3</v>
      </c>
      <c r="F2759" s="2">
        <v>45921</v>
      </c>
      <c r="G2759">
        <v>4288.8999999999996</v>
      </c>
      <c r="H2759" s="1">
        <f>AVERAGEIF(Table1[Customer_ID], Table1[[#This Row],[Customer_ID]], Table1[Transaction_Amount])</f>
        <v>5426.7346031746029</v>
      </c>
      <c r="I2759" t="s">
        <v>1574</v>
      </c>
      <c r="J2759" t="s">
        <v>50</v>
      </c>
      <c r="K2759" t="s">
        <v>8</v>
      </c>
      <c r="L2759">
        <v>0</v>
      </c>
      <c r="M2759" t="s">
        <v>51</v>
      </c>
      <c r="N2759" t="s">
        <v>55</v>
      </c>
      <c r="O2759" t="s">
        <v>393</v>
      </c>
      <c r="P2759" s="6" t="str">
        <f>IF(Table1[[#This Row],[Transaction_Amount]]&lt;=Table1[[#This Row],[avg_transaction_amount]], "usual transaction", "unusual transaction")</f>
        <v>usual transaction</v>
      </c>
      <c r="Q2759" s="6" t="str">
        <f>IF(AND(Table1[[#This Row],[Country_of_Residence]]&lt;&gt;Table1[[#This Row],[Country_of_Transaction]], OR(Table1[[#This Row],[Authentication_Type]]="Biometric", Table1[[#This Row],[Authentication_Type]]="OTP")), "safe location transaction", "unsafe location transaction")</f>
        <v>safe location transaction</v>
      </c>
      <c r="R2759" s="6" t="str">
        <f>IF(AND(Table1[[#This Row],[Country_of_Residence]]&lt;&gt;Table1[[#This Row],[Country_of_Transaction]], OR(Table1[[#This Row],[Merchant_Category]]="Electronics", Table1[[#This Row],[Merchant_Category]]="Travel")), "unsafe merchant transaction", "safe merchant transaction")</f>
        <v>unsafe merchant transaction</v>
      </c>
    </row>
    <row r="2760" spans="1:18">
      <c r="A2760" t="s">
        <v>4057</v>
      </c>
      <c r="B2760" t="s">
        <v>375</v>
      </c>
      <c r="C2760">
        <v>1</v>
      </c>
      <c r="D2760" t="s">
        <v>9</v>
      </c>
      <c r="E2760" t="s">
        <v>420</v>
      </c>
      <c r="F2760" s="2">
        <v>45836</v>
      </c>
      <c r="G2760">
        <v>5564.39</v>
      </c>
      <c r="H2760" s="1">
        <f>AVERAGEIF(Table1[Customer_ID], Table1[[#This Row],[Customer_ID]], Table1[Transaction_Amount])</f>
        <v>5426.7346031746029</v>
      </c>
      <c r="I2760" t="s">
        <v>1247</v>
      </c>
      <c r="J2760" t="s">
        <v>50</v>
      </c>
      <c r="K2760" t="s">
        <v>14</v>
      </c>
      <c r="L2760">
        <v>1</v>
      </c>
      <c r="M2760" t="s">
        <v>55</v>
      </c>
      <c r="N2760" t="s">
        <v>33</v>
      </c>
      <c r="O2760" t="s">
        <v>393</v>
      </c>
      <c r="P2760" s="6" t="str">
        <f>IF(Table1[[#This Row],[Transaction_Amount]]&lt;=Table1[[#This Row],[avg_transaction_amount]], "usual transaction", "unusual transaction")</f>
        <v>unusual transaction</v>
      </c>
      <c r="Q2760" s="6" t="str">
        <f>IF(AND(Table1[[#This Row],[Country_of_Residence]]&lt;&gt;Table1[[#This Row],[Country_of_Transaction]], OR(Table1[[#This Row],[Authentication_Type]]="Biometric", Table1[[#This Row],[Authentication_Type]]="OTP")), "safe location transaction", "unsafe location transaction")</f>
        <v>unsafe location transaction</v>
      </c>
      <c r="R2760" s="6" t="str">
        <f>IF(AND(Table1[[#This Row],[Country_of_Residence]]&lt;&gt;Table1[[#This Row],[Country_of_Transaction]], OR(Table1[[#This Row],[Merchant_Category]]="Electronics", Table1[[#This Row],[Merchant_Category]]="Travel")), "unsafe merchant transaction", "safe merchant transaction")</f>
        <v>unsafe merchant transaction</v>
      </c>
    </row>
    <row r="2761" spans="1:18">
      <c r="A2761" t="s">
        <v>4116</v>
      </c>
      <c r="B2761" t="s">
        <v>375</v>
      </c>
      <c r="C2761">
        <v>1</v>
      </c>
      <c r="D2761" t="s">
        <v>9</v>
      </c>
      <c r="E2761" t="s">
        <v>6</v>
      </c>
      <c r="F2761" s="2">
        <v>45846</v>
      </c>
      <c r="G2761">
        <v>5346.28</v>
      </c>
      <c r="H2761" s="1">
        <f>AVERAGEIF(Table1[Customer_ID], Table1[[#This Row],[Customer_ID]], Table1[Transaction_Amount])</f>
        <v>5426.7346031746029</v>
      </c>
      <c r="I2761" t="s">
        <v>1651</v>
      </c>
      <c r="J2761" t="s">
        <v>46</v>
      </c>
      <c r="K2761" t="s">
        <v>14</v>
      </c>
      <c r="L2761">
        <v>1</v>
      </c>
      <c r="M2761" t="s">
        <v>32</v>
      </c>
      <c r="N2761" t="s">
        <v>33</v>
      </c>
      <c r="O2761" t="s">
        <v>392</v>
      </c>
      <c r="P2761" s="6" t="str">
        <f>IF(Table1[[#This Row],[Transaction_Amount]]&lt;=Table1[[#This Row],[avg_transaction_amount]], "usual transaction", "unusual transaction")</f>
        <v>usual transaction</v>
      </c>
      <c r="Q2761" s="6" t="str">
        <f>IF(AND(Table1[[#This Row],[Country_of_Residence]]&lt;&gt;Table1[[#This Row],[Country_of_Transaction]], OR(Table1[[#This Row],[Authentication_Type]]="Biometric", Table1[[#This Row],[Authentication_Type]]="OTP")), "safe location transaction", "unsafe location transaction")</f>
        <v>unsafe location transaction</v>
      </c>
      <c r="R2761" s="6" t="str">
        <f>IF(AND(Table1[[#This Row],[Country_of_Residence]]&lt;&gt;Table1[[#This Row],[Country_of_Transaction]], OR(Table1[[#This Row],[Merchant_Category]]="Electronics", Table1[[#This Row],[Merchant_Category]]="Travel")), "unsafe merchant transaction", "safe merchant transaction")</f>
        <v>safe merchant transaction</v>
      </c>
    </row>
    <row r="2762" spans="1:18">
      <c r="A2762" t="s">
        <v>4161</v>
      </c>
      <c r="B2762" t="s">
        <v>375</v>
      </c>
      <c r="C2762">
        <v>1</v>
      </c>
      <c r="D2762" t="s">
        <v>15</v>
      </c>
      <c r="E2762" t="s">
        <v>420</v>
      </c>
      <c r="F2762" s="2">
        <v>45962</v>
      </c>
      <c r="G2762">
        <v>4457.28</v>
      </c>
      <c r="H2762" s="1">
        <f>AVERAGEIF(Table1[Customer_ID], Table1[[#This Row],[Customer_ID]], Table1[Transaction_Amount])</f>
        <v>5426.7346031746029</v>
      </c>
      <c r="I2762" t="s">
        <v>1688</v>
      </c>
      <c r="J2762" t="s">
        <v>50</v>
      </c>
      <c r="K2762" t="s">
        <v>14</v>
      </c>
      <c r="L2762">
        <v>5</v>
      </c>
      <c r="M2762" t="s">
        <v>412</v>
      </c>
      <c r="N2762" t="s">
        <v>55</v>
      </c>
      <c r="O2762" t="s">
        <v>392</v>
      </c>
      <c r="P2762" s="6" t="str">
        <f>IF(Table1[[#This Row],[Transaction_Amount]]&lt;=Table1[[#This Row],[avg_transaction_amount]], "usual transaction", "unusual transaction")</f>
        <v>usual transaction</v>
      </c>
      <c r="Q2762" s="6" t="str">
        <f>IF(AND(Table1[[#This Row],[Country_of_Residence]]&lt;&gt;Table1[[#This Row],[Country_of_Transaction]], OR(Table1[[#This Row],[Authentication_Type]]="Biometric", Table1[[#This Row],[Authentication_Type]]="OTP")), "safe location transaction", "unsafe location transaction")</f>
        <v>unsafe location transaction</v>
      </c>
      <c r="R2762" s="6" t="str">
        <f>IF(AND(Table1[[#This Row],[Country_of_Residence]]&lt;&gt;Table1[[#This Row],[Country_of_Transaction]], OR(Table1[[#This Row],[Merchant_Category]]="Electronics", Table1[[#This Row],[Merchant_Category]]="Travel")), "unsafe merchant transaction", "safe merchant transaction")</f>
        <v>unsafe merchant transaction</v>
      </c>
    </row>
    <row r="2763" spans="1:18">
      <c r="A2763" t="s">
        <v>4177</v>
      </c>
      <c r="B2763" t="s">
        <v>375</v>
      </c>
      <c r="C2763">
        <v>1</v>
      </c>
      <c r="D2763" t="s">
        <v>15</v>
      </c>
      <c r="E2763" t="s">
        <v>420</v>
      </c>
      <c r="F2763" s="2">
        <v>45931</v>
      </c>
      <c r="G2763">
        <v>9924.5300000000007</v>
      </c>
      <c r="H2763" s="1">
        <f>AVERAGEIF(Table1[Customer_ID], Table1[[#This Row],[Customer_ID]], Table1[Transaction_Amount])</f>
        <v>5426.7346031746029</v>
      </c>
      <c r="I2763" t="s">
        <v>1699</v>
      </c>
      <c r="J2763" t="s">
        <v>31</v>
      </c>
      <c r="K2763" t="s">
        <v>8</v>
      </c>
      <c r="L2763">
        <v>4</v>
      </c>
      <c r="M2763" t="s">
        <v>42</v>
      </c>
      <c r="N2763" t="s">
        <v>33</v>
      </c>
      <c r="O2763" t="s">
        <v>393</v>
      </c>
      <c r="P2763" s="6" t="str">
        <f>IF(Table1[[#This Row],[Transaction_Amount]]&lt;=Table1[[#This Row],[avg_transaction_amount]], "usual transaction", "unusual transaction")</f>
        <v>unusual transaction</v>
      </c>
      <c r="Q2763" s="6" t="str">
        <f>IF(AND(Table1[[#This Row],[Country_of_Residence]]&lt;&gt;Table1[[#This Row],[Country_of_Transaction]], OR(Table1[[#This Row],[Authentication_Type]]="Biometric", Table1[[#This Row],[Authentication_Type]]="OTP")), "safe location transaction", "unsafe location transaction")</f>
        <v>safe location transaction</v>
      </c>
      <c r="R2763" s="6" t="str">
        <f>IF(AND(Table1[[#This Row],[Country_of_Residence]]&lt;&gt;Table1[[#This Row],[Country_of_Transaction]], OR(Table1[[#This Row],[Merchant_Category]]="Electronics", Table1[[#This Row],[Merchant_Category]]="Travel")), "unsafe merchant transaction", "safe merchant transaction")</f>
        <v>safe merchant transaction</v>
      </c>
    </row>
    <row r="2764" spans="1:18">
      <c r="A2764" t="s">
        <v>4318</v>
      </c>
      <c r="B2764" t="s">
        <v>375</v>
      </c>
      <c r="C2764">
        <v>1</v>
      </c>
      <c r="D2764" t="s">
        <v>15</v>
      </c>
      <c r="E2764" t="s">
        <v>5</v>
      </c>
      <c r="F2764" s="2">
        <v>45757</v>
      </c>
      <c r="G2764">
        <v>7233.03</v>
      </c>
      <c r="H2764" s="1">
        <f>AVERAGEIF(Table1[Customer_ID], Table1[[#This Row],[Customer_ID]], Table1[Transaction_Amount])</f>
        <v>5426.7346031746029</v>
      </c>
      <c r="I2764" t="s">
        <v>1826</v>
      </c>
      <c r="J2764" t="s">
        <v>31</v>
      </c>
      <c r="K2764" t="s">
        <v>10</v>
      </c>
      <c r="L2764">
        <v>0</v>
      </c>
      <c r="M2764" t="s">
        <v>55</v>
      </c>
      <c r="N2764" t="s">
        <v>32</v>
      </c>
      <c r="O2764" t="s">
        <v>392</v>
      </c>
      <c r="P2764" s="6" t="str">
        <f>IF(Table1[[#This Row],[Transaction_Amount]]&lt;=Table1[[#This Row],[avg_transaction_amount]], "usual transaction", "unusual transaction")</f>
        <v>unusual transaction</v>
      </c>
      <c r="Q2764" s="6" t="str">
        <f>IF(AND(Table1[[#This Row],[Country_of_Residence]]&lt;&gt;Table1[[#This Row],[Country_of_Transaction]], OR(Table1[[#This Row],[Authentication_Type]]="Biometric", Table1[[#This Row],[Authentication_Type]]="OTP")), "safe location transaction", "unsafe location transaction")</f>
        <v>safe location transaction</v>
      </c>
      <c r="R2764" s="6" t="str">
        <f>IF(AND(Table1[[#This Row],[Country_of_Residence]]&lt;&gt;Table1[[#This Row],[Country_of_Transaction]], OR(Table1[[#This Row],[Merchant_Category]]="Electronics", Table1[[#This Row],[Merchant_Category]]="Travel")), "unsafe merchant transaction", "safe merchant transaction")</f>
        <v>safe merchant transaction</v>
      </c>
    </row>
    <row r="2765" spans="1:18">
      <c r="A2765" t="s">
        <v>4360</v>
      </c>
      <c r="B2765" t="s">
        <v>375</v>
      </c>
      <c r="C2765">
        <v>1</v>
      </c>
      <c r="D2765" t="s">
        <v>15</v>
      </c>
      <c r="E2765" t="s">
        <v>3</v>
      </c>
      <c r="F2765" s="2">
        <v>45754</v>
      </c>
      <c r="G2765">
        <v>5754.64</v>
      </c>
      <c r="H2765" s="1">
        <f>AVERAGEIF(Table1[Customer_ID], Table1[[#This Row],[Customer_ID]], Table1[Transaction_Amount])</f>
        <v>5426.7346031746029</v>
      </c>
      <c r="I2765" t="s">
        <v>1862</v>
      </c>
      <c r="J2765" t="s">
        <v>31</v>
      </c>
      <c r="K2765" t="s">
        <v>10</v>
      </c>
      <c r="L2765">
        <v>2</v>
      </c>
      <c r="M2765" t="s">
        <v>55</v>
      </c>
      <c r="N2765" t="s">
        <v>51</v>
      </c>
      <c r="O2765" t="s">
        <v>392</v>
      </c>
      <c r="P2765" s="6" t="str">
        <f>IF(Table1[[#This Row],[Transaction_Amount]]&lt;=Table1[[#This Row],[avg_transaction_amount]], "usual transaction", "unusual transaction")</f>
        <v>unusual transaction</v>
      </c>
      <c r="Q2765" s="6" t="str">
        <f>IF(AND(Table1[[#This Row],[Country_of_Residence]]&lt;&gt;Table1[[#This Row],[Country_of_Transaction]], OR(Table1[[#This Row],[Authentication_Type]]="Biometric", Table1[[#This Row],[Authentication_Type]]="OTP")), "safe location transaction", "unsafe location transaction")</f>
        <v>safe location transaction</v>
      </c>
      <c r="R2765" s="6" t="str">
        <f>IF(AND(Table1[[#This Row],[Country_of_Residence]]&lt;&gt;Table1[[#This Row],[Country_of_Transaction]], OR(Table1[[#This Row],[Merchant_Category]]="Electronics", Table1[[#This Row],[Merchant_Category]]="Travel")), "unsafe merchant transaction", "safe merchant transaction")</f>
        <v>safe merchant transaction</v>
      </c>
    </row>
    <row r="2766" spans="1:18">
      <c r="A2766" t="s">
        <v>4383</v>
      </c>
      <c r="B2766" t="s">
        <v>375</v>
      </c>
      <c r="C2766">
        <v>1</v>
      </c>
      <c r="D2766" t="s">
        <v>15</v>
      </c>
      <c r="E2766" t="s">
        <v>420</v>
      </c>
      <c r="F2766" s="2">
        <v>45737</v>
      </c>
      <c r="G2766">
        <v>6539.7</v>
      </c>
      <c r="H2766" s="1">
        <f>AVERAGEIF(Table1[Customer_ID], Table1[[#This Row],[Customer_ID]], Table1[Transaction_Amount])</f>
        <v>5426.7346031746029</v>
      </c>
      <c r="I2766" t="s">
        <v>1883</v>
      </c>
      <c r="J2766" t="s">
        <v>41</v>
      </c>
      <c r="K2766" t="s">
        <v>14</v>
      </c>
      <c r="L2766">
        <v>0</v>
      </c>
      <c r="M2766" t="s">
        <v>37</v>
      </c>
      <c r="N2766" t="s">
        <v>47</v>
      </c>
      <c r="O2766" t="s">
        <v>393</v>
      </c>
      <c r="P2766" s="6" t="str">
        <f>IF(Table1[[#This Row],[Transaction_Amount]]&lt;=Table1[[#This Row],[avg_transaction_amount]], "usual transaction", "unusual transaction")</f>
        <v>unusual transaction</v>
      </c>
      <c r="Q2766" s="6" t="str">
        <f>IF(AND(Table1[[#This Row],[Country_of_Residence]]&lt;&gt;Table1[[#This Row],[Country_of_Transaction]], OR(Table1[[#This Row],[Authentication_Type]]="Biometric", Table1[[#This Row],[Authentication_Type]]="OTP")), "safe location transaction", "unsafe location transaction")</f>
        <v>unsafe location transaction</v>
      </c>
      <c r="R2766" s="6" t="str">
        <f>IF(AND(Table1[[#This Row],[Country_of_Residence]]&lt;&gt;Table1[[#This Row],[Country_of_Transaction]], OR(Table1[[#This Row],[Merchant_Category]]="Electronics", Table1[[#This Row],[Merchant_Category]]="Travel")), "unsafe merchant transaction", "safe merchant transaction")</f>
        <v>safe merchant transaction</v>
      </c>
    </row>
    <row r="2767" spans="1:18">
      <c r="A2767" t="s">
        <v>4424</v>
      </c>
      <c r="B2767" t="s">
        <v>375</v>
      </c>
      <c r="C2767">
        <v>1</v>
      </c>
      <c r="D2767" t="s">
        <v>15</v>
      </c>
      <c r="E2767" t="s">
        <v>3</v>
      </c>
      <c r="F2767" s="2">
        <v>45718</v>
      </c>
      <c r="G2767">
        <v>6004.52</v>
      </c>
      <c r="H2767" s="1">
        <f>AVERAGEIF(Table1[Customer_ID], Table1[[#This Row],[Customer_ID]], Table1[Transaction_Amount])</f>
        <v>5426.7346031746029</v>
      </c>
      <c r="I2767" t="s">
        <v>1922</v>
      </c>
      <c r="J2767" t="s">
        <v>36</v>
      </c>
      <c r="K2767" t="s">
        <v>8</v>
      </c>
      <c r="L2767">
        <v>1</v>
      </c>
      <c r="M2767" t="s">
        <v>32</v>
      </c>
      <c r="N2767" t="s">
        <v>47</v>
      </c>
      <c r="O2767" t="s">
        <v>393</v>
      </c>
      <c r="P2767" s="6" t="str">
        <f>IF(Table1[[#This Row],[Transaction_Amount]]&lt;=Table1[[#This Row],[avg_transaction_amount]], "usual transaction", "unusual transaction")</f>
        <v>unusual transaction</v>
      </c>
      <c r="Q2767" s="6" t="str">
        <f>IF(AND(Table1[[#This Row],[Country_of_Residence]]&lt;&gt;Table1[[#This Row],[Country_of_Transaction]], OR(Table1[[#This Row],[Authentication_Type]]="Biometric", Table1[[#This Row],[Authentication_Type]]="OTP")), "safe location transaction", "unsafe location transaction")</f>
        <v>safe location transaction</v>
      </c>
      <c r="R2767" s="6" t="str">
        <f>IF(AND(Table1[[#This Row],[Country_of_Residence]]&lt;&gt;Table1[[#This Row],[Country_of_Transaction]], OR(Table1[[#This Row],[Merchant_Category]]="Electronics", Table1[[#This Row],[Merchant_Category]]="Travel")), "unsafe merchant transaction", "safe merchant transaction")</f>
        <v>safe merchant transaction</v>
      </c>
    </row>
    <row r="2768" spans="1:18">
      <c r="A2768" t="s">
        <v>4450</v>
      </c>
      <c r="B2768" t="s">
        <v>375</v>
      </c>
      <c r="C2768">
        <v>1</v>
      </c>
      <c r="D2768" t="s">
        <v>15</v>
      </c>
      <c r="E2768" t="s">
        <v>5</v>
      </c>
      <c r="F2768" s="2">
        <v>46010</v>
      </c>
      <c r="G2768">
        <v>1411.31</v>
      </c>
      <c r="H2768" s="1">
        <f>AVERAGEIF(Table1[Customer_ID], Table1[[#This Row],[Customer_ID]], Table1[Transaction_Amount])</f>
        <v>5426.7346031746029</v>
      </c>
      <c r="I2768" t="s">
        <v>1944</v>
      </c>
      <c r="J2768" t="s">
        <v>46</v>
      </c>
      <c r="K2768" t="s">
        <v>8</v>
      </c>
      <c r="L2768">
        <v>5</v>
      </c>
      <c r="M2768" t="s">
        <v>37</v>
      </c>
      <c r="N2768" t="s">
        <v>32</v>
      </c>
      <c r="O2768" t="s">
        <v>392</v>
      </c>
      <c r="P2768" s="6" t="str">
        <f>IF(Table1[[#This Row],[Transaction_Amount]]&lt;=Table1[[#This Row],[avg_transaction_amount]], "usual transaction", "unusual transaction")</f>
        <v>usual transaction</v>
      </c>
      <c r="Q2768" s="6" t="str">
        <f>IF(AND(Table1[[#This Row],[Country_of_Residence]]&lt;&gt;Table1[[#This Row],[Country_of_Transaction]], OR(Table1[[#This Row],[Authentication_Type]]="Biometric", Table1[[#This Row],[Authentication_Type]]="OTP")), "safe location transaction", "unsafe location transaction")</f>
        <v>safe location transaction</v>
      </c>
      <c r="R2768" s="6" t="str">
        <f>IF(AND(Table1[[#This Row],[Country_of_Residence]]&lt;&gt;Table1[[#This Row],[Country_of_Transaction]], OR(Table1[[#This Row],[Merchant_Category]]="Electronics", Table1[[#This Row],[Merchant_Category]]="Travel")), "unsafe merchant transaction", "safe merchant transaction")</f>
        <v>safe merchant transaction</v>
      </c>
    </row>
    <row r="2769" spans="1:18">
      <c r="A2769" t="s">
        <v>4462</v>
      </c>
      <c r="B2769" t="s">
        <v>375</v>
      </c>
      <c r="C2769">
        <v>1</v>
      </c>
      <c r="D2769" t="s">
        <v>15</v>
      </c>
      <c r="E2769" t="s">
        <v>420</v>
      </c>
      <c r="F2769" s="2">
        <v>45756</v>
      </c>
      <c r="G2769">
        <v>743.79</v>
      </c>
      <c r="H2769" s="1">
        <f>AVERAGEIF(Table1[Customer_ID], Table1[[#This Row],[Customer_ID]], Table1[Transaction_Amount])</f>
        <v>5426.7346031746029</v>
      </c>
      <c r="I2769" t="s">
        <v>1956</v>
      </c>
      <c r="J2769" t="s">
        <v>41</v>
      </c>
      <c r="K2769" t="s">
        <v>10</v>
      </c>
      <c r="L2769">
        <v>5</v>
      </c>
      <c r="M2769" t="s">
        <v>33</v>
      </c>
      <c r="N2769" t="s">
        <v>42</v>
      </c>
      <c r="O2769" t="s">
        <v>393</v>
      </c>
      <c r="P2769" s="6" t="str">
        <f>IF(Table1[[#This Row],[Transaction_Amount]]&lt;=Table1[[#This Row],[avg_transaction_amount]], "usual transaction", "unusual transaction")</f>
        <v>usual transaction</v>
      </c>
      <c r="Q2769" s="6" t="str">
        <f>IF(AND(Table1[[#This Row],[Country_of_Residence]]&lt;&gt;Table1[[#This Row],[Country_of_Transaction]], OR(Table1[[#This Row],[Authentication_Type]]="Biometric", Table1[[#This Row],[Authentication_Type]]="OTP")), "safe location transaction", "unsafe location transaction")</f>
        <v>safe location transaction</v>
      </c>
      <c r="R2769" s="6" t="str">
        <f>IF(AND(Table1[[#This Row],[Country_of_Residence]]&lt;&gt;Table1[[#This Row],[Country_of_Transaction]], OR(Table1[[#This Row],[Merchant_Category]]="Electronics", Table1[[#This Row],[Merchant_Category]]="Travel")), "unsafe merchant transaction", "safe merchant transaction")</f>
        <v>safe merchant transaction</v>
      </c>
    </row>
    <row r="2770" spans="1:18">
      <c r="A2770" t="s">
        <v>4521</v>
      </c>
      <c r="B2770" t="s">
        <v>375</v>
      </c>
      <c r="C2770">
        <v>1</v>
      </c>
      <c r="D2770" t="s">
        <v>9</v>
      </c>
      <c r="E2770" t="s">
        <v>420</v>
      </c>
      <c r="F2770" s="2">
        <v>45811</v>
      </c>
      <c r="G2770">
        <v>6447.71</v>
      </c>
      <c r="H2770" s="1">
        <f>AVERAGEIF(Table1[Customer_ID], Table1[[#This Row],[Customer_ID]], Table1[Transaction_Amount])</f>
        <v>5426.7346031746029</v>
      </c>
      <c r="I2770" t="s">
        <v>2005</v>
      </c>
      <c r="J2770" t="s">
        <v>41</v>
      </c>
      <c r="K2770" t="s">
        <v>12</v>
      </c>
      <c r="L2770">
        <v>3</v>
      </c>
      <c r="M2770" t="s">
        <v>51</v>
      </c>
      <c r="N2770" t="s">
        <v>56</v>
      </c>
      <c r="O2770" t="s">
        <v>392</v>
      </c>
      <c r="P2770" s="6" t="str">
        <f>IF(Table1[[#This Row],[Transaction_Amount]]&lt;=Table1[[#This Row],[avg_transaction_amount]], "usual transaction", "unusual transaction")</f>
        <v>unusual transaction</v>
      </c>
      <c r="Q2770" s="6" t="str">
        <f>IF(AND(Table1[[#This Row],[Country_of_Residence]]&lt;&gt;Table1[[#This Row],[Country_of_Transaction]], OR(Table1[[#This Row],[Authentication_Type]]="Biometric", Table1[[#This Row],[Authentication_Type]]="OTP")), "safe location transaction", "unsafe location transaction")</f>
        <v>unsafe location transaction</v>
      </c>
      <c r="R2770" s="6" t="str">
        <f>IF(AND(Table1[[#This Row],[Country_of_Residence]]&lt;&gt;Table1[[#This Row],[Country_of_Transaction]], OR(Table1[[#This Row],[Merchant_Category]]="Electronics", Table1[[#This Row],[Merchant_Category]]="Travel")), "unsafe merchant transaction", "safe merchant transaction")</f>
        <v>safe merchant transaction</v>
      </c>
    </row>
    <row r="2771" spans="1:18">
      <c r="A2771" t="s">
        <v>4767</v>
      </c>
      <c r="B2771" t="s">
        <v>375</v>
      </c>
      <c r="C2771">
        <v>1</v>
      </c>
      <c r="D2771" t="s">
        <v>9</v>
      </c>
      <c r="E2771" t="s">
        <v>420</v>
      </c>
      <c r="F2771" s="2">
        <v>45712</v>
      </c>
      <c r="G2771">
        <v>1456.6</v>
      </c>
      <c r="H2771" s="1">
        <f>AVERAGEIF(Table1[Customer_ID], Table1[[#This Row],[Customer_ID]], Table1[Transaction_Amount])</f>
        <v>5426.7346031746029</v>
      </c>
      <c r="I2771" t="s">
        <v>1781</v>
      </c>
      <c r="J2771" t="s">
        <v>36</v>
      </c>
      <c r="K2771" t="s">
        <v>8</v>
      </c>
      <c r="L2771">
        <v>4</v>
      </c>
      <c r="M2771" t="s">
        <v>55</v>
      </c>
      <c r="N2771" t="s">
        <v>412</v>
      </c>
      <c r="O2771" t="s">
        <v>393</v>
      </c>
      <c r="P2771" s="6" t="str">
        <f>IF(Table1[[#This Row],[Transaction_Amount]]&lt;=Table1[[#This Row],[avg_transaction_amount]], "usual transaction", "unusual transaction")</f>
        <v>usual transaction</v>
      </c>
      <c r="Q2771" s="6" t="str">
        <f>IF(AND(Table1[[#This Row],[Country_of_Residence]]&lt;&gt;Table1[[#This Row],[Country_of_Transaction]], OR(Table1[[#This Row],[Authentication_Type]]="Biometric", Table1[[#This Row],[Authentication_Type]]="OTP")), "safe location transaction", "unsafe location transaction")</f>
        <v>safe location transaction</v>
      </c>
      <c r="R2771" s="6" t="str">
        <f>IF(AND(Table1[[#This Row],[Country_of_Residence]]&lt;&gt;Table1[[#This Row],[Country_of_Transaction]], OR(Table1[[#This Row],[Merchant_Category]]="Electronics", Table1[[#This Row],[Merchant_Category]]="Travel")), "unsafe merchant transaction", "safe merchant transaction")</f>
        <v>safe merchant transaction</v>
      </c>
    </row>
    <row r="2772" spans="1:18">
      <c r="A2772" t="s">
        <v>4802</v>
      </c>
      <c r="B2772" t="s">
        <v>375</v>
      </c>
      <c r="C2772">
        <v>1</v>
      </c>
      <c r="D2772" t="s">
        <v>9</v>
      </c>
      <c r="E2772" t="s">
        <v>5</v>
      </c>
      <c r="F2772" s="2">
        <v>45903</v>
      </c>
      <c r="G2772">
        <v>8533.02</v>
      </c>
      <c r="H2772" s="1">
        <f>AVERAGEIF(Table1[Customer_ID], Table1[[#This Row],[Customer_ID]], Table1[Transaction_Amount])</f>
        <v>5426.7346031746029</v>
      </c>
      <c r="I2772" t="s">
        <v>1834</v>
      </c>
      <c r="J2772" t="s">
        <v>46</v>
      </c>
      <c r="K2772" t="s">
        <v>8</v>
      </c>
      <c r="L2772">
        <v>4</v>
      </c>
      <c r="M2772" t="s">
        <v>56</v>
      </c>
      <c r="N2772" t="s">
        <v>37</v>
      </c>
      <c r="O2772" t="s">
        <v>393</v>
      </c>
      <c r="P2772" s="6" t="str">
        <f>IF(Table1[[#This Row],[Transaction_Amount]]&lt;=Table1[[#This Row],[avg_transaction_amount]], "usual transaction", "unusual transaction")</f>
        <v>unusual transaction</v>
      </c>
      <c r="Q2772" s="6" t="str">
        <f>IF(AND(Table1[[#This Row],[Country_of_Residence]]&lt;&gt;Table1[[#This Row],[Country_of_Transaction]], OR(Table1[[#This Row],[Authentication_Type]]="Biometric", Table1[[#This Row],[Authentication_Type]]="OTP")), "safe location transaction", "unsafe location transaction")</f>
        <v>safe location transaction</v>
      </c>
      <c r="R2772" s="6" t="str">
        <f>IF(AND(Table1[[#This Row],[Country_of_Residence]]&lt;&gt;Table1[[#This Row],[Country_of_Transaction]], OR(Table1[[#This Row],[Merchant_Category]]="Electronics", Table1[[#This Row],[Merchant_Category]]="Travel")), "unsafe merchant transaction", "safe merchant transaction")</f>
        <v>safe merchant transaction</v>
      </c>
    </row>
    <row r="2773" spans="1:18">
      <c r="A2773" t="s">
        <v>4813</v>
      </c>
      <c r="B2773" t="s">
        <v>375</v>
      </c>
      <c r="C2773">
        <v>1</v>
      </c>
      <c r="D2773" t="s">
        <v>9</v>
      </c>
      <c r="E2773" t="s">
        <v>5</v>
      </c>
      <c r="F2773" s="2">
        <v>45701</v>
      </c>
      <c r="G2773">
        <v>1455.96</v>
      </c>
      <c r="H2773" s="1">
        <f>AVERAGEIF(Table1[Customer_ID], Table1[[#This Row],[Customer_ID]], Table1[Transaction_Amount])</f>
        <v>5426.7346031746029</v>
      </c>
      <c r="I2773" t="s">
        <v>2233</v>
      </c>
      <c r="J2773" t="s">
        <v>31</v>
      </c>
      <c r="K2773" t="s">
        <v>14</v>
      </c>
      <c r="L2773">
        <v>5</v>
      </c>
      <c r="M2773" t="s">
        <v>33</v>
      </c>
      <c r="N2773" t="s">
        <v>51</v>
      </c>
      <c r="O2773" t="s">
        <v>392</v>
      </c>
      <c r="P2773" s="6" t="str">
        <f>IF(Table1[[#This Row],[Transaction_Amount]]&lt;=Table1[[#This Row],[avg_transaction_amount]], "usual transaction", "unusual transaction")</f>
        <v>usual transaction</v>
      </c>
      <c r="Q2773" s="6" t="str">
        <f>IF(AND(Table1[[#This Row],[Country_of_Residence]]&lt;&gt;Table1[[#This Row],[Country_of_Transaction]], OR(Table1[[#This Row],[Authentication_Type]]="Biometric", Table1[[#This Row],[Authentication_Type]]="OTP")), "safe location transaction", "unsafe location transaction")</f>
        <v>unsafe location transaction</v>
      </c>
      <c r="R2773" s="6" t="str">
        <f>IF(AND(Table1[[#This Row],[Country_of_Residence]]&lt;&gt;Table1[[#This Row],[Country_of_Transaction]], OR(Table1[[#This Row],[Merchant_Category]]="Electronics", Table1[[#This Row],[Merchant_Category]]="Travel")), "unsafe merchant transaction", "safe merchant transaction")</f>
        <v>safe merchant transaction</v>
      </c>
    </row>
    <row r="2774" spans="1:18">
      <c r="A2774" t="s">
        <v>4821</v>
      </c>
      <c r="B2774" t="s">
        <v>375</v>
      </c>
      <c r="C2774">
        <v>1</v>
      </c>
      <c r="D2774" t="s">
        <v>15</v>
      </c>
      <c r="E2774" t="s">
        <v>3</v>
      </c>
      <c r="F2774" s="2">
        <v>45976</v>
      </c>
      <c r="G2774">
        <v>4738.29</v>
      </c>
      <c r="H2774" s="1">
        <f>AVERAGEIF(Table1[Customer_ID], Table1[[#This Row],[Customer_ID]], Table1[Transaction_Amount])</f>
        <v>5426.7346031746029</v>
      </c>
      <c r="I2774" t="s">
        <v>2241</v>
      </c>
      <c r="J2774" t="s">
        <v>31</v>
      </c>
      <c r="K2774" t="s">
        <v>10</v>
      </c>
      <c r="L2774">
        <v>4</v>
      </c>
      <c r="M2774" t="s">
        <v>37</v>
      </c>
      <c r="N2774" t="s">
        <v>412</v>
      </c>
      <c r="O2774" t="s">
        <v>393</v>
      </c>
      <c r="P2774" s="6" t="str">
        <f>IF(Table1[[#This Row],[Transaction_Amount]]&lt;=Table1[[#This Row],[avg_transaction_amount]], "usual transaction", "unusual transaction")</f>
        <v>usual transaction</v>
      </c>
      <c r="Q2774" s="6" t="str">
        <f>IF(AND(Table1[[#This Row],[Country_of_Residence]]&lt;&gt;Table1[[#This Row],[Country_of_Transaction]], OR(Table1[[#This Row],[Authentication_Type]]="Biometric", Table1[[#This Row],[Authentication_Type]]="OTP")), "safe location transaction", "unsafe location transaction")</f>
        <v>safe location transaction</v>
      </c>
      <c r="R2774" s="6" t="str">
        <f>IF(AND(Table1[[#This Row],[Country_of_Residence]]&lt;&gt;Table1[[#This Row],[Country_of_Transaction]], OR(Table1[[#This Row],[Merchant_Category]]="Electronics", Table1[[#This Row],[Merchant_Category]]="Travel")), "unsafe merchant transaction", "safe merchant transaction")</f>
        <v>safe merchant transaction</v>
      </c>
    </row>
    <row r="2775" spans="1:18">
      <c r="A2775" t="s">
        <v>4846</v>
      </c>
      <c r="B2775" t="s">
        <v>375</v>
      </c>
      <c r="C2775">
        <v>1</v>
      </c>
      <c r="D2775" t="s">
        <v>15</v>
      </c>
      <c r="E2775" t="s">
        <v>6</v>
      </c>
      <c r="F2775" s="2">
        <v>45738</v>
      </c>
      <c r="G2775">
        <v>1370.06</v>
      </c>
      <c r="H2775" s="1">
        <f>AVERAGEIF(Table1[Customer_ID], Table1[[#This Row],[Customer_ID]], Table1[Transaction_Amount])</f>
        <v>5426.7346031746029</v>
      </c>
      <c r="I2775" t="s">
        <v>2259</v>
      </c>
      <c r="J2775" t="s">
        <v>31</v>
      </c>
      <c r="K2775" t="s">
        <v>8</v>
      </c>
      <c r="L2775">
        <v>2</v>
      </c>
      <c r="M2775" t="s">
        <v>33</v>
      </c>
      <c r="N2775" t="s">
        <v>51</v>
      </c>
      <c r="O2775" t="s">
        <v>393</v>
      </c>
      <c r="P2775" s="6" t="str">
        <f>IF(Table1[[#This Row],[Transaction_Amount]]&lt;=Table1[[#This Row],[avg_transaction_amount]], "usual transaction", "unusual transaction")</f>
        <v>usual transaction</v>
      </c>
      <c r="Q2775" s="6" t="str">
        <f>IF(AND(Table1[[#This Row],[Country_of_Residence]]&lt;&gt;Table1[[#This Row],[Country_of_Transaction]], OR(Table1[[#This Row],[Authentication_Type]]="Biometric", Table1[[#This Row],[Authentication_Type]]="OTP")), "safe location transaction", "unsafe location transaction")</f>
        <v>safe location transaction</v>
      </c>
      <c r="R2775" s="6" t="str">
        <f>IF(AND(Table1[[#This Row],[Country_of_Residence]]&lt;&gt;Table1[[#This Row],[Country_of_Transaction]], OR(Table1[[#This Row],[Merchant_Category]]="Electronics", Table1[[#This Row],[Merchant_Category]]="Travel")), "unsafe merchant transaction", "safe merchant transaction")</f>
        <v>safe merchant transaction</v>
      </c>
    </row>
    <row r="2776" spans="1:18">
      <c r="A2776" t="s">
        <v>4921</v>
      </c>
      <c r="B2776" t="s">
        <v>375</v>
      </c>
      <c r="C2776">
        <v>1</v>
      </c>
      <c r="D2776" t="s">
        <v>9</v>
      </c>
      <c r="E2776" t="s">
        <v>6</v>
      </c>
      <c r="F2776" s="2">
        <v>45850</v>
      </c>
      <c r="G2776">
        <v>6559.83</v>
      </c>
      <c r="H2776" s="1">
        <f>AVERAGEIF(Table1[Customer_ID], Table1[[#This Row],[Customer_ID]], Table1[Transaction_Amount])</f>
        <v>5426.7346031746029</v>
      </c>
      <c r="I2776" t="s">
        <v>2316</v>
      </c>
      <c r="J2776" t="s">
        <v>36</v>
      </c>
      <c r="K2776" t="s">
        <v>12</v>
      </c>
      <c r="L2776">
        <v>5</v>
      </c>
      <c r="M2776" t="s">
        <v>47</v>
      </c>
      <c r="N2776" t="s">
        <v>32</v>
      </c>
      <c r="O2776" t="s">
        <v>392</v>
      </c>
      <c r="P2776" s="6" t="str">
        <f>IF(Table1[[#This Row],[Transaction_Amount]]&lt;=Table1[[#This Row],[avg_transaction_amount]], "usual transaction", "unusual transaction")</f>
        <v>unusual transaction</v>
      </c>
      <c r="Q2776" s="6" t="str">
        <f>IF(AND(Table1[[#This Row],[Country_of_Residence]]&lt;&gt;Table1[[#This Row],[Country_of_Transaction]], OR(Table1[[#This Row],[Authentication_Type]]="Biometric", Table1[[#This Row],[Authentication_Type]]="OTP")), "safe location transaction", "unsafe location transaction")</f>
        <v>unsafe location transaction</v>
      </c>
      <c r="R2776" s="6" t="str">
        <f>IF(AND(Table1[[#This Row],[Country_of_Residence]]&lt;&gt;Table1[[#This Row],[Country_of_Transaction]], OR(Table1[[#This Row],[Merchant_Category]]="Electronics", Table1[[#This Row],[Merchant_Category]]="Travel")), "unsafe merchant transaction", "safe merchant transaction")</f>
        <v>safe merchant transaction</v>
      </c>
    </row>
    <row r="2777" spans="1:18">
      <c r="A2777" t="s">
        <v>4950</v>
      </c>
      <c r="B2777" t="s">
        <v>375</v>
      </c>
      <c r="C2777">
        <v>1</v>
      </c>
      <c r="D2777" t="s">
        <v>9</v>
      </c>
      <c r="E2777" t="s">
        <v>5</v>
      </c>
      <c r="F2777" s="2">
        <v>45691</v>
      </c>
      <c r="G2777">
        <v>4628.1400000000003</v>
      </c>
      <c r="H2777" s="1">
        <f>AVERAGEIF(Table1[Customer_ID], Table1[[#This Row],[Customer_ID]], Table1[Transaction_Amount])</f>
        <v>5426.7346031746029</v>
      </c>
      <c r="I2777" t="s">
        <v>2341</v>
      </c>
      <c r="J2777" t="s">
        <v>50</v>
      </c>
      <c r="K2777" t="s">
        <v>8</v>
      </c>
      <c r="L2777">
        <v>4</v>
      </c>
      <c r="M2777" t="s">
        <v>412</v>
      </c>
      <c r="N2777" t="s">
        <v>412</v>
      </c>
      <c r="O2777" t="s">
        <v>392</v>
      </c>
      <c r="P2777" s="6" t="str">
        <f>IF(Table1[[#This Row],[Transaction_Amount]]&lt;=Table1[[#This Row],[avg_transaction_amount]], "usual transaction", "unusual transaction")</f>
        <v>usual transaction</v>
      </c>
      <c r="Q2777" s="6" t="str">
        <f>IF(AND(Table1[[#This Row],[Country_of_Residence]]&lt;&gt;Table1[[#This Row],[Country_of_Transaction]], OR(Table1[[#This Row],[Authentication_Type]]="Biometric", Table1[[#This Row],[Authentication_Type]]="OTP")), "safe location transaction", "unsafe location transaction")</f>
        <v>unsafe location transaction</v>
      </c>
      <c r="R2777" s="6" t="str">
        <f>IF(AND(Table1[[#This Row],[Country_of_Residence]]&lt;&gt;Table1[[#This Row],[Country_of_Transaction]], OR(Table1[[#This Row],[Merchant_Category]]="Electronics", Table1[[#This Row],[Merchant_Category]]="Travel")), "unsafe merchant transaction", "safe merchant transaction")</f>
        <v>safe merchant transaction</v>
      </c>
    </row>
    <row r="2778" spans="1:18">
      <c r="A2778" t="s">
        <v>4952</v>
      </c>
      <c r="B2778" t="s">
        <v>375</v>
      </c>
      <c r="C2778">
        <v>1</v>
      </c>
      <c r="D2778" t="s">
        <v>9</v>
      </c>
      <c r="E2778" t="s">
        <v>420</v>
      </c>
      <c r="F2778" s="2">
        <v>46013</v>
      </c>
      <c r="G2778">
        <v>6491.44</v>
      </c>
      <c r="H2778" s="1">
        <f>AVERAGEIF(Table1[Customer_ID], Table1[[#This Row],[Customer_ID]], Table1[Transaction_Amount])</f>
        <v>5426.7346031746029</v>
      </c>
      <c r="I2778" t="s">
        <v>2343</v>
      </c>
      <c r="J2778" t="s">
        <v>31</v>
      </c>
      <c r="K2778" t="s">
        <v>14</v>
      </c>
      <c r="L2778">
        <v>1</v>
      </c>
      <c r="M2778" t="s">
        <v>412</v>
      </c>
      <c r="N2778" t="s">
        <v>42</v>
      </c>
      <c r="O2778" t="s">
        <v>392</v>
      </c>
      <c r="P2778" s="6" t="str">
        <f>IF(Table1[[#This Row],[Transaction_Amount]]&lt;=Table1[[#This Row],[avg_transaction_amount]], "usual transaction", "unusual transaction")</f>
        <v>unusual transaction</v>
      </c>
      <c r="Q2778" s="6" t="str">
        <f>IF(AND(Table1[[#This Row],[Country_of_Residence]]&lt;&gt;Table1[[#This Row],[Country_of_Transaction]], OR(Table1[[#This Row],[Authentication_Type]]="Biometric", Table1[[#This Row],[Authentication_Type]]="OTP")), "safe location transaction", "unsafe location transaction")</f>
        <v>unsafe location transaction</v>
      </c>
      <c r="R2778" s="6" t="str">
        <f>IF(AND(Table1[[#This Row],[Country_of_Residence]]&lt;&gt;Table1[[#This Row],[Country_of_Transaction]], OR(Table1[[#This Row],[Merchant_Category]]="Electronics", Table1[[#This Row],[Merchant_Category]]="Travel")), "unsafe merchant transaction", "safe merchant transaction")</f>
        <v>safe merchant transaction</v>
      </c>
    </row>
    <row r="2779" spans="1:18">
      <c r="A2779" t="s">
        <v>5028</v>
      </c>
      <c r="B2779" t="s">
        <v>375</v>
      </c>
      <c r="C2779">
        <v>1</v>
      </c>
      <c r="D2779" t="s">
        <v>15</v>
      </c>
      <c r="E2779" t="s">
        <v>5</v>
      </c>
      <c r="F2779" s="2">
        <v>45889</v>
      </c>
      <c r="G2779">
        <v>3495.25</v>
      </c>
      <c r="H2779" s="1">
        <f>AVERAGEIF(Table1[Customer_ID], Table1[[#This Row],[Customer_ID]], Table1[Transaction_Amount])</f>
        <v>5426.7346031746029</v>
      </c>
      <c r="I2779" t="s">
        <v>2402</v>
      </c>
      <c r="J2779" t="s">
        <v>31</v>
      </c>
      <c r="K2779" t="s">
        <v>10</v>
      </c>
      <c r="L2779">
        <v>3</v>
      </c>
      <c r="M2779" t="s">
        <v>55</v>
      </c>
      <c r="N2779" t="s">
        <v>56</v>
      </c>
      <c r="O2779" t="s">
        <v>393</v>
      </c>
      <c r="P2779" s="6" t="str">
        <f>IF(Table1[[#This Row],[Transaction_Amount]]&lt;=Table1[[#This Row],[avg_transaction_amount]], "usual transaction", "unusual transaction")</f>
        <v>usual transaction</v>
      </c>
      <c r="Q2779" s="6" t="str">
        <f>IF(AND(Table1[[#This Row],[Country_of_Residence]]&lt;&gt;Table1[[#This Row],[Country_of_Transaction]], OR(Table1[[#This Row],[Authentication_Type]]="Biometric", Table1[[#This Row],[Authentication_Type]]="OTP")), "safe location transaction", "unsafe location transaction")</f>
        <v>safe location transaction</v>
      </c>
      <c r="R2779" s="6" t="str">
        <f>IF(AND(Table1[[#This Row],[Country_of_Residence]]&lt;&gt;Table1[[#This Row],[Country_of_Transaction]], OR(Table1[[#This Row],[Merchant_Category]]="Electronics", Table1[[#This Row],[Merchant_Category]]="Travel")), "unsafe merchant transaction", "safe merchant transaction")</f>
        <v>safe merchant transaction</v>
      </c>
    </row>
    <row r="2780" spans="1:18">
      <c r="A2780" t="s">
        <v>5034</v>
      </c>
      <c r="B2780" t="s">
        <v>375</v>
      </c>
      <c r="C2780">
        <v>1</v>
      </c>
      <c r="D2780" t="s">
        <v>9</v>
      </c>
      <c r="E2780" t="s">
        <v>3</v>
      </c>
      <c r="F2780" s="2">
        <v>45738</v>
      </c>
      <c r="G2780">
        <v>8885.83</v>
      </c>
      <c r="H2780" s="1">
        <f>AVERAGEIF(Table1[Customer_ID], Table1[[#This Row],[Customer_ID]], Table1[Transaction_Amount])</f>
        <v>5426.7346031746029</v>
      </c>
      <c r="I2780" t="s">
        <v>2405</v>
      </c>
      <c r="J2780" t="s">
        <v>50</v>
      </c>
      <c r="K2780" t="s">
        <v>14</v>
      </c>
      <c r="L2780">
        <v>0</v>
      </c>
      <c r="M2780" t="s">
        <v>412</v>
      </c>
      <c r="N2780" t="s">
        <v>412</v>
      </c>
      <c r="O2780" t="s">
        <v>393</v>
      </c>
      <c r="P2780" s="6" t="str">
        <f>IF(Table1[[#This Row],[Transaction_Amount]]&lt;=Table1[[#This Row],[avg_transaction_amount]], "usual transaction", "unusual transaction")</f>
        <v>unusual transaction</v>
      </c>
      <c r="Q2780" s="6" t="str">
        <f>IF(AND(Table1[[#This Row],[Country_of_Residence]]&lt;&gt;Table1[[#This Row],[Country_of_Transaction]], OR(Table1[[#This Row],[Authentication_Type]]="Biometric", Table1[[#This Row],[Authentication_Type]]="OTP")), "safe location transaction", "unsafe location transaction")</f>
        <v>unsafe location transaction</v>
      </c>
      <c r="R2780" s="6" t="str">
        <f>IF(AND(Table1[[#This Row],[Country_of_Residence]]&lt;&gt;Table1[[#This Row],[Country_of_Transaction]], OR(Table1[[#This Row],[Merchant_Category]]="Electronics", Table1[[#This Row],[Merchant_Category]]="Travel")), "unsafe merchant transaction", "safe merchant transaction")</f>
        <v>safe merchant transaction</v>
      </c>
    </row>
    <row r="2781" spans="1:18">
      <c r="A2781" t="s">
        <v>5095</v>
      </c>
      <c r="B2781" t="s">
        <v>375</v>
      </c>
      <c r="C2781">
        <v>1</v>
      </c>
      <c r="D2781" t="s">
        <v>9</v>
      </c>
      <c r="E2781" t="s">
        <v>3</v>
      </c>
      <c r="F2781" s="2">
        <v>45707</v>
      </c>
      <c r="G2781">
        <v>2472.69</v>
      </c>
      <c r="H2781" s="1">
        <f>AVERAGEIF(Table1[Customer_ID], Table1[[#This Row],[Customer_ID]], Table1[Transaction_Amount])</f>
        <v>5426.7346031746029</v>
      </c>
      <c r="I2781" t="s">
        <v>2445</v>
      </c>
      <c r="J2781" t="s">
        <v>31</v>
      </c>
      <c r="K2781" t="s">
        <v>14</v>
      </c>
      <c r="L2781">
        <v>5</v>
      </c>
      <c r="M2781" t="s">
        <v>32</v>
      </c>
      <c r="N2781" t="s">
        <v>33</v>
      </c>
      <c r="O2781" t="s">
        <v>393</v>
      </c>
      <c r="P2781" s="6" t="str">
        <f>IF(Table1[[#This Row],[Transaction_Amount]]&lt;=Table1[[#This Row],[avg_transaction_amount]], "usual transaction", "unusual transaction")</f>
        <v>usual transaction</v>
      </c>
      <c r="Q2781" s="6" t="str">
        <f>IF(AND(Table1[[#This Row],[Country_of_Residence]]&lt;&gt;Table1[[#This Row],[Country_of_Transaction]], OR(Table1[[#This Row],[Authentication_Type]]="Biometric", Table1[[#This Row],[Authentication_Type]]="OTP")), "safe location transaction", "unsafe location transaction")</f>
        <v>unsafe location transaction</v>
      </c>
      <c r="R2781" s="6" t="str">
        <f>IF(AND(Table1[[#This Row],[Country_of_Residence]]&lt;&gt;Table1[[#This Row],[Country_of_Transaction]], OR(Table1[[#This Row],[Merchant_Category]]="Electronics", Table1[[#This Row],[Merchant_Category]]="Travel")), "unsafe merchant transaction", "safe merchant transaction")</f>
        <v>safe merchant transaction</v>
      </c>
    </row>
    <row r="2782" spans="1:18">
      <c r="A2782" t="s">
        <v>5141</v>
      </c>
      <c r="B2782" t="s">
        <v>375</v>
      </c>
      <c r="C2782">
        <v>1</v>
      </c>
      <c r="D2782" t="s">
        <v>9</v>
      </c>
      <c r="E2782" t="s">
        <v>5</v>
      </c>
      <c r="F2782" s="2">
        <v>45878</v>
      </c>
      <c r="G2782">
        <v>8879.17</v>
      </c>
      <c r="H2782" s="1">
        <f>AVERAGEIF(Table1[Customer_ID], Table1[[#This Row],[Customer_ID]], Table1[Transaction_Amount])</f>
        <v>5426.7346031746029</v>
      </c>
      <c r="I2782" t="s">
        <v>2480</v>
      </c>
      <c r="J2782" t="s">
        <v>31</v>
      </c>
      <c r="K2782" t="s">
        <v>14</v>
      </c>
      <c r="L2782">
        <v>4</v>
      </c>
      <c r="M2782" t="s">
        <v>47</v>
      </c>
      <c r="N2782" t="s">
        <v>56</v>
      </c>
      <c r="O2782" t="s">
        <v>393</v>
      </c>
      <c r="P2782" s="6" t="str">
        <f>IF(Table1[[#This Row],[Transaction_Amount]]&lt;=Table1[[#This Row],[avg_transaction_amount]], "usual transaction", "unusual transaction")</f>
        <v>unusual transaction</v>
      </c>
      <c r="Q2782" s="6" t="str">
        <f>IF(AND(Table1[[#This Row],[Country_of_Residence]]&lt;&gt;Table1[[#This Row],[Country_of_Transaction]], OR(Table1[[#This Row],[Authentication_Type]]="Biometric", Table1[[#This Row],[Authentication_Type]]="OTP")), "safe location transaction", "unsafe location transaction")</f>
        <v>unsafe location transaction</v>
      </c>
      <c r="R2782" s="6" t="str">
        <f>IF(AND(Table1[[#This Row],[Country_of_Residence]]&lt;&gt;Table1[[#This Row],[Country_of_Transaction]], OR(Table1[[#This Row],[Merchant_Category]]="Electronics", Table1[[#This Row],[Merchant_Category]]="Travel")), "unsafe merchant transaction", "safe merchant transaction")</f>
        <v>safe merchant transaction</v>
      </c>
    </row>
    <row r="2783" spans="1:18">
      <c r="A2783" t="s">
        <v>5174</v>
      </c>
      <c r="B2783" t="s">
        <v>375</v>
      </c>
      <c r="C2783">
        <v>1</v>
      </c>
      <c r="D2783" t="s">
        <v>15</v>
      </c>
      <c r="E2783" t="s">
        <v>420</v>
      </c>
      <c r="F2783" s="2">
        <v>45998</v>
      </c>
      <c r="G2783">
        <v>1701.67</v>
      </c>
      <c r="H2783" s="1">
        <f>AVERAGEIF(Table1[Customer_ID], Table1[[#This Row],[Customer_ID]], Table1[Transaction_Amount])</f>
        <v>5426.7346031746029</v>
      </c>
      <c r="I2783" t="s">
        <v>2509</v>
      </c>
      <c r="J2783" t="s">
        <v>31</v>
      </c>
      <c r="K2783" t="s">
        <v>12</v>
      </c>
      <c r="L2783">
        <v>4</v>
      </c>
      <c r="M2783" t="s">
        <v>56</v>
      </c>
      <c r="N2783" t="s">
        <v>51</v>
      </c>
      <c r="O2783" t="s">
        <v>392</v>
      </c>
      <c r="P2783" s="6" t="str">
        <f>IF(Table1[[#This Row],[Transaction_Amount]]&lt;=Table1[[#This Row],[avg_transaction_amount]], "usual transaction", "unusual transaction")</f>
        <v>usual transaction</v>
      </c>
      <c r="Q2783" s="6" t="str">
        <f>IF(AND(Table1[[#This Row],[Country_of_Residence]]&lt;&gt;Table1[[#This Row],[Country_of_Transaction]], OR(Table1[[#This Row],[Authentication_Type]]="Biometric", Table1[[#This Row],[Authentication_Type]]="OTP")), "safe location transaction", "unsafe location transaction")</f>
        <v>unsafe location transaction</v>
      </c>
      <c r="R2783" s="6" t="str">
        <f>IF(AND(Table1[[#This Row],[Country_of_Residence]]&lt;&gt;Table1[[#This Row],[Country_of_Transaction]], OR(Table1[[#This Row],[Merchant_Category]]="Electronics", Table1[[#This Row],[Merchant_Category]]="Travel")), "unsafe merchant transaction", "safe merchant transaction")</f>
        <v>safe merchant transaction</v>
      </c>
    </row>
    <row r="2784" spans="1:18">
      <c r="A2784" t="s">
        <v>5177</v>
      </c>
      <c r="B2784" t="s">
        <v>375</v>
      </c>
      <c r="C2784">
        <v>1</v>
      </c>
      <c r="D2784" t="s">
        <v>15</v>
      </c>
      <c r="E2784" t="s">
        <v>3</v>
      </c>
      <c r="F2784" s="2">
        <v>45913</v>
      </c>
      <c r="G2784">
        <v>8085.45</v>
      </c>
      <c r="H2784" s="1">
        <f>AVERAGEIF(Table1[Customer_ID], Table1[[#This Row],[Customer_ID]], Table1[Transaction_Amount])</f>
        <v>5426.7346031746029</v>
      </c>
      <c r="I2784" t="s">
        <v>2512</v>
      </c>
      <c r="J2784" t="s">
        <v>41</v>
      </c>
      <c r="K2784" t="s">
        <v>12</v>
      </c>
      <c r="L2784">
        <v>2</v>
      </c>
      <c r="M2784" t="s">
        <v>33</v>
      </c>
      <c r="N2784" t="s">
        <v>37</v>
      </c>
      <c r="O2784" t="s">
        <v>392</v>
      </c>
      <c r="P2784" s="6" t="str">
        <f>IF(Table1[[#This Row],[Transaction_Amount]]&lt;=Table1[[#This Row],[avg_transaction_amount]], "usual transaction", "unusual transaction")</f>
        <v>unusual transaction</v>
      </c>
      <c r="Q2784" s="6" t="str">
        <f>IF(AND(Table1[[#This Row],[Country_of_Residence]]&lt;&gt;Table1[[#This Row],[Country_of_Transaction]], OR(Table1[[#This Row],[Authentication_Type]]="Biometric", Table1[[#This Row],[Authentication_Type]]="OTP")), "safe location transaction", "unsafe location transaction")</f>
        <v>unsafe location transaction</v>
      </c>
      <c r="R2784" s="6" t="str">
        <f>IF(AND(Table1[[#This Row],[Country_of_Residence]]&lt;&gt;Table1[[#This Row],[Country_of_Transaction]], OR(Table1[[#This Row],[Merchant_Category]]="Electronics", Table1[[#This Row],[Merchant_Category]]="Travel")), "unsafe merchant transaction", "safe merchant transaction")</f>
        <v>safe merchant transaction</v>
      </c>
    </row>
    <row r="2785" spans="1:18">
      <c r="A2785" t="s">
        <v>5181</v>
      </c>
      <c r="B2785" t="s">
        <v>375</v>
      </c>
      <c r="C2785">
        <v>1</v>
      </c>
      <c r="D2785" t="s">
        <v>15</v>
      </c>
      <c r="E2785" t="s">
        <v>420</v>
      </c>
      <c r="F2785" s="2">
        <v>45971</v>
      </c>
      <c r="G2785">
        <v>1534.2</v>
      </c>
      <c r="H2785" s="1">
        <f>AVERAGEIF(Table1[Customer_ID], Table1[[#This Row],[Customer_ID]], Table1[Transaction_Amount])</f>
        <v>5426.7346031746029</v>
      </c>
      <c r="I2785" t="s">
        <v>2515</v>
      </c>
      <c r="J2785" t="s">
        <v>46</v>
      </c>
      <c r="K2785" t="s">
        <v>12</v>
      </c>
      <c r="L2785">
        <v>5</v>
      </c>
      <c r="M2785" t="s">
        <v>56</v>
      </c>
      <c r="N2785" t="s">
        <v>37</v>
      </c>
      <c r="O2785" t="s">
        <v>393</v>
      </c>
      <c r="P2785" s="6" t="str">
        <f>IF(Table1[[#This Row],[Transaction_Amount]]&lt;=Table1[[#This Row],[avg_transaction_amount]], "usual transaction", "unusual transaction")</f>
        <v>usual transaction</v>
      </c>
      <c r="Q2785" s="6" t="str">
        <f>IF(AND(Table1[[#This Row],[Country_of_Residence]]&lt;&gt;Table1[[#This Row],[Country_of_Transaction]], OR(Table1[[#This Row],[Authentication_Type]]="Biometric", Table1[[#This Row],[Authentication_Type]]="OTP")), "safe location transaction", "unsafe location transaction")</f>
        <v>unsafe location transaction</v>
      </c>
      <c r="R2785" s="6" t="str">
        <f>IF(AND(Table1[[#This Row],[Country_of_Residence]]&lt;&gt;Table1[[#This Row],[Country_of_Transaction]], OR(Table1[[#This Row],[Merchant_Category]]="Electronics", Table1[[#This Row],[Merchant_Category]]="Travel")), "unsafe merchant transaction", "safe merchant transaction")</f>
        <v>safe merchant transaction</v>
      </c>
    </row>
    <row r="2786" spans="1:18">
      <c r="A2786" t="s">
        <v>5218</v>
      </c>
      <c r="B2786" t="s">
        <v>375</v>
      </c>
      <c r="C2786">
        <v>1</v>
      </c>
      <c r="D2786" t="s">
        <v>9</v>
      </c>
      <c r="E2786" t="s">
        <v>3</v>
      </c>
      <c r="F2786" s="2">
        <v>45909</v>
      </c>
      <c r="G2786">
        <v>8364</v>
      </c>
      <c r="H2786" s="1">
        <f>AVERAGEIF(Table1[Customer_ID], Table1[[#This Row],[Customer_ID]], Table1[Transaction_Amount])</f>
        <v>5426.7346031746029</v>
      </c>
      <c r="I2786" t="s">
        <v>1273</v>
      </c>
      <c r="J2786" t="s">
        <v>41</v>
      </c>
      <c r="K2786" t="s">
        <v>8</v>
      </c>
      <c r="L2786">
        <v>0</v>
      </c>
      <c r="M2786" t="s">
        <v>42</v>
      </c>
      <c r="N2786" t="s">
        <v>55</v>
      </c>
      <c r="O2786" t="s">
        <v>392</v>
      </c>
      <c r="P2786" s="6" t="str">
        <f>IF(Table1[[#This Row],[Transaction_Amount]]&lt;=Table1[[#This Row],[avg_transaction_amount]], "usual transaction", "unusual transaction")</f>
        <v>unusual transaction</v>
      </c>
      <c r="Q2786" s="6" t="str">
        <f>IF(AND(Table1[[#This Row],[Country_of_Residence]]&lt;&gt;Table1[[#This Row],[Country_of_Transaction]], OR(Table1[[#This Row],[Authentication_Type]]="Biometric", Table1[[#This Row],[Authentication_Type]]="OTP")), "safe location transaction", "unsafe location transaction")</f>
        <v>safe location transaction</v>
      </c>
      <c r="R2786" s="6" t="str">
        <f>IF(AND(Table1[[#This Row],[Country_of_Residence]]&lt;&gt;Table1[[#This Row],[Country_of_Transaction]], OR(Table1[[#This Row],[Merchant_Category]]="Electronics", Table1[[#This Row],[Merchant_Category]]="Travel")), "unsafe merchant transaction", "safe merchant transaction")</f>
        <v>safe merchant transaction</v>
      </c>
    </row>
    <row r="2787" spans="1:18">
      <c r="A2787" t="s">
        <v>5374</v>
      </c>
      <c r="B2787" t="s">
        <v>375</v>
      </c>
      <c r="C2787">
        <v>1</v>
      </c>
      <c r="D2787" t="s">
        <v>15</v>
      </c>
      <c r="E2787" t="s">
        <v>5</v>
      </c>
      <c r="F2787" s="2">
        <v>45887</v>
      </c>
      <c r="G2787">
        <v>8482.85</v>
      </c>
      <c r="H2787" s="1">
        <f>AVERAGEIF(Table1[Customer_ID], Table1[[#This Row],[Customer_ID]], Table1[Transaction_Amount])</f>
        <v>5426.7346031746029</v>
      </c>
      <c r="I2787" t="s">
        <v>2313</v>
      </c>
      <c r="J2787" t="s">
        <v>41</v>
      </c>
      <c r="K2787" t="s">
        <v>14</v>
      </c>
      <c r="L2787">
        <v>4</v>
      </c>
      <c r="M2787" t="s">
        <v>32</v>
      </c>
      <c r="N2787" t="s">
        <v>32</v>
      </c>
      <c r="O2787" t="s">
        <v>392</v>
      </c>
      <c r="P2787" s="6" t="str">
        <f>IF(Table1[[#This Row],[Transaction_Amount]]&lt;=Table1[[#This Row],[avg_transaction_amount]], "usual transaction", "unusual transaction")</f>
        <v>unusual transaction</v>
      </c>
      <c r="Q2787" s="6" t="str">
        <f>IF(AND(Table1[[#This Row],[Country_of_Residence]]&lt;&gt;Table1[[#This Row],[Country_of_Transaction]], OR(Table1[[#This Row],[Authentication_Type]]="Biometric", Table1[[#This Row],[Authentication_Type]]="OTP")), "safe location transaction", "unsafe location transaction")</f>
        <v>unsafe location transaction</v>
      </c>
      <c r="R2787" s="6" t="str">
        <f>IF(AND(Table1[[#This Row],[Country_of_Residence]]&lt;&gt;Table1[[#This Row],[Country_of_Transaction]], OR(Table1[[#This Row],[Merchant_Category]]="Electronics", Table1[[#This Row],[Merchant_Category]]="Travel")), "unsafe merchant transaction", "safe merchant transaction")</f>
        <v>safe merchant transaction</v>
      </c>
    </row>
    <row r="2788" spans="1:18">
      <c r="A2788" t="s">
        <v>5395</v>
      </c>
      <c r="B2788" t="s">
        <v>375</v>
      </c>
      <c r="C2788">
        <v>1</v>
      </c>
      <c r="D2788" t="s">
        <v>15</v>
      </c>
      <c r="E2788" t="s">
        <v>5</v>
      </c>
      <c r="F2788" s="2">
        <v>46016</v>
      </c>
      <c r="G2788">
        <v>7252.98</v>
      </c>
      <c r="H2788" s="1">
        <f>AVERAGEIF(Table1[Customer_ID], Table1[[#This Row],[Customer_ID]], Table1[Transaction_Amount])</f>
        <v>5426.7346031746029</v>
      </c>
      <c r="I2788" t="s">
        <v>2675</v>
      </c>
      <c r="J2788" t="s">
        <v>41</v>
      </c>
      <c r="K2788" t="s">
        <v>10</v>
      </c>
      <c r="L2788">
        <v>4</v>
      </c>
      <c r="M2788" t="s">
        <v>42</v>
      </c>
      <c r="N2788" t="s">
        <v>33</v>
      </c>
      <c r="O2788" t="s">
        <v>392</v>
      </c>
      <c r="P2788" s="6" t="str">
        <f>IF(Table1[[#This Row],[Transaction_Amount]]&lt;=Table1[[#This Row],[avg_transaction_amount]], "usual transaction", "unusual transaction")</f>
        <v>unusual transaction</v>
      </c>
      <c r="Q2788" s="6" t="str">
        <f>IF(AND(Table1[[#This Row],[Country_of_Residence]]&lt;&gt;Table1[[#This Row],[Country_of_Transaction]], OR(Table1[[#This Row],[Authentication_Type]]="Biometric", Table1[[#This Row],[Authentication_Type]]="OTP")), "safe location transaction", "unsafe location transaction")</f>
        <v>safe location transaction</v>
      </c>
      <c r="R2788" s="6" t="str">
        <f>IF(AND(Table1[[#This Row],[Country_of_Residence]]&lt;&gt;Table1[[#This Row],[Country_of_Transaction]], OR(Table1[[#This Row],[Merchant_Category]]="Electronics", Table1[[#This Row],[Merchant_Category]]="Travel")), "unsafe merchant transaction", "safe merchant transaction")</f>
        <v>safe merchant transaction</v>
      </c>
    </row>
    <row r="2789" spans="1:18">
      <c r="A2789" t="s">
        <v>5414</v>
      </c>
      <c r="B2789" t="s">
        <v>375</v>
      </c>
      <c r="C2789">
        <v>1</v>
      </c>
      <c r="D2789" t="s">
        <v>15</v>
      </c>
      <c r="E2789" t="s">
        <v>3</v>
      </c>
      <c r="F2789" s="2">
        <v>45908</v>
      </c>
      <c r="G2789">
        <v>8613.2199999999993</v>
      </c>
      <c r="H2789" s="1">
        <f>AVERAGEIF(Table1[Customer_ID], Table1[[#This Row],[Customer_ID]], Table1[Transaction_Amount])</f>
        <v>5426.7346031746029</v>
      </c>
      <c r="I2789" t="s">
        <v>2689</v>
      </c>
      <c r="J2789" t="s">
        <v>41</v>
      </c>
      <c r="K2789" t="s">
        <v>8</v>
      </c>
      <c r="L2789">
        <v>5</v>
      </c>
      <c r="M2789" t="s">
        <v>33</v>
      </c>
      <c r="N2789" t="s">
        <v>47</v>
      </c>
      <c r="O2789" t="s">
        <v>393</v>
      </c>
      <c r="P2789" s="6" t="str">
        <f>IF(Table1[[#This Row],[Transaction_Amount]]&lt;=Table1[[#This Row],[avg_transaction_amount]], "usual transaction", "unusual transaction")</f>
        <v>unusual transaction</v>
      </c>
      <c r="Q2789" s="6" t="str">
        <f>IF(AND(Table1[[#This Row],[Country_of_Residence]]&lt;&gt;Table1[[#This Row],[Country_of_Transaction]], OR(Table1[[#This Row],[Authentication_Type]]="Biometric", Table1[[#This Row],[Authentication_Type]]="OTP")), "safe location transaction", "unsafe location transaction")</f>
        <v>safe location transaction</v>
      </c>
      <c r="R2789" s="6" t="str">
        <f>IF(AND(Table1[[#This Row],[Country_of_Residence]]&lt;&gt;Table1[[#This Row],[Country_of_Transaction]], OR(Table1[[#This Row],[Merchant_Category]]="Electronics", Table1[[#This Row],[Merchant_Category]]="Travel")), "unsafe merchant transaction", "safe merchant transaction")</f>
        <v>safe merchant transaction</v>
      </c>
    </row>
    <row r="2790" spans="1:18">
      <c r="A2790" t="s">
        <v>5437</v>
      </c>
      <c r="B2790" t="s">
        <v>375</v>
      </c>
      <c r="C2790">
        <v>1</v>
      </c>
      <c r="D2790" t="s">
        <v>15</v>
      </c>
      <c r="E2790" t="s">
        <v>420</v>
      </c>
      <c r="F2790" s="2">
        <v>45929</v>
      </c>
      <c r="G2790">
        <v>7751.09</v>
      </c>
      <c r="H2790" s="1">
        <f>AVERAGEIF(Table1[Customer_ID], Table1[[#This Row],[Customer_ID]], Table1[Transaction_Amount])</f>
        <v>5426.7346031746029</v>
      </c>
      <c r="I2790" t="s">
        <v>1016</v>
      </c>
      <c r="J2790" t="s">
        <v>31</v>
      </c>
      <c r="K2790" t="s">
        <v>10</v>
      </c>
      <c r="L2790">
        <v>2</v>
      </c>
      <c r="M2790" t="s">
        <v>37</v>
      </c>
      <c r="N2790" t="s">
        <v>412</v>
      </c>
      <c r="O2790" t="s">
        <v>392</v>
      </c>
      <c r="P2790" s="6" t="str">
        <f>IF(Table1[[#This Row],[Transaction_Amount]]&lt;=Table1[[#This Row],[avg_transaction_amount]], "usual transaction", "unusual transaction")</f>
        <v>unusual transaction</v>
      </c>
      <c r="Q2790" s="6" t="str">
        <f>IF(AND(Table1[[#This Row],[Country_of_Residence]]&lt;&gt;Table1[[#This Row],[Country_of_Transaction]], OR(Table1[[#This Row],[Authentication_Type]]="Biometric", Table1[[#This Row],[Authentication_Type]]="OTP")), "safe location transaction", "unsafe location transaction")</f>
        <v>safe location transaction</v>
      </c>
      <c r="R2790" s="6" t="str">
        <f>IF(AND(Table1[[#This Row],[Country_of_Residence]]&lt;&gt;Table1[[#This Row],[Country_of_Transaction]], OR(Table1[[#This Row],[Merchant_Category]]="Electronics", Table1[[#This Row],[Merchant_Category]]="Travel")), "unsafe merchant transaction", "safe merchant transaction")</f>
        <v>safe merchant transaction</v>
      </c>
    </row>
    <row r="2791" spans="1:18">
      <c r="A2791" t="s">
        <v>5501</v>
      </c>
      <c r="B2791" t="s">
        <v>375</v>
      </c>
      <c r="C2791">
        <v>1</v>
      </c>
      <c r="D2791" t="s">
        <v>15</v>
      </c>
      <c r="E2791" t="s">
        <v>6</v>
      </c>
      <c r="F2791" s="2">
        <v>45921</v>
      </c>
      <c r="G2791">
        <v>9549.89</v>
      </c>
      <c r="H2791" s="1">
        <f>AVERAGEIF(Table1[Customer_ID], Table1[[#This Row],[Customer_ID]], Table1[Transaction_Amount])</f>
        <v>5426.7346031746029</v>
      </c>
      <c r="I2791" t="s">
        <v>2755</v>
      </c>
      <c r="J2791" t="s">
        <v>31</v>
      </c>
      <c r="K2791" t="s">
        <v>12</v>
      </c>
      <c r="L2791">
        <v>2</v>
      </c>
      <c r="M2791" t="s">
        <v>37</v>
      </c>
      <c r="N2791" t="s">
        <v>412</v>
      </c>
      <c r="O2791" t="s">
        <v>393</v>
      </c>
      <c r="P2791" s="6" t="str">
        <f>IF(Table1[[#This Row],[Transaction_Amount]]&lt;=Table1[[#This Row],[avg_transaction_amount]], "usual transaction", "unusual transaction")</f>
        <v>unusual transaction</v>
      </c>
      <c r="Q2791" s="6" t="str">
        <f>IF(AND(Table1[[#This Row],[Country_of_Residence]]&lt;&gt;Table1[[#This Row],[Country_of_Transaction]], OR(Table1[[#This Row],[Authentication_Type]]="Biometric", Table1[[#This Row],[Authentication_Type]]="OTP")), "safe location transaction", "unsafe location transaction")</f>
        <v>unsafe location transaction</v>
      </c>
      <c r="R2791" s="6" t="str">
        <f>IF(AND(Table1[[#This Row],[Country_of_Residence]]&lt;&gt;Table1[[#This Row],[Country_of_Transaction]], OR(Table1[[#This Row],[Merchant_Category]]="Electronics", Table1[[#This Row],[Merchant_Category]]="Travel")), "unsafe merchant transaction", "safe merchant transaction")</f>
        <v>safe merchant transaction</v>
      </c>
    </row>
    <row r="2792" spans="1:18">
      <c r="A2792" t="s">
        <v>381</v>
      </c>
      <c r="B2792" t="s">
        <v>382</v>
      </c>
      <c r="C2792">
        <v>1</v>
      </c>
      <c r="D2792" t="s">
        <v>15</v>
      </c>
      <c r="E2792" t="s">
        <v>4</v>
      </c>
      <c r="F2792" s="2">
        <v>45730.579166666699</v>
      </c>
      <c r="G2792">
        <v>1870.93</v>
      </c>
      <c r="H2792" s="1">
        <f>AVERAGEIF(Table1[Customer_ID], Table1[[#This Row],[Customer_ID]], Table1[Transaction_Amount])</f>
        <v>4687.2401666666674</v>
      </c>
      <c r="I2792" t="s">
        <v>383</v>
      </c>
      <c r="J2792" t="s">
        <v>31</v>
      </c>
      <c r="K2792" t="s">
        <v>10</v>
      </c>
      <c r="L2792">
        <v>1</v>
      </c>
      <c r="M2792" t="s">
        <v>384</v>
      </c>
      <c r="N2792" t="s">
        <v>360</v>
      </c>
      <c r="O2792" t="s">
        <v>392</v>
      </c>
      <c r="P2792" t="str">
        <f>IF(Table1[[#This Row],[Transaction_Amount]]&lt;=Table1[[#This Row],[avg_transaction_amount]], "usual transaction", "unusual transaction")</f>
        <v>usual transaction</v>
      </c>
      <c r="Q2792" t="str">
        <f>IF(AND(Table1[[#This Row],[Country_of_Residence]]&lt;&gt;Table1[[#This Row],[Country_of_Transaction]], OR(Table1[[#This Row],[Authentication_Type]]="Biometric", Table1[[#This Row],[Authentication_Type]]="OTP")), "safe location transaction", "unsafe location transaction")</f>
        <v>safe location transaction</v>
      </c>
      <c r="R2792" t="str">
        <f>IF(AND(Table1[[#This Row],[Country_of_Residence]]&lt;&gt;Table1[[#This Row],[Country_of_Transaction]], OR(Table1[[#This Row],[Merchant_Category]]="Electronics", Table1[[#This Row],[Merchant_Category]]="Travel")), "unsafe merchant transaction", "safe merchant transaction")</f>
        <v>safe merchant transaction</v>
      </c>
    </row>
    <row r="2793" spans="1:18">
      <c r="A2793" t="s">
        <v>385</v>
      </c>
      <c r="B2793" t="s">
        <v>382</v>
      </c>
      <c r="C2793">
        <v>1</v>
      </c>
      <c r="D2793" t="s">
        <v>15</v>
      </c>
      <c r="E2793" t="s">
        <v>4</v>
      </c>
      <c r="F2793" s="2">
        <v>45691.9375</v>
      </c>
      <c r="G2793">
        <v>834.81</v>
      </c>
      <c r="H2793" s="1">
        <f>AVERAGEIF(Table1[Customer_ID], Table1[[#This Row],[Customer_ID]], Table1[Transaction_Amount])</f>
        <v>4687.2401666666674</v>
      </c>
      <c r="I2793" t="s">
        <v>386</v>
      </c>
      <c r="J2793" t="s">
        <v>31</v>
      </c>
      <c r="K2793" t="s">
        <v>10</v>
      </c>
      <c r="L2793">
        <v>3</v>
      </c>
      <c r="M2793" t="s">
        <v>384</v>
      </c>
      <c r="N2793" t="s">
        <v>370</v>
      </c>
      <c r="O2793" t="s">
        <v>392</v>
      </c>
      <c r="P2793" t="str">
        <f>IF(Table1[[#This Row],[Transaction_Amount]]&lt;=Table1[[#This Row],[avg_transaction_amount]], "usual transaction", "unusual transaction")</f>
        <v>usual transaction</v>
      </c>
      <c r="Q2793" t="str">
        <f>IF(AND(Table1[[#This Row],[Country_of_Residence]]&lt;&gt;Table1[[#This Row],[Country_of_Transaction]], OR(Table1[[#This Row],[Authentication_Type]]="Biometric", Table1[[#This Row],[Authentication_Type]]="OTP")), "safe location transaction", "unsafe location transaction")</f>
        <v>safe location transaction</v>
      </c>
      <c r="R2793" t="str">
        <f>IF(AND(Table1[[#This Row],[Country_of_Residence]]&lt;&gt;Table1[[#This Row],[Country_of_Transaction]], OR(Table1[[#This Row],[Merchant_Category]]="Electronics", Table1[[#This Row],[Merchant_Category]]="Travel")), "unsafe merchant transaction", "safe merchant transaction")</f>
        <v>safe merchant transaction</v>
      </c>
    </row>
    <row r="2794" spans="1:18">
      <c r="A2794" t="s">
        <v>387</v>
      </c>
      <c r="B2794" t="s">
        <v>382</v>
      </c>
      <c r="C2794">
        <v>1</v>
      </c>
      <c r="D2794" t="s">
        <v>11</v>
      </c>
      <c r="E2794" t="s">
        <v>6</v>
      </c>
      <c r="F2794" s="2">
        <v>45694.547916666699</v>
      </c>
      <c r="G2794">
        <v>6507.37</v>
      </c>
      <c r="H2794" s="1">
        <f>AVERAGEIF(Table1[Customer_ID], Table1[[#This Row],[Customer_ID]], Table1[Transaction_Amount])</f>
        <v>4687.2401666666674</v>
      </c>
      <c r="I2794" t="s">
        <v>388</v>
      </c>
      <c r="J2794" t="s">
        <v>50</v>
      </c>
      <c r="K2794" t="s">
        <v>12</v>
      </c>
      <c r="L2794">
        <v>3</v>
      </c>
      <c r="M2794" t="s">
        <v>384</v>
      </c>
      <c r="N2794" t="s">
        <v>74</v>
      </c>
      <c r="O2794" t="s">
        <v>393</v>
      </c>
      <c r="P2794" t="str">
        <f>IF(Table1[[#This Row],[Transaction_Amount]]&lt;=Table1[[#This Row],[avg_transaction_amount]], "usual transaction", "unusual transaction")</f>
        <v>unusual transaction</v>
      </c>
      <c r="Q2794" t="str">
        <f>IF(AND(Table1[[#This Row],[Country_of_Residence]]&lt;&gt;Table1[[#This Row],[Country_of_Transaction]], OR(Table1[[#This Row],[Authentication_Type]]="Biometric", Table1[[#This Row],[Authentication_Type]]="OTP")), "safe location transaction", "unsafe location transaction")</f>
        <v>unsafe location transaction</v>
      </c>
      <c r="R2794" t="str">
        <f>IF(AND(Table1[[#This Row],[Country_of_Residence]]&lt;&gt;Table1[[#This Row],[Country_of_Transaction]], OR(Table1[[#This Row],[Merchant_Category]]="Electronics", Table1[[#This Row],[Merchant_Category]]="Travel")), "unsafe merchant transaction", "safe merchant transaction")</f>
        <v>unsafe merchant transaction</v>
      </c>
    </row>
    <row r="2795" spans="1:18">
      <c r="A2795" t="s">
        <v>2769</v>
      </c>
      <c r="B2795" t="s">
        <v>382</v>
      </c>
      <c r="C2795">
        <v>1</v>
      </c>
      <c r="D2795" t="s">
        <v>15</v>
      </c>
      <c r="E2795" t="s">
        <v>3</v>
      </c>
      <c r="F2795" s="2">
        <v>45852</v>
      </c>
      <c r="G2795">
        <v>2929.41</v>
      </c>
      <c r="H2795" s="1">
        <f>AVERAGEIF(Table1[Customer_ID], Table1[[#This Row],[Customer_ID]], Table1[Transaction_Amount])</f>
        <v>4687.2401666666674</v>
      </c>
      <c r="I2795" t="s">
        <v>417</v>
      </c>
      <c r="J2795" t="s">
        <v>50</v>
      </c>
      <c r="K2795" t="s">
        <v>12</v>
      </c>
      <c r="L2795">
        <v>2</v>
      </c>
      <c r="M2795" t="s">
        <v>51</v>
      </c>
      <c r="N2795" t="s">
        <v>55</v>
      </c>
      <c r="O2795" t="s">
        <v>393</v>
      </c>
      <c r="P2795" s="6" t="str">
        <f>IF(Table1[[#This Row],[Transaction_Amount]]&lt;=Table1[[#This Row],[avg_transaction_amount]], "usual transaction", "unusual transaction")</f>
        <v>usual transaction</v>
      </c>
      <c r="Q2795" s="6" t="str">
        <f>IF(AND(Table1[[#This Row],[Country_of_Residence]]&lt;&gt;Table1[[#This Row],[Country_of_Transaction]], OR(Table1[[#This Row],[Authentication_Type]]="Biometric", Table1[[#This Row],[Authentication_Type]]="OTP")), "safe location transaction", "unsafe location transaction")</f>
        <v>unsafe location transaction</v>
      </c>
      <c r="R2795" s="6" t="str">
        <f>IF(AND(Table1[[#This Row],[Country_of_Residence]]&lt;&gt;Table1[[#This Row],[Country_of_Transaction]], OR(Table1[[#This Row],[Merchant_Category]]="Electronics", Table1[[#This Row],[Merchant_Category]]="Travel")), "unsafe merchant transaction", "safe merchant transaction")</f>
        <v>unsafe merchant transaction</v>
      </c>
    </row>
    <row r="2796" spans="1:18">
      <c r="A2796" t="s">
        <v>2774</v>
      </c>
      <c r="B2796" t="s">
        <v>382</v>
      </c>
      <c r="C2796">
        <v>1</v>
      </c>
      <c r="D2796" t="s">
        <v>9</v>
      </c>
      <c r="E2796" t="s">
        <v>6</v>
      </c>
      <c r="F2796" s="2">
        <v>45890</v>
      </c>
      <c r="G2796">
        <v>6427.57</v>
      </c>
      <c r="H2796" s="1">
        <f>AVERAGEIF(Table1[Customer_ID], Table1[[#This Row],[Customer_ID]], Table1[Transaction_Amount])</f>
        <v>4687.2401666666674</v>
      </c>
      <c r="I2796" t="s">
        <v>423</v>
      </c>
      <c r="J2796" t="s">
        <v>41</v>
      </c>
      <c r="K2796" t="s">
        <v>12</v>
      </c>
      <c r="L2796">
        <v>4</v>
      </c>
      <c r="M2796" t="s">
        <v>32</v>
      </c>
      <c r="N2796" t="s">
        <v>37</v>
      </c>
      <c r="O2796" t="s">
        <v>392</v>
      </c>
      <c r="P2796" s="6" t="str">
        <f>IF(Table1[[#This Row],[Transaction_Amount]]&lt;=Table1[[#This Row],[avg_transaction_amount]], "usual transaction", "unusual transaction")</f>
        <v>unusual transaction</v>
      </c>
      <c r="Q2796" s="6" t="str">
        <f>IF(AND(Table1[[#This Row],[Country_of_Residence]]&lt;&gt;Table1[[#This Row],[Country_of_Transaction]], OR(Table1[[#This Row],[Authentication_Type]]="Biometric", Table1[[#This Row],[Authentication_Type]]="OTP")), "safe location transaction", "unsafe location transaction")</f>
        <v>unsafe location transaction</v>
      </c>
      <c r="R2796" s="6" t="str">
        <f>IF(AND(Table1[[#This Row],[Country_of_Residence]]&lt;&gt;Table1[[#This Row],[Country_of_Transaction]], OR(Table1[[#This Row],[Merchant_Category]]="Electronics", Table1[[#This Row],[Merchant_Category]]="Travel")), "unsafe merchant transaction", "safe merchant transaction")</f>
        <v>safe merchant transaction</v>
      </c>
    </row>
    <row r="2797" spans="1:18">
      <c r="A2797" t="s">
        <v>2793</v>
      </c>
      <c r="B2797" t="s">
        <v>382</v>
      </c>
      <c r="C2797">
        <v>1</v>
      </c>
      <c r="D2797" t="s">
        <v>9</v>
      </c>
      <c r="E2797" t="s">
        <v>5</v>
      </c>
      <c r="F2797" s="2">
        <v>45672</v>
      </c>
      <c r="G2797">
        <v>2827.29</v>
      </c>
      <c r="H2797" s="1">
        <f>AVERAGEIF(Table1[Customer_ID], Table1[[#This Row],[Customer_ID]], Table1[Transaction_Amount])</f>
        <v>4687.2401666666674</v>
      </c>
      <c r="I2797" t="s">
        <v>443</v>
      </c>
      <c r="J2797" t="s">
        <v>46</v>
      </c>
      <c r="K2797" t="s">
        <v>14</v>
      </c>
      <c r="L2797">
        <v>0</v>
      </c>
      <c r="M2797" t="s">
        <v>32</v>
      </c>
      <c r="N2797" t="s">
        <v>56</v>
      </c>
      <c r="O2797" t="s">
        <v>393</v>
      </c>
      <c r="P2797" s="6" t="str">
        <f>IF(Table1[[#This Row],[Transaction_Amount]]&lt;=Table1[[#This Row],[avg_transaction_amount]], "usual transaction", "unusual transaction")</f>
        <v>usual transaction</v>
      </c>
      <c r="Q2797" s="6" t="str">
        <f>IF(AND(Table1[[#This Row],[Country_of_Residence]]&lt;&gt;Table1[[#This Row],[Country_of_Transaction]], OR(Table1[[#This Row],[Authentication_Type]]="Biometric", Table1[[#This Row],[Authentication_Type]]="OTP")), "safe location transaction", "unsafe location transaction")</f>
        <v>unsafe location transaction</v>
      </c>
      <c r="R2797" s="6" t="str">
        <f>IF(AND(Table1[[#This Row],[Country_of_Residence]]&lt;&gt;Table1[[#This Row],[Country_of_Transaction]], OR(Table1[[#This Row],[Merchant_Category]]="Electronics", Table1[[#This Row],[Merchant_Category]]="Travel")), "unsafe merchant transaction", "safe merchant transaction")</f>
        <v>safe merchant transaction</v>
      </c>
    </row>
    <row r="2798" spans="1:18">
      <c r="A2798" t="s">
        <v>3092</v>
      </c>
      <c r="B2798" t="s">
        <v>382</v>
      </c>
      <c r="C2798">
        <v>1</v>
      </c>
      <c r="D2798" t="s">
        <v>9</v>
      </c>
      <c r="E2798" t="s">
        <v>420</v>
      </c>
      <c r="F2798" s="2">
        <v>45789</v>
      </c>
      <c r="G2798">
        <v>2363.5</v>
      </c>
      <c r="H2798" s="1">
        <f>AVERAGEIF(Table1[Customer_ID], Table1[[#This Row],[Customer_ID]], Table1[Transaction_Amount])</f>
        <v>4687.2401666666674</v>
      </c>
      <c r="I2798" t="s">
        <v>736</v>
      </c>
      <c r="J2798" t="s">
        <v>31</v>
      </c>
      <c r="K2798" t="s">
        <v>10</v>
      </c>
      <c r="L2798">
        <v>4</v>
      </c>
      <c r="M2798" t="s">
        <v>412</v>
      </c>
      <c r="N2798" t="s">
        <v>56</v>
      </c>
      <c r="O2798" t="s">
        <v>392</v>
      </c>
      <c r="P2798" s="6" t="str">
        <f>IF(Table1[[#This Row],[Transaction_Amount]]&lt;=Table1[[#This Row],[avg_transaction_amount]], "usual transaction", "unusual transaction")</f>
        <v>usual transaction</v>
      </c>
      <c r="Q2798" s="6" t="str">
        <f>IF(AND(Table1[[#This Row],[Country_of_Residence]]&lt;&gt;Table1[[#This Row],[Country_of_Transaction]], OR(Table1[[#This Row],[Authentication_Type]]="Biometric", Table1[[#This Row],[Authentication_Type]]="OTP")), "safe location transaction", "unsafe location transaction")</f>
        <v>safe location transaction</v>
      </c>
      <c r="R2798" s="6" t="str">
        <f>IF(AND(Table1[[#This Row],[Country_of_Residence]]&lt;&gt;Table1[[#This Row],[Country_of_Transaction]], OR(Table1[[#This Row],[Merchant_Category]]="Electronics", Table1[[#This Row],[Merchant_Category]]="Travel")), "unsafe merchant transaction", "safe merchant transaction")</f>
        <v>safe merchant transaction</v>
      </c>
    </row>
    <row r="2799" spans="1:18">
      <c r="A2799" t="s">
        <v>3132</v>
      </c>
      <c r="B2799" t="s">
        <v>382</v>
      </c>
      <c r="C2799">
        <v>1</v>
      </c>
      <c r="D2799" t="s">
        <v>15</v>
      </c>
      <c r="E2799" t="s">
        <v>3</v>
      </c>
      <c r="F2799" s="2">
        <v>45975</v>
      </c>
      <c r="G2799">
        <v>6398.36</v>
      </c>
      <c r="H2799" s="1">
        <f>AVERAGEIF(Table1[Customer_ID], Table1[[#This Row],[Customer_ID]], Table1[Transaction_Amount])</f>
        <v>4687.2401666666674</v>
      </c>
      <c r="I2799" t="s">
        <v>482</v>
      </c>
      <c r="J2799" t="s">
        <v>50</v>
      </c>
      <c r="K2799" t="s">
        <v>10</v>
      </c>
      <c r="L2799">
        <v>5</v>
      </c>
      <c r="M2799" t="s">
        <v>33</v>
      </c>
      <c r="N2799" t="s">
        <v>56</v>
      </c>
      <c r="O2799" t="s">
        <v>392</v>
      </c>
      <c r="P2799" s="6" t="str">
        <f>IF(Table1[[#This Row],[Transaction_Amount]]&lt;=Table1[[#This Row],[avg_transaction_amount]], "usual transaction", "unusual transaction")</f>
        <v>unusual transaction</v>
      </c>
      <c r="Q2799" s="6" t="str">
        <f>IF(AND(Table1[[#This Row],[Country_of_Residence]]&lt;&gt;Table1[[#This Row],[Country_of_Transaction]], OR(Table1[[#This Row],[Authentication_Type]]="Biometric", Table1[[#This Row],[Authentication_Type]]="OTP")), "safe location transaction", "unsafe location transaction")</f>
        <v>safe location transaction</v>
      </c>
      <c r="R2799" s="6" t="str">
        <f>IF(AND(Table1[[#This Row],[Country_of_Residence]]&lt;&gt;Table1[[#This Row],[Country_of_Transaction]], OR(Table1[[#This Row],[Merchant_Category]]="Electronics", Table1[[#This Row],[Merchant_Category]]="Travel")), "unsafe merchant transaction", "safe merchant transaction")</f>
        <v>unsafe merchant transaction</v>
      </c>
    </row>
    <row r="2800" spans="1:18">
      <c r="A2800" t="s">
        <v>3156</v>
      </c>
      <c r="B2800" t="s">
        <v>382</v>
      </c>
      <c r="C2800">
        <v>1</v>
      </c>
      <c r="D2800" t="s">
        <v>15</v>
      </c>
      <c r="E2800" t="s">
        <v>5</v>
      </c>
      <c r="F2800" s="2">
        <v>45692</v>
      </c>
      <c r="G2800">
        <v>1494.27</v>
      </c>
      <c r="H2800" s="1">
        <f>AVERAGEIF(Table1[Customer_ID], Table1[[#This Row],[Customer_ID]], Table1[Transaction_Amount])</f>
        <v>4687.2401666666674</v>
      </c>
      <c r="I2800" t="s">
        <v>794</v>
      </c>
      <c r="J2800" t="s">
        <v>31</v>
      </c>
      <c r="K2800" t="s">
        <v>12</v>
      </c>
      <c r="L2800">
        <v>2</v>
      </c>
      <c r="M2800" t="s">
        <v>42</v>
      </c>
      <c r="N2800" t="s">
        <v>412</v>
      </c>
      <c r="O2800" t="s">
        <v>393</v>
      </c>
      <c r="P2800" s="6" t="str">
        <f>IF(Table1[[#This Row],[Transaction_Amount]]&lt;=Table1[[#This Row],[avg_transaction_amount]], "usual transaction", "unusual transaction")</f>
        <v>usual transaction</v>
      </c>
      <c r="Q2800" s="6" t="str">
        <f>IF(AND(Table1[[#This Row],[Country_of_Residence]]&lt;&gt;Table1[[#This Row],[Country_of_Transaction]], OR(Table1[[#This Row],[Authentication_Type]]="Biometric", Table1[[#This Row],[Authentication_Type]]="OTP")), "safe location transaction", "unsafe location transaction")</f>
        <v>unsafe location transaction</v>
      </c>
      <c r="R2800" s="6" t="str">
        <f>IF(AND(Table1[[#This Row],[Country_of_Residence]]&lt;&gt;Table1[[#This Row],[Country_of_Transaction]], OR(Table1[[#This Row],[Merchant_Category]]="Electronics", Table1[[#This Row],[Merchant_Category]]="Travel")), "unsafe merchant transaction", "safe merchant transaction")</f>
        <v>safe merchant transaction</v>
      </c>
    </row>
    <row r="2801" spans="1:18">
      <c r="A2801" t="s">
        <v>3162</v>
      </c>
      <c r="B2801" t="s">
        <v>382</v>
      </c>
      <c r="C2801">
        <v>1</v>
      </c>
      <c r="D2801" t="s">
        <v>9</v>
      </c>
      <c r="E2801" t="s">
        <v>5</v>
      </c>
      <c r="F2801" s="2">
        <v>45971</v>
      </c>
      <c r="G2801">
        <v>8284.83</v>
      </c>
      <c r="H2801" s="1">
        <f>AVERAGEIF(Table1[Customer_ID], Table1[[#This Row],[Customer_ID]], Table1[Transaction_Amount])</f>
        <v>4687.2401666666674</v>
      </c>
      <c r="I2801" t="s">
        <v>799</v>
      </c>
      <c r="J2801" t="s">
        <v>46</v>
      </c>
      <c r="K2801" t="s">
        <v>8</v>
      </c>
      <c r="L2801">
        <v>5</v>
      </c>
      <c r="M2801" t="s">
        <v>47</v>
      </c>
      <c r="N2801" t="s">
        <v>32</v>
      </c>
      <c r="O2801" t="s">
        <v>392</v>
      </c>
      <c r="P2801" s="6" t="str">
        <f>IF(Table1[[#This Row],[Transaction_Amount]]&lt;=Table1[[#This Row],[avg_transaction_amount]], "usual transaction", "unusual transaction")</f>
        <v>unusual transaction</v>
      </c>
      <c r="Q2801" s="6" t="str">
        <f>IF(AND(Table1[[#This Row],[Country_of_Residence]]&lt;&gt;Table1[[#This Row],[Country_of_Transaction]], OR(Table1[[#This Row],[Authentication_Type]]="Biometric", Table1[[#This Row],[Authentication_Type]]="OTP")), "safe location transaction", "unsafe location transaction")</f>
        <v>safe location transaction</v>
      </c>
      <c r="R2801" s="6" t="str">
        <f>IF(AND(Table1[[#This Row],[Country_of_Residence]]&lt;&gt;Table1[[#This Row],[Country_of_Transaction]], OR(Table1[[#This Row],[Merchant_Category]]="Electronics", Table1[[#This Row],[Merchant_Category]]="Travel")), "unsafe merchant transaction", "safe merchant transaction")</f>
        <v>safe merchant transaction</v>
      </c>
    </row>
    <row r="2802" spans="1:18">
      <c r="A2802" t="s">
        <v>3247</v>
      </c>
      <c r="B2802" t="s">
        <v>382</v>
      </c>
      <c r="C2802">
        <v>1</v>
      </c>
      <c r="D2802" t="s">
        <v>9</v>
      </c>
      <c r="E2802" t="s">
        <v>3</v>
      </c>
      <c r="F2802" s="2">
        <v>45920</v>
      </c>
      <c r="G2802">
        <v>2815.38</v>
      </c>
      <c r="H2802" s="1">
        <f>AVERAGEIF(Table1[Customer_ID], Table1[[#This Row],[Customer_ID]], Table1[Transaction_Amount])</f>
        <v>4687.2401666666674</v>
      </c>
      <c r="I2802" t="s">
        <v>878</v>
      </c>
      <c r="J2802" t="s">
        <v>36</v>
      </c>
      <c r="K2802" t="s">
        <v>14</v>
      </c>
      <c r="L2802">
        <v>4</v>
      </c>
      <c r="M2802" t="s">
        <v>33</v>
      </c>
      <c r="N2802" t="s">
        <v>412</v>
      </c>
      <c r="O2802" t="s">
        <v>393</v>
      </c>
      <c r="P2802" s="6" t="str">
        <f>IF(Table1[[#This Row],[Transaction_Amount]]&lt;=Table1[[#This Row],[avg_transaction_amount]], "usual transaction", "unusual transaction")</f>
        <v>usual transaction</v>
      </c>
      <c r="Q2802" s="6" t="str">
        <f>IF(AND(Table1[[#This Row],[Country_of_Residence]]&lt;&gt;Table1[[#This Row],[Country_of_Transaction]], OR(Table1[[#This Row],[Authentication_Type]]="Biometric", Table1[[#This Row],[Authentication_Type]]="OTP")), "safe location transaction", "unsafe location transaction")</f>
        <v>unsafe location transaction</v>
      </c>
      <c r="R2802" s="6" t="str">
        <f>IF(AND(Table1[[#This Row],[Country_of_Residence]]&lt;&gt;Table1[[#This Row],[Country_of_Transaction]], OR(Table1[[#This Row],[Merchant_Category]]="Electronics", Table1[[#This Row],[Merchant_Category]]="Travel")), "unsafe merchant transaction", "safe merchant transaction")</f>
        <v>safe merchant transaction</v>
      </c>
    </row>
    <row r="2803" spans="1:18">
      <c r="A2803" t="s">
        <v>3260</v>
      </c>
      <c r="B2803" t="s">
        <v>382</v>
      </c>
      <c r="C2803">
        <v>1</v>
      </c>
      <c r="D2803" t="s">
        <v>15</v>
      </c>
      <c r="E2803" t="s">
        <v>3</v>
      </c>
      <c r="F2803" s="2">
        <v>45674</v>
      </c>
      <c r="G2803">
        <v>4868.34</v>
      </c>
      <c r="H2803" s="1">
        <f>AVERAGEIF(Table1[Customer_ID], Table1[[#This Row],[Customer_ID]], Table1[Transaction_Amount])</f>
        <v>4687.2401666666674</v>
      </c>
      <c r="I2803" t="s">
        <v>890</v>
      </c>
      <c r="J2803" t="s">
        <v>41</v>
      </c>
      <c r="K2803" t="s">
        <v>10</v>
      </c>
      <c r="L2803">
        <v>3</v>
      </c>
      <c r="M2803" t="s">
        <v>32</v>
      </c>
      <c r="N2803" t="s">
        <v>37</v>
      </c>
      <c r="O2803" t="s">
        <v>392</v>
      </c>
      <c r="P2803" s="6" t="str">
        <f>IF(Table1[[#This Row],[Transaction_Amount]]&lt;=Table1[[#This Row],[avg_transaction_amount]], "usual transaction", "unusual transaction")</f>
        <v>unusual transaction</v>
      </c>
      <c r="Q2803" s="6" t="str">
        <f>IF(AND(Table1[[#This Row],[Country_of_Residence]]&lt;&gt;Table1[[#This Row],[Country_of_Transaction]], OR(Table1[[#This Row],[Authentication_Type]]="Biometric", Table1[[#This Row],[Authentication_Type]]="OTP")), "safe location transaction", "unsafe location transaction")</f>
        <v>safe location transaction</v>
      </c>
      <c r="R2803" s="6" t="str">
        <f>IF(AND(Table1[[#This Row],[Country_of_Residence]]&lt;&gt;Table1[[#This Row],[Country_of_Transaction]], OR(Table1[[#This Row],[Merchant_Category]]="Electronics", Table1[[#This Row],[Merchant_Category]]="Travel")), "unsafe merchant transaction", "safe merchant transaction")</f>
        <v>safe merchant transaction</v>
      </c>
    </row>
    <row r="2804" spans="1:18">
      <c r="A2804" t="s">
        <v>3286</v>
      </c>
      <c r="B2804" t="s">
        <v>382</v>
      </c>
      <c r="C2804">
        <v>1</v>
      </c>
      <c r="D2804" t="s">
        <v>9</v>
      </c>
      <c r="E2804" t="s">
        <v>6</v>
      </c>
      <c r="F2804" s="2">
        <v>45874</v>
      </c>
      <c r="G2804">
        <v>8076.54</v>
      </c>
      <c r="H2804" s="1">
        <f>AVERAGEIF(Table1[Customer_ID], Table1[[#This Row],[Customer_ID]], Table1[Transaction_Amount])</f>
        <v>4687.2401666666674</v>
      </c>
      <c r="I2804" t="s">
        <v>914</v>
      </c>
      <c r="J2804" t="s">
        <v>31</v>
      </c>
      <c r="K2804" t="s">
        <v>12</v>
      </c>
      <c r="L2804">
        <v>1</v>
      </c>
      <c r="M2804" t="s">
        <v>37</v>
      </c>
      <c r="N2804" t="s">
        <v>47</v>
      </c>
      <c r="O2804" t="s">
        <v>393</v>
      </c>
      <c r="P2804" s="6" t="str">
        <f>IF(Table1[[#This Row],[Transaction_Amount]]&lt;=Table1[[#This Row],[avg_transaction_amount]], "usual transaction", "unusual transaction")</f>
        <v>unusual transaction</v>
      </c>
      <c r="Q2804" s="6" t="str">
        <f>IF(AND(Table1[[#This Row],[Country_of_Residence]]&lt;&gt;Table1[[#This Row],[Country_of_Transaction]], OR(Table1[[#This Row],[Authentication_Type]]="Biometric", Table1[[#This Row],[Authentication_Type]]="OTP")), "safe location transaction", "unsafe location transaction")</f>
        <v>unsafe location transaction</v>
      </c>
      <c r="R2804" s="6" t="str">
        <f>IF(AND(Table1[[#This Row],[Country_of_Residence]]&lt;&gt;Table1[[#This Row],[Country_of_Transaction]], OR(Table1[[#This Row],[Merchant_Category]]="Electronics", Table1[[#This Row],[Merchant_Category]]="Travel")), "unsafe merchant transaction", "safe merchant transaction")</f>
        <v>safe merchant transaction</v>
      </c>
    </row>
    <row r="2805" spans="1:18">
      <c r="A2805" t="s">
        <v>3326</v>
      </c>
      <c r="B2805" t="s">
        <v>382</v>
      </c>
      <c r="C2805">
        <v>1</v>
      </c>
      <c r="D2805" t="s">
        <v>9</v>
      </c>
      <c r="E2805" t="s">
        <v>6</v>
      </c>
      <c r="F2805" s="2">
        <v>46011</v>
      </c>
      <c r="G2805">
        <v>514.42999999999995</v>
      </c>
      <c r="H2805" s="1">
        <f>AVERAGEIF(Table1[Customer_ID], Table1[[#This Row],[Customer_ID]], Table1[Transaction_Amount])</f>
        <v>4687.2401666666674</v>
      </c>
      <c r="I2805" t="s">
        <v>951</v>
      </c>
      <c r="J2805" t="s">
        <v>31</v>
      </c>
      <c r="K2805" t="s">
        <v>8</v>
      </c>
      <c r="L2805">
        <v>3</v>
      </c>
      <c r="M2805" t="s">
        <v>32</v>
      </c>
      <c r="N2805" t="s">
        <v>32</v>
      </c>
      <c r="O2805" t="s">
        <v>392</v>
      </c>
      <c r="P2805" s="6" t="str">
        <f>IF(Table1[[#This Row],[Transaction_Amount]]&lt;=Table1[[#This Row],[avg_transaction_amount]], "usual transaction", "unusual transaction")</f>
        <v>usual transaction</v>
      </c>
      <c r="Q2805" s="6" t="str">
        <f>IF(AND(Table1[[#This Row],[Country_of_Residence]]&lt;&gt;Table1[[#This Row],[Country_of_Transaction]], OR(Table1[[#This Row],[Authentication_Type]]="Biometric", Table1[[#This Row],[Authentication_Type]]="OTP")), "safe location transaction", "unsafe location transaction")</f>
        <v>unsafe location transaction</v>
      </c>
      <c r="R2805" s="6" t="str">
        <f>IF(AND(Table1[[#This Row],[Country_of_Residence]]&lt;&gt;Table1[[#This Row],[Country_of_Transaction]], OR(Table1[[#This Row],[Merchant_Category]]="Electronics", Table1[[#This Row],[Merchant_Category]]="Travel")), "unsafe merchant transaction", "safe merchant transaction")</f>
        <v>safe merchant transaction</v>
      </c>
    </row>
    <row r="2806" spans="1:18">
      <c r="A2806" t="s">
        <v>3435</v>
      </c>
      <c r="B2806" t="s">
        <v>382</v>
      </c>
      <c r="C2806">
        <v>1</v>
      </c>
      <c r="D2806" t="s">
        <v>9</v>
      </c>
      <c r="E2806" t="s">
        <v>5</v>
      </c>
      <c r="F2806" s="2">
        <v>45995</v>
      </c>
      <c r="G2806">
        <v>1831.25</v>
      </c>
      <c r="H2806" s="1">
        <f>AVERAGEIF(Table1[Customer_ID], Table1[[#This Row],[Customer_ID]], Table1[Transaction_Amount])</f>
        <v>4687.2401666666674</v>
      </c>
      <c r="I2806" t="s">
        <v>1054</v>
      </c>
      <c r="J2806" t="s">
        <v>41</v>
      </c>
      <c r="K2806" t="s">
        <v>8</v>
      </c>
      <c r="L2806">
        <v>2</v>
      </c>
      <c r="M2806" t="s">
        <v>56</v>
      </c>
      <c r="N2806" t="s">
        <v>47</v>
      </c>
      <c r="O2806" t="s">
        <v>393</v>
      </c>
      <c r="P2806" s="6" t="str">
        <f>IF(Table1[[#This Row],[Transaction_Amount]]&lt;=Table1[[#This Row],[avg_transaction_amount]], "usual transaction", "unusual transaction")</f>
        <v>usual transaction</v>
      </c>
      <c r="Q2806" s="6" t="str">
        <f>IF(AND(Table1[[#This Row],[Country_of_Residence]]&lt;&gt;Table1[[#This Row],[Country_of_Transaction]], OR(Table1[[#This Row],[Authentication_Type]]="Biometric", Table1[[#This Row],[Authentication_Type]]="OTP")), "safe location transaction", "unsafe location transaction")</f>
        <v>safe location transaction</v>
      </c>
      <c r="R2806" s="6" t="str">
        <f>IF(AND(Table1[[#This Row],[Country_of_Residence]]&lt;&gt;Table1[[#This Row],[Country_of_Transaction]], OR(Table1[[#This Row],[Merchant_Category]]="Electronics", Table1[[#This Row],[Merchant_Category]]="Travel")), "unsafe merchant transaction", "safe merchant transaction")</f>
        <v>safe merchant transaction</v>
      </c>
    </row>
    <row r="2807" spans="1:18">
      <c r="A2807" t="s">
        <v>3440</v>
      </c>
      <c r="B2807" t="s">
        <v>382</v>
      </c>
      <c r="C2807">
        <v>1</v>
      </c>
      <c r="D2807" t="s">
        <v>15</v>
      </c>
      <c r="E2807" t="s">
        <v>420</v>
      </c>
      <c r="F2807" s="2">
        <v>45990</v>
      </c>
      <c r="G2807">
        <v>6933.36</v>
      </c>
      <c r="H2807" s="1">
        <f>AVERAGEIF(Table1[Customer_ID], Table1[[#This Row],[Customer_ID]], Table1[Transaction_Amount])</f>
        <v>4687.2401666666674</v>
      </c>
      <c r="I2807" t="s">
        <v>1059</v>
      </c>
      <c r="J2807" t="s">
        <v>36</v>
      </c>
      <c r="K2807" t="s">
        <v>14</v>
      </c>
      <c r="L2807">
        <v>0</v>
      </c>
      <c r="M2807" t="s">
        <v>32</v>
      </c>
      <c r="N2807" t="s">
        <v>32</v>
      </c>
      <c r="O2807" t="s">
        <v>392</v>
      </c>
      <c r="P2807" s="6" t="str">
        <f>IF(Table1[[#This Row],[Transaction_Amount]]&lt;=Table1[[#This Row],[avg_transaction_amount]], "usual transaction", "unusual transaction")</f>
        <v>unusual transaction</v>
      </c>
      <c r="Q2807" s="6" t="str">
        <f>IF(AND(Table1[[#This Row],[Country_of_Residence]]&lt;&gt;Table1[[#This Row],[Country_of_Transaction]], OR(Table1[[#This Row],[Authentication_Type]]="Biometric", Table1[[#This Row],[Authentication_Type]]="OTP")), "safe location transaction", "unsafe location transaction")</f>
        <v>unsafe location transaction</v>
      </c>
      <c r="R2807" s="6" t="str">
        <f>IF(AND(Table1[[#This Row],[Country_of_Residence]]&lt;&gt;Table1[[#This Row],[Country_of_Transaction]], OR(Table1[[#This Row],[Merchant_Category]]="Electronics", Table1[[#This Row],[Merchant_Category]]="Travel")), "unsafe merchant transaction", "safe merchant transaction")</f>
        <v>safe merchant transaction</v>
      </c>
    </row>
    <row r="2808" spans="1:18">
      <c r="A2808" t="s">
        <v>3490</v>
      </c>
      <c r="B2808" t="s">
        <v>382</v>
      </c>
      <c r="C2808">
        <v>1</v>
      </c>
      <c r="D2808" t="s">
        <v>9</v>
      </c>
      <c r="E2808" t="s">
        <v>420</v>
      </c>
      <c r="F2808" s="2">
        <v>45902</v>
      </c>
      <c r="G2808">
        <v>6575.75</v>
      </c>
      <c r="H2808" s="1">
        <f>AVERAGEIF(Table1[Customer_ID], Table1[[#This Row],[Customer_ID]], Table1[Transaction_Amount])</f>
        <v>4687.2401666666674</v>
      </c>
      <c r="I2808" t="s">
        <v>1107</v>
      </c>
      <c r="J2808" t="s">
        <v>41</v>
      </c>
      <c r="K2808" t="s">
        <v>8</v>
      </c>
      <c r="L2808">
        <v>5</v>
      </c>
      <c r="M2808" t="s">
        <v>37</v>
      </c>
      <c r="N2808" t="s">
        <v>42</v>
      </c>
      <c r="O2808" t="s">
        <v>392</v>
      </c>
      <c r="P2808" s="6" t="str">
        <f>IF(Table1[[#This Row],[Transaction_Amount]]&lt;=Table1[[#This Row],[avg_transaction_amount]], "usual transaction", "unusual transaction")</f>
        <v>unusual transaction</v>
      </c>
      <c r="Q2808" s="6" t="str">
        <f>IF(AND(Table1[[#This Row],[Country_of_Residence]]&lt;&gt;Table1[[#This Row],[Country_of_Transaction]], OR(Table1[[#This Row],[Authentication_Type]]="Biometric", Table1[[#This Row],[Authentication_Type]]="OTP")), "safe location transaction", "unsafe location transaction")</f>
        <v>safe location transaction</v>
      </c>
      <c r="R2808" s="6" t="str">
        <f>IF(AND(Table1[[#This Row],[Country_of_Residence]]&lt;&gt;Table1[[#This Row],[Country_of_Transaction]], OR(Table1[[#This Row],[Merchant_Category]]="Electronics", Table1[[#This Row],[Merchant_Category]]="Travel")), "unsafe merchant transaction", "safe merchant transaction")</f>
        <v>safe merchant transaction</v>
      </c>
    </row>
    <row r="2809" spans="1:18">
      <c r="A2809" t="s">
        <v>3511</v>
      </c>
      <c r="B2809" t="s">
        <v>382</v>
      </c>
      <c r="C2809">
        <v>1</v>
      </c>
      <c r="D2809" t="s">
        <v>15</v>
      </c>
      <c r="E2809" t="s">
        <v>5</v>
      </c>
      <c r="F2809" s="2">
        <v>45833</v>
      </c>
      <c r="G2809">
        <v>4359.49</v>
      </c>
      <c r="H2809" s="1">
        <f>AVERAGEIF(Table1[Customer_ID], Table1[[#This Row],[Customer_ID]], Table1[Transaction_Amount])</f>
        <v>4687.2401666666674</v>
      </c>
      <c r="I2809" t="s">
        <v>1126</v>
      </c>
      <c r="J2809" t="s">
        <v>46</v>
      </c>
      <c r="K2809" t="s">
        <v>8</v>
      </c>
      <c r="L2809">
        <v>0</v>
      </c>
      <c r="M2809" t="s">
        <v>37</v>
      </c>
      <c r="N2809" t="s">
        <v>47</v>
      </c>
      <c r="O2809" t="s">
        <v>392</v>
      </c>
      <c r="P2809" s="6" t="str">
        <f>IF(Table1[[#This Row],[Transaction_Amount]]&lt;=Table1[[#This Row],[avg_transaction_amount]], "usual transaction", "unusual transaction")</f>
        <v>usual transaction</v>
      </c>
      <c r="Q2809" s="6" t="str">
        <f>IF(AND(Table1[[#This Row],[Country_of_Residence]]&lt;&gt;Table1[[#This Row],[Country_of_Transaction]], OR(Table1[[#This Row],[Authentication_Type]]="Biometric", Table1[[#This Row],[Authentication_Type]]="OTP")), "safe location transaction", "unsafe location transaction")</f>
        <v>safe location transaction</v>
      </c>
      <c r="R2809" s="6" t="str">
        <f>IF(AND(Table1[[#This Row],[Country_of_Residence]]&lt;&gt;Table1[[#This Row],[Country_of_Transaction]], OR(Table1[[#This Row],[Merchant_Category]]="Electronics", Table1[[#This Row],[Merchant_Category]]="Travel")), "unsafe merchant transaction", "safe merchant transaction")</f>
        <v>safe merchant transaction</v>
      </c>
    </row>
    <row r="2810" spans="1:18">
      <c r="A2810" t="s">
        <v>3568</v>
      </c>
      <c r="B2810" t="s">
        <v>382</v>
      </c>
      <c r="C2810">
        <v>1</v>
      </c>
      <c r="D2810" t="s">
        <v>9</v>
      </c>
      <c r="E2810" t="s">
        <v>6</v>
      </c>
      <c r="F2810" s="2">
        <v>45955</v>
      </c>
      <c r="G2810">
        <v>4238.1400000000003</v>
      </c>
      <c r="H2810" s="1">
        <f>AVERAGEIF(Table1[Customer_ID], Table1[[#This Row],[Customer_ID]], Table1[Transaction_Amount])</f>
        <v>4687.2401666666674</v>
      </c>
      <c r="I2810" t="s">
        <v>717</v>
      </c>
      <c r="J2810" t="s">
        <v>46</v>
      </c>
      <c r="K2810" t="s">
        <v>14</v>
      </c>
      <c r="L2810">
        <v>0</v>
      </c>
      <c r="M2810" t="s">
        <v>56</v>
      </c>
      <c r="N2810" t="s">
        <v>42</v>
      </c>
      <c r="O2810" t="s">
        <v>393</v>
      </c>
      <c r="P2810" s="6" t="str">
        <f>IF(Table1[[#This Row],[Transaction_Amount]]&lt;=Table1[[#This Row],[avg_transaction_amount]], "usual transaction", "unusual transaction")</f>
        <v>usual transaction</v>
      </c>
      <c r="Q2810" s="6" t="str">
        <f>IF(AND(Table1[[#This Row],[Country_of_Residence]]&lt;&gt;Table1[[#This Row],[Country_of_Transaction]], OR(Table1[[#This Row],[Authentication_Type]]="Biometric", Table1[[#This Row],[Authentication_Type]]="OTP")), "safe location transaction", "unsafe location transaction")</f>
        <v>unsafe location transaction</v>
      </c>
      <c r="R2810" s="6" t="str">
        <f>IF(AND(Table1[[#This Row],[Country_of_Residence]]&lt;&gt;Table1[[#This Row],[Country_of_Transaction]], OR(Table1[[#This Row],[Merchant_Category]]="Electronics", Table1[[#This Row],[Merchant_Category]]="Travel")), "unsafe merchant transaction", "safe merchant transaction")</f>
        <v>safe merchant transaction</v>
      </c>
    </row>
    <row r="2811" spans="1:18">
      <c r="A2811" t="s">
        <v>3602</v>
      </c>
      <c r="B2811" t="s">
        <v>382</v>
      </c>
      <c r="C2811">
        <v>1</v>
      </c>
      <c r="D2811" t="s">
        <v>9</v>
      </c>
      <c r="E2811" t="s">
        <v>6</v>
      </c>
      <c r="F2811" s="2">
        <v>45774</v>
      </c>
      <c r="G2811">
        <v>7878.02</v>
      </c>
      <c r="H2811" s="1">
        <f>AVERAGEIF(Table1[Customer_ID], Table1[[#This Row],[Customer_ID]], Table1[Transaction_Amount])</f>
        <v>4687.2401666666674</v>
      </c>
      <c r="I2811" t="s">
        <v>1211</v>
      </c>
      <c r="J2811" t="s">
        <v>46</v>
      </c>
      <c r="K2811" t="s">
        <v>10</v>
      </c>
      <c r="L2811">
        <v>1</v>
      </c>
      <c r="M2811" t="s">
        <v>32</v>
      </c>
      <c r="N2811" t="s">
        <v>412</v>
      </c>
      <c r="O2811" t="s">
        <v>392</v>
      </c>
      <c r="P2811" s="6" t="str">
        <f>IF(Table1[[#This Row],[Transaction_Amount]]&lt;=Table1[[#This Row],[avg_transaction_amount]], "usual transaction", "unusual transaction")</f>
        <v>unusual transaction</v>
      </c>
      <c r="Q2811" s="6" t="str">
        <f>IF(AND(Table1[[#This Row],[Country_of_Residence]]&lt;&gt;Table1[[#This Row],[Country_of_Transaction]], OR(Table1[[#This Row],[Authentication_Type]]="Biometric", Table1[[#This Row],[Authentication_Type]]="OTP")), "safe location transaction", "unsafe location transaction")</f>
        <v>safe location transaction</v>
      </c>
      <c r="R2811" s="6" t="str">
        <f>IF(AND(Table1[[#This Row],[Country_of_Residence]]&lt;&gt;Table1[[#This Row],[Country_of_Transaction]], OR(Table1[[#This Row],[Merchant_Category]]="Electronics", Table1[[#This Row],[Merchant_Category]]="Travel")), "unsafe merchant transaction", "safe merchant transaction")</f>
        <v>safe merchant transaction</v>
      </c>
    </row>
    <row r="2812" spans="1:18">
      <c r="A2812" t="s">
        <v>3629</v>
      </c>
      <c r="B2812" t="s">
        <v>382</v>
      </c>
      <c r="C2812">
        <v>1</v>
      </c>
      <c r="D2812" t="s">
        <v>9</v>
      </c>
      <c r="E2812" t="s">
        <v>6</v>
      </c>
      <c r="F2812" s="2">
        <v>45967</v>
      </c>
      <c r="G2812">
        <v>6271.6</v>
      </c>
      <c r="H2812" s="1">
        <f>AVERAGEIF(Table1[Customer_ID], Table1[[#This Row],[Customer_ID]], Table1[Transaction_Amount])</f>
        <v>4687.2401666666674</v>
      </c>
      <c r="I2812" t="s">
        <v>1234</v>
      </c>
      <c r="J2812" t="s">
        <v>31</v>
      </c>
      <c r="K2812" t="s">
        <v>8</v>
      </c>
      <c r="L2812">
        <v>0</v>
      </c>
      <c r="M2812" t="s">
        <v>51</v>
      </c>
      <c r="N2812" t="s">
        <v>51</v>
      </c>
      <c r="O2812" t="s">
        <v>392</v>
      </c>
      <c r="P2812" s="6" t="str">
        <f>IF(Table1[[#This Row],[Transaction_Amount]]&lt;=Table1[[#This Row],[avg_transaction_amount]], "usual transaction", "unusual transaction")</f>
        <v>unusual transaction</v>
      </c>
      <c r="Q2812" s="6" t="str">
        <f>IF(AND(Table1[[#This Row],[Country_of_Residence]]&lt;&gt;Table1[[#This Row],[Country_of_Transaction]], OR(Table1[[#This Row],[Authentication_Type]]="Biometric", Table1[[#This Row],[Authentication_Type]]="OTP")), "safe location transaction", "unsafe location transaction")</f>
        <v>unsafe location transaction</v>
      </c>
      <c r="R2812" s="6" t="str">
        <f>IF(AND(Table1[[#This Row],[Country_of_Residence]]&lt;&gt;Table1[[#This Row],[Country_of_Transaction]], OR(Table1[[#This Row],[Merchant_Category]]="Electronics", Table1[[#This Row],[Merchant_Category]]="Travel")), "unsafe merchant transaction", "safe merchant transaction")</f>
        <v>safe merchant transaction</v>
      </c>
    </row>
    <row r="2813" spans="1:18">
      <c r="A2813" t="s">
        <v>3660</v>
      </c>
      <c r="B2813" t="s">
        <v>382</v>
      </c>
      <c r="C2813">
        <v>1</v>
      </c>
      <c r="D2813" t="s">
        <v>15</v>
      </c>
      <c r="E2813" t="s">
        <v>3</v>
      </c>
      <c r="F2813" s="2">
        <v>45957</v>
      </c>
      <c r="G2813">
        <v>6436.17</v>
      </c>
      <c r="H2813" s="1">
        <f>AVERAGEIF(Table1[Customer_ID], Table1[[#This Row],[Customer_ID]], Table1[Transaction_Amount])</f>
        <v>4687.2401666666674</v>
      </c>
      <c r="I2813" t="s">
        <v>1263</v>
      </c>
      <c r="J2813" t="s">
        <v>41</v>
      </c>
      <c r="K2813" t="s">
        <v>12</v>
      </c>
      <c r="L2813">
        <v>5</v>
      </c>
      <c r="M2813" t="s">
        <v>56</v>
      </c>
      <c r="N2813" t="s">
        <v>51</v>
      </c>
      <c r="O2813" t="s">
        <v>393</v>
      </c>
      <c r="P2813" s="6" t="str">
        <f>IF(Table1[[#This Row],[Transaction_Amount]]&lt;=Table1[[#This Row],[avg_transaction_amount]], "usual transaction", "unusual transaction")</f>
        <v>unusual transaction</v>
      </c>
      <c r="Q2813" s="6" t="str">
        <f>IF(AND(Table1[[#This Row],[Country_of_Residence]]&lt;&gt;Table1[[#This Row],[Country_of_Transaction]], OR(Table1[[#This Row],[Authentication_Type]]="Biometric", Table1[[#This Row],[Authentication_Type]]="OTP")), "safe location transaction", "unsafe location transaction")</f>
        <v>unsafe location transaction</v>
      </c>
      <c r="R2813" s="6" t="str">
        <f>IF(AND(Table1[[#This Row],[Country_of_Residence]]&lt;&gt;Table1[[#This Row],[Country_of_Transaction]], OR(Table1[[#This Row],[Merchant_Category]]="Electronics", Table1[[#This Row],[Merchant_Category]]="Travel")), "unsafe merchant transaction", "safe merchant transaction")</f>
        <v>safe merchant transaction</v>
      </c>
    </row>
    <row r="2814" spans="1:18">
      <c r="A2814" t="s">
        <v>3674</v>
      </c>
      <c r="B2814" t="s">
        <v>382</v>
      </c>
      <c r="C2814">
        <v>1</v>
      </c>
      <c r="D2814" t="s">
        <v>9</v>
      </c>
      <c r="E2814" t="s">
        <v>3</v>
      </c>
      <c r="F2814" s="2">
        <v>45749</v>
      </c>
      <c r="G2814">
        <v>4761.8</v>
      </c>
      <c r="H2814" s="1">
        <f>AVERAGEIF(Table1[Customer_ID], Table1[[#This Row],[Customer_ID]], Table1[Transaction_Amount])</f>
        <v>4687.2401666666674</v>
      </c>
      <c r="I2814" t="s">
        <v>1275</v>
      </c>
      <c r="J2814" t="s">
        <v>36</v>
      </c>
      <c r="K2814" t="s">
        <v>10</v>
      </c>
      <c r="L2814">
        <v>1</v>
      </c>
      <c r="M2814" t="s">
        <v>412</v>
      </c>
      <c r="N2814" t="s">
        <v>51</v>
      </c>
      <c r="O2814" t="s">
        <v>393</v>
      </c>
      <c r="P2814" s="6" t="str">
        <f>IF(Table1[[#This Row],[Transaction_Amount]]&lt;=Table1[[#This Row],[avg_transaction_amount]], "usual transaction", "unusual transaction")</f>
        <v>unusual transaction</v>
      </c>
      <c r="Q2814" s="6" t="str">
        <f>IF(AND(Table1[[#This Row],[Country_of_Residence]]&lt;&gt;Table1[[#This Row],[Country_of_Transaction]], OR(Table1[[#This Row],[Authentication_Type]]="Biometric", Table1[[#This Row],[Authentication_Type]]="OTP")), "safe location transaction", "unsafe location transaction")</f>
        <v>safe location transaction</v>
      </c>
      <c r="R2814" s="6" t="str">
        <f>IF(AND(Table1[[#This Row],[Country_of_Residence]]&lt;&gt;Table1[[#This Row],[Country_of_Transaction]], OR(Table1[[#This Row],[Merchant_Category]]="Electronics", Table1[[#This Row],[Merchant_Category]]="Travel")), "unsafe merchant transaction", "safe merchant transaction")</f>
        <v>safe merchant transaction</v>
      </c>
    </row>
    <row r="2815" spans="1:18">
      <c r="A2815" t="s">
        <v>3871</v>
      </c>
      <c r="B2815" t="s">
        <v>382</v>
      </c>
      <c r="C2815">
        <v>1</v>
      </c>
      <c r="D2815" t="s">
        <v>9</v>
      </c>
      <c r="E2815" t="s">
        <v>3</v>
      </c>
      <c r="F2815" s="2">
        <v>45945</v>
      </c>
      <c r="G2815">
        <v>796.8</v>
      </c>
      <c r="H2815" s="1">
        <f>AVERAGEIF(Table1[Customer_ID], Table1[[#This Row],[Customer_ID]], Table1[Transaction_Amount])</f>
        <v>4687.2401666666674</v>
      </c>
      <c r="I2815" t="s">
        <v>1443</v>
      </c>
      <c r="J2815" t="s">
        <v>31</v>
      </c>
      <c r="K2815" t="s">
        <v>14</v>
      </c>
      <c r="L2815">
        <v>2</v>
      </c>
      <c r="M2815" t="s">
        <v>56</v>
      </c>
      <c r="N2815" t="s">
        <v>37</v>
      </c>
      <c r="O2815" t="s">
        <v>393</v>
      </c>
      <c r="P2815" s="6" t="str">
        <f>IF(Table1[[#This Row],[Transaction_Amount]]&lt;=Table1[[#This Row],[avg_transaction_amount]], "usual transaction", "unusual transaction")</f>
        <v>usual transaction</v>
      </c>
      <c r="Q2815" s="6" t="str">
        <f>IF(AND(Table1[[#This Row],[Country_of_Residence]]&lt;&gt;Table1[[#This Row],[Country_of_Transaction]], OR(Table1[[#This Row],[Authentication_Type]]="Biometric", Table1[[#This Row],[Authentication_Type]]="OTP")), "safe location transaction", "unsafe location transaction")</f>
        <v>unsafe location transaction</v>
      </c>
      <c r="R2815" s="6" t="str">
        <f>IF(AND(Table1[[#This Row],[Country_of_Residence]]&lt;&gt;Table1[[#This Row],[Country_of_Transaction]], OR(Table1[[#This Row],[Merchant_Category]]="Electronics", Table1[[#This Row],[Merchant_Category]]="Travel")), "unsafe merchant transaction", "safe merchant transaction")</f>
        <v>safe merchant transaction</v>
      </c>
    </row>
    <row r="2816" spans="1:18">
      <c r="A2816" t="s">
        <v>3875</v>
      </c>
      <c r="B2816" t="s">
        <v>382</v>
      </c>
      <c r="C2816">
        <v>1</v>
      </c>
      <c r="D2816" t="s">
        <v>9</v>
      </c>
      <c r="E2816" t="s">
        <v>5</v>
      </c>
      <c r="F2816" s="2">
        <v>45762</v>
      </c>
      <c r="G2816">
        <v>6898.91</v>
      </c>
      <c r="H2816" s="1">
        <f>AVERAGEIF(Table1[Customer_ID], Table1[[#This Row],[Customer_ID]], Table1[Transaction_Amount])</f>
        <v>4687.2401666666674</v>
      </c>
      <c r="I2816" t="s">
        <v>1447</v>
      </c>
      <c r="J2816" t="s">
        <v>46</v>
      </c>
      <c r="K2816" t="s">
        <v>10</v>
      </c>
      <c r="L2816">
        <v>5</v>
      </c>
      <c r="M2816" t="s">
        <v>37</v>
      </c>
      <c r="N2816" t="s">
        <v>55</v>
      </c>
      <c r="O2816" t="s">
        <v>392</v>
      </c>
      <c r="P2816" s="6" t="str">
        <f>IF(Table1[[#This Row],[Transaction_Amount]]&lt;=Table1[[#This Row],[avg_transaction_amount]], "usual transaction", "unusual transaction")</f>
        <v>unusual transaction</v>
      </c>
      <c r="Q2816" s="6" t="str">
        <f>IF(AND(Table1[[#This Row],[Country_of_Residence]]&lt;&gt;Table1[[#This Row],[Country_of_Transaction]], OR(Table1[[#This Row],[Authentication_Type]]="Biometric", Table1[[#This Row],[Authentication_Type]]="OTP")), "safe location transaction", "unsafe location transaction")</f>
        <v>safe location transaction</v>
      </c>
      <c r="R2816" s="6" t="str">
        <f>IF(AND(Table1[[#This Row],[Country_of_Residence]]&lt;&gt;Table1[[#This Row],[Country_of_Transaction]], OR(Table1[[#This Row],[Merchant_Category]]="Electronics", Table1[[#This Row],[Merchant_Category]]="Travel")), "unsafe merchant transaction", "safe merchant transaction")</f>
        <v>safe merchant transaction</v>
      </c>
    </row>
    <row r="2817" spans="1:18">
      <c r="A2817" t="s">
        <v>3892</v>
      </c>
      <c r="B2817" t="s">
        <v>382</v>
      </c>
      <c r="C2817">
        <v>1</v>
      </c>
      <c r="D2817" t="s">
        <v>15</v>
      </c>
      <c r="E2817" t="s">
        <v>6</v>
      </c>
      <c r="F2817" s="2">
        <v>45931</v>
      </c>
      <c r="G2817">
        <v>4652.24</v>
      </c>
      <c r="H2817" s="1">
        <f>AVERAGEIF(Table1[Customer_ID], Table1[[#This Row],[Customer_ID]], Table1[Transaction_Amount])</f>
        <v>4687.2401666666674</v>
      </c>
      <c r="I2817" t="s">
        <v>1460</v>
      </c>
      <c r="J2817" t="s">
        <v>31</v>
      </c>
      <c r="K2817" t="s">
        <v>14</v>
      </c>
      <c r="L2817">
        <v>1</v>
      </c>
      <c r="M2817" t="s">
        <v>37</v>
      </c>
      <c r="N2817" t="s">
        <v>33</v>
      </c>
      <c r="O2817" t="s">
        <v>392</v>
      </c>
      <c r="P2817" s="6" t="str">
        <f>IF(Table1[[#This Row],[Transaction_Amount]]&lt;=Table1[[#This Row],[avg_transaction_amount]], "usual transaction", "unusual transaction")</f>
        <v>usual transaction</v>
      </c>
      <c r="Q2817" s="6" t="str">
        <f>IF(AND(Table1[[#This Row],[Country_of_Residence]]&lt;&gt;Table1[[#This Row],[Country_of_Transaction]], OR(Table1[[#This Row],[Authentication_Type]]="Biometric", Table1[[#This Row],[Authentication_Type]]="OTP")), "safe location transaction", "unsafe location transaction")</f>
        <v>unsafe location transaction</v>
      </c>
      <c r="R2817" s="6" t="str">
        <f>IF(AND(Table1[[#This Row],[Country_of_Residence]]&lt;&gt;Table1[[#This Row],[Country_of_Transaction]], OR(Table1[[#This Row],[Merchant_Category]]="Electronics", Table1[[#This Row],[Merchant_Category]]="Travel")), "unsafe merchant transaction", "safe merchant transaction")</f>
        <v>safe merchant transaction</v>
      </c>
    </row>
    <row r="2818" spans="1:18">
      <c r="A2818" t="s">
        <v>3949</v>
      </c>
      <c r="B2818" t="s">
        <v>382</v>
      </c>
      <c r="C2818">
        <v>1</v>
      </c>
      <c r="D2818" t="s">
        <v>15</v>
      </c>
      <c r="E2818" t="s">
        <v>420</v>
      </c>
      <c r="F2818" s="2">
        <v>45836</v>
      </c>
      <c r="G2818">
        <v>186.99</v>
      </c>
      <c r="H2818" s="1">
        <f>AVERAGEIF(Table1[Customer_ID], Table1[[#This Row],[Customer_ID]], Table1[Transaction_Amount])</f>
        <v>4687.2401666666674</v>
      </c>
      <c r="I2818" t="s">
        <v>1513</v>
      </c>
      <c r="J2818" t="s">
        <v>36</v>
      </c>
      <c r="K2818" t="s">
        <v>12</v>
      </c>
      <c r="L2818">
        <v>5</v>
      </c>
      <c r="M2818" t="s">
        <v>37</v>
      </c>
      <c r="N2818" t="s">
        <v>47</v>
      </c>
      <c r="O2818" t="s">
        <v>393</v>
      </c>
      <c r="P2818" s="6" t="str">
        <f>IF(Table1[[#This Row],[Transaction_Amount]]&lt;=Table1[[#This Row],[avg_transaction_amount]], "usual transaction", "unusual transaction")</f>
        <v>usual transaction</v>
      </c>
      <c r="Q2818" s="6" t="str">
        <f>IF(AND(Table1[[#This Row],[Country_of_Residence]]&lt;&gt;Table1[[#This Row],[Country_of_Transaction]], OR(Table1[[#This Row],[Authentication_Type]]="Biometric", Table1[[#This Row],[Authentication_Type]]="OTP")), "safe location transaction", "unsafe location transaction")</f>
        <v>unsafe location transaction</v>
      </c>
      <c r="R2818" s="6" t="str">
        <f>IF(AND(Table1[[#This Row],[Country_of_Residence]]&lt;&gt;Table1[[#This Row],[Country_of_Transaction]], OR(Table1[[#This Row],[Merchant_Category]]="Electronics", Table1[[#This Row],[Merchant_Category]]="Travel")), "unsafe merchant transaction", "safe merchant transaction")</f>
        <v>safe merchant transaction</v>
      </c>
    </row>
    <row r="2819" spans="1:18">
      <c r="A2819" t="s">
        <v>3998</v>
      </c>
      <c r="B2819" t="s">
        <v>382</v>
      </c>
      <c r="C2819">
        <v>1</v>
      </c>
      <c r="D2819" t="s">
        <v>9</v>
      </c>
      <c r="E2819" t="s">
        <v>420</v>
      </c>
      <c r="F2819" s="2">
        <v>45703</v>
      </c>
      <c r="G2819">
        <v>6263.61</v>
      </c>
      <c r="H2819" s="1">
        <f>AVERAGEIF(Table1[Customer_ID], Table1[[#This Row],[Customer_ID]], Table1[Transaction_Amount])</f>
        <v>4687.2401666666674</v>
      </c>
      <c r="I2819" t="s">
        <v>1557</v>
      </c>
      <c r="J2819" t="s">
        <v>46</v>
      </c>
      <c r="K2819" t="s">
        <v>14</v>
      </c>
      <c r="L2819">
        <v>4</v>
      </c>
      <c r="M2819" t="s">
        <v>56</v>
      </c>
      <c r="N2819" t="s">
        <v>55</v>
      </c>
      <c r="O2819" t="s">
        <v>392</v>
      </c>
      <c r="P2819" s="6" t="str">
        <f>IF(Table1[[#This Row],[Transaction_Amount]]&lt;=Table1[[#This Row],[avg_transaction_amount]], "usual transaction", "unusual transaction")</f>
        <v>unusual transaction</v>
      </c>
      <c r="Q2819" s="6" t="str">
        <f>IF(AND(Table1[[#This Row],[Country_of_Residence]]&lt;&gt;Table1[[#This Row],[Country_of_Transaction]], OR(Table1[[#This Row],[Authentication_Type]]="Biometric", Table1[[#This Row],[Authentication_Type]]="OTP")), "safe location transaction", "unsafe location transaction")</f>
        <v>unsafe location transaction</v>
      </c>
      <c r="R2819" s="6" t="str">
        <f>IF(AND(Table1[[#This Row],[Country_of_Residence]]&lt;&gt;Table1[[#This Row],[Country_of_Transaction]], OR(Table1[[#This Row],[Merchant_Category]]="Electronics", Table1[[#This Row],[Merchant_Category]]="Travel")), "unsafe merchant transaction", "safe merchant transaction")</f>
        <v>safe merchant transaction</v>
      </c>
    </row>
    <row r="2820" spans="1:18">
      <c r="A2820" t="s">
        <v>4110</v>
      </c>
      <c r="B2820" t="s">
        <v>382</v>
      </c>
      <c r="C2820">
        <v>1</v>
      </c>
      <c r="D2820" t="s">
        <v>15</v>
      </c>
      <c r="E2820" t="s">
        <v>3</v>
      </c>
      <c r="F2820" s="2">
        <v>45861</v>
      </c>
      <c r="G2820">
        <v>4216.3999999999996</v>
      </c>
      <c r="H2820" s="1">
        <f>AVERAGEIF(Table1[Customer_ID], Table1[[#This Row],[Customer_ID]], Table1[Transaction_Amount])</f>
        <v>4687.2401666666674</v>
      </c>
      <c r="I2820" t="s">
        <v>1648</v>
      </c>
      <c r="J2820" t="s">
        <v>41</v>
      </c>
      <c r="K2820" t="s">
        <v>14</v>
      </c>
      <c r="L2820">
        <v>1</v>
      </c>
      <c r="M2820" t="s">
        <v>412</v>
      </c>
      <c r="N2820" t="s">
        <v>412</v>
      </c>
      <c r="O2820" t="s">
        <v>393</v>
      </c>
      <c r="P2820" s="6" t="str">
        <f>IF(Table1[[#This Row],[Transaction_Amount]]&lt;=Table1[[#This Row],[avg_transaction_amount]], "usual transaction", "unusual transaction")</f>
        <v>usual transaction</v>
      </c>
      <c r="Q2820" s="6" t="str">
        <f>IF(AND(Table1[[#This Row],[Country_of_Residence]]&lt;&gt;Table1[[#This Row],[Country_of_Transaction]], OR(Table1[[#This Row],[Authentication_Type]]="Biometric", Table1[[#This Row],[Authentication_Type]]="OTP")), "safe location transaction", "unsafe location transaction")</f>
        <v>unsafe location transaction</v>
      </c>
      <c r="R2820" s="6" t="str">
        <f>IF(AND(Table1[[#This Row],[Country_of_Residence]]&lt;&gt;Table1[[#This Row],[Country_of_Transaction]], OR(Table1[[#This Row],[Merchant_Category]]="Electronics", Table1[[#This Row],[Merchant_Category]]="Travel")), "unsafe merchant transaction", "safe merchant transaction")</f>
        <v>safe merchant transaction</v>
      </c>
    </row>
    <row r="2821" spans="1:18">
      <c r="A2821" t="s">
        <v>4217</v>
      </c>
      <c r="B2821" t="s">
        <v>382</v>
      </c>
      <c r="C2821">
        <v>1</v>
      </c>
      <c r="D2821" t="s">
        <v>15</v>
      </c>
      <c r="E2821" t="s">
        <v>5</v>
      </c>
      <c r="F2821" s="2">
        <v>45997</v>
      </c>
      <c r="G2821">
        <v>3884.4</v>
      </c>
      <c r="H2821" s="1">
        <f>AVERAGEIF(Table1[Customer_ID], Table1[[#This Row],[Customer_ID]], Table1[Transaction_Amount])</f>
        <v>4687.2401666666674</v>
      </c>
      <c r="I2821" t="s">
        <v>1737</v>
      </c>
      <c r="J2821" t="s">
        <v>41</v>
      </c>
      <c r="K2821" t="s">
        <v>8</v>
      </c>
      <c r="L2821">
        <v>5</v>
      </c>
      <c r="M2821" t="s">
        <v>51</v>
      </c>
      <c r="N2821" t="s">
        <v>56</v>
      </c>
      <c r="O2821" t="s">
        <v>392</v>
      </c>
      <c r="P2821" s="6" t="str">
        <f>IF(Table1[[#This Row],[Transaction_Amount]]&lt;=Table1[[#This Row],[avg_transaction_amount]], "usual transaction", "unusual transaction")</f>
        <v>usual transaction</v>
      </c>
      <c r="Q2821" s="6" t="str">
        <f>IF(AND(Table1[[#This Row],[Country_of_Residence]]&lt;&gt;Table1[[#This Row],[Country_of_Transaction]], OR(Table1[[#This Row],[Authentication_Type]]="Biometric", Table1[[#This Row],[Authentication_Type]]="OTP")), "safe location transaction", "unsafe location transaction")</f>
        <v>safe location transaction</v>
      </c>
      <c r="R2821" s="6" t="str">
        <f>IF(AND(Table1[[#This Row],[Country_of_Residence]]&lt;&gt;Table1[[#This Row],[Country_of_Transaction]], OR(Table1[[#This Row],[Merchant_Category]]="Electronics", Table1[[#This Row],[Merchant_Category]]="Travel")), "unsafe merchant transaction", "safe merchant transaction")</f>
        <v>safe merchant transaction</v>
      </c>
    </row>
    <row r="2822" spans="1:18">
      <c r="A2822" t="s">
        <v>4291</v>
      </c>
      <c r="B2822" t="s">
        <v>382</v>
      </c>
      <c r="C2822">
        <v>1</v>
      </c>
      <c r="D2822" t="s">
        <v>9</v>
      </c>
      <c r="E2822" t="s">
        <v>420</v>
      </c>
      <c r="F2822" s="2">
        <v>45887</v>
      </c>
      <c r="G2822">
        <v>5675.07</v>
      </c>
      <c r="H2822" s="1">
        <f>AVERAGEIF(Table1[Customer_ID], Table1[[#This Row],[Customer_ID]], Table1[Transaction_Amount])</f>
        <v>4687.2401666666674</v>
      </c>
      <c r="I2822" t="s">
        <v>1801</v>
      </c>
      <c r="J2822" t="s">
        <v>41</v>
      </c>
      <c r="K2822" t="s">
        <v>8</v>
      </c>
      <c r="L2822">
        <v>5</v>
      </c>
      <c r="M2822" t="s">
        <v>412</v>
      </c>
      <c r="N2822" t="s">
        <v>32</v>
      </c>
      <c r="O2822" t="s">
        <v>393</v>
      </c>
      <c r="P2822" s="6" t="str">
        <f>IF(Table1[[#This Row],[Transaction_Amount]]&lt;=Table1[[#This Row],[avg_transaction_amount]], "usual transaction", "unusual transaction")</f>
        <v>unusual transaction</v>
      </c>
      <c r="Q2822" s="6" t="str">
        <f>IF(AND(Table1[[#This Row],[Country_of_Residence]]&lt;&gt;Table1[[#This Row],[Country_of_Transaction]], OR(Table1[[#This Row],[Authentication_Type]]="Biometric", Table1[[#This Row],[Authentication_Type]]="OTP")), "safe location transaction", "unsafe location transaction")</f>
        <v>safe location transaction</v>
      </c>
      <c r="R2822" s="6" t="str">
        <f>IF(AND(Table1[[#This Row],[Country_of_Residence]]&lt;&gt;Table1[[#This Row],[Country_of_Transaction]], OR(Table1[[#This Row],[Merchant_Category]]="Electronics", Table1[[#This Row],[Merchant_Category]]="Travel")), "unsafe merchant transaction", "safe merchant transaction")</f>
        <v>safe merchant transaction</v>
      </c>
    </row>
    <row r="2823" spans="1:18">
      <c r="A2823" t="s">
        <v>4295</v>
      </c>
      <c r="B2823" t="s">
        <v>382</v>
      </c>
      <c r="C2823">
        <v>1</v>
      </c>
      <c r="D2823" t="s">
        <v>15</v>
      </c>
      <c r="E2823" t="s">
        <v>3</v>
      </c>
      <c r="F2823" s="2">
        <v>45969</v>
      </c>
      <c r="G2823">
        <v>1823.69</v>
      </c>
      <c r="H2823" s="1">
        <f>AVERAGEIF(Table1[Customer_ID], Table1[[#This Row],[Customer_ID]], Table1[Transaction_Amount])</f>
        <v>4687.2401666666674</v>
      </c>
      <c r="I2823" t="s">
        <v>1805</v>
      </c>
      <c r="J2823" t="s">
        <v>46</v>
      </c>
      <c r="K2823" t="s">
        <v>12</v>
      </c>
      <c r="L2823">
        <v>5</v>
      </c>
      <c r="M2823" t="s">
        <v>37</v>
      </c>
      <c r="N2823" t="s">
        <v>47</v>
      </c>
      <c r="O2823" t="s">
        <v>392</v>
      </c>
      <c r="P2823" s="6" t="str">
        <f>IF(Table1[[#This Row],[Transaction_Amount]]&lt;=Table1[[#This Row],[avg_transaction_amount]], "usual transaction", "unusual transaction")</f>
        <v>usual transaction</v>
      </c>
      <c r="Q2823" s="6" t="str">
        <f>IF(AND(Table1[[#This Row],[Country_of_Residence]]&lt;&gt;Table1[[#This Row],[Country_of_Transaction]], OR(Table1[[#This Row],[Authentication_Type]]="Biometric", Table1[[#This Row],[Authentication_Type]]="OTP")), "safe location transaction", "unsafe location transaction")</f>
        <v>unsafe location transaction</v>
      </c>
      <c r="R2823" s="6" t="str">
        <f>IF(AND(Table1[[#This Row],[Country_of_Residence]]&lt;&gt;Table1[[#This Row],[Country_of_Transaction]], OR(Table1[[#This Row],[Merchant_Category]]="Electronics", Table1[[#This Row],[Merchant_Category]]="Travel")), "unsafe merchant transaction", "safe merchant transaction")</f>
        <v>safe merchant transaction</v>
      </c>
    </row>
    <row r="2824" spans="1:18">
      <c r="A2824" t="s">
        <v>4325</v>
      </c>
      <c r="B2824" t="s">
        <v>382</v>
      </c>
      <c r="C2824">
        <v>1</v>
      </c>
      <c r="D2824" t="s">
        <v>9</v>
      </c>
      <c r="E2824" t="s">
        <v>6</v>
      </c>
      <c r="F2824" s="2">
        <v>45809</v>
      </c>
      <c r="G2824">
        <v>6519.06</v>
      </c>
      <c r="H2824" s="1">
        <f>AVERAGEIF(Table1[Customer_ID], Table1[[#This Row],[Customer_ID]], Table1[Transaction_Amount])</f>
        <v>4687.2401666666674</v>
      </c>
      <c r="I2824" t="s">
        <v>1832</v>
      </c>
      <c r="J2824" t="s">
        <v>31</v>
      </c>
      <c r="K2824" t="s">
        <v>8</v>
      </c>
      <c r="L2824">
        <v>2</v>
      </c>
      <c r="M2824" t="s">
        <v>37</v>
      </c>
      <c r="N2824" t="s">
        <v>32</v>
      </c>
      <c r="O2824" t="s">
        <v>393</v>
      </c>
      <c r="P2824" s="6" t="str">
        <f>IF(Table1[[#This Row],[Transaction_Amount]]&lt;=Table1[[#This Row],[avg_transaction_amount]], "usual transaction", "unusual transaction")</f>
        <v>unusual transaction</v>
      </c>
      <c r="Q2824" s="6" t="str">
        <f>IF(AND(Table1[[#This Row],[Country_of_Residence]]&lt;&gt;Table1[[#This Row],[Country_of_Transaction]], OR(Table1[[#This Row],[Authentication_Type]]="Biometric", Table1[[#This Row],[Authentication_Type]]="OTP")), "safe location transaction", "unsafe location transaction")</f>
        <v>safe location transaction</v>
      </c>
      <c r="R2824" s="6" t="str">
        <f>IF(AND(Table1[[#This Row],[Country_of_Residence]]&lt;&gt;Table1[[#This Row],[Country_of_Transaction]], OR(Table1[[#This Row],[Merchant_Category]]="Electronics", Table1[[#This Row],[Merchant_Category]]="Travel")), "unsafe merchant transaction", "safe merchant transaction")</f>
        <v>safe merchant transaction</v>
      </c>
    </row>
    <row r="2825" spans="1:18">
      <c r="A2825" t="s">
        <v>4377</v>
      </c>
      <c r="B2825" t="s">
        <v>382</v>
      </c>
      <c r="C2825">
        <v>1</v>
      </c>
      <c r="D2825" t="s">
        <v>9</v>
      </c>
      <c r="E2825" t="s">
        <v>6</v>
      </c>
      <c r="F2825" s="2">
        <v>45937</v>
      </c>
      <c r="G2825">
        <v>1281.06</v>
      </c>
      <c r="H2825" s="1">
        <f>AVERAGEIF(Table1[Customer_ID], Table1[[#This Row],[Customer_ID]], Table1[Transaction_Amount])</f>
        <v>4687.2401666666674</v>
      </c>
      <c r="I2825" t="s">
        <v>1877</v>
      </c>
      <c r="J2825" t="s">
        <v>41</v>
      </c>
      <c r="K2825" t="s">
        <v>12</v>
      </c>
      <c r="L2825">
        <v>3</v>
      </c>
      <c r="M2825" t="s">
        <v>55</v>
      </c>
      <c r="N2825" t="s">
        <v>412</v>
      </c>
      <c r="O2825" t="s">
        <v>393</v>
      </c>
      <c r="P2825" s="6" t="str">
        <f>IF(Table1[[#This Row],[Transaction_Amount]]&lt;=Table1[[#This Row],[avg_transaction_amount]], "usual transaction", "unusual transaction")</f>
        <v>usual transaction</v>
      </c>
      <c r="Q2825" s="6" t="str">
        <f>IF(AND(Table1[[#This Row],[Country_of_Residence]]&lt;&gt;Table1[[#This Row],[Country_of_Transaction]], OR(Table1[[#This Row],[Authentication_Type]]="Biometric", Table1[[#This Row],[Authentication_Type]]="OTP")), "safe location transaction", "unsafe location transaction")</f>
        <v>unsafe location transaction</v>
      </c>
      <c r="R2825" s="6" t="str">
        <f>IF(AND(Table1[[#This Row],[Country_of_Residence]]&lt;&gt;Table1[[#This Row],[Country_of_Transaction]], OR(Table1[[#This Row],[Merchant_Category]]="Electronics", Table1[[#This Row],[Merchant_Category]]="Travel")), "unsafe merchant transaction", "safe merchant transaction")</f>
        <v>safe merchant transaction</v>
      </c>
    </row>
    <row r="2826" spans="1:18">
      <c r="A2826" t="s">
        <v>4405</v>
      </c>
      <c r="B2826" t="s">
        <v>382</v>
      </c>
      <c r="C2826">
        <v>1</v>
      </c>
      <c r="D2826" t="s">
        <v>15</v>
      </c>
      <c r="E2826" t="s">
        <v>6</v>
      </c>
      <c r="F2826" s="2">
        <v>45900</v>
      </c>
      <c r="G2826">
        <v>2391.4</v>
      </c>
      <c r="H2826" s="1">
        <f>AVERAGEIF(Table1[Customer_ID], Table1[[#This Row],[Customer_ID]], Table1[Transaction_Amount])</f>
        <v>4687.2401666666674</v>
      </c>
      <c r="I2826" t="s">
        <v>1905</v>
      </c>
      <c r="J2826" t="s">
        <v>31</v>
      </c>
      <c r="K2826" t="s">
        <v>14</v>
      </c>
      <c r="L2826">
        <v>4</v>
      </c>
      <c r="M2826" t="s">
        <v>47</v>
      </c>
      <c r="N2826" t="s">
        <v>56</v>
      </c>
      <c r="O2826" t="s">
        <v>393</v>
      </c>
      <c r="P2826" s="6" t="str">
        <f>IF(Table1[[#This Row],[Transaction_Amount]]&lt;=Table1[[#This Row],[avg_transaction_amount]], "usual transaction", "unusual transaction")</f>
        <v>usual transaction</v>
      </c>
      <c r="Q2826" s="6" t="str">
        <f>IF(AND(Table1[[#This Row],[Country_of_Residence]]&lt;&gt;Table1[[#This Row],[Country_of_Transaction]], OR(Table1[[#This Row],[Authentication_Type]]="Biometric", Table1[[#This Row],[Authentication_Type]]="OTP")), "safe location transaction", "unsafe location transaction")</f>
        <v>unsafe location transaction</v>
      </c>
      <c r="R2826" s="6" t="str">
        <f>IF(AND(Table1[[#This Row],[Country_of_Residence]]&lt;&gt;Table1[[#This Row],[Country_of_Transaction]], OR(Table1[[#This Row],[Merchant_Category]]="Electronics", Table1[[#This Row],[Merchant_Category]]="Travel")), "unsafe merchant transaction", "safe merchant transaction")</f>
        <v>safe merchant transaction</v>
      </c>
    </row>
    <row r="2827" spans="1:18">
      <c r="A2827" t="s">
        <v>4406</v>
      </c>
      <c r="B2827" t="s">
        <v>382</v>
      </c>
      <c r="C2827">
        <v>1</v>
      </c>
      <c r="D2827" t="s">
        <v>9</v>
      </c>
      <c r="E2827" t="s">
        <v>420</v>
      </c>
      <c r="F2827" s="2">
        <v>45888</v>
      </c>
      <c r="G2827">
        <v>137.9</v>
      </c>
      <c r="H2827" s="1">
        <f>AVERAGEIF(Table1[Customer_ID], Table1[[#This Row],[Customer_ID]], Table1[Transaction_Amount])</f>
        <v>4687.2401666666674</v>
      </c>
      <c r="I2827" t="s">
        <v>1906</v>
      </c>
      <c r="J2827" t="s">
        <v>41</v>
      </c>
      <c r="K2827" t="s">
        <v>8</v>
      </c>
      <c r="L2827">
        <v>3</v>
      </c>
      <c r="M2827" t="s">
        <v>51</v>
      </c>
      <c r="N2827" t="s">
        <v>51</v>
      </c>
      <c r="O2827" t="s">
        <v>393</v>
      </c>
      <c r="P2827" s="6" t="str">
        <f>IF(Table1[[#This Row],[Transaction_Amount]]&lt;=Table1[[#This Row],[avg_transaction_amount]], "usual transaction", "unusual transaction")</f>
        <v>usual transaction</v>
      </c>
      <c r="Q2827" s="6" t="str">
        <f>IF(AND(Table1[[#This Row],[Country_of_Residence]]&lt;&gt;Table1[[#This Row],[Country_of_Transaction]], OR(Table1[[#This Row],[Authentication_Type]]="Biometric", Table1[[#This Row],[Authentication_Type]]="OTP")), "safe location transaction", "unsafe location transaction")</f>
        <v>unsafe location transaction</v>
      </c>
      <c r="R2827" s="6" t="str">
        <f>IF(AND(Table1[[#This Row],[Country_of_Residence]]&lt;&gt;Table1[[#This Row],[Country_of_Transaction]], OR(Table1[[#This Row],[Merchant_Category]]="Electronics", Table1[[#This Row],[Merchant_Category]]="Travel")), "unsafe merchant transaction", "safe merchant transaction")</f>
        <v>safe merchant transaction</v>
      </c>
    </row>
    <row r="2828" spans="1:18">
      <c r="A2828" t="s">
        <v>4432</v>
      </c>
      <c r="B2828" t="s">
        <v>382</v>
      </c>
      <c r="C2828">
        <v>1</v>
      </c>
      <c r="D2828" t="s">
        <v>9</v>
      </c>
      <c r="E2828" t="s">
        <v>420</v>
      </c>
      <c r="F2828" s="2">
        <v>45982</v>
      </c>
      <c r="G2828">
        <v>5450.18</v>
      </c>
      <c r="H2828" s="1">
        <f>AVERAGEIF(Table1[Customer_ID], Table1[[#This Row],[Customer_ID]], Table1[Transaction_Amount])</f>
        <v>4687.2401666666674</v>
      </c>
      <c r="I2828" t="s">
        <v>270</v>
      </c>
      <c r="J2828" t="s">
        <v>46</v>
      </c>
      <c r="K2828" t="s">
        <v>12</v>
      </c>
      <c r="L2828">
        <v>1</v>
      </c>
      <c r="M2828" t="s">
        <v>33</v>
      </c>
      <c r="N2828" t="s">
        <v>56</v>
      </c>
      <c r="O2828" t="s">
        <v>393</v>
      </c>
      <c r="P2828" s="6" t="str">
        <f>IF(Table1[[#This Row],[Transaction_Amount]]&lt;=Table1[[#This Row],[avg_transaction_amount]], "usual transaction", "unusual transaction")</f>
        <v>unusual transaction</v>
      </c>
      <c r="Q2828" s="6" t="str">
        <f>IF(AND(Table1[[#This Row],[Country_of_Residence]]&lt;&gt;Table1[[#This Row],[Country_of_Transaction]], OR(Table1[[#This Row],[Authentication_Type]]="Biometric", Table1[[#This Row],[Authentication_Type]]="OTP")), "safe location transaction", "unsafe location transaction")</f>
        <v>unsafe location transaction</v>
      </c>
      <c r="R2828" s="6" t="str">
        <f>IF(AND(Table1[[#This Row],[Country_of_Residence]]&lt;&gt;Table1[[#This Row],[Country_of_Transaction]], OR(Table1[[#This Row],[Merchant_Category]]="Electronics", Table1[[#This Row],[Merchant_Category]]="Travel")), "unsafe merchant transaction", "safe merchant transaction")</f>
        <v>safe merchant transaction</v>
      </c>
    </row>
    <row r="2829" spans="1:18">
      <c r="A2829" t="s">
        <v>4452</v>
      </c>
      <c r="B2829" t="s">
        <v>382</v>
      </c>
      <c r="C2829">
        <v>1</v>
      </c>
      <c r="D2829" t="s">
        <v>15</v>
      </c>
      <c r="E2829" t="s">
        <v>6</v>
      </c>
      <c r="F2829" s="2">
        <v>45902</v>
      </c>
      <c r="G2829">
        <v>5920.17</v>
      </c>
      <c r="H2829" s="1">
        <f>AVERAGEIF(Table1[Customer_ID], Table1[[#This Row],[Customer_ID]], Table1[Transaction_Amount])</f>
        <v>4687.2401666666674</v>
      </c>
      <c r="I2829" t="s">
        <v>1946</v>
      </c>
      <c r="J2829" t="s">
        <v>50</v>
      </c>
      <c r="K2829" t="s">
        <v>8</v>
      </c>
      <c r="L2829">
        <v>0</v>
      </c>
      <c r="M2829" t="s">
        <v>37</v>
      </c>
      <c r="N2829" t="s">
        <v>47</v>
      </c>
      <c r="O2829" t="s">
        <v>393</v>
      </c>
      <c r="P2829" s="6" t="str">
        <f>IF(Table1[[#This Row],[Transaction_Amount]]&lt;=Table1[[#This Row],[avg_transaction_amount]], "usual transaction", "unusual transaction")</f>
        <v>unusual transaction</v>
      </c>
      <c r="Q2829" s="6" t="str">
        <f>IF(AND(Table1[[#This Row],[Country_of_Residence]]&lt;&gt;Table1[[#This Row],[Country_of_Transaction]], OR(Table1[[#This Row],[Authentication_Type]]="Biometric", Table1[[#This Row],[Authentication_Type]]="OTP")), "safe location transaction", "unsafe location transaction")</f>
        <v>safe location transaction</v>
      </c>
      <c r="R2829" s="6" t="str">
        <f>IF(AND(Table1[[#This Row],[Country_of_Residence]]&lt;&gt;Table1[[#This Row],[Country_of_Transaction]], OR(Table1[[#This Row],[Merchant_Category]]="Electronics", Table1[[#This Row],[Merchant_Category]]="Travel")), "unsafe merchant transaction", "safe merchant transaction")</f>
        <v>unsafe merchant transaction</v>
      </c>
    </row>
    <row r="2830" spans="1:18">
      <c r="A2830" t="s">
        <v>4459</v>
      </c>
      <c r="B2830" t="s">
        <v>382</v>
      </c>
      <c r="C2830">
        <v>1</v>
      </c>
      <c r="D2830" t="s">
        <v>9</v>
      </c>
      <c r="E2830" t="s">
        <v>5</v>
      </c>
      <c r="F2830" s="2">
        <v>45769</v>
      </c>
      <c r="G2830">
        <v>5143.41</v>
      </c>
      <c r="H2830" s="1">
        <f>AVERAGEIF(Table1[Customer_ID], Table1[[#This Row],[Customer_ID]], Table1[Transaction_Amount])</f>
        <v>4687.2401666666674</v>
      </c>
      <c r="I2830" t="s">
        <v>1953</v>
      </c>
      <c r="J2830" t="s">
        <v>41</v>
      </c>
      <c r="K2830" t="s">
        <v>10</v>
      </c>
      <c r="L2830">
        <v>3</v>
      </c>
      <c r="M2830" t="s">
        <v>47</v>
      </c>
      <c r="N2830" t="s">
        <v>55</v>
      </c>
      <c r="O2830" t="s">
        <v>393</v>
      </c>
      <c r="P2830" s="6" t="str">
        <f>IF(Table1[[#This Row],[Transaction_Amount]]&lt;=Table1[[#This Row],[avg_transaction_amount]], "usual transaction", "unusual transaction")</f>
        <v>unusual transaction</v>
      </c>
      <c r="Q2830" s="6" t="str">
        <f>IF(AND(Table1[[#This Row],[Country_of_Residence]]&lt;&gt;Table1[[#This Row],[Country_of_Transaction]], OR(Table1[[#This Row],[Authentication_Type]]="Biometric", Table1[[#This Row],[Authentication_Type]]="OTP")), "safe location transaction", "unsafe location transaction")</f>
        <v>safe location transaction</v>
      </c>
      <c r="R2830" s="6" t="str">
        <f>IF(AND(Table1[[#This Row],[Country_of_Residence]]&lt;&gt;Table1[[#This Row],[Country_of_Transaction]], OR(Table1[[#This Row],[Merchant_Category]]="Electronics", Table1[[#This Row],[Merchant_Category]]="Travel")), "unsafe merchant transaction", "safe merchant transaction")</f>
        <v>safe merchant transaction</v>
      </c>
    </row>
    <row r="2831" spans="1:18">
      <c r="A2831" t="s">
        <v>4494</v>
      </c>
      <c r="B2831" t="s">
        <v>382</v>
      </c>
      <c r="C2831">
        <v>1</v>
      </c>
      <c r="D2831" t="s">
        <v>9</v>
      </c>
      <c r="E2831" t="s">
        <v>420</v>
      </c>
      <c r="F2831" s="2">
        <v>45723</v>
      </c>
      <c r="G2831">
        <v>2745.79</v>
      </c>
      <c r="H2831" s="1">
        <f>AVERAGEIF(Table1[Customer_ID], Table1[[#This Row],[Customer_ID]], Table1[Transaction_Amount])</f>
        <v>4687.2401666666674</v>
      </c>
      <c r="I2831" t="s">
        <v>1982</v>
      </c>
      <c r="J2831" t="s">
        <v>31</v>
      </c>
      <c r="K2831" t="s">
        <v>10</v>
      </c>
      <c r="L2831">
        <v>5</v>
      </c>
      <c r="M2831" t="s">
        <v>47</v>
      </c>
      <c r="N2831" t="s">
        <v>56</v>
      </c>
      <c r="O2831" t="s">
        <v>393</v>
      </c>
      <c r="P2831" s="6" t="str">
        <f>IF(Table1[[#This Row],[Transaction_Amount]]&lt;=Table1[[#This Row],[avg_transaction_amount]], "usual transaction", "unusual transaction")</f>
        <v>usual transaction</v>
      </c>
      <c r="Q2831" s="6" t="str">
        <f>IF(AND(Table1[[#This Row],[Country_of_Residence]]&lt;&gt;Table1[[#This Row],[Country_of_Transaction]], OR(Table1[[#This Row],[Authentication_Type]]="Biometric", Table1[[#This Row],[Authentication_Type]]="OTP")), "safe location transaction", "unsafe location transaction")</f>
        <v>safe location transaction</v>
      </c>
      <c r="R2831" s="6" t="str">
        <f>IF(AND(Table1[[#This Row],[Country_of_Residence]]&lt;&gt;Table1[[#This Row],[Country_of_Transaction]], OR(Table1[[#This Row],[Merchant_Category]]="Electronics", Table1[[#This Row],[Merchant_Category]]="Travel")), "unsafe merchant transaction", "safe merchant transaction")</f>
        <v>safe merchant transaction</v>
      </c>
    </row>
    <row r="2832" spans="1:18">
      <c r="A2832" t="s">
        <v>4576</v>
      </c>
      <c r="B2832" t="s">
        <v>382</v>
      </c>
      <c r="C2832">
        <v>1</v>
      </c>
      <c r="D2832" t="s">
        <v>9</v>
      </c>
      <c r="E2832" t="s">
        <v>3</v>
      </c>
      <c r="F2832" s="2">
        <v>45691</v>
      </c>
      <c r="G2832">
        <v>4261.42</v>
      </c>
      <c r="H2832" s="1">
        <f>AVERAGEIF(Table1[Customer_ID], Table1[[#This Row],[Customer_ID]], Table1[Transaction_Amount])</f>
        <v>4687.2401666666674</v>
      </c>
      <c r="I2832" t="s">
        <v>2046</v>
      </c>
      <c r="J2832" t="s">
        <v>46</v>
      </c>
      <c r="K2832" t="s">
        <v>14</v>
      </c>
      <c r="L2832">
        <v>3</v>
      </c>
      <c r="M2832" t="s">
        <v>55</v>
      </c>
      <c r="N2832" t="s">
        <v>47</v>
      </c>
      <c r="O2832" t="s">
        <v>392</v>
      </c>
      <c r="P2832" s="6" t="str">
        <f>IF(Table1[[#This Row],[Transaction_Amount]]&lt;=Table1[[#This Row],[avg_transaction_amount]], "usual transaction", "unusual transaction")</f>
        <v>usual transaction</v>
      </c>
      <c r="Q2832" s="6" t="str">
        <f>IF(AND(Table1[[#This Row],[Country_of_Residence]]&lt;&gt;Table1[[#This Row],[Country_of_Transaction]], OR(Table1[[#This Row],[Authentication_Type]]="Biometric", Table1[[#This Row],[Authentication_Type]]="OTP")), "safe location transaction", "unsafe location transaction")</f>
        <v>unsafe location transaction</v>
      </c>
      <c r="R2832" s="6" t="str">
        <f>IF(AND(Table1[[#This Row],[Country_of_Residence]]&lt;&gt;Table1[[#This Row],[Country_of_Transaction]], OR(Table1[[#This Row],[Merchant_Category]]="Electronics", Table1[[#This Row],[Merchant_Category]]="Travel")), "unsafe merchant transaction", "safe merchant transaction")</f>
        <v>safe merchant transaction</v>
      </c>
    </row>
    <row r="2833" spans="1:18">
      <c r="A2833" t="s">
        <v>4668</v>
      </c>
      <c r="B2833" t="s">
        <v>382</v>
      </c>
      <c r="C2833">
        <v>1</v>
      </c>
      <c r="D2833" t="s">
        <v>15</v>
      </c>
      <c r="E2833" t="s">
        <v>6</v>
      </c>
      <c r="F2833" s="2">
        <v>46017</v>
      </c>
      <c r="G2833">
        <v>9087.89</v>
      </c>
      <c r="H2833" s="1">
        <f>AVERAGEIF(Table1[Customer_ID], Table1[[#This Row],[Customer_ID]], Table1[Transaction_Amount])</f>
        <v>4687.2401666666674</v>
      </c>
      <c r="I2833" t="s">
        <v>719</v>
      </c>
      <c r="J2833" t="s">
        <v>46</v>
      </c>
      <c r="K2833" t="s">
        <v>12</v>
      </c>
      <c r="L2833">
        <v>2</v>
      </c>
      <c r="M2833" t="s">
        <v>56</v>
      </c>
      <c r="N2833" t="s">
        <v>51</v>
      </c>
      <c r="O2833" t="s">
        <v>393</v>
      </c>
      <c r="P2833" s="6" t="str">
        <f>IF(Table1[[#This Row],[Transaction_Amount]]&lt;=Table1[[#This Row],[avg_transaction_amount]], "usual transaction", "unusual transaction")</f>
        <v>unusual transaction</v>
      </c>
      <c r="Q2833" s="6" t="str">
        <f>IF(AND(Table1[[#This Row],[Country_of_Residence]]&lt;&gt;Table1[[#This Row],[Country_of_Transaction]], OR(Table1[[#This Row],[Authentication_Type]]="Biometric", Table1[[#This Row],[Authentication_Type]]="OTP")), "safe location transaction", "unsafe location transaction")</f>
        <v>unsafe location transaction</v>
      </c>
      <c r="R2833" s="6" t="str">
        <f>IF(AND(Table1[[#This Row],[Country_of_Residence]]&lt;&gt;Table1[[#This Row],[Country_of_Transaction]], OR(Table1[[#This Row],[Merchant_Category]]="Electronics", Table1[[#This Row],[Merchant_Category]]="Travel")), "unsafe merchant transaction", "safe merchant transaction")</f>
        <v>safe merchant transaction</v>
      </c>
    </row>
    <row r="2834" spans="1:18">
      <c r="A2834" t="s">
        <v>4678</v>
      </c>
      <c r="B2834" t="s">
        <v>382</v>
      </c>
      <c r="C2834">
        <v>1</v>
      </c>
      <c r="D2834" t="s">
        <v>15</v>
      </c>
      <c r="E2834" t="s">
        <v>3</v>
      </c>
      <c r="F2834" s="2">
        <v>45948</v>
      </c>
      <c r="G2834">
        <v>2468</v>
      </c>
      <c r="H2834" s="1">
        <f>AVERAGEIF(Table1[Customer_ID], Table1[[#This Row],[Customer_ID]], Table1[Transaction_Amount])</f>
        <v>4687.2401666666674</v>
      </c>
      <c r="I2834" t="s">
        <v>2131</v>
      </c>
      <c r="J2834" t="s">
        <v>50</v>
      </c>
      <c r="K2834" t="s">
        <v>10</v>
      </c>
      <c r="L2834">
        <v>5</v>
      </c>
      <c r="M2834" t="s">
        <v>56</v>
      </c>
      <c r="N2834" t="s">
        <v>47</v>
      </c>
      <c r="O2834" t="s">
        <v>393</v>
      </c>
      <c r="P2834" s="6" t="str">
        <f>IF(Table1[[#This Row],[Transaction_Amount]]&lt;=Table1[[#This Row],[avg_transaction_amount]], "usual transaction", "unusual transaction")</f>
        <v>usual transaction</v>
      </c>
      <c r="Q2834" s="6" t="str">
        <f>IF(AND(Table1[[#This Row],[Country_of_Residence]]&lt;&gt;Table1[[#This Row],[Country_of_Transaction]], OR(Table1[[#This Row],[Authentication_Type]]="Biometric", Table1[[#This Row],[Authentication_Type]]="OTP")), "safe location transaction", "unsafe location transaction")</f>
        <v>safe location transaction</v>
      </c>
      <c r="R2834" s="6" t="str">
        <f>IF(AND(Table1[[#This Row],[Country_of_Residence]]&lt;&gt;Table1[[#This Row],[Country_of_Transaction]], OR(Table1[[#This Row],[Merchant_Category]]="Electronics", Table1[[#This Row],[Merchant_Category]]="Travel")), "unsafe merchant transaction", "safe merchant transaction")</f>
        <v>unsafe merchant transaction</v>
      </c>
    </row>
    <row r="2835" spans="1:18">
      <c r="A2835" t="s">
        <v>4679</v>
      </c>
      <c r="B2835" t="s">
        <v>382</v>
      </c>
      <c r="C2835">
        <v>1</v>
      </c>
      <c r="D2835" t="s">
        <v>15</v>
      </c>
      <c r="E2835" t="s">
        <v>420</v>
      </c>
      <c r="F2835" s="2">
        <v>45980</v>
      </c>
      <c r="G2835">
        <v>7311.95</v>
      </c>
      <c r="H2835" s="1">
        <f>AVERAGEIF(Table1[Customer_ID], Table1[[#This Row],[Customer_ID]], Table1[Transaction_Amount])</f>
        <v>4687.2401666666674</v>
      </c>
      <c r="I2835" t="s">
        <v>2132</v>
      </c>
      <c r="J2835" t="s">
        <v>41</v>
      </c>
      <c r="K2835" t="s">
        <v>8</v>
      </c>
      <c r="L2835">
        <v>1</v>
      </c>
      <c r="M2835" t="s">
        <v>412</v>
      </c>
      <c r="N2835" t="s">
        <v>32</v>
      </c>
      <c r="O2835" t="s">
        <v>392</v>
      </c>
      <c r="P2835" s="6" t="str">
        <f>IF(Table1[[#This Row],[Transaction_Amount]]&lt;=Table1[[#This Row],[avg_transaction_amount]], "usual transaction", "unusual transaction")</f>
        <v>unusual transaction</v>
      </c>
      <c r="Q2835" s="6" t="str">
        <f>IF(AND(Table1[[#This Row],[Country_of_Residence]]&lt;&gt;Table1[[#This Row],[Country_of_Transaction]], OR(Table1[[#This Row],[Authentication_Type]]="Biometric", Table1[[#This Row],[Authentication_Type]]="OTP")), "safe location transaction", "unsafe location transaction")</f>
        <v>safe location transaction</v>
      </c>
      <c r="R2835" s="6" t="str">
        <f>IF(AND(Table1[[#This Row],[Country_of_Residence]]&lt;&gt;Table1[[#This Row],[Country_of_Transaction]], OR(Table1[[#This Row],[Merchant_Category]]="Electronics", Table1[[#This Row],[Merchant_Category]]="Travel")), "unsafe merchant transaction", "safe merchant transaction")</f>
        <v>safe merchant transaction</v>
      </c>
    </row>
    <row r="2836" spans="1:18">
      <c r="A2836" t="s">
        <v>4761</v>
      </c>
      <c r="B2836" t="s">
        <v>382</v>
      </c>
      <c r="C2836">
        <v>1</v>
      </c>
      <c r="D2836" t="s">
        <v>15</v>
      </c>
      <c r="E2836" t="s">
        <v>420</v>
      </c>
      <c r="F2836" s="2">
        <v>45925</v>
      </c>
      <c r="G2836">
        <v>5524.22</v>
      </c>
      <c r="H2836" s="1">
        <f>AVERAGEIF(Table1[Customer_ID], Table1[[#This Row],[Customer_ID]], Table1[Transaction_Amount])</f>
        <v>4687.2401666666674</v>
      </c>
      <c r="I2836" t="s">
        <v>1025</v>
      </c>
      <c r="J2836" t="s">
        <v>46</v>
      </c>
      <c r="K2836" t="s">
        <v>8</v>
      </c>
      <c r="L2836">
        <v>0</v>
      </c>
      <c r="M2836" t="s">
        <v>55</v>
      </c>
      <c r="N2836" t="s">
        <v>33</v>
      </c>
      <c r="O2836" t="s">
        <v>392</v>
      </c>
      <c r="P2836" s="6" t="str">
        <f>IF(Table1[[#This Row],[Transaction_Amount]]&lt;=Table1[[#This Row],[avg_transaction_amount]], "usual transaction", "unusual transaction")</f>
        <v>unusual transaction</v>
      </c>
      <c r="Q2836" s="6" t="str">
        <f>IF(AND(Table1[[#This Row],[Country_of_Residence]]&lt;&gt;Table1[[#This Row],[Country_of_Transaction]], OR(Table1[[#This Row],[Authentication_Type]]="Biometric", Table1[[#This Row],[Authentication_Type]]="OTP")), "safe location transaction", "unsafe location transaction")</f>
        <v>safe location transaction</v>
      </c>
      <c r="R2836" s="6" t="str">
        <f>IF(AND(Table1[[#This Row],[Country_of_Residence]]&lt;&gt;Table1[[#This Row],[Country_of_Transaction]], OR(Table1[[#This Row],[Merchant_Category]]="Electronics", Table1[[#This Row],[Merchant_Category]]="Travel")), "unsafe merchant transaction", "safe merchant transaction")</f>
        <v>safe merchant transaction</v>
      </c>
    </row>
    <row r="2837" spans="1:18">
      <c r="A2837" t="s">
        <v>4765</v>
      </c>
      <c r="B2837" t="s">
        <v>382</v>
      </c>
      <c r="C2837">
        <v>1</v>
      </c>
      <c r="D2837" t="s">
        <v>9</v>
      </c>
      <c r="E2837" t="s">
        <v>5</v>
      </c>
      <c r="F2837" s="2">
        <v>45843</v>
      </c>
      <c r="G2837">
        <v>5862.2</v>
      </c>
      <c r="H2837" s="1">
        <f>AVERAGEIF(Table1[Customer_ID], Table1[[#This Row],[Customer_ID]], Table1[Transaction_Amount])</f>
        <v>4687.2401666666674</v>
      </c>
      <c r="I2837" t="s">
        <v>2196</v>
      </c>
      <c r="J2837" t="s">
        <v>36</v>
      </c>
      <c r="K2837" t="s">
        <v>8</v>
      </c>
      <c r="L2837">
        <v>1</v>
      </c>
      <c r="M2837" t="s">
        <v>56</v>
      </c>
      <c r="N2837" t="s">
        <v>51</v>
      </c>
      <c r="O2837" t="s">
        <v>393</v>
      </c>
      <c r="P2837" s="6" t="str">
        <f>IF(Table1[[#This Row],[Transaction_Amount]]&lt;=Table1[[#This Row],[avg_transaction_amount]], "usual transaction", "unusual transaction")</f>
        <v>unusual transaction</v>
      </c>
      <c r="Q2837" s="6" t="str">
        <f>IF(AND(Table1[[#This Row],[Country_of_Residence]]&lt;&gt;Table1[[#This Row],[Country_of_Transaction]], OR(Table1[[#This Row],[Authentication_Type]]="Biometric", Table1[[#This Row],[Authentication_Type]]="OTP")), "safe location transaction", "unsafe location transaction")</f>
        <v>safe location transaction</v>
      </c>
      <c r="R2837" s="6" t="str">
        <f>IF(AND(Table1[[#This Row],[Country_of_Residence]]&lt;&gt;Table1[[#This Row],[Country_of_Transaction]], OR(Table1[[#This Row],[Merchant_Category]]="Electronics", Table1[[#This Row],[Merchant_Category]]="Travel")), "unsafe merchant transaction", "safe merchant transaction")</f>
        <v>safe merchant transaction</v>
      </c>
    </row>
    <row r="2838" spans="1:18">
      <c r="A2838" t="s">
        <v>4875</v>
      </c>
      <c r="B2838" t="s">
        <v>382</v>
      </c>
      <c r="C2838">
        <v>1</v>
      </c>
      <c r="D2838" t="s">
        <v>9</v>
      </c>
      <c r="E2838" t="s">
        <v>3</v>
      </c>
      <c r="F2838" s="2">
        <v>45843</v>
      </c>
      <c r="G2838">
        <v>3226.43</v>
      </c>
      <c r="H2838" s="1">
        <f>AVERAGEIF(Table1[Customer_ID], Table1[[#This Row],[Customer_ID]], Table1[Transaction_Amount])</f>
        <v>4687.2401666666674</v>
      </c>
      <c r="I2838" t="s">
        <v>2280</v>
      </c>
      <c r="J2838" t="s">
        <v>41</v>
      </c>
      <c r="K2838" t="s">
        <v>14</v>
      </c>
      <c r="L2838">
        <v>5</v>
      </c>
      <c r="M2838" t="s">
        <v>55</v>
      </c>
      <c r="N2838" t="s">
        <v>37</v>
      </c>
      <c r="O2838" t="s">
        <v>392</v>
      </c>
      <c r="P2838" s="6" t="str">
        <f>IF(Table1[[#This Row],[Transaction_Amount]]&lt;=Table1[[#This Row],[avg_transaction_amount]], "usual transaction", "unusual transaction")</f>
        <v>usual transaction</v>
      </c>
      <c r="Q2838" s="6" t="str">
        <f>IF(AND(Table1[[#This Row],[Country_of_Residence]]&lt;&gt;Table1[[#This Row],[Country_of_Transaction]], OR(Table1[[#This Row],[Authentication_Type]]="Biometric", Table1[[#This Row],[Authentication_Type]]="OTP")), "safe location transaction", "unsafe location transaction")</f>
        <v>unsafe location transaction</v>
      </c>
      <c r="R2838" s="6" t="str">
        <f>IF(AND(Table1[[#This Row],[Country_of_Residence]]&lt;&gt;Table1[[#This Row],[Country_of_Transaction]], OR(Table1[[#This Row],[Merchant_Category]]="Electronics", Table1[[#This Row],[Merchant_Category]]="Travel")), "unsafe merchant transaction", "safe merchant transaction")</f>
        <v>safe merchant transaction</v>
      </c>
    </row>
    <row r="2839" spans="1:18">
      <c r="A2839" t="s">
        <v>4876</v>
      </c>
      <c r="B2839" t="s">
        <v>382</v>
      </c>
      <c r="C2839">
        <v>1</v>
      </c>
      <c r="D2839" t="s">
        <v>9</v>
      </c>
      <c r="E2839" t="s">
        <v>3</v>
      </c>
      <c r="F2839" s="2">
        <v>45830</v>
      </c>
      <c r="G2839">
        <v>4347.5</v>
      </c>
      <c r="H2839" s="1">
        <f>AVERAGEIF(Table1[Customer_ID], Table1[[#This Row],[Customer_ID]], Table1[Transaction_Amount])</f>
        <v>4687.2401666666674</v>
      </c>
      <c r="I2839" t="s">
        <v>2281</v>
      </c>
      <c r="J2839" t="s">
        <v>46</v>
      </c>
      <c r="K2839" t="s">
        <v>10</v>
      </c>
      <c r="L2839">
        <v>4</v>
      </c>
      <c r="M2839" t="s">
        <v>37</v>
      </c>
      <c r="N2839" t="s">
        <v>412</v>
      </c>
      <c r="O2839" t="s">
        <v>393</v>
      </c>
      <c r="P2839" s="6" t="str">
        <f>IF(Table1[[#This Row],[Transaction_Amount]]&lt;=Table1[[#This Row],[avg_transaction_amount]], "usual transaction", "unusual transaction")</f>
        <v>usual transaction</v>
      </c>
      <c r="Q2839" s="6" t="str">
        <f>IF(AND(Table1[[#This Row],[Country_of_Residence]]&lt;&gt;Table1[[#This Row],[Country_of_Transaction]], OR(Table1[[#This Row],[Authentication_Type]]="Biometric", Table1[[#This Row],[Authentication_Type]]="OTP")), "safe location transaction", "unsafe location transaction")</f>
        <v>safe location transaction</v>
      </c>
      <c r="R2839" s="6" t="str">
        <f>IF(AND(Table1[[#This Row],[Country_of_Residence]]&lt;&gt;Table1[[#This Row],[Country_of_Transaction]], OR(Table1[[#This Row],[Merchant_Category]]="Electronics", Table1[[#This Row],[Merchant_Category]]="Travel")), "unsafe merchant transaction", "safe merchant transaction")</f>
        <v>safe merchant transaction</v>
      </c>
    </row>
    <row r="2840" spans="1:18">
      <c r="A2840" t="s">
        <v>4900</v>
      </c>
      <c r="B2840" t="s">
        <v>382</v>
      </c>
      <c r="C2840">
        <v>1</v>
      </c>
      <c r="D2840" t="s">
        <v>9</v>
      </c>
      <c r="E2840" t="s">
        <v>3</v>
      </c>
      <c r="F2840" s="2">
        <v>45905</v>
      </c>
      <c r="G2840">
        <v>4677.07</v>
      </c>
      <c r="H2840" s="1">
        <f>AVERAGEIF(Table1[Customer_ID], Table1[[#This Row],[Customer_ID]], Table1[Transaction_Amount])</f>
        <v>4687.2401666666674</v>
      </c>
      <c r="I2840" t="s">
        <v>658</v>
      </c>
      <c r="J2840" t="s">
        <v>31</v>
      </c>
      <c r="K2840" t="s">
        <v>8</v>
      </c>
      <c r="L2840">
        <v>1</v>
      </c>
      <c r="M2840" t="s">
        <v>32</v>
      </c>
      <c r="N2840" t="s">
        <v>47</v>
      </c>
      <c r="O2840" t="s">
        <v>392</v>
      </c>
      <c r="P2840" s="6" t="str">
        <f>IF(Table1[[#This Row],[Transaction_Amount]]&lt;=Table1[[#This Row],[avg_transaction_amount]], "usual transaction", "unusual transaction")</f>
        <v>usual transaction</v>
      </c>
      <c r="Q2840" s="6" t="str">
        <f>IF(AND(Table1[[#This Row],[Country_of_Residence]]&lt;&gt;Table1[[#This Row],[Country_of_Transaction]], OR(Table1[[#This Row],[Authentication_Type]]="Biometric", Table1[[#This Row],[Authentication_Type]]="OTP")), "safe location transaction", "unsafe location transaction")</f>
        <v>safe location transaction</v>
      </c>
      <c r="R2840" s="6" t="str">
        <f>IF(AND(Table1[[#This Row],[Country_of_Residence]]&lt;&gt;Table1[[#This Row],[Country_of_Transaction]], OR(Table1[[#This Row],[Merchant_Category]]="Electronics", Table1[[#This Row],[Merchant_Category]]="Travel")), "unsafe merchant transaction", "safe merchant transaction")</f>
        <v>safe merchant transaction</v>
      </c>
    </row>
    <row r="2841" spans="1:18">
      <c r="A2841" t="s">
        <v>4966</v>
      </c>
      <c r="B2841" t="s">
        <v>382</v>
      </c>
      <c r="C2841">
        <v>1</v>
      </c>
      <c r="D2841" t="s">
        <v>15</v>
      </c>
      <c r="E2841" t="s">
        <v>5</v>
      </c>
      <c r="F2841" s="2">
        <v>45679</v>
      </c>
      <c r="G2841">
        <v>57.72</v>
      </c>
      <c r="H2841" s="1">
        <f>AVERAGEIF(Table1[Customer_ID], Table1[[#This Row],[Customer_ID]], Table1[Transaction_Amount])</f>
        <v>4687.2401666666674</v>
      </c>
      <c r="I2841" t="s">
        <v>2352</v>
      </c>
      <c r="J2841" t="s">
        <v>31</v>
      </c>
      <c r="K2841" t="s">
        <v>14</v>
      </c>
      <c r="L2841">
        <v>4</v>
      </c>
      <c r="M2841" t="s">
        <v>33</v>
      </c>
      <c r="N2841" t="s">
        <v>56</v>
      </c>
      <c r="O2841" t="s">
        <v>393</v>
      </c>
      <c r="P2841" s="6" t="str">
        <f>IF(Table1[[#This Row],[Transaction_Amount]]&lt;=Table1[[#This Row],[avg_transaction_amount]], "usual transaction", "unusual transaction")</f>
        <v>usual transaction</v>
      </c>
      <c r="Q2841" s="6" t="str">
        <f>IF(AND(Table1[[#This Row],[Country_of_Residence]]&lt;&gt;Table1[[#This Row],[Country_of_Transaction]], OR(Table1[[#This Row],[Authentication_Type]]="Biometric", Table1[[#This Row],[Authentication_Type]]="OTP")), "safe location transaction", "unsafe location transaction")</f>
        <v>unsafe location transaction</v>
      </c>
      <c r="R2841" s="6" t="str">
        <f>IF(AND(Table1[[#This Row],[Country_of_Residence]]&lt;&gt;Table1[[#This Row],[Country_of_Transaction]], OR(Table1[[#This Row],[Merchant_Category]]="Electronics", Table1[[#This Row],[Merchant_Category]]="Travel")), "unsafe merchant transaction", "safe merchant transaction")</f>
        <v>safe merchant transaction</v>
      </c>
    </row>
    <row r="2842" spans="1:18">
      <c r="A2842" t="s">
        <v>4977</v>
      </c>
      <c r="B2842" t="s">
        <v>382</v>
      </c>
      <c r="C2842">
        <v>1</v>
      </c>
      <c r="D2842" t="s">
        <v>15</v>
      </c>
      <c r="E2842" t="s">
        <v>3</v>
      </c>
      <c r="F2842" s="2">
        <v>46004</v>
      </c>
      <c r="G2842">
        <v>4723.7700000000004</v>
      </c>
      <c r="H2842" s="1">
        <f>AVERAGEIF(Table1[Customer_ID], Table1[[#This Row],[Customer_ID]], Table1[Transaction_Amount])</f>
        <v>4687.2401666666674</v>
      </c>
      <c r="I2842" t="s">
        <v>2361</v>
      </c>
      <c r="J2842" t="s">
        <v>36</v>
      </c>
      <c r="K2842" t="s">
        <v>8</v>
      </c>
      <c r="L2842">
        <v>5</v>
      </c>
      <c r="M2842" t="s">
        <v>33</v>
      </c>
      <c r="N2842" t="s">
        <v>47</v>
      </c>
      <c r="O2842" t="s">
        <v>392</v>
      </c>
      <c r="P2842" s="6" t="str">
        <f>IF(Table1[[#This Row],[Transaction_Amount]]&lt;=Table1[[#This Row],[avg_transaction_amount]], "usual transaction", "unusual transaction")</f>
        <v>unusual transaction</v>
      </c>
      <c r="Q2842" s="6" t="str">
        <f>IF(AND(Table1[[#This Row],[Country_of_Residence]]&lt;&gt;Table1[[#This Row],[Country_of_Transaction]], OR(Table1[[#This Row],[Authentication_Type]]="Biometric", Table1[[#This Row],[Authentication_Type]]="OTP")), "safe location transaction", "unsafe location transaction")</f>
        <v>safe location transaction</v>
      </c>
      <c r="R2842" s="6" t="str">
        <f>IF(AND(Table1[[#This Row],[Country_of_Residence]]&lt;&gt;Table1[[#This Row],[Country_of_Transaction]], OR(Table1[[#This Row],[Merchant_Category]]="Electronics", Table1[[#This Row],[Merchant_Category]]="Travel")), "unsafe merchant transaction", "safe merchant transaction")</f>
        <v>safe merchant transaction</v>
      </c>
    </row>
    <row r="2843" spans="1:18">
      <c r="A2843" t="s">
        <v>4986</v>
      </c>
      <c r="B2843" t="s">
        <v>382</v>
      </c>
      <c r="C2843">
        <v>1</v>
      </c>
      <c r="D2843" t="s">
        <v>15</v>
      </c>
      <c r="E2843" t="s">
        <v>5</v>
      </c>
      <c r="F2843" s="2">
        <v>45693</v>
      </c>
      <c r="G2843">
        <v>8627.4699999999993</v>
      </c>
      <c r="H2843" s="1">
        <f>AVERAGEIF(Table1[Customer_ID], Table1[[#This Row],[Customer_ID]], Table1[Transaction_Amount])</f>
        <v>4687.2401666666674</v>
      </c>
      <c r="I2843" t="s">
        <v>1732</v>
      </c>
      <c r="J2843" t="s">
        <v>36</v>
      </c>
      <c r="K2843" t="s">
        <v>10</v>
      </c>
      <c r="L2843">
        <v>5</v>
      </c>
      <c r="M2843" t="s">
        <v>33</v>
      </c>
      <c r="N2843" t="s">
        <v>32</v>
      </c>
      <c r="O2843" t="s">
        <v>392</v>
      </c>
      <c r="P2843" s="6" t="str">
        <f>IF(Table1[[#This Row],[Transaction_Amount]]&lt;=Table1[[#This Row],[avg_transaction_amount]], "usual transaction", "unusual transaction")</f>
        <v>unusual transaction</v>
      </c>
      <c r="Q2843" s="6" t="str">
        <f>IF(AND(Table1[[#This Row],[Country_of_Residence]]&lt;&gt;Table1[[#This Row],[Country_of_Transaction]], OR(Table1[[#This Row],[Authentication_Type]]="Biometric", Table1[[#This Row],[Authentication_Type]]="OTP")), "safe location transaction", "unsafe location transaction")</f>
        <v>safe location transaction</v>
      </c>
      <c r="R2843" s="6" t="str">
        <f>IF(AND(Table1[[#This Row],[Country_of_Residence]]&lt;&gt;Table1[[#This Row],[Country_of_Transaction]], OR(Table1[[#This Row],[Merchant_Category]]="Electronics", Table1[[#This Row],[Merchant_Category]]="Travel")), "unsafe merchant transaction", "safe merchant transaction")</f>
        <v>safe merchant transaction</v>
      </c>
    </row>
    <row r="2844" spans="1:18">
      <c r="A2844" t="s">
        <v>5001</v>
      </c>
      <c r="B2844" t="s">
        <v>382</v>
      </c>
      <c r="C2844">
        <v>1</v>
      </c>
      <c r="D2844" t="s">
        <v>9</v>
      </c>
      <c r="E2844" t="s">
        <v>5</v>
      </c>
      <c r="F2844" s="2">
        <v>45922</v>
      </c>
      <c r="G2844">
        <v>6374</v>
      </c>
      <c r="H2844" s="1">
        <f>AVERAGEIF(Table1[Customer_ID], Table1[[#This Row],[Customer_ID]], Table1[Transaction_Amount])</f>
        <v>4687.2401666666674</v>
      </c>
      <c r="I2844" t="s">
        <v>2383</v>
      </c>
      <c r="J2844" t="s">
        <v>31</v>
      </c>
      <c r="K2844" t="s">
        <v>12</v>
      </c>
      <c r="L2844">
        <v>3</v>
      </c>
      <c r="M2844" t="s">
        <v>32</v>
      </c>
      <c r="N2844" t="s">
        <v>412</v>
      </c>
      <c r="O2844" t="s">
        <v>392</v>
      </c>
      <c r="P2844" s="6" t="str">
        <f>IF(Table1[[#This Row],[Transaction_Amount]]&lt;=Table1[[#This Row],[avg_transaction_amount]], "usual transaction", "unusual transaction")</f>
        <v>unusual transaction</v>
      </c>
      <c r="Q2844" s="6" t="str">
        <f>IF(AND(Table1[[#This Row],[Country_of_Residence]]&lt;&gt;Table1[[#This Row],[Country_of_Transaction]], OR(Table1[[#This Row],[Authentication_Type]]="Biometric", Table1[[#This Row],[Authentication_Type]]="OTP")), "safe location transaction", "unsafe location transaction")</f>
        <v>unsafe location transaction</v>
      </c>
      <c r="R2844" s="6" t="str">
        <f>IF(AND(Table1[[#This Row],[Country_of_Residence]]&lt;&gt;Table1[[#This Row],[Country_of_Transaction]], OR(Table1[[#This Row],[Merchant_Category]]="Electronics", Table1[[#This Row],[Merchant_Category]]="Travel")), "unsafe merchant transaction", "safe merchant transaction")</f>
        <v>safe merchant transaction</v>
      </c>
    </row>
    <row r="2845" spans="1:18">
      <c r="A2845" t="s">
        <v>5018</v>
      </c>
      <c r="B2845" t="s">
        <v>382</v>
      </c>
      <c r="C2845">
        <v>1</v>
      </c>
      <c r="D2845" t="s">
        <v>15</v>
      </c>
      <c r="E2845" t="s">
        <v>3</v>
      </c>
      <c r="F2845" s="2">
        <v>45868</v>
      </c>
      <c r="G2845">
        <v>9913.58</v>
      </c>
      <c r="H2845" s="1">
        <f>AVERAGEIF(Table1[Customer_ID], Table1[[#This Row],[Customer_ID]], Table1[Transaction_Amount])</f>
        <v>4687.2401666666674</v>
      </c>
      <c r="I2845" t="s">
        <v>528</v>
      </c>
      <c r="J2845" t="s">
        <v>41</v>
      </c>
      <c r="K2845" t="s">
        <v>8</v>
      </c>
      <c r="L2845">
        <v>2</v>
      </c>
      <c r="M2845" t="s">
        <v>32</v>
      </c>
      <c r="N2845" t="s">
        <v>47</v>
      </c>
      <c r="O2845" t="s">
        <v>393</v>
      </c>
      <c r="P2845" s="6" t="str">
        <f>IF(Table1[[#This Row],[Transaction_Amount]]&lt;=Table1[[#This Row],[avg_transaction_amount]], "usual transaction", "unusual transaction")</f>
        <v>unusual transaction</v>
      </c>
      <c r="Q2845" s="6" t="str">
        <f>IF(AND(Table1[[#This Row],[Country_of_Residence]]&lt;&gt;Table1[[#This Row],[Country_of_Transaction]], OR(Table1[[#This Row],[Authentication_Type]]="Biometric", Table1[[#This Row],[Authentication_Type]]="OTP")), "safe location transaction", "unsafe location transaction")</f>
        <v>safe location transaction</v>
      </c>
      <c r="R2845" s="6" t="str">
        <f>IF(AND(Table1[[#This Row],[Country_of_Residence]]&lt;&gt;Table1[[#This Row],[Country_of_Transaction]], OR(Table1[[#This Row],[Merchant_Category]]="Electronics", Table1[[#This Row],[Merchant_Category]]="Travel")), "unsafe merchant transaction", "safe merchant transaction")</f>
        <v>safe merchant transaction</v>
      </c>
    </row>
    <row r="2846" spans="1:18">
      <c r="A2846" t="s">
        <v>5129</v>
      </c>
      <c r="B2846" t="s">
        <v>382</v>
      </c>
      <c r="C2846">
        <v>1</v>
      </c>
      <c r="D2846" t="s">
        <v>9</v>
      </c>
      <c r="E2846" t="s">
        <v>3</v>
      </c>
      <c r="F2846" s="2">
        <v>45692</v>
      </c>
      <c r="G2846">
        <v>7605.11</v>
      </c>
      <c r="H2846" s="1">
        <f>AVERAGEIF(Table1[Customer_ID], Table1[[#This Row],[Customer_ID]], Table1[Transaction_Amount])</f>
        <v>4687.2401666666674</v>
      </c>
      <c r="I2846" t="s">
        <v>1774</v>
      </c>
      <c r="J2846" t="s">
        <v>31</v>
      </c>
      <c r="K2846" t="s">
        <v>14</v>
      </c>
      <c r="L2846">
        <v>2</v>
      </c>
      <c r="M2846" t="s">
        <v>47</v>
      </c>
      <c r="N2846" t="s">
        <v>37</v>
      </c>
      <c r="O2846" t="s">
        <v>393</v>
      </c>
      <c r="P2846" s="6" t="str">
        <f>IF(Table1[[#This Row],[Transaction_Amount]]&lt;=Table1[[#This Row],[avg_transaction_amount]], "usual transaction", "unusual transaction")</f>
        <v>unusual transaction</v>
      </c>
      <c r="Q2846" s="6" t="str">
        <f>IF(AND(Table1[[#This Row],[Country_of_Residence]]&lt;&gt;Table1[[#This Row],[Country_of_Transaction]], OR(Table1[[#This Row],[Authentication_Type]]="Biometric", Table1[[#This Row],[Authentication_Type]]="OTP")), "safe location transaction", "unsafe location transaction")</f>
        <v>unsafe location transaction</v>
      </c>
      <c r="R2846" s="6" t="str">
        <f>IF(AND(Table1[[#This Row],[Country_of_Residence]]&lt;&gt;Table1[[#This Row],[Country_of_Transaction]], OR(Table1[[#This Row],[Merchant_Category]]="Electronics", Table1[[#This Row],[Merchant_Category]]="Travel")), "unsafe merchant transaction", "safe merchant transaction")</f>
        <v>safe merchant transaction</v>
      </c>
    </row>
    <row r="2847" spans="1:18">
      <c r="A2847" t="s">
        <v>5132</v>
      </c>
      <c r="B2847" t="s">
        <v>382</v>
      </c>
      <c r="C2847">
        <v>1</v>
      </c>
      <c r="D2847" t="s">
        <v>15</v>
      </c>
      <c r="E2847" t="s">
        <v>5</v>
      </c>
      <c r="F2847" s="2">
        <v>45704</v>
      </c>
      <c r="G2847">
        <v>4393.25</v>
      </c>
      <c r="H2847" s="1">
        <f>AVERAGEIF(Table1[Customer_ID], Table1[[#This Row],[Customer_ID]], Table1[Transaction_Amount])</f>
        <v>4687.2401666666674</v>
      </c>
      <c r="I2847" t="s">
        <v>2474</v>
      </c>
      <c r="J2847" t="s">
        <v>41</v>
      </c>
      <c r="K2847" t="s">
        <v>10</v>
      </c>
      <c r="L2847">
        <v>2</v>
      </c>
      <c r="M2847" t="s">
        <v>42</v>
      </c>
      <c r="N2847" t="s">
        <v>51</v>
      </c>
      <c r="O2847" t="s">
        <v>393</v>
      </c>
      <c r="P2847" s="6" t="str">
        <f>IF(Table1[[#This Row],[Transaction_Amount]]&lt;=Table1[[#This Row],[avg_transaction_amount]], "usual transaction", "unusual transaction")</f>
        <v>usual transaction</v>
      </c>
      <c r="Q2847" s="6" t="str">
        <f>IF(AND(Table1[[#This Row],[Country_of_Residence]]&lt;&gt;Table1[[#This Row],[Country_of_Transaction]], OR(Table1[[#This Row],[Authentication_Type]]="Biometric", Table1[[#This Row],[Authentication_Type]]="OTP")), "safe location transaction", "unsafe location transaction")</f>
        <v>safe location transaction</v>
      </c>
      <c r="R2847" s="6" t="str">
        <f>IF(AND(Table1[[#This Row],[Country_of_Residence]]&lt;&gt;Table1[[#This Row],[Country_of_Transaction]], OR(Table1[[#This Row],[Merchant_Category]]="Electronics", Table1[[#This Row],[Merchant_Category]]="Travel")), "unsafe merchant transaction", "safe merchant transaction")</f>
        <v>safe merchant transaction</v>
      </c>
    </row>
    <row r="2848" spans="1:18">
      <c r="A2848" t="s">
        <v>5205</v>
      </c>
      <c r="B2848" t="s">
        <v>382</v>
      </c>
      <c r="C2848">
        <v>1</v>
      </c>
      <c r="D2848" t="s">
        <v>9</v>
      </c>
      <c r="E2848" t="s">
        <v>6</v>
      </c>
      <c r="F2848" s="2">
        <v>45914</v>
      </c>
      <c r="G2848">
        <v>5513.57</v>
      </c>
      <c r="H2848" s="1">
        <f>AVERAGEIF(Table1[Customer_ID], Table1[[#This Row],[Customer_ID]], Table1[Transaction_Amount])</f>
        <v>4687.2401666666674</v>
      </c>
      <c r="I2848" t="s">
        <v>1195</v>
      </c>
      <c r="J2848" t="s">
        <v>50</v>
      </c>
      <c r="K2848" t="s">
        <v>8</v>
      </c>
      <c r="L2848">
        <v>3</v>
      </c>
      <c r="M2848" t="s">
        <v>51</v>
      </c>
      <c r="N2848" t="s">
        <v>32</v>
      </c>
      <c r="O2848" t="s">
        <v>392</v>
      </c>
      <c r="P2848" s="6" t="str">
        <f>IF(Table1[[#This Row],[Transaction_Amount]]&lt;=Table1[[#This Row],[avg_transaction_amount]], "usual transaction", "unusual transaction")</f>
        <v>unusual transaction</v>
      </c>
      <c r="Q2848" s="6" t="str">
        <f>IF(AND(Table1[[#This Row],[Country_of_Residence]]&lt;&gt;Table1[[#This Row],[Country_of_Transaction]], OR(Table1[[#This Row],[Authentication_Type]]="Biometric", Table1[[#This Row],[Authentication_Type]]="OTP")), "safe location transaction", "unsafe location transaction")</f>
        <v>safe location transaction</v>
      </c>
      <c r="R2848" s="6" t="str">
        <f>IF(AND(Table1[[#This Row],[Country_of_Residence]]&lt;&gt;Table1[[#This Row],[Country_of_Transaction]], OR(Table1[[#This Row],[Merchant_Category]]="Electronics", Table1[[#This Row],[Merchant_Category]]="Travel")), "unsafe merchant transaction", "safe merchant transaction")</f>
        <v>unsafe merchant transaction</v>
      </c>
    </row>
    <row r="2849" spans="1:18">
      <c r="A2849" t="s">
        <v>5314</v>
      </c>
      <c r="B2849" t="s">
        <v>382</v>
      </c>
      <c r="C2849">
        <v>1</v>
      </c>
      <c r="D2849" t="s">
        <v>9</v>
      </c>
      <c r="E2849" t="s">
        <v>6</v>
      </c>
      <c r="F2849" s="2">
        <v>45772</v>
      </c>
      <c r="G2849">
        <v>1628.82</v>
      </c>
      <c r="H2849" s="1">
        <f>AVERAGEIF(Table1[Customer_ID], Table1[[#This Row],[Customer_ID]], Table1[Transaction_Amount])</f>
        <v>4687.2401666666674</v>
      </c>
      <c r="I2849" t="s">
        <v>2615</v>
      </c>
      <c r="J2849" t="s">
        <v>31</v>
      </c>
      <c r="K2849" t="s">
        <v>12</v>
      </c>
      <c r="L2849">
        <v>0</v>
      </c>
      <c r="M2849" t="s">
        <v>56</v>
      </c>
      <c r="N2849" t="s">
        <v>412</v>
      </c>
      <c r="O2849" t="s">
        <v>393</v>
      </c>
      <c r="P2849" s="6" t="str">
        <f>IF(Table1[[#This Row],[Transaction_Amount]]&lt;=Table1[[#This Row],[avg_transaction_amount]], "usual transaction", "unusual transaction")</f>
        <v>usual transaction</v>
      </c>
      <c r="Q2849" s="6" t="str">
        <f>IF(AND(Table1[[#This Row],[Country_of_Residence]]&lt;&gt;Table1[[#This Row],[Country_of_Transaction]], OR(Table1[[#This Row],[Authentication_Type]]="Biometric", Table1[[#This Row],[Authentication_Type]]="OTP")), "safe location transaction", "unsafe location transaction")</f>
        <v>unsafe location transaction</v>
      </c>
      <c r="R2849" s="6" t="str">
        <f>IF(AND(Table1[[#This Row],[Country_of_Residence]]&lt;&gt;Table1[[#This Row],[Country_of_Transaction]], OR(Table1[[#This Row],[Merchant_Category]]="Electronics", Table1[[#This Row],[Merchant_Category]]="Travel")), "unsafe merchant transaction", "safe merchant transaction")</f>
        <v>safe merchant transaction</v>
      </c>
    </row>
    <row r="2850" spans="1:18">
      <c r="A2850" t="s">
        <v>5372</v>
      </c>
      <c r="B2850" t="s">
        <v>382</v>
      </c>
      <c r="C2850">
        <v>1</v>
      </c>
      <c r="D2850" t="s">
        <v>9</v>
      </c>
      <c r="E2850" t="s">
        <v>5</v>
      </c>
      <c r="F2850" s="2">
        <v>45712</v>
      </c>
      <c r="G2850">
        <v>9231.25</v>
      </c>
      <c r="H2850" s="1">
        <f>AVERAGEIF(Table1[Customer_ID], Table1[[#This Row],[Customer_ID]], Table1[Transaction_Amount])</f>
        <v>4687.2401666666674</v>
      </c>
      <c r="I2850" t="s">
        <v>2659</v>
      </c>
      <c r="J2850" t="s">
        <v>31</v>
      </c>
      <c r="K2850" t="s">
        <v>14</v>
      </c>
      <c r="L2850">
        <v>1</v>
      </c>
      <c r="M2850" t="s">
        <v>47</v>
      </c>
      <c r="N2850" t="s">
        <v>47</v>
      </c>
      <c r="O2850" t="s">
        <v>393</v>
      </c>
      <c r="P2850" s="6" t="str">
        <f>IF(Table1[[#This Row],[Transaction_Amount]]&lt;=Table1[[#This Row],[avg_transaction_amount]], "usual transaction", "unusual transaction")</f>
        <v>unusual transaction</v>
      </c>
      <c r="Q2850" s="6" t="str">
        <f>IF(AND(Table1[[#This Row],[Country_of_Residence]]&lt;&gt;Table1[[#This Row],[Country_of_Transaction]], OR(Table1[[#This Row],[Authentication_Type]]="Biometric", Table1[[#This Row],[Authentication_Type]]="OTP")), "safe location transaction", "unsafe location transaction")</f>
        <v>unsafe location transaction</v>
      </c>
      <c r="R2850" s="6" t="str">
        <f>IF(AND(Table1[[#This Row],[Country_of_Residence]]&lt;&gt;Table1[[#This Row],[Country_of_Transaction]], OR(Table1[[#This Row],[Merchant_Category]]="Electronics", Table1[[#This Row],[Merchant_Category]]="Travel")), "unsafe merchant transaction", "safe merchant transaction")</f>
        <v>safe merchant transaction</v>
      </c>
    </row>
    <row r="2851" spans="1:18">
      <c r="A2851" t="s">
        <v>5465</v>
      </c>
      <c r="B2851" t="s">
        <v>382</v>
      </c>
      <c r="C2851">
        <v>1</v>
      </c>
      <c r="D2851" t="s">
        <v>15</v>
      </c>
      <c r="E2851" t="s">
        <v>5</v>
      </c>
      <c r="F2851" s="2">
        <v>45997</v>
      </c>
      <c r="G2851">
        <v>6913.5</v>
      </c>
      <c r="H2851" s="1">
        <f>AVERAGEIF(Table1[Customer_ID], Table1[[#This Row],[Customer_ID]], Table1[Transaction_Amount])</f>
        <v>4687.2401666666674</v>
      </c>
      <c r="I2851" t="s">
        <v>1869</v>
      </c>
      <c r="J2851" t="s">
        <v>50</v>
      </c>
      <c r="K2851" t="s">
        <v>8</v>
      </c>
      <c r="L2851">
        <v>1</v>
      </c>
      <c r="M2851" t="s">
        <v>32</v>
      </c>
      <c r="N2851" t="s">
        <v>47</v>
      </c>
      <c r="O2851" t="s">
        <v>393</v>
      </c>
      <c r="P2851" s="6" t="str">
        <f>IF(Table1[[#This Row],[Transaction_Amount]]&lt;=Table1[[#This Row],[avg_transaction_amount]], "usual transaction", "unusual transaction")</f>
        <v>unusual transaction</v>
      </c>
      <c r="Q2851" s="6" t="str">
        <f>IF(AND(Table1[[#This Row],[Country_of_Residence]]&lt;&gt;Table1[[#This Row],[Country_of_Transaction]], OR(Table1[[#This Row],[Authentication_Type]]="Biometric", Table1[[#This Row],[Authentication_Type]]="OTP")), "safe location transaction", "unsafe location transaction")</f>
        <v>safe location transaction</v>
      </c>
      <c r="R2851" s="6" t="str">
        <f>IF(AND(Table1[[#This Row],[Country_of_Residence]]&lt;&gt;Table1[[#This Row],[Country_of_Transaction]], OR(Table1[[#This Row],[Merchant_Category]]="Electronics", Table1[[#This Row],[Merchant_Category]]="Travel")), "unsafe merchant transaction", "safe merchant transaction")</f>
        <v>unsafe merchant transaction</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207D97-0942-433F-A59B-37B0D54BE4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pivot_tables</vt:lpstr>
      <vt:lpstr>data_sets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NeneDornu</dc:creator>
  <cp:lastModifiedBy>Hp</cp:lastModifiedBy>
  <dcterms:created xsi:type="dcterms:W3CDTF">2025-09-08T05:57:00Z</dcterms:created>
  <dcterms:modified xsi:type="dcterms:W3CDTF">2026-02-18T05:21:51Z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CA34DC2964DA4D4BB6501CCF7D28F57F_12</vt:lpwstr>
  </property>
  <property fmtid="{D5CDD505-2E9C-101B-9397-08002B2CF9AE}" pid="3" name="KSOProductBuildVer">
    <vt:lpwstr>2057-12.2.0.23196</vt:lpwstr>
  </property>
</Properties>
</file>